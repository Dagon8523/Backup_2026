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Emisiones Carbono\"/>
    </mc:Choice>
  </mc:AlternateContent>
  <xr:revisionPtr revIDLastSave="0" documentId="13_ncr:1_{2E763221-6840-4467-902F-6DF08179D3A7}" xr6:coauthVersionLast="47" xr6:coauthVersionMax="47" xr10:uidLastSave="{00000000-0000-0000-0000-000000000000}"/>
  <bookViews>
    <workbookView xWindow="-110" yWindow="-110" windowWidth="19420" windowHeight="10300" xr2:uid="{B9009996-7F59-40D8-9537-CE1DA053594C}"/>
  </bookViews>
  <sheets>
    <sheet name="Objetos" sheetId="1" r:id="rId1"/>
    <sheet name="Orden Paquetes" sheetId="2" r:id="rId2"/>
    <sheet name="listas" sheetId="3" r:id="rId3"/>
  </sheets>
  <definedNames>
    <definedName name="TIPO_OBJETO">listas!$A$2:$A$8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  <c r="F14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E11" i="1"/>
  <c r="F11" i="1" s="1"/>
  <c r="E12" i="1"/>
  <c r="F12" i="1" s="1"/>
  <c r="E13" i="1"/>
  <c r="F13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E95" i="1"/>
  <c r="E96" i="1"/>
  <c r="E97" i="1"/>
  <c r="E98" i="1"/>
  <c r="E10" i="1"/>
  <c r="F10" i="1" s="1"/>
</calcChain>
</file>

<file path=xl/sharedStrings.xml><?xml version="1.0" encoding="utf-8"?>
<sst xmlns="http://schemas.openxmlformats.org/spreadsheetml/2006/main" count="124" uniqueCount="57">
  <si>
    <t>NOMBRE TECNICO</t>
  </si>
  <si>
    <t>DESCRIPCION</t>
  </si>
  <si>
    <t>TIPO OBJETO</t>
  </si>
  <si>
    <t>RUTA</t>
  </si>
  <si>
    <t>CARPETA</t>
  </si>
  <si>
    <t>GRAFICAL VIEW</t>
  </si>
  <si>
    <t>MODELO ANALITICO</t>
  </si>
  <si>
    <t>TABLA LOCAL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</si>
  <si>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</si>
  <si>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</si>
  <si>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</si>
  <si>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</si>
  <si>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</si>
  <si>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</si>
  <si>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</si>
  <si>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</si>
  <si>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LT 01_LT_DP_ORGANIZER_TEXT_01</t>
  </si>
  <si>
    <t>DF 01_DF_DP_ORGANIZER_TEXT_01</t>
  </si>
  <si>
    <t>Folder Bienestar</t>
  </si>
  <si>
    <t>GV 03_GV_DP_BIENESTAR_01</t>
  </si>
  <si>
    <t>AM 04_MA_DP_BIENESTAR_01</t>
  </si>
  <si>
    <t>1-</t>
  </si>
  <si>
    <t>2-</t>
  </si>
  <si>
    <t>3-</t>
  </si>
  <si>
    <t>4-</t>
  </si>
  <si>
    <t>5-</t>
  </si>
  <si>
    <t>Exportado</t>
  </si>
  <si>
    <t>SIGLA OBJETOS</t>
  </si>
  <si>
    <t>TABLA REMOTA</t>
  </si>
  <si>
    <t>RT</t>
  </si>
  <si>
    <t>SQL VIEW</t>
  </si>
  <si>
    <t>SV</t>
  </si>
  <si>
    <t>Bussines Inteligence/Tableros/Sistemas Gestion Calidad</t>
  </si>
  <si>
    <t>Emisiones Carbono</t>
  </si>
  <si>
    <t xml:space="preserve">01_LT_AWS_histórico__emisiones_01 </t>
  </si>
  <si>
    <t xml:space="preserve">02_DF_AWS_histórico__emisiones_01 </t>
  </si>
  <si>
    <t xml:space="preserve">03_AM_AWS_histórico__emisiones_01 </t>
  </si>
  <si>
    <t>Sistemas de Gestión Calidad</t>
  </si>
  <si>
    <t>Acciones Mejora</t>
  </si>
  <si>
    <t>Matriz Riesgos</t>
  </si>
  <si>
    <t>01_LT_AWS_Acciones_Historico_01</t>
  </si>
  <si>
    <t>Acciones Mejora Historico</t>
  </si>
  <si>
    <t>01_LT_AWS_Acciones_Isolucion_01</t>
  </si>
  <si>
    <t>Acciones Mejora Isolucion</t>
  </si>
  <si>
    <t>02_DF_AWS_Acciones_Historico_01</t>
  </si>
  <si>
    <t>02_DF_AWS_Acciones_Isolucion_01</t>
  </si>
  <si>
    <t>03_GV_DP_Acciones_Isolucion_01</t>
  </si>
  <si>
    <t>Bussines Inteligence/Tableros/Sistemas Gestion Calidad/Acciones Mejora</t>
  </si>
  <si>
    <t>04_MA_DP_Acciones_Isolucion_01</t>
  </si>
  <si>
    <t>Bussines Inteligence/Tableros/Sistemas Gestion Calidad/Emisiones Carbono</t>
  </si>
  <si>
    <t>Bussines Inteligence/Tableros/Sistemas Gestion Calidad/Matriz Riesgos</t>
  </si>
  <si>
    <t>01_LT_AWS_Matriz_Riesgos_01</t>
  </si>
  <si>
    <t>02_DF_AWS_Matriz_Riesgos_01</t>
  </si>
  <si>
    <t>03_GV_DP_Matriz_Riesgos_01</t>
  </si>
  <si>
    <t>04_MA_DP_Matriz_Riesgos_01</t>
  </si>
  <si>
    <t>ESTADO</t>
  </si>
  <si>
    <t>DESCARGADO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</si>
</sst>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D76B-AB7C-48E0-8218-0FCDF9992D65}">
  <dimension ref="A1:G98"/>
  <sheetViews>
    <sheetView tabSelected="1" workbookViewId="0">
      <selection activeCell="C6" sqref="C6"/>
    </sheetView>
  </sheetViews>
  <sheetFormatPr baseColWidth="10" defaultRowHeight="14.5" x14ac:dyDescent="0.35"/>
  <cols>
    <col min="1" max="1" width="21.81640625" customWidth="1"/>
    <col min="2" max="2" width="26.453125" customWidth="1"/>
    <col min="3" max="3" width="32.26953125" bestFit="1" customWidth="1"/>
    <col min="4" max="4" width="19.1796875" customWidth="1"/>
    <col min="5" max="5" width="21.08984375" style="4" customWidth="1"/>
    <col min="6" max="6" width="34" style="5" customWidth="1"/>
    <col min="7" max="7" width="69.1796875" bestFit="1" customWidth="1"/>
  </cols>
  <sheetData>
    <row r="1" spans="1:7" x14ac:dyDescent="0.35">
      <c r="A1" t="s">
        <v>55</v>
      </c>
      <c r="B1" t="s">
        <v>1</v>
      </c>
      <c r="C1" t="s">
        <v>0</v>
      </c>
      <c r="D1" t="s">
        <v>2</v>
      </c>
      <c r="E1" s="2" t="s">
        <v>15</v>
      </c>
      <c r="F1" s="3" t="s">
        <v>9</v>
      </c>
      <c r="G1" t="s">
        <v>3</v>
      </c>
    </row>
    <row r="2" spans="1:7" x14ac:dyDescent="0.35">
      <c r="A2" t="s">
        <v>56</v>
      </c>
      <c r="B2" t="s">
        <v>37</v>
      </c>
      <c r="C2" t="s">
        <v>37</v>
      </c>
      <c r="D2" t="s">
        <v>4</v>
      </c>
      <c r="E2" s="2" t="str">
        <f>IFERROR(VLOOKUP(D2,listas!$A$2:$B$8,2,0),"")</f>
        <v>Folder</v>
      </c>
      <c r="F2" s="3" t="str">
        <f t="shared" ref="F2:F9" si="0">_xlfn.CONCAT(E2," ",C2)</f>
        <v>Folder Sistemas de Gestión Calidad</v>
      </c>
      <c r="G2" t="s">
        <v>32</v>
      </c>
    </row>
    <row r="3" spans="1:7" x14ac:dyDescent="0.35">
      <c r="A3" t="s">
        <v>56</v>
      </c>
      <c r="B3" t="s">
        <v>38</v>
      </c>
      <c r="C3" t="s">
        <v>38</v>
      </c>
      <c r="D3" t="s">
        <v>4</v>
      </c>
      <c r="E3" s="2" t="str">
        <f>IFERROR(VLOOKUP(D3,listas!$A$2:$B$8,2,0),"")</f>
        <v>Folder</v>
      </c>
      <c r="F3" s="3" t="str">
        <f t="shared" si="0"/>
        <v>Folder Acciones Mejora</v>
      </c>
      <c r="G3" t="s">
        <v>32</v>
      </c>
    </row>
    <row r="4" spans="1:7" x14ac:dyDescent="0.35">
      <c r="A4" t="s">
        <v>56</v>
      </c>
      <c r="B4" t="s">
        <v>41</v>
      </c>
      <c r="C4" t="s">
        <v>40</v>
      </c>
      <c r="D4" t="s">
        <v>7</v>
      </c>
      <c r="E4" s="2" t="str">
        <f>IFERROR(VLOOKUP(D4,listas!$A$2:$B$8,2,0),"")</f>
        <v>LT</v>
      </c>
      <c r="F4" s="3" t="str">
        <f t="shared" si="0"/>
        <v>LT 01_LT_AWS_Acciones_Historico_01</v>
      </c>
      <c r="G4" t="s">
        <v>47</v>
      </c>
    </row>
    <row r="5" spans="1:7" x14ac:dyDescent="0.35">
      <c r="A5" t="s">
        <v>56</v>
      </c>
      <c r="B5" t="s">
        <v>43</v>
      </c>
      <c r="C5" t="s">
        <v>42</v>
      </c>
      <c r="D5" t="s">
        <v>7</v>
      </c>
      <c r="E5" s="2" t="str">
        <f>IFERROR(VLOOKUP(D5,listas!$A$2:$B$8,2,0),"")</f>
        <v>LT</v>
      </c>
      <c r="F5" s="3" t="str">
        <f t="shared" si="0"/>
        <v>LT 01_LT_AWS_Acciones_Isolucion_01</v>
      </c>
      <c r="G5" t="s">
        <v>47</v>
      </c>
    </row>
    <row r="6" spans="1:7" x14ac:dyDescent="0.35">
      <c r="A6" t="s">
        <v>56</v>
      </c>
      <c r="B6" t="s">
        <v>41</v>
      </c>
      <c r="C6" t="s">
        <v>44</v>
      </c>
      <c r="D6" t="s">
        <v>8</v>
      </c>
      <c r="E6" s="2" t="str">
        <f>IFERROR(VLOOKUP(D6,listas!$A$2:$B$8,2,0),"")</f>
        <v>DF</v>
      </c>
      <c r="F6" s="3" t="str">
        <f t="shared" si="0"/>
        <v>DF 02_DF_AWS_Acciones_Historico_01</v>
      </c>
      <c r="G6" t="s">
        <v>47</v>
      </c>
    </row>
    <row r="7" spans="1:7" x14ac:dyDescent="0.35">
      <c r="A7" t="s">
        <v>56</v>
      </c>
      <c r="B7" t="s">
        <v>43</v>
      </c>
      <c r="C7" t="s">
        <v>45</v>
      </c>
      <c r="D7" t="s">
        <v>8</v>
      </c>
      <c r="E7" s="2" t="str">
        <f>IFERROR(VLOOKUP(D7,listas!$A$2:$B$8,2,0),"")</f>
        <v>DF</v>
      </c>
      <c r="F7" s="3" t="str">
        <f t="shared" si="0"/>
        <v>DF 02_DF_AWS_Acciones_Isolucion_01</v>
      </c>
      <c r="G7" t="s">
        <v>47</v>
      </c>
    </row>
    <row r="8" spans="1:7" x14ac:dyDescent="0.35">
      <c r="A8" t="s">
        <v>56</v>
      </c>
      <c r="B8" t="s">
        <v>38</v>
      </c>
      <c r="C8" t="s">
        <v>46</v>
      </c>
      <c r="D8" t="s">
        <v>5</v>
      </c>
      <c r="E8" s="2" t="str">
        <f>IFERROR(VLOOKUP(D8,listas!$A$2:$B$8,2,0),"")</f>
        <v>GV</v>
      </c>
      <c r="F8" s="3" t="str">
        <f t="shared" si="0"/>
        <v>GV 03_GV_DP_Acciones_Isolucion_01</v>
      </c>
      <c r="G8" t="s">
        <v>47</v>
      </c>
    </row>
    <row r="9" spans="1:7" x14ac:dyDescent="0.35">
      <c r="A9" t="s">
        <v>56</v>
      </c>
      <c r="B9" t="s">
        <v>38</v>
      </c>
      <c r="C9" t="s">
        <v>48</v>
      </c>
      <c r="D9" t="s">
        <v>6</v>
      </c>
      <c r="E9" s="2" t="str">
        <f>IFERROR(VLOOKUP(D9,listas!$A$2:$B$8,2,0),"")</f>
        <v>AM</v>
      </c>
      <c r="F9" s="3" t="str">
        <f t="shared" si="0"/>
        <v>AM 04_MA_DP_Acciones_Isolucion_01</v>
      </c>
      <c r="G9" t="s">
        <v>47</v>
      </c>
    </row>
    <row r="10" spans="1:7" x14ac:dyDescent="0.35">
      <c r="A10" t="s">
        <v>56</v>
      </c>
      <c r="B10" t="s">
        <v>33</v>
      </c>
      <c r="C10" t="s">
        <v>33</v>
      </c>
      <c r="D10" t="s">
        <v>4</v>
      </c>
      <c r="E10" s="4" t="str">
        <f>IFERROR(VLOOKUP(D10,listas!$A$2:$B$8,2,0),"")</f>
        <v>Folder</v>
      </c>
      <c r="F10" s="5" t="str">
        <f>_xlfn.CONCAT(E10," ",C10)</f>
        <v>Folder Emisiones Carbono</v>
      </c>
      <c r="G10" t="s">
        <v>32</v>
      </c>
    </row>
    <row r="11" spans="1:7" x14ac:dyDescent="0.35">
      <c r="A11" t="s">
        <v>56</v>
      </c>
      <c r="B11" t="s">
        <v>33</v>
      </c>
      <c r="C11" t="s">
        <v>34</v>
      </c>
      <c r="D11" t="s">
        <v>7</v>
      </c>
      <c r="E11" s="4" t="str">
        <f>IFERROR(VLOOKUP(D11,listas!$A$2:$B$8,2,0),"")</f>
        <v>LT</v>
      </c>
      <c r="F11" s="5" t="str">
        <f t="shared" ref="F11:F70" si="1">_xlfn.CONCAT(E11," ",C11)</f>
        <v xml:space="preserve">LT 01_LT_AWS_histórico__emisiones_01 </v>
      </c>
      <c r="G11" t="s">
        <v>49</v>
      </c>
    </row>
    <row r="12" spans="1:7" x14ac:dyDescent="0.35">
      <c r="A12" t="s">
        <v>56</v>
      </c>
      <c r="B12" t="s">
        <v>33</v>
      </c>
      <c r="C12" t="s">
        <v>35</v>
      </c>
      <c r="D12" t="s">
        <v>8</v>
      </c>
      <c r="E12" s="4" t="str">
        <f>IFERROR(VLOOKUP(D12,listas!$A$2:$B$8,2,0),"")</f>
        <v>DF</v>
      </c>
      <c r="F12" s="5" t="str">
        <f t="shared" si="1"/>
        <v xml:space="preserve">DF 02_DF_AWS_histórico__emisiones_01 </v>
      </c>
      <c r="G12" t="s">
        <v>49</v>
      </c>
    </row>
    <row r="13" spans="1:7" x14ac:dyDescent="0.35">
      <c r="A13" t="s">
        <v>56</v>
      </c>
      <c r="B13" t="s">
        <v>33</v>
      </c>
      <c r="C13" t="s">
        <v>36</v>
      </c>
      <c r="D13" t="s">
        <v>6</v>
      </c>
      <c r="E13" s="4" t="str">
        <f>IFERROR(VLOOKUP(D13,listas!$A$2:$B$8,2,0),"")</f>
        <v>AM</v>
      </c>
      <c r="F13" s="5" t="str">
        <f t="shared" si="1"/>
        <v xml:space="preserve">AM 03_AM_AWS_histórico__emisiones_01 </v>
      </c>
      <c r="G13" t="s">
        <v>49</v>
      </c>
    </row>
    <row r="14" spans="1:7" x14ac:dyDescent="0.35">
      <c r="A14" t="s">
        <v>56</v>
      </c>
      <c r="B14" t="s">
        <v>39</v>
      </c>
      <c r="C14" t="s">
        <v>39</v>
      </c>
      <c r="D14" t="s">
        <v>4</v>
      </c>
      <c r="E14" s="2" t="str">
        <f>IFERROR(VLOOKUP(D14,listas!$A$2:$B$8,2,0),"")</f>
        <v>Folder</v>
      </c>
      <c r="F14" s="3" t="str">
        <f t="shared" si="1"/>
        <v>Folder Matriz Riesgos</v>
      </c>
      <c r="G14" t="s">
        <v>32</v>
      </c>
    </row>
    <row r="15" spans="1:7" x14ac:dyDescent="0.35">
      <c r="A15" t="s">
        <v>56</v>
      </c>
      <c r="B15" t="s">
        <v>39</v>
      </c>
      <c r="C15" t="s">
        <v>51</v>
      </c>
      <c r="D15" t="s">
        <v>7</v>
      </c>
      <c r="E15" s="4" t="str">
        <f>IFERROR(VLOOKUP(D15,listas!$A$2:$B$8,2,0),"")</f>
        <v>LT</v>
      </c>
      <c r="F15" s="5" t="str">
        <f t="shared" si="1"/>
        <v>LT 01_LT_AWS_Matriz_Riesgos_01</v>
      </c>
      <c r="G15" t="s">
        <v>50</v>
      </c>
    </row>
    <row r="16" spans="1:7" x14ac:dyDescent="0.35">
      <c r="A16" t="s">
        <v>56</v>
      </c>
      <c r="B16" t="s">
        <v>39</v>
      </c>
      <c r="C16" t="s">
        <v>52</v>
      </c>
      <c r="D16" t="s">
        <v>8</v>
      </c>
      <c r="E16" s="4" t="str">
        <f>IFERROR(VLOOKUP(D16,listas!$A$2:$B$8,2,0),"")</f>
        <v>DF</v>
      </c>
      <c r="F16" s="5" t="str">
        <f t="shared" si="1"/>
        <v>DF 02_DF_AWS_Matriz_Riesgos_01</v>
      </c>
      <c r="G16" t="s">
        <v>50</v>
      </c>
    </row>
    <row r="17" spans="1:7" x14ac:dyDescent="0.35">
      <c r="A17" t="s">
        <v>56</v>
      </c>
      <c r="B17" t="s">
        <v>39</v>
      </c>
      <c r="C17" t="s">
        <v>53</v>
      </c>
      <c r="D17" t="s">
        <v>5</v>
      </c>
      <c r="E17" s="4" t="str">
        <f>IFERROR(VLOOKUP(D17,listas!$A$2:$B$8,2,0),"")</f>
        <v>GV</v>
      </c>
      <c r="F17" s="5" t="str">
        <f t="shared" si="1"/>
        <v>GV 03_GV_DP_Matriz_Riesgos_01</v>
      </c>
      <c r="G17" t="s">
        <v>50</v>
      </c>
    </row>
    <row r="18" spans="1:7" x14ac:dyDescent="0.35">
      <c r="A18" t="s">
        <v>56</v>
      </c>
      <c r="B18" t="s">
        <v>39</v>
      </c>
      <c r="C18" t="s">
        <v>54</v>
      </c>
      <c r="D18" t="s">
        <v>6</v>
      </c>
      <c r="E18" s="4" t="str">
        <f>IFERROR(VLOOKUP(D18,listas!$A$2:$B$8,2,0),"")</f>
        <v>AM</v>
      </c>
      <c r="F18" s="5" t="str">
        <f t="shared" si="1"/>
        <v>AM 04_MA_DP_Matriz_Riesgos_01</v>
      </c>
      <c r="G18" t="s">
        <v>50</v>
      </c>
    </row>
    <row r="19" spans="1:7" x14ac:dyDescent="0.35">
      <c r="E19" s="4" t="str">
        <f>IFERROR(VLOOKUP(D19,listas!$A$2:$B$8,2,0),"")</f>
        <v/>
      </c>
      <c r="F19" s="5" t="str">
        <f t="shared" si="1"/>
        <v xml:space="preserve"> </v>
      </c>
    </row>
    <row r="20" spans="1:7" x14ac:dyDescent="0.35">
      <c r="E20" s="4" t="str">
        <f>IFERROR(VLOOKUP(D20,listas!$A$2:$B$8,2,0),"")</f>
        <v/>
      </c>
      <c r="F20" s="5" t="str">
        <f t="shared" si="1"/>
        <v xml:space="preserve"> </v>
      </c>
    </row>
    <row r="21" spans="1:7" x14ac:dyDescent="0.35">
      <c r="E21" s="4" t="str">
        <f>IFERROR(VLOOKUP(D21,listas!$A$2:$B$8,2,0),"")</f>
        <v/>
      </c>
      <c r="F21" s="5" t="str">
        <f t="shared" si="1"/>
        <v xml:space="preserve"> </v>
      </c>
    </row>
    <row r="22" spans="1:7" x14ac:dyDescent="0.35">
      <c r="E22" s="4" t="str">
        <f>IFERROR(VLOOKUP(D22,listas!$A$2:$B$8,2,0),"")</f>
        <v/>
      </c>
      <c r="F22" s="5" t="str">
        <f t="shared" si="1"/>
        <v xml:space="preserve"> </v>
      </c>
    </row>
    <row r="23" spans="1:7" x14ac:dyDescent="0.35">
      <c r="E23" s="4" t="str">
        <f>IFERROR(VLOOKUP(D23,listas!$A$2:$B$8,2,0),"")</f>
        <v/>
      </c>
      <c r="F23" s="5" t="str">
        <f t="shared" si="1"/>
        <v xml:space="preserve"> </v>
      </c>
    </row>
    <row r="24" spans="1:7" x14ac:dyDescent="0.35">
      <c r="E24" s="4" t="str">
        <f>IFERROR(VLOOKUP(D24,listas!$A$2:$B$8,2,0),"")</f>
        <v/>
      </c>
      <c r="F24" s="5" t="str">
        <f t="shared" si="1"/>
        <v xml:space="preserve"> </v>
      </c>
    </row>
    <row r="25" spans="1:7" x14ac:dyDescent="0.35">
      <c r="E25" s="4" t="str">
        <f>IFERROR(VLOOKUP(D25,listas!$A$2:$B$8,2,0),"")</f>
        <v/>
      </c>
      <c r="F25" s="5" t="str">
        <f t="shared" si="1"/>
        <v xml:space="preserve"> </v>
      </c>
    </row>
    <row r="26" spans="1:7" x14ac:dyDescent="0.35">
      <c r="E26" s="4" t="str">
        <f>IFERROR(VLOOKUP(D26,listas!$A$2:$B$8,2,0),"")</f>
        <v/>
      </c>
      <c r="F26" s="5" t="str">
        <f t="shared" si="1"/>
        <v xml:space="preserve"> </v>
      </c>
    </row>
    <row r="27" spans="1:7" x14ac:dyDescent="0.35">
      <c r="E27" s="4" t="str">
        <f>IFERROR(VLOOKUP(D27,listas!$A$2:$B$8,2,0),"")</f>
        <v/>
      </c>
      <c r="F27" s="5" t="str">
        <f t="shared" si="1"/>
        <v xml:space="preserve"> </v>
      </c>
    </row>
    <row r="28" spans="1:7" x14ac:dyDescent="0.35">
      <c r="E28" s="4" t="str">
        <f>IFERROR(VLOOKUP(D28,listas!$A$2:$B$8,2,0),"")</f>
        <v/>
      </c>
      <c r="F28" s="5" t="str">
        <f t="shared" si="1"/>
        <v xml:space="preserve"> </v>
      </c>
    </row>
    <row r="29" spans="1:7" x14ac:dyDescent="0.35">
      <c r="E29" s="4" t="str">
        <f>IFERROR(VLOOKUP(D29,listas!$A$2:$B$8,2,0),"")</f>
        <v/>
      </c>
      <c r="F29" s="5" t="str">
        <f t="shared" si="1"/>
        <v xml:space="preserve"> </v>
      </c>
    </row>
    <row r="30" spans="1:7" x14ac:dyDescent="0.35">
      <c r="E30" s="4" t="str">
        <f>IFERROR(VLOOKUP(D30,listas!$A$2:$B$8,2,0),"")</f>
        <v/>
      </c>
      <c r="F30" s="5" t="str">
        <f t="shared" si="1"/>
        <v xml:space="preserve"> </v>
      </c>
    </row>
    <row r="31" spans="1:7" x14ac:dyDescent="0.35">
      <c r="E31" s="4" t="str">
        <f>IFERROR(VLOOKUP(D31,listas!$A$2:$B$8,2,0),"")</f>
        <v/>
      </c>
      <c r="F31" s="5" t="str">
        <f t="shared" si="1"/>
        <v xml:space="preserve"> </v>
      </c>
    </row>
    <row r="32" spans="1:7" x14ac:dyDescent="0.35">
      <c r="E32" s="4" t="str">
        <f>IFERROR(VLOOKUP(D32,listas!$A$2:$B$8,2,0),"")</f>
        <v/>
      </c>
      <c r="F32" s="5" t="str">
        <f t="shared" si="1"/>
        <v xml:space="preserve"> </v>
      </c>
    </row>
    <row r="33" spans="5:6" x14ac:dyDescent="0.35">
      <c r="E33" s="4" t="str">
        <f>IFERROR(VLOOKUP(D33,listas!$A$2:$B$8,2,0),"")</f>
        <v/>
      </c>
      <c r="F33" s="5" t="str">
        <f t="shared" si="1"/>
        <v xml:space="preserve"> </v>
      </c>
    </row>
    <row r="34" spans="5:6" x14ac:dyDescent="0.35">
      <c r="E34" s="4" t="str">
        <f>IFERROR(VLOOKUP(D34,listas!$A$2:$B$8,2,0),"")</f>
        <v/>
      </c>
      <c r="F34" s="5" t="str">
        <f t="shared" si="1"/>
        <v xml:space="preserve"> </v>
      </c>
    </row>
    <row r="35" spans="5:6" x14ac:dyDescent="0.35">
      <c r="E35" s="4" t="str">
        <f>IFERROR(VLOOKUP(D35,listas!$A$2:$B$8,2,0),"")</f>
        <v/>
      </c>
      <c r="F35" s="5" t="str">
        <f t="shared" si="1"/>
        <v xml:space="preserve"> </v>
      </c>
    </row>
    <row r="36" spans="5:6" x14ac:dyDescent="0.35">
      <c r="E36" s="4" t="str">
        <f>IFERROR(VLOOKUP(D36,listas!$A$2:$B$8,2,0),"")</f>
        <v/>
      </c>
      <c r="F36" s="5" t="str">
        <f t="shared" si="1"/>
        <v xml:space="preserve"> </v>
      </c>
    </row>
    <row r="37" spans="5:6" x14ac:dyDescent="0.35">
      <c r="E37" s="4" t="str">
        <f>IFERROR(VLOOKUP(D37,listas!$A$2:$B$8,2,0),"")</f>
        <v/>
      </c>
      <c r="F37" s="5" t="str">
        <f t="shared" si="1"/>
        <v xml:space="preserve"> </v>
      </c>
    </row>
    <row r="38" spans="5:6" x14ac:dyDescent="0.35">
      <c r="E38" s="4" t="str">
        <f>IFERROR(VLOOKUP(D38,listas!$A$2:$B$8,2,0),"")</f>
        <v/>
      </c>
      <c r="F38" s="5" t="str">
        <f t="shared" si="1"/>
        <v xml:space="preserve"> </v>
      </c>
    </row>
    <row r="39" spans="5:6" x14ac:dyDescent="0.35">
      <c r="E39" s="4" t="str">
        <f>IFERROR(VLOOKUP(D39,listas!$A$2:$B$8,2,0),"")</f>
        <v/>
      </c>
      <c r="F39" s="5" t="str">
        <f t="shared" si="1"/>
        <v xml:space="preserve"> </v>
      </c>
    </row>
    <row r="40" spans="5:6" x14ac:dyDescent="0.35">
      <c r="E40" s="4" t="str">
        <f>IFERROR(VLOOKUP(D40,listas!$A$2:$B$8,2,0),"")</f>
        <v/>
      </c>
      <c r="F40" s="5" t="str">
        <f t="shared" si="1"/>
        <v xml:space="preserve"> </v>
      </c>
    </row>
    <row r="41" spans="5:6" x14ac:dyDescent="0.35">
      <c r="E41" s="4" t="str">
        <f>IFERROR(VLOOKUP(D41,listas!$A$2:$B$8,2,0),"")</f>
        <v/>
      </c>
      <c r="F41" s="5" t="str">
        <f t="shared" si="1"/>
        <v xml:space="preserve"> </v>
      </c>
    </row>
    <row r="42" spans="5:6" x14ac:dyDescent="0.35">
      <c r="E42" s="4" t="str">
        <f>IFERROR(VLOOKUP(D42,listas!$A$2:$B$8,2,0),"")</f>
        <v/>
      </c>
      <c r="F42" s="5" t="str">
        <f t="shared" si="1"/>
        <v xml:space="preserve"> </v>
      </c>
    </row>
    <row r="43" spans="5:6" x14ac:dyDescent="0.35">
      <c r="E43" s="4" t="str">
        <f>IFERROR(VLOOKUP(D43,listas!$A$2:$B$8,2,0),"")</f>
        <v/>
      </c>
      <c r="F43" s="5" t="str">
        <f t="shared" si="1"/>
        <v xml:space="preserve"> </v>
      </c>
    </row>
    <row r="44" spans="5:6" x14ac:dyDescent="0.35">
      <c r="E44" s="4" t="str">
        <f>IFERROR(VLOOKUP(D44,listas!$A$2:$B$8,2,0),"")</f>
        <v/>
      </c>
      <c r="F44" s="5" t="str">
        <f t="shared" si="1"/>
        <v xml:space="preserve"> </v>
      </c>
    </row>
    <row r="45" spans="5:6" x14ac:dyDescent="0.35">
      <c r="E45" s="4" t="str">
        <f>IFERROR(VLOOKUP(D45,listas!$A$2:$B$8,2,0),"")</f>
        <v/>
      </c>
      <c r="F45" s="5" t="str">
        <f t="shared" si="1"/>
        <v xml:space="preserve"> </v>
      </c>
    </row>
    <row r="46" spans="5:6" x14ac:dyDescent="0.35">
      <c r="E46" s="4" t="str">
        <f>IFERROR(VLOOKUP(D46,listas!$A$2:$B$8,2,0),"")</f>
        <v/>
      </c>
      <c r="F46" s="5" t="str">
        <f t="shared" si="1"/>
        <v xml:space="preserve"> </v>
      </c>
    </row>
    <row r="47" spans="5:6" x14ac:dyDescent="0.35">
      <c r="E47" s="4" t="str">
        <f>IFERROR(VLOOKUP(D47,listas!$A$2:$B$8,2,0),"")</f>
        <v/>
      </c>
      <c r="F47" s="5" t="str">
        <f t="shared" si="1"/>
        <v xml:space="preserve"> </v>
      </c>
    </row>
    <row r="48" spans="5:6" x14ac:dyDescent="0.35">
      <c r="E48" s="4" t="str">
        <f>IFERROR(VLOOKUP(D48,listas!$A$2:$B$8,2,0),"")</f>
        <v/>
      </c>
      <c r="F48" s="5" t="str">
        <f t="shared" si="1"/>
        <v xml:space="preserve"> </v>
      </c>
    </row>
    <row r="49" spans="5:6" x14ac:dyDescent="0.35">
      <c r="E49" s="4" t="str">
        <f>IFERROR(VLOOKUP(D49,listas!$A$2:$B$8,2,0),"")</f>
        <v/>
      </c>
      <c r="F49" s="5" t="str">
        <f t="shared" si="1"/>
        <v xml:space="preserve"> </v>
      </c>
    </row>
    <row r="50" spans="5:6" x14ac:dyDescent="0.35">
      <c r="E50" s="4" t="str">
        <f>IFERROR(VLOOKUP(D50,listas!$A$2:$B$8,2,0),"")</f>
        <v/>
      </c>
      <c r="F50" s="5" t="str">
        <f t="shared" si="1"/>
        <v xml:space="preserve"> </v>
      </c>
    </row>
    <row r="51" spans="5:6" x14ac:dyDescent="0.35">
      <c r="E51" s="4" t="str">
        <f>IFERROR(VLOOKUP(D51,listas!$A$2:$B$8,2,0),"")</f>
        <v/>
      </c>
      <c r="F51" s="5" t="str">
        <f t="shared" si="1"/>
        <v xml:space="preserve"> </v>
      </c>
    </row>
    <row r="52" spans="5:6" x14ac:dyDescent="0.35">
      <c r="E52" s="4" t="str">
        <f>IFERROR(VLOOKUP(D52,listas!$A$2:$B$8,2,0),"")</f>
        <v/>
      </c>
      <c r="F52" s="5" t="str">
        <f t="shared" si="1"/>
        <v xml:space="preserve"> </v>
      </c>
    </row>
    <row r="53" spans="5:6" x14ac:dyDescent="0.35">
      <c r="E53" s="4" t="str">
        <f>IFERROR(VLOOKUP(D53,listas!$A$2:$B$8,2,0),"")</f>
        <v/>
      </c>
      <c r="F53" s="5" t="str">
        <f t="shared" si="1"/>
        <v xml:space="preserve"> </v>
      </c>
    </row>
    <row r="54" spans="5:6" x14ac:dyDescent="0.35">
      <c r="E54" s="4" t="str">
        <f>IFERROR(VLOOKUP(D54,listas!$A$2:$B$8,2,0),"")</f>
        <v/>
      </c>
      <c r="F54" s="5" t="str">
        <f t="shared" si="1"/>
        <v xml:space="preserve"> </v>
      </c>
    </row>
    <row r="55" spans="5:6" x14ac:dyDescent="0.35">
      <c r="E55" s="4" t="str">
        <f>IFERROR(VLOOKUP(D55,listas!$A$2:$B$8,2,0),"")</f>
        <v/>
      </c>
      <c r="F55" s="5" t="str">
        <f t="shared" si="1"/>
        <v xml:space="preserve"> </v>
      </c>
    </row>
    <row r="56" spans="5:6" x14ac:dyDescent="0.35">
      <c r="E56" s="4" t="str">
        <f>IFERROR(VLOOKUP(D56,listas!$A$2:$B$8,2,0),"")</f>
        <v/>
      </c>
      <c r="F56" s="5" t="str">
        <f t="shared" si="1"/>
        <v xml:space="preserve"> </v>
      </c>
    </row>
    <row r="57" spans="5:6" x14ac:dyDescent="0.35">
      <c r="E57" s="4" t="str">
        <f>IFERROR(VLOOKUP(D57,listas!$A$2:$B$8,2,0),"")</f>
        <v/>
      </c>
      <c r="F57" s="5" t="str">
        <f t="shared" si="1"/>
        <v xml:space="preserve"> </v>
      </c>
    </row>
    <row r="58" spans="5:6" x14ac:dyDescent="0.35">
      <c r="E58" s="4" t="str">
        <f>IFERROR(VLOOKUP(D58,listas!$A$2:$B$8,2,0),"")</f>
        <v/>
      </c>
      <c r="F58" s="5" t="str">
        <f t="shared" si="1"/>
        <v xml:space="preserve"> </v>
      </c>
    </row>
    <row r="59" spans="5:6" x14ac:dyDescent="0.35">
      <c r="E59" s="4" t="str">
        <f>IFERROR(VLOOKUP(D59,listas!$A$2:$B$8,2,0),"")</f>
        <v/>
      </c>
      <c r="F59" s="5" t="str">
        <f t="shared" si="1"/>
        <v xml:space="preserve"> </v>
      </c>
    </row>
    <row r="60" spans="5:6" x14ac:dyDescent="0.35">
      <c r="E60" s="4" t="str">
        <f>IFERROR(VLOOKUP(D60,listas!$A$2:$B$8,2,0),"")</f>
        <v/>
      </c>
      <c r="F60" s="5" t="str">
        <f t="shared" si="1"/>
        <v xml:space="preserve"> </v>
      </c>
    </row>
    <row r="61" spans="5:6" x14ac:dyDescent="0.35">
      <c r="E61" s="4" t="str">
        <f>IFERROR(VLOOKUP(D61,listas!$A$2:$B$8,2,0),"")</f>
        <v/>
      </c>
      <c r="F61" s="5" t="str">
        <f t="shared" si="1"/>
        <v xml:space="preserve"> </v>
      </c>
    </row>
    <row r="62" spans="5:6" x14ac:dyDescent="0.35">
      <c r="E62" s="4" t="str">
        <f>IFERROR(VLOOKUP(D62,listas!$A$2:$B$8,2,0),"")</f>
        <v/>
      </c>
      <c r="F62" s="5" t="str">
        <f t="shared" si="1"/>
        <v xml:space="preserve"> </v>
      </c>
    </row>
    <row r="63" spans="5:6" x14ac:dyDescent="0.35">
      <c r="E63" s="4" t="str">
        <f>IFERROR(VLOOKUP(D63,listas!$A$2:$B$8,2,0),"")</f>
        <v/>
      </c>
      <c r="F63" s="5" t="str">
        <f t="shared" si="1"/>
        <v xml:space="preserve"> </v>
      </c>
    </row>
    <row r="64" spans="5:6" x14ac:dyDescent="0.35">
      <c r="E64" s="4" t="str">
        <f>IFERROR(VLOOKUP(D64,listas!$A$2:$B$8,2,0),"")</f>
        <v/>
      </c>
      <c r="F64" s="5" t="str">
        <f t="shared" si="1"/>
        <v xml:space="preserve"> </v>
      </c>
    </row>
    <row r="65" spans="5:6" x14ac:dyDescent="0.35">
      <c r="E65" s="4" t="str">
        <f>IFERROR(VLOOKUP(D65,listas!$A$2:$B$8,2,0),"")</f>
        <v/>
      </c>
      <c r="F65" s="5" t="str">
        <f t="shared" si="1"/>
        <v xml:space="preserve"> </v>
      </c>
    </row>
    <row r="66" spans="5:6" x14ac:dyDescent="0.35">
      <c r="E66" s="4" t="str">
        <f>IFERROR(VLOOKUP(D66,listas!$A$2:$B$8,2,0),"")</f>
        <v/>
      </c>
      <c r="F66" s="5" t="str">
        <f t="shared" si="1"/>
        <v xml:space="preserve"> </v>
      </c>
    </row>
    <row r="67" spans="5:6" x14ac:dyDescent="0.35">
      <c r="E67" s="4" t="str">
        <f>IFERROR(VLOOKUP(D67,listas!$A$2:$B$8,2,0),"")</f>
        <v/>
      </c>
      <c r="F67" s="5" t="str">
        <f t="shared" si="1"/>
        <v xml:space="preserve"> </v>
      </c>
    </row>
    <row r="68" spans="5:6" x14ac:dyDescent="0.35">
      <c r="E68" s="4" t="str">
        <f>IFERROR(VLOOKUP(D68,listas!$A$2:$B$8,2,0),"")</f>
        <v/>
      </c>
      <c r="F68" s="5" t="str">
        <f t="shared" si="1"/>
        <v xml:space="preserve"> </v>
      </c>
    </row>
    <row r="69" spans="5:6" x14ac:dyDescent="0.35">
      <c r="E69" s="4" t="str">
        <f>IFERROR(VLOOKUP(D69,listas!$A$2:$B$8,2,0),"")</f>
        <v/>
      </c>
      <c r="F69" s="5" t="str">
        <f t="shared" si="1"/>
        <v xml:space="preserve"> </v>
      </c>
    </row>
    <row r="70" spans="5:6" x14ac:dyDescent="0.35">
      <c r="E70" s="4" t="str">
        <f>IFERROR(VLOOKUP(D70,listas!$A$2:$B$8,2,0),"")</f>
        <v/>
      </c>
      <c r="F70" s="5" t="str">
        <f t="shared" si="1"/>
        <v xml:space="preserve"> </v>
      </c>
    </row>
    <row r="71" spans="5:6" x14ac:dyDescent="0.35">
      <c r="E71" s="4" t="str">
        <f>IFERROR(VLOOKUP(D71,listas!$A$2:$B$8,2,0),"")</f>
        <v/>
      </c>
      <c r="F71" s="5" t="str">
        <f t="shared" ref="F71:F93" si="2">_xlfn.CONCAT(E71," ",C71)</f>
        <v xml:space="preserve"> </v>
      </c>
    </row>
    <row r="72" spans="5:6" x14ac:dyDescent="0.35">
      <c r="E72" s="4" t="str">
        <f>IFERROR(VLOOKUP(D72,listas!$A$2:$B$8,2,0),"")</f>
        <v/>
      </c>
      <c r="F72" s="5" t="str">
        <f t="shared" si="2"/>
        <v xml:space="preserve"> </v>
      </c>
    </row>
    <row r="73" spans="5:6" x14ac:dyDescent="0.35">
      <c r="E73" s="4" t="str">
        <f>IFERROR(VLOOKUP(D73,listas!$A$2:$B$8,2,0),"")</f>
        <v/>
      </c>
      <c r="F73" s="5" t="str">
        <f t="shared" si="2"/>
        <v xml:space="preserve"> </v>
      </c>
    </row>
    <row r="74" spans="5:6" x14ac:dyDescent="0.35">
      <c r="E74" s="4" t="str">
        <f>IFERROR(VLOOKUP(D74,listas!$A$2:$B$8,2,0),"")</f>
        <v/>
      </c>
      <c r="F74" s="5" t="str">
        <f t="shared" si="2"/>
        <v xml:space="preserve"> </v>
      </c>
    </row>
    <row r="75" spans="5:6" x14ac:dyDescent="0.35">
      <c r="E75" s="4" t="str">
        <f>IFERROR(VLOOKUP(D75,listas!$A$2:$B$8,2,0),"")</f>
        <v/>
      </c>
      <c r="F75" s="5" t="str">
        <f t="shared" si="2"/>
        <v xml:space="preserve"> </v>
      </c>
    </row>
    <row r="76" spans="5:6" x14ac:dyDescent="0.35">
      <c r="E76" s="4" t="str">
        <f>IFERROR(VLOOKUP(D76,listas!$A$2:$B$8,2,0),"")</f>
        <v/>
      </c>
      <c r="F76" s="5" t="str">
        <f t="shared" si="2"/>
        <v xml:space="preserve"> </v>
      </c>
    </row>
    <row r="77" spans="5:6" x14ac:dyDescent="0.35">
      <c r="E77" s="4" t="str">
        <f>IFERROR(VLOOKUP(D77,listas!$A$2:$B$8,2,0),"")</f>
        <v/>
      </c>
      <c r="F77" s="5" t="str">
        <f t="shared" si="2"/>
        <v xml:space="preserve"> </v>
      </c>
    </row>
    <row r="78" spans="5:6" x14ac:dyDescent="0.35">
      <c r="E78" s="4" t="str">
        <f>IFERROR(VLOOKUP(D78,listas!$A$2:$B$8,2,0),"")</f>
        <v/>
      </c>
      <c r="F78" s="5" t="str">
        <f t="shared" si="2"/>
        <v xml:space="preserve"> </v>
      </c>
    </row>
    <row r="79" spans="5:6" x14ac:dyDescent="0.35">
      <c r="E79" s="4" t="str">
        <f>IFERROR(VLOOKUP(D79,listas!$A$2:$B$8,2,0),"")</f>
        <v/>
      </c>
      <c r="F79" s="5" t="str">
        <f t="shared" si="2"/>
        <v xml:space="preserve"> </v>
      </c>
    </row>
    <row r="80" spans="5:6" x14ac:dyDescent="0.35">
      <c r="E80" s="4" t="str">
        <f>IFERROR(VLOOKUP(D80,listas!$A$2:$B$8,2,0),"")</f>
        <v/>
      </c>
      <c r="F80" s="5" t="str">
        <f t="shared" si="2"/>
        <v xml:space="preserve"> </v>
      </c>
    </row>
    <row r="81" spans="5:6" x14ac:dyDescent="0.35">
      <c r="E81" s="4" t="str">
        <f>IFERROR(VLOOKUP(D81,listas!$A$2:$B$8,2,0),"")</f>
        <v/>
      </c>
      <c r="F81" s="5" t="str">
        <f t="shared" si="2"/>
        <v xml:space="preserve"> </v>
      </c>
    </row>
    <row r="82" spans="5:6" x14ac:dyDescent="0.35">
      <c r="E82" s="4" t="str">
        <f>IFERROR(VLOOKUP(D82,listas!$A$2:$B$8,2,0),"")</f>
        <v/>
      </c>
      <c r="F82" s="5" t="str">
        <f t="shared" si="2"/>
        <v xml:space="preserve"> </v>
      </c>
    </row>
    <row r="83" spans="5:6" x14ac:dyDescent="0.35">
      <c r="E83" s="4" t="str">
        <f>IFERROR(VLOOKUP(D83,listas!$A$2:$B$8,2,0),"")</f>
        <v/>
      </c>
      <c r="F83" s="5" t="str">
        <f t="shared" si="2"/>
        <v xml:space="preserve"> </v>
      </c>
    </row>
    <row r="84" spans="5:6" x14ac:dyDescent="0.35">
      <c r="E84" s="4" t="str">
        <f>IFERROR(VLOOKUP(D84,listas!$A$2:$B$8,2,0),"")</f>
        <v/>
      </c>
      <c r="F84" s="5" t="str">
        <f t="shared" si="2"/>
        <v xml:space="preserve"> </v>
      </c>
    </row>
    <row r="85" spans="5:6" x14ac:dyDescent="0.35">
      <c r="E85" s="4" t="str">
        <f>IFERROR(VLOOKUP(D85,listas!$A$2:$B$8,2,0),"")</f>
        <v/>
      </c>
      <c r="F85" s="5" t="str">
        <f t="shared" si="2"/>
        <v xml:space="preserve"> </v>
      </c>
    </row>
    <row r="86" spans="5:6" x14ac:dyDescent="0.35">
      <c r="E86" s="4" t="str">
        <f>IFERROR(VLOOKUP(D86,listas!$A$2:$B$8,2,0),"")</f>
        <v/>
      </c>
      <c r="F86" s="5" t="str">
        <f t="shared" si="2"/>
        <v xml:space="preserve"> </v>
      </c>
    </row>
    <row r="87" spans="5:6" x14ac:dyDescent="0.35">
      <c r="E87" s="4" t="str">
        <f>IFERROR(VLOOKUP(D87,listas!$A$2:$B$8,2,0),"")</f>
        <v/>
      </c>
      <c r="F87" s="5" t="str">
        <f t="shared" si="2"/>
        <v xml:space="preserve"> </v>
      </c>
    </row>
    <row r="88" spans="5:6" x14ac:dyDescent="0.35">
      <c r="E88" s="4" t="str">
        <f>IFERROR(VLOOKUP(D88,listas!$A$2:$B$8,2,0),"")</f>
        <v/>
      </c>
      <c r="F88" s="5" t="str">
        <f t="shared" si="2"/>
        <v xml:space="preserve"> </v>
      </c>
    </row>
    <row r="89" spans="5:6" x14ac:dyDescent="0.35">
      <c r="E89" s="4" t="str">
        <f>IFERROR(VLOOKUP(D89,listas!$A$2:$B$8,2,0),"")</f>
        <v/>
      </c>
      <c r="F89" s="5" t="str">
        <f t="shared" si="2"/>
        <v xml:space="preserve"> </v>
      </c>
    </row>
    <row r="90" spans="5:6" x14ac:dyDescent="0.35">
      <c r="E90" s="4" t="str">
        <f>IFERROR(VLOOKUP(D90,listas!$A$2:$B$8,2,0),"")</f>
        <v/>
      </c>
      <c r="F90" s="5" t="str">
        <f t="shared" si="2"/>
        <v xml:space="preserve"> </v>
      </c>
    </row>
    <row r="91" spans="5:6" x14ac:dyDescent="0.35">
      <c r="E91" s="4" t="str">
        <f>IFERROR(VLOOKUP(D91,listas!$A$2:$B$8,2,0),"")</f>
        <v/>
      </c>
      <c r="F91" s="5" t="str">
        <f t="shared" si="2"/>
        <v xml:space="preserve"> </v>
      </c>
    </row>
    <row r="92" spans="5:6" x14ac:dyDescent="0.35">
      <c r="E92" s="4" t="str">
        <f>IFERROR(VLOOKUP(D92,listas!$A$2:$B$8,2,0),"")</f>
        <v/>
      </c>
      <c r="F92" s="5" t="str">
        <f t="shared" si="2"/>
        <v xml:space="preserve"> </v>
      </c>
    </row>
    <row r="93" spans="5:6" x14ac:dyDescent="0.35">
      <c r="E93" s="4" t="str">
        <f>IFERROR(VLOOKUP(D93,listas!$A$2:$B$8,2,0),"")</f>
        <v/>
      </c>
      <c r="F93" s="5" t="str">
        <f t="shared" si="2"/>
        <v xml:space="preserve"> </v>
      </c>
    </row>
    <row r="94" spans="5:6" x14ac:dyDescent="0.35">
      <c r="E94" s="4" t="str">
        <f>IFERROR(VLOOKUP(D94,listas!$A$2:$B$8,2,0),"")</f>
        <v/>
      </c>
    </row>
    <row r="95" spans="5:6" x14ac:dyDescent="0.35">
      <c r="E95" s="4" t="str">
        <f>IFERROR(VLOOKUP(D95,listas!$A$2:$B$8,2,0),"")</f>
        <v/>
      </c>
    </row>
    <row r="96" spans="5:6" x14ac:dyDescent="0.35">
      <c r="E96" s="4" t="str">
        <f>IFERROR(VLOOKUP(D96,listas!$A$2:$B$8,2,0),"")</f>
        <v/>
      </c>
    </row>
    <row r="97" spans="5:5" x14ac:dyDescent="0.35">
      <c r="E97" s="4" t="str">
        <f>IFERROR(VLOOKUP(D97,listas!$A$2:$B$8,2,0),"")</f>
        <v/>
      </c>
    </row>
    <row r="98" spans="5:5" x14ac:dyDescent="0.35">
      <c r="E98" s="4" t="str">
        <f>IFERROR(VLOOKUP(D98,listas!$A$2:$B$8,2,0),"")</f>
        <v/>
      </c>
    </row>
  </sheetData>
  <dataValidations count="1">
    <dataValidation type="list" allowBlank="1" showInputMessage="1" showErrorMessage="1" sqref="D2:D18" xr:uid="{4E78058F-6DE9-4785-B4B6-576D9F0A6DEF}">
      <formula1>TIPO_OBJETO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2AA2-5432-4E9C-93A9-C36766097F89}">
  <dimension ref="A1:C6"/>
  <sheetViews>
    <sheetView workbookViewId="0">
      <selection activeCell="B6" sqref="B6"/>
    </sheetView>
  </sheetViews>
  <sheetFormatPr baseColWidth="10" defaultRowHeight="14.5" x14ac:dyDescent="0.35"/>
  <cols>
    <col min="2" max="2" width="41.453125" customWidth="1"/>
  </cols>
  <sheetData>
    <row r="1" spans="1:3" x14ac:dyDescent="0.35">
      <c r="B1" t="s">
        <v>9</v>
      </c>
    </row>
    <row r="2" spans="1:3" x14ac:dyDescent="0.35">
      <c r="A2" t="s">
        <v>21</v>
      </c>
      <c r="B2" t="s">
        <v>16</v>
      </c>
      <c r="C2" t="s">
        <v>26</v>
      </c>
    </row>
    <row r="3" spans="1:3" x14ac:dyDescent="0.35">
      <c r="A3" t="s">
        <v>22</v>
      </c>
      <c r="B3" t="s">
        <v>17</v>
      </c>
      <c r="C3" t="s">
        <v>26</v>
      </c>
    </row>
    <row r="4" spans="1:3" x14ac:dyDescent="0.35">
      <c r="A4" t="s">
        <v>23</v>
      </c>
      <c r="B4" t="s">
        <v>18</v>
      </c>
      <c r="C4" t="s">
        <v>26</v>
      </c>
    </row>
    <row r="5" spans="1:3" x14ac:dyDescent="0.35">
      <c r="A5" t="s">
        <v>24</v>
      </c>
      <c r="B5" t="s">
        <v>19</v>
      </c>
      <c r="C5" t="s">
        <v>26</v>
      </c>
    </row>
    <row r="6" spans="1:3" x14ac:dyDescent="0.35">
      <c r="A6" t="s">
        <v>25</v>
      </c>
      <c r="B6" t="s">
        <v>20</v>
      </c>
      <c r="C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18EA-3F07-4D83-8AAC-62F6B6937B60}">
  <dimension ref="A1:B8"/>
  <sheetViews>
    <sheetView workbookViewId="0">
      <selection activeCell="B9" sqref="B9"/>
    </sheetView>
  </sheetViews>
  <sheetFormatPr baseColWidth="10" defaultRowHeight="14.5" x14ac:dyDescent="0.35"/>
  <cols>
    <col min="1" max="1" width="36.1796875" customWidth="1"/>
    <col min="2" max="2" width="23.90625" customWidth="1"/>
  </cols>
  <sheetData>
    <row r="1" spans="1:2" x14ac:dyDescent="0.35">
      <c r="A1" s="1" t="s">
        <v>2</v>
      </c>
      <c r="B1" s="1" t="s">
        <v>27</v>
      </c>
    </row>
    <row r="2" spans="1:2" x14ac:dyDescent="0.35">
      <c r="A2" t="s">
        <v>7</v>
      </c>
      <c r="B2" t="s">
        <v>10</v>
      </c>
    </row>
    <row r="3" spans="1:2" x14ac:dyDescent="0.35">
      <c r="A3" t="s">
        <v>8</v>
      </c>
      <c r="B3" t="s">
        <v>11</v>
      </c>
    </row>
    <row r="4" spans="1:2" x14ac:dyDescent="0.35">
      <c r="A4" t="s">
        <v>4</v>
      </c>
      <c r="B4" t="s">
        <v>13</v>
      </c>
    </row>
    <row r="5" spans="1:2" x14ac:dyDescent="0.35">
      <c r="A5" t="s">
        <v>5</v>
      </c>
      <c r="B5" t="s">
        <v>12</v>
      </c>
    </row>
    <row r="6" spans="1:2" x14ac:dyDescent="0.35">
      <c r="A6" t="s">
        <v>6</v>
      </c>
      <c r="B6" t="s">
        <v>14</v>
      </c>
    </row>
    <row r="7" spans="1:2" x14ac:dyDescent="0.35">
      <c r="A7" t="s">
        <v>28</v>
      </c>
      <c r="B7" t="s">
        <v>29</v>
      </c>
    </row>
    <row r="8" spans="1:2" x14ac:dyDescent="0.35">
      <c r="A8" t="s">
        <v>30</v>
      </c>
      <c r="B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Objetos</vt:lpstr>
      <vt:lpstr>Orden Paquetes</vt:lpstr>
      <vt:lpstr>listas</vt:lpstr>
      <vt:lpstr>TIPO_OBJETO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2026-02-24T16:10:00Z</dcterms:modified>
</cp:coreProperties>
</file>