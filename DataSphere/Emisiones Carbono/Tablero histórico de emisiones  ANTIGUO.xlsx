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gonzalez\Documents\2025\DataSphere\Emisiones Carbono\"/>
    </mc:Choice>
  </mc:AlternateContent>
  <xr:revisionPtr revIDLastSave="0" documentId="8_{1BE2C232-779F-4DC1-927C-858A4D4F0DA7}" xr6:coauthVersionLast="47" xr6:coauthVersionMax="47" xr10:uidLastSave="{00000000-0000-0000-0000-000000000000}"/>
  <bookViews>
    <workbookView xWindow="30795" yWindow="1365" windowWidth="25065" windowHeight="14010" xr2:uid="{00000000-000D-0000-FFFF-FFFF00000000}"/>
  </bookViews>
  <sheets>
    <sheet name="Tablero" sheetId="21" r:id="rId1"/>
    <sheet name="Hoja5" sheetId="26" r:id="rId2"/>
    <sheet name="3.3 Transporte" sheetId="11" state="hidden" r:id="rId3"/>
    <sheet name="3.2 T. Cercanias" sheetId="19" state="hidden" r:id="rId4"/>
  </sheets>
  <definedNames>
    <definedName name="_xlnm._FilterDatabase" localSheetId="3" hidden="1">'3.2 T. Cercanias'!$A$8:$L$8</definedName>
    <definedName name="_xlnm._FilterDatabase" localSheetId="0" hidden="1">Tablero!$A$1:$L$629</definedName>
  </definedNames>
  <calcPr calcId="191028" calcMode="autoNoTable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01" i="21" l="1"/>
  <c r="L500" i="21"/>
  <c r="L499" i="21"/>
  <c r="L498" i="21"/>
  <c r="L497" i="21"/>
  <c r="L496" i="21"/>
  <c r="L495" i="21"/>
  <c r="L494" i="21"/>
  <c r="L493" i="21"/>
  <c r="L492" i="21"/>
  <c r="L491" i="21"/>
  <c r="L490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6" i="21"/>
  <c r="L487" i="21"/>
  <c r="L488" i="21"/>
  <c r="L489" i="21"/>
  <c r="L417" i="21"/>
  <c r="L416" i="21"/>
  <c r="L415" i="21"/>
  <c r="L414" i="21"/>
  <c r="L413" i="21"/>
  <c r="L412" i="21"/>
  <c r="L411" i="21"/>
  <c r="L410" i="21"/>
  <c r="L409" i="21"/>
  <c r="L408" i="21"/>
  <c r="L407" i="21"/>
  <c r="L406" i="21"/>
  <c r="L395" i="21"/>
  <c r="L396" i="21"/>
  <c r="L397" i="21"/>
  <c r="L398" i="21"/>
  <c r="L399" i="21"/>
  <c r="L400" i="21"/>
  <c r="L401" i="21"/>
  <c r="L402" i="21"/>
  <c r="L403" i="21"/>
  <c r="L404" i="21"/>
  <c r="L405" i="21"/>
  <c r="L394" i="21"/>
  <c r="L368" i="21" l="1"/>
  <c r="L367" i="21"/>
  <c r="L316" i="21" l="1"/>
  <c r="L315" i="21"/>
  <c r="J316" i="21"/>
  <c r="J315" i="21"/>
  <c r="I316" i="21"/>
  <c r="I315" i="21"/>
  <c r="G32" i="19" l="1"/>
  <c r="E32" i="19"/>
  <c r="D32" i="19"/>
  <c r="C32" i="19"/>
  <c r="B32" i="19"/>
  <c r="F27" i="19"/>
  <c r="E27" i="19"/>
  <c r="D27" i="19"/>
  <c r="C27" i="19"/>
  <c r="H26" i="19"/>
  <c r="F26" i="19"/>
  <c r="H25" i="19"/>
  <c r="F25" i="19"/>
  <c r="F24" i="19"/>
  <c r="H23" i="19"/>
  <c r="F23" i="19"/>
  <c r="H22" i="19"/>
  <c r="F22" i="19"/>
  <c r="H21" i="19"/>
  <c r="F21" i="19"/>
  <c r="H20" i="19"/>
  <c r="F20" i="19"/>
  <c r="H19" i="19"/>
  <c r="F19" i="19"/>
  <c r="I15" i="19" a="1"/>
  <c r="I15" i="19"/>
  <c r="I14" i="19" a="1"/>
  <c r="I14" i="19"/>
  <c r="I13" i="19" a="1"/>
  <c r="I13" i="19"/>
  <c r="I12" i="19" a="1"/>
  <c r="I12" i="19"/>
  <c r="I11" i="19" a="1"/>
  <c r="I11" i="19"/>
  <c r="I10" i="19" a="1"/>
  <c r="I10" i="19"/>
  <c r="I9" i="19" a="1"/>
  <c r="I9" i="19"/>
  <c r="H26" i="11"/>
  <c r="E26" i="11"/>
  <c r="D26" i="11"/>
  <c r="C26" i="11"/>
  <c r="B26" i="11"/>
  <c r="O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<sst xmlns="http://schemas.openxmlformats.org/spreadsheetml/2006/main" count="3325" uniqueCount="321">
  <si>
    <t>Emisiones</t>
  </si>
  <si>
    <r>
      <t xml:space="preserve">Total Emisiones  </t>
    </r>
    <r>
      <rPr>
        <b/>
        <sz val="12"/>
        <color theme="1"/>
        <rFont val="Arial"/>
        <family val="2"/>
      </rPr>
      <t>CO</t>
    </r>
    <r>
      <rPr>
        <b/>
        <sz val="8"/>
        <color theme="1"/>
        <rFont val="Arial"/>
        <family val="2"/>
      </rPr>
      <t>2eq</t>
    </r>
    <r>
      <rPr>
        <sz val="12"/>
        <color theme="1"/>
        <rFont val="Arial"/>
        <family val="2"/>
      </rPr>
      <t xml:space="preserve"> Ton</t>
    </r>
  </si>
  <si>
    <t>Ton: Hidrofluoro-carbonos  (HfCs)</t>
  </si>
  <si>
    <t xml:space="preserve">Emisiones directas provenientes de la combustión móvil </t>
  </si>
  <si>
    <t>-</t>
  </si>
  <si>
    <t xml:space="preserve">Información soporte: </t>
  </si>
  <si>
    <t>La información soporte se encuentra al hacer clic en este vínculo</t>
  </si>
  <si>
    <t>Emisión</t>
  </si>
  <si>
    <t>Tipo de emisión</t>
  </si>
  <si>
    <t>Información</t>
  </si>
  <si>
    <t>Ubicación</t>
  </si>
  <si>
    <t>Consumo 1</t>
  </si>
  <si>
    <t>Unidades 1</t>
  </si>
  <si>
    <t>Consumo 2</t>
  </si>
  <si>
    <t>Unidades 2</t>
  </si>
  <si>
    <r>
      <t>Emisión
(ton 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</si>
  <si>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
 (ton CH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>)</t>
    </r>
  </si>
  <si>
    <r>
      <t>Emisión
(ton N</t>
    </r>
    <r>
      <rPr>
        <b/>
        <sz val="8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O)</t>
    </r>
  </si>
  <si>
    <r>
      <t>Emisión 
(ton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eq)</t>
    </r>
  </si>
  <si>
    <t>Combustión fija</t>
  </si>
  <si>
    <t>Laboratorios</t>
  </si>
  <si>
    <t>Galón</t>
  </si>
  <si>
    <t>Campus El Nogal</t>
  </si>
  <si>
    <t>Gas Natural</t>
  </si>
  <si>
    <t>Legacy</t>
  </si>
  <si>
    <t>m3</t>
  </si>
  <si>
    <r>
      <t>Emisión (ton 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</si>
  <si>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 (ton)</t>
    </r>
  </si>
  <si>
    <t xml:space="preserve">Incertidumbre datos </t>
  </si>
  <si>
    <t xml:space="preserve">Incertidumbre factor emisión </t>
  </si>
  <si>
    <t>Total</t>
  </si>
  <si>
    <t>Consolidado</t>
  </si>
  <si>
    <t>Ton:Dióxido de carbono (CO2)</t>
  </si>
  <si>
    <t>Ton: Metano (CH4)</t>
  </si>
  <si>
    <t>Ton: Óxido nitroso (N2O)</t>
  </si>
  <si>
    <t>Factores de emisión</t>
  </si>
  <si>
    <t xml:space="preserve">Factores de emisión </t>
  </si>
  <si>
    <t>Nombre</t>
  </si>
  <si>
    <t>Factor</t>
  </si>
  <si>
    <t>Unidades</t>
  </si>
  <si>
    <t>Incertidumbre</t>
  </si>
  <si>
    <t>Referencia</t>
  </si>
  <si>
    <t>UPME, 2021</t>
  </si>
  <si>
    <t>Combustión móvil</t>
  </si>
  <si>
    <t>Incertidumbre Cuantitativa</t>
  </si>
  <si>
    <t>Emisión fugitiva</t>
  </si>
  <si>
    <t>Av. Chile</t>
  </si>
  <si>
    <t>Universidad Ean</t>
  </si>
  <si>
    <r>
      <t>CO</t>
    </r>
    <r>
      <rPr>
        <sz val="8"/>
        <color theme="1"/>
        <rFont val="Arial"/>
        <family val="2"/>
      </rPr>
      <t>2</t>
    </r>
  </si>
  <si>
    <t>Electricidad importada</t>
  </si>
  <si>
    <t>kWh</t>
  </si>
  <si>
    <t>Fundadores</t>
  </si>
  <si>
    <t>UPME, 2023</t>
  </si>
  <si>
    <t>Emisión Passenger Car</t>
  </si>
  <si>
    <t>Aguas arriba</t>
  </si>
  <si>
    <t>Emisión Light-duty truck</t>
  </si>
  <si>
    <t>Aguas abajo</t>
  </si>
  <si>
    <t>C3: Emisiones del tráfico de cercanias (desplazamiento diario de los colaboradores)</t>
  </si>
  <si>
    <t xml:space="preserve">Factor Emisión:  Gasolina Motor  </t>
  </si>
  <si>
    <t>Factor Emisión:  Etanol Anhidro</t>
  </si>
  <si>
    <r>
      <rPr>
        <b/>
        <sz val="11"/>
        <color theme="1"/>
        <rFont val="Arial"/>
        <family val="2"/>
      </rPr>
      <t xml:space="preserve"> GWP
</t>
    </r>
    <r>
      <rPr>
        <b/>
        <sz val="8"/>
        <color theme="1"/>
        <rFont val="Arial"/>
        <family val="2"/>
      </rPr>
      <t xml:space="preserve">  (IPCC, 2021)</t>
    </r>
  </si>
  <si>
    <r>
      <t>Factor de emisión (kgCO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</si>
  <si>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Factor de emisión (gCH</t>
    </r>
    <r>
      <rPr>
        <vertAlign val="subscript"/>
        <sz val="11"/>
        <color rgb="FF000000"/>
        <rFont val="Arial"/>
        <family val="2"/>
      </rPr>
      <t>4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</si>
  <si>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CH</t>
    </r>
    <r>
      <rPr>
        <sz val="8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fossil</t>
    </r>
  </si>
  <si>
    <r>
      <t>Factor de emisión (gNO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</si>
  <si>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CH</t>
    </r>
    <r>
      <rPr>
        <sz val="8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non-fossil</t>
    </r>
  </si>
  <si>
    <r>
      <t>NO</t>
    </r>
    <r>
      <rPr>
        <sz val="8"/>
        <color theme="1"/>
        <rFont val="Arial"/>
        <family val="2"/>
      </rPr>
      <t>2</t>
    </r>
  </si>
  <si>
    <t>Emisiones gasolina fuente móvil (gasolina motor)</t>
  </si>
  <si>
    <t>Emisiones biogénicas fuente móvil (etanol anhidro)</t>
  </si>
  <si>
    <t>Tipo de Transporte</t>
  </si>
  <si>
    <t>Numero de Desplazamientos semanales</t>
  </si>
  <si>
    <t xml:space="preserve">Km recorrido </t>
  </si>
  <si>
    <t>Tipo de combustible</t>
  </si>
  <si>
    <r>
      <t>Emisión (kgCO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)
</t>
    </r>
  </si>
  <si>
    <r>
      <t>Emisión
 (gCH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 xml:space="preserve">)
</t>
    </r>
  </si>
  <si>
    <r>
      <t>Emisión
(gNO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</si>
  <si>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 (kg)</t>
    </r>
  </si>
  <si>
    <t>Vehiculo Particular</t>
  </si>
  <si>
    <t xml:space="preserve">SITP  </t>
  </si>
  <si>
    <t>Trasmilenio</t>
  </si>
  <si>
    <t>Moto</t>
  </si>
  <si>
    <t>Bicicleta</t>
  </si>
  <si>
    <t>Patineta</t>
  </si>
  <si>
    <t>Soporte Información:</t>
  </si>
  <si>
    <r>
      <t>(tonCO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</si>
  <si>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>(tonCH</t>
    </r>
    <r>
      <rPr>
        <b/>
        <i/>
        <sz val="8"/>
        <color theme="1"/>
        <rFont val="Arial"/>
        <family val="2"/>
      </rPr>
      <t>4</t>
    </r>
    <r>
      <rPr>
        <b/>
        <i/>
        <sz val="10"/>
        <color theme="1"/>
        <rFont val="Arial"/>
        <family val="2"/>
      </rPr>
      <t>)</t>
    </r>
  </si>
  <si>
    <r>
      <t>(tonNO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</si>
  <si>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t>CO2eq (ton)</t>
  </si>
  <si>
    <r>
      <t>(tonkgCO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</si>
  <si>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>(tonCH</t>
    </r>
    <r>
      <rPr>
        <b/>
        <i/>
        <sz val="8"/>
        <color rgb="FF000000"/>
        <rFont val="Arial"/>
        <family val="2"/>
      </rPr>
      <t>4</t>
    </r>
    <r>
      <rPr>
        <b/>
        <i/>
        <sz val="10"/>
        <color rgb="FF000000"/>
        <rFont val="Arial"/>
        <family val="2"/>
      </rPr>
      <t>)</t>
    </r>
  </si>
  <si>
    <t>Ton: Perfluoro-carbonos  (HfCs)</t>
  </si>
  <si>
    <t>https://www.uco.es/servicios/sepa/images/documentos/descargas/huellaC2013.pdf</t>
  </si>
  <si>
    <t>C3: Emisiones provenientes del tráfico de cercanias</t>
  </si>
  <si>
    <t>Emisiones asociadas al desplazamiento diario de colaboradores y estudiantes de la Universidad, para el suministro de información, se realizó una encuesta de movilidad y modalidad durante el 2023 que se toma como muestra para el calculo de huella de carbono (MUESTRA)</t>
  </si>
  <si>
    <t>Transmilenio</t>
  </si>
  <si>
    <t>Tráfico de cercanias</t>
  </si>
  <si>
    <t>(Km/año) Desplazamiento mensual por vehículo</t>
  </si>
  <si>
    <t>(Km/anual) Kilometraje total recorrido por desplazamiento mensual</t>
  </si>
  <si>
    <t>Automóvil a gasolina</t>
  </si>
  <si>
    <t>Sitp</t>
  </si>
  <si>
    <t>Motocicleta a diésel</t>
  </si>
  <si>
    <t>Patineta eléctrica</t>
  </si>
  <si>
    <t>Carro compartido</t>
  </si>
  <si>
    <t>A pie</t>
  </si>
  <si>
    <t>Emisiones tráfico de cercanías</t>
  </si>
  <si>
    <t>kg CO2/km</t>
  </si>
  <si>
    <t>UPME, 2020</t>
  </si>
  <si>
    <t>Motocicleta a gasolina</t>
  </si>
  <si>
    <t>Camioneta a gasolina</t>
  </si>
  <si>
    <t>UPME, 2022</t>
  </si>
  <si>
    <t>Automóvil a diésel</t>
  </si>
  <si>
    <t>Camioneta a diésel</t>
  </si>
  <si>
    <t>UPME, 2025</t>
  </si>
  <si>
    <t>Estimación basada en promedio de ocupación y factor de emisión de automóvil gasolina</t>
  </si>
  <si>
    <t>Transmilenio, 2020</t>
  </si>
  <si>
    <t>Transmilenio S.A. - Informe de Sostenibilidad 2020: https://www.transmilenio.gov.co/publicaciones/146071/informes/</t>
  </si>
  <si>
    <t>SITP</t>
  </si>
  <si>
    <t>Ministerio de Ambiente y Desarrollo Sostenible, 2023</t>
  </si>
  <si>
    <t>Automóvil diesel</t>
  </si>
  <si>
    <t>Camioneta gasolina</t>
  </si>
  <si>
    <t>Camioneta diesel</t>
  </si>
  <si>
    <t>Moto gasolina</t>
  </si>
  <si>
    <t>Taxi (gasolina)</t>
  </si>
  <si>
    <t>Estimación basada en promedio de consumo de combustible y factor de emisión de automóvil gasolina</t>
  </si>
  <si>
    <t>Ministerio de Ambiente y Desarrollo Sostenible, Colombia. (2023). Factores de emisión de gases de efecto invernadero para vehículos automotores. https://www.catorce6.com/47132815595324.html</t>
  </si>
  <si>
    <t>Agencia Nacional del Medio Ambiente (ANLA), Colombia. (2021). Guía para la estimación de emisiones de gases de efecto invernadero por fuentes móviles. https://repositorio.uniandes.edu.co/bitstreams/5cd8bc18-254d-431d-b8cb-901b635a07ba/download</t>
  </si>
  <si>
    <t>Vuelo nacional</t>
  </si>
  <si>
    <t>Viajes de negocio</t>
  </si>
  <si>
    <t>Vuelo internacional</t>
  </si>
  <si>
    <t>Año</t>
  </si>
  <si>
    <t>Emisión 
(ton HFC)</t>
  </si>
  <si>
    <t>Bienes comprados</t>
  </si>
  <si>
    <t>Litros</t>
  </si>
  <si>
    <t xml:space="preserve">Disposición de residuos </t>
  </si>
  <si>
    <t>Residuos dispuestos en vertedero controlado</t>
  </si>
  <si>
    <t>kg</t>
  </si>
  <si>
    <t>Residuos aprovechables tratados</t>
  </si>
  <si>
    <t>Residuos celda de seguridad</t>
  </si>
  <si>
    <t>Residuos termodestruidos</t>
  </si>
  <si>
    <t>Residuos biosanitarios y cortopunzantes</t>
  </si>
  <si>
    <t>Residuos de vidrio en disposición directa</t>
  </si>
  <si>
    <t>USD</t>
  </si>
  <si>
    <t>Etiquetas de fila</t>
  </si>
  <si>
    <t>Total general</t>
  </si>
  <si>
    <t>Categoría</t>
  </si>
  <si>
    <t>Categoría 1</t>
  </si>
  <si>
    <t>Categoría 2</t>
  </si>
  <si>
    <t>Categoría 3</t>
  </si>
  <si>
    <t>Categoría 4</t>
  </si>
  <si>
    <t>Carro Particular</t>
  </si>
  <si>
    <t>Taxi</t>
  </si>
  <si>
    <t>Aire acondicionado: ARNU07 GTRD4</t>
  </si>
  <si>
    <t>Aire acondicionado: ARNU09 GM1A4</t>
  </si>
  <si>
    <t>Aire acondicionado: ARNU09 GTRD4</t>
  </si>
  <si>
    <t>Aire acondicionado: ARNU12 GBHA4</t>
  </si>
  <si>
    <t>Aire acondicionado: ARNU18 GBHA4</t>
  </si>
  <si>
    <t>Aire acondicionado: ARNU24 GBHA4</t>
  </si>
  <si>
    <t>Aire acondicionado: ARNU28 GM2 A4</t>
  </si>
  <si>
    <t>Aire acondicionado: ARNU36 GM2 A4</t>
  </si>
  <si>
    <t>Aire acondicionado: ARNU48 GM3 B4</t>
  </si>
  <si>
    <t>Aire acondicionado: ARNU76 GB8 A4</t>
  </si>
  <si>
    <t>Aire acondicionado: ARNU96 GB8 A4</t>
  </si>
  <si>
    <t>Aire acondicionado: ARUM096 BTE5</t>
  </si>
  <si>
    <t>Aire acondicionado: ARUM121BTE5</t>
  </si>
  <si>
    <t>Aire acondicionado: ARUM168 BTE5</t>
  </si>
  <si>
    <t>Aire acondicionado: ARUM216 BTE5</t>
  </si>
  <si>
    <t>Aire acondicionado: ARUM192 BTE5</t>
  </si>
  <si>
    <t>Aire acondicionado: ARUM241BTE5</t>
  </si>
  <si>
    <t>Camioneta; Enero</t>
  </si>
  <si>
    <t>Camioneta; Febrero</t>
  </si>
  <si>
    <t>Camioneta; Marzo</t>
  </si>
  <si>
    <t>Camioneta; Abril</t>
  </si>
  <si>
    <t xml:space="preserve">Camioneta: Mayo </t>
  </si>
  <si>
    <t>Camioneta; Junio</t>
  </si>
  <si>
    <t>Camioneta; Julio</t>
  </si>
  <si>
    <t>Camioneta; Agosto</t>
  </si>
  <si>
    <t>Camioneta; Septiembre</t>
  </si>
  <si>
    <t>Camioneta; Octubre</t>
  </si>
  <si>
    <t>Camioneta; Noviembre</t>
  </si>
  <si>
    <t>Camioneta; Diciembre</t>
  </si>
  <si>
    <t>Equipos de refigreación: ULTRA-LAB</t>
  </si>
  <si>
    <t>Equipos de refigreación: 106-1207-WVQ</t>
  </si>
  <si>
    <t>Equipos de refigreación: CE 400</t>
  </si>
  <si>
    <t>Equipos de refigreación: CCN300FYJX</t>
  </si>
  <si>
    <t>Equipos de refigreación: ALASKAV208S0</t>
  </si>
  <si>
    <t>Equipo Extinción de incendios: CO2 (15 lbs)</t>
  </si>
  <si>
    <t>Equipo Extinción de incendios:  CO2 (9,9 lbs)</t>
  </si>
  <si>
    <t>Equipo Extinción de incendios:  Solkaflam (5,5 lbs)</t>
  </si>
  <si>
    <t>Equipo Extinción de incendios:  Solkaflam (8,2 lbs)</t>
  </si>
  <si>
    <t>Equipo Extinción de incendios:  Solkaflam (15,4 lbs)</t>
  </si>
  <si>
    <t>Gases laboratorios: Óxido nitroso</t>
  </si>
  <si>
    <t xml:space="preserve">Producto: Juego de llantas </t>
  </si>
  <si>
    <t>Producto: Impresiontes</t>
  </si>
  <si>
    <t>Producto: Fotocopias</t>
  </si>
  <si>
    <t>Producto: Mobiliario (Poltronas, mesas)</t>
  </si>
  <si>
    <t>Producto: Pintura electrostática</t>
  </si>
  <si>
    <t>Producto: Insumos de ferretería</t>
  </si>
  <si>
    <t>Producto: Computadores Lenovo</t>
  </si>
  <si>
    <t>Planta eléctrica; Laboratorios</t>
  </si>
  <si>
    <t>Planta eléctrica; Campus El Nogal</t>
  </si>
  <si>
    <t>Millas</t>
  </si>
  <si>
    <t>Unidad</t>
  </si>
  <si>
    <t>g</t>
  </si>
  <si>
    <t>Km</t>
  </si>
  <si>
    <t>Cuenta de Emisión 
(ton CO2eq)</t>
  </si>
  <si>
    <t>Enero; 1077130</t>
  </si>
  <si>
    <t>Febrero; 1077130</t>
  </si>
  <si>
    <t>Marzo; 1077130</t>
  </si>
  <si>
    <t>Abril; 1077130</t>
  </si>
  <si>
    <t>Mayo; 1077130</t>
  </si>
  <si>
    <t>Junio; 1077130</t>
  </si>
  <si>
    <t>Julio; 1077130</t>
  </si>
  <si>
    <t>Agosto; 1077130</t>
  </si>
  <si>
    <t>Septiembre; 1077130</t>
  </si>
  <si>
    <t>Octubre; 1077130</t>
  </si>
  <si>
    <t>Noviembre; 1077130</t>
  </si>
  <si>
    <t>Diciembre; 1077130</t>
  </si>
  <si>
    <t>Enero; 7518643-3</t>
  </si>
  <si>
    <t>Febrero; 7518643-3</t>
  </si>
  <si>
    <t>Marzo; 7518643-3</t>
  </si>
  <si>
    <t>Abril; 7518643-3</t>
  </si>
  <si>
    <t>Mayo; 7518643-3</t>
  </si>
  <si>
    <t>Junio; 7518643-3</t>
  </si>
  <si>
    <t>Julio; 7518643-3</t>
  </si>
  <si>
    <t>Agosto; 7518643-3</t>
  </si>
  <si>
    <t>Septiembre; 7518643-3</t>
  </si>
  <si>
    <t>Octubre; 7518643-3</t>
  </si>
  <si>
    <t>Noviembre; 7518643-3</t>
  </si>
  <si>
    <t>Diciembre; 7518643-3</t>
  </si>
  <si>
    <t>Enero; 1083851</t>
  </si>
  <si>
    <t>Febrero; 1083851</t>
  </si>
  <si>
    <t>Marzo; 1083851</t>
  </si>
  <si>
    <t>Abril; 1083851</t>
  </si>
  <si>
    <t>Mayo; 1083851</t>
  </si>
  <si>
    <t>Junio; 1083851</t>
  </si>
  <si>
    <t>Julio; 1083851</t>
  </si>
  <si>
    <t>Agosto; 1083851</t>
  </si>
  <si>
    <t>Enero; 0510868-5</t>
  </si>
  <si>
    <t>Febrero; 0510868-5</t>
  </si>
  <si>
    <t>Marzo; 0510868-5</t>
  </si>
  <si>
    <t>Abril; 0510868-5</t>
  </si>
  <si>
    <t>Mayo; 0510868-5</t>
  </si>
  <si>
    <t>Junio; 0510868-5</t>
  </si>
  <si>
    <t>Julio; 0510868-5</t>
  </si>
  <si>
    <t>Agosto; 0510868-5</t>
  </si>
  <si>
    <t>Septiembre; 0510868-5</t>
  </si>
  <si>
    <t>Octubre; 0510868-5</t>
  </si>
  <si>
    <t>Noviembre; 0510868-5</t>
  </si>
  <si>
    <t>Diciembre; 0510868-5</t>
  </si>
  <si>
    <t>Enero; 0508678-6</t>
  </si>
  <si>
    <t>Febrero; 0508678-6</t>
  </si>
  <si>
    <t>Marzo; 0508678-6</t>
  </si>
  <si>
    <t>Abril; 0508678-6</t>
  </si>
  <si>
    <t>Mayo; 0508678-6</t>
  </si>
  <si>
    <t>Junio; 0508678-6</t>
  </si>
  <si>
    <t>Julio; 0508678-6</t>
  </si>
  <si>
    <t>Agosto; 0508678-6</t>
  </si>
  <si>
    <t>Septiembre; 0508678-6</t>
  </si>
  <si>
    <t>Octubre; 0508678-6</t>
  </si>
  <si>
    <t>Noviembre; 0508678-6</t>
  </si>
  <si>
    <t>Diciembre; 0508678-6</t>
  </si>
  <si>
    <t>Enero; 0508675-0</t>
  </si>
  <si>
    <t>Febrero; 0508675-0</t>
  </si>
  <si>
    <t>Marzo; 0508675-0</t>
  </si>
  <si>
    <t>Abril; 0508675-0</t>
  </si>
  <si>
    <t>Mayo; 0508675-0</t>
  </si>
  <si>
    <t>Junio; 0508675-0</t>
  </si>
  <si>
    <t>Julio; 0508675-0</t>
  </si>
  <si>
    <t>Agosto; 0508675-0</t>
  </si>
  <si>
    <t>Septiembre; 0508675-0</t>
  </si>
  <si>
    <t>Octubre; 0508675-0</t>
  </si>
  <si>
    <t>Noviembre; 0508675-0</t>
  </si>
  <si>
    <t>Diciembre; 0508675-0</t>
  </si>
  <si>
    <t>Enero; 0508681-9</t>
  </si>
  <si>
    <t>Febrero; 0508681-9</t>
  </si>
  <si>
    <t>Marzo; 0508681-9</t>
  </si>
  <si>
    <t>Abril; 0508681-9</t>
  </si>
  <si>
    <t>Mayo; 0508681-9</t>
  </si>
  <si>
    <t>Junio; 0508681-9</t>
  </si>
  <si>
    <t>Julio; 0508681-9</t>
  </si>
  <si>
    <t>Agosto; 0508681-9</t>
  </si>
  <si>
    <t>Septiembre; 0508681-9</t>
  </si>
  <si>
    <t>Octubre; 0508681-9</t>
  </si>
  <si>
    <t>Noviembre; 0508681-9</t>
  </si>
  <si>
    <t>Diciembre; 0508681-9</t>
  </si>
  <si>
    <t>Enero; 0509594-1</t>
  </si>
  <si>
    <t>Febrero; 0509594-1</t>
  </si>
  <si>
    <t>Marzo; 0509594-1</t>
  </si>
  <si>
    <t>Abril; 0509594-1</t>
  </si>
  <si>
    <t>Mayo; 0509594-1</t>
  </si>
  <si>
    <t>Junio; 0509594-1</t>
  </si>
  <si>
    <t>Julio; 0509594-1</t>
  </si>
  <si>
    <t>Agosto; 0509594-1</t>
  </si>
  <si>
    <t>Septiembre; 0509594-1</t>
  </si>
  <si>
    <t>Octubre; 0509594-1</t>
  </si>
  <si>
    <t>Noviembre; 0509594-1</t>
  </si>
  <si>
    <t>Diciembre; 0509594-1</t>
  </si>
  <si>
    <t>Enero; 0508668-9</t>
  </si>
  <si>
    <t>Febrero; 0508668-9</t>
  </si>
  <si>
    <t>Marzo; 0508668-9</t>
  </si>
  <si>
    <t>Abril; 0508668-9</t>
  </si>
  <si>
    <t>Mayo; 0508668-9</t>
  </si>
  <si>
    <t>Junio; 0508668-9</t>
  </si>
  <si>
    <t>Julio; 0508668-9</t>
  </si>
  <si>
    <t>Agosto; 0508668-9</t>
  </si>
  <si>
    <t>Septiembre; 0508668-9</t>
  </si>
  <si>
    <t>Octubre; 0508668-9</t>
  </si>
  <si>
    <t>Noviembre; 0508668-9</t>
  </si>
  <si>
    <t>Diciembre; 0508668-9</t>
  </si>
  <si>
    <t>Enero; 0508673-6</t>
  </si>
  <si>
    <t>Febrero; 0508673-6</t>
  </si>
  <si>
    <t>Marzo; 0508673-6</t>
  </si>
  <si>
    <t>Abril; 0508673-6</t>
  </si>
  <si>
    <t>Mayo; 0508673-6</t>
  </si>
  <si>
    <t>Junio; 0508673-6</t>
  </si>
  <si>
    <t>Julio; 0508673-6</t>
  </si>
  <si>
    <t>Agosto; 0508673-6</t>
  </si>
  <si>
    <t>Septiembre; 0508673-6</t>
  </si>
  <si>
    <t>Octubre; 0508673-6</t>
  </si>
  <si>
    <t>Noviembre; 0508673-6</t>
  </si>
  <si>
    <t>Diciembre; 0508673-6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</si>
</sst>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4" formatCode="_-&quot;$&quot;\ * #,##0.00_-;\-&quot;$&quot;\ * #,##0.00_-;_-&quot;$&quot;\ * &quot;-&quot;??_-;_-@_-"/>
    <numFmt numFmtId="164" formatCode="0.0%"/>
    <numFmt numFmtId="165" formatCode="0.0"/>
    <numFmt numFmtId="166" formatCode="#,##0.0"/>
    <numFmt numFmtId="167" formatCode="#,##0.000"/>
    <numFmt numFmtId="168" formatCode="0.000"/>
    <numFmt numFmtId="169" formatCode="#,##0.00_ ;[Red]\-#,##0.00\ "/>
    <numFmt numFmtId="170" formatCode="#,##0_ ;[Red]\-#,##0\ 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vertAlign val="subscript"/>
      <sz val="11"/>
      <color rgb="FF000000"/>
      <name val="Arial"/>
      <family val="2"/>
    </font>
    <font>
      <b/>
      <i/>
      <sz val="10"/>
      <color theme="1"/>
      <name val="Arial"/>
      <family val="2"/>
    </font>
    <font>
      <b/>
      <sz val="8"/>
      <color rgb="FF000000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sz val="8"/>
      <color rgb="FF000000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3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/>
    <xf numFmtId="0" fontId="29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</cellStyleXfs>
  <cellXfs count="211">
    <xf numFmtId="0" fontId="0" fillId="0" borderId="0" xfId="0"/>
    <xf numFmtId="0" fontId="4" fillId="0" borderId="0" xfId="0" applyFont="1"/>
    <xf numFmtId="164" fontId="4" fillId="0" borderId="0" xfId="1" applyNumberFormat="1" applyFont="1"/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2" applyFont="1"/>
    <xf numFmtId="0" fontId="9" fillId="0" borderId="0" xfId="0" applyFont="1" applyAlignment="1">
      <alignment horizontal="right" vertic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/>
    </xf>
    <xf numFmtId="168" fontId="4" fillId="0" borderId="1" xfId="0" applyNumberFormat="1" applyFont="1" applyBorder="1" applyAlignment="1">
      <alignment horizontal="center" vertical="center"/>
    </xf>
    <xf numFmtId="169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9" fillId="0" borderId="0" xfId="0" applyFont="1"/>
    <xf numFmtId="165" fontId="4" fillId="0" borderId="0" xfId="0" applyNumberFormat="1" applyFont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3" xfId="0" applyFont="1" applyBorder="1"/>
    <xf numFmtId="0" fontId="21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4" fillId="0" borderId="0" xfId="0" applyFont="1" applyAlignment="1">
      <alignment vertical="center"/>
    </xf>
    <xf numFmtId="3" fontId="23" fillId="2" borderId="0" xfId="0" applyNumberFormat="1" applyFont="1" applyFill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9" fillId="0" borderId="9" xfId="0" applyFont="1" applyBorder="1"/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0" fontId="28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/>
    </xf>
    <xf numFmtId="3" fontId="13" fillId="3" borderId="11" xfId="0" applyNumberFormat="1" applyFont="1" applyFill="1" applyBorder="1" applyAlignment="1">
      <alignment horizontal="center"/>
    </xf>
    <xf numFmtId="3" fontId="13" fillId="3" borderId="12" xfId="0" applyNumberFormat="1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0" fillId="2" borderId="0" xfId="0" applyFont="1" applyFill="1"/>
    <xf numFmtId="166" fontId="2" fillId="0" borderId="1" xfId="0" applyNumberFormat="1" applyFont="1" applyBorder="1" applyAlignment="1">
      <alignment wrapText="1"/>
    </xf>
    <xf numFmtId="0" fontId="0" fillId="2" borderId="0" xfId="0" applyFill="1"/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5" applyFont="1"/>
    <xf numFmtId="0" fontId="2" fillId="0" borderId="0" xfId="5" applyFont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14" xfId="5" applyFont="1" applyBorder="1" applyAlignment="1">
      <alignment horizontal="center" vertical="center"/>
    </xf>
    <xf numFmtId="14" fontId="2" fillId="0" borderId="1" xfId="5" applyNumberFormat="1" applyFont="1" applyBorder="1" applyAlignment="1">
      <alignment horizontal="center" vertical="center"/>
    </xf>
    <xf numFmtId="14" fontId="2" fillId="0" borderId="1" xfId="5" applyNumberFormat="1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/>
    </xf>
    <xf numFmtId="0" fontId="2" fillId="0" borderId="1" xfId="5" applyFont="1" applyBorder="1"/>
    <xf numFmtId="0" fontId="3" fillId="0" borderId="14" xfId="5" applyFont="1" applyBorder="1" applyAlignment="1">
      <alignment horizontal="center" vertical="center" wrapText="1"/>
    </xf>
    <xf numFmtId="0" fontId="2" fillId="0" borderId="14" xfId="5" applyFont="1" applyBorder="1"/>
    <xf numFmtId="0" fontId="4" fillId="0" borderId="0" xfId="0" applyFont="1" applyAlignment="1">
      <alignment horizontal="right"/>
    </xf>
    <xf numFmtId="0" fontId="16" fillId="0" borderId="7" xfId="0" applyFont="1" applyBorder="1" applyAlignment="1">
      <alignment horizontal="center" vertical="center" wrapText="1"/>
    </xf>
    <xf numFmtId="4" fontId="13" fillId="3" borderId="15" xfId="0" applyNumberFormat="1" applyFont="1" applyFill="1" applyBorder="1" applyAlignment="1">
      <alignment horizontal="center"/>
    </xf>
    <xf numFmtId="166" fontId="13" fillId="3" borderId="15" xfId="0" applyNumberFormat="1" applyFont="1" applyFill="1" applyBorder="1" applyAlignment="1">
      <alignment horizontal="center"/>
    </xf>
    <xf numFmtId="0" fontId="7" fillId="0" borderId="0" xfId="2"/>
    <xf numFmtId="2" fontId="4" fillId="0" borderId="7" xfId="0" applyNumberFormat="1" applyFont="1" applyBorder="1" applyAlignment="1">
      <alignment horizontal="center" vertical="center"/>
    </xf>
    <xf numFmtId="4" fontId="4" fillId="0" borderId="17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68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 vertical="center"/>
    </xf>
    <xf numFmtId="166" fontId="13" fillId="2" borderId="15" xfId="0" applyNumberFormat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0" borderId="0" xfId="0" applyFont="1"/>
    <xf numFmtId="167" fontId="2" fillId="0" borderId="1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/>
    </xf>
    <xf numFmtId="6" fontId="4" fillId="0" borderId="9" xfId="0" applyNumberFormat="1" applyFont="1" applyBorder="1"/>
    <xf numFmtId="0" fontId="3" fillId="2" borderId="0" xfId="0" applyFont="1" applyFill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4" fillId="0" borderId="14" xfId="0" applyFont="1" applyBorder="1"/>
    <xf numFmtId="164" fontId="4" fillId="0" borderId="1" xfId="1" applyNumberFormat="1" applyFont="1" applyFill="1" applyBorder="1" applyAlignment="1">
      <alignment horizontal="center" vertical="center"/>
    </xf>
    <xf numFmtId="16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27" fillId="0" borderId="1" xfId="3" applyFont="1" applyBorder="1" applyAlignment="1">
      <alignment horizontal="left" vertical="top"/>
    </xf>
    <xf numFmtId="170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0" borderId="1" xfId="3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167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4" fillId="0" borderId="9" xfId="0" applyNumberFormat="1" applyFont="1" applyBorder="1" applyAlignment="1">
      <alignment horizontal="left"/>
    </xf>
    <xf numFmtId="9" fontId="2" fillId="0" borderId="1" xfId="1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9" fontId="2" fillId="0" borderId="0" xfId="1" applyFont="1" applyBorder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2" fillId="0" borderId="0" xfId="0" applyFont="1"/>
    <xf numFmtId="169" fontId="9" fillId="4" borderId="2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/>
    </xf>
    <xf numFmtId="169" fontId="9" fillId="0" borderId="1" xfId="0" applyNumberFormat="1" applyFont="1" applyBorder="1" applyAlignment="1">
      <alignment horizontal="center" vertical="center"/>
    </xf>
    <xf numFmtId="0" fontId="4" fillId="0" borderId="10" xfId="0" applyFont="1" applyBorder="1"/>
    <xf numFmtId="0" fontId="9" fillId="0" borderId="10" xfId="0" applyFont="1" applyBorder="1" applyAlignment="1">
      <alignment horizontal="left" vertical="center"/>
    </xf>
    <xf numFmtId="6" fontId="4" fillId="0" borderId="39" xfId="0" applyNumberFormat="1" applyFont="1" applyBorder="1"/>
    <xf numFmtId="0" fontId="9" fillId="0" borderId="39" xfId="0" applyFont="1" applyBorder="1"/>
    <xf numFmtId="3" fontId="9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/>
    <xf numFmtId="0" fontId="9" fillId="0" borderId="25" xfId="0" applyFont="1" applyBorder="1" applyAlignment="1">
      <alignment horizontal="left" vertical="center"/>
    </xf>
    <xf numFmtId="3" fontId="9" fillId="0" borderId="25" xfId="0" applyNumberFormat="1" applyFont="1" applyBorder="1" applyAlignment="1">
      <alignment horizontal="center" vertical="center"/>
    </xf>
    <xf numFmtId="6" fontId="4" fillId="0" borderId="1" xfId="0" applyNumberFormat="1" applyFont="1" applyBorder="1"/>
    <xf numFmtId="0" fontId="9" fillId="0" borderId="1" xfId="0" applyFont="1" applyBorder="1"/>
    <xf numFmtId="44" fontId="4" fillId="0" borderId="14" xfId="0" applyNumberFormat="1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0" fontId="9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167" fontId="4" fillId="0" borderId="3" xfId="0" applyNumberFormat="1" applyFont="1" applyFill="1" applyBorder="1" applyAlignment="1">
      <alignment horizontal="center" vertical="center"/>
    </xf>
    <xf numFmtId="167" fontId="4" fillId="0" borderId="7" xfId="0" applyNumberFormat="1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167" fontId="4" fillId="0" borderId="7" xfId="0" applyNumberFormat="1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/>
    </xf>
    <xf numFmtId="167" fontId="4" fillId="0" borderId="3" xfId="0" applyNumberFormat="1" applyFont="1" applyFill="1" applyBorder="1" applyAlignment="1">
      <alignment horizontal="center"/>
    </xf>
    <xf numFmtId="167" fontId="4" fillId="0" borderId="17" xfId="0" applyNumberFormat="1" applyFont="1" applyFill="1" applyBorder="1" applyAlignment="1">
      <alignment horizontal="center" vertical="center"/>
    </xf>
    <xf numFmtId="167" fontId="4" fillId="0" borderId="10" xfId="0" applyNumberFormat="1" applyFont="1" applyFill="1" applyBorder="1" applyAlignment="1">
      <alignment horizontal="center" vertical="center"/>
    </xf>
    <xf numFmtId="167" fontId="4" fillId="0" borderId="10" xfId="0" applyNumberFormat="1" applyFont="1" applyFill="1" applyBorder="1" applyAlignment="1">
      <alignment horizontal="center"/>
    </xf>
    <xf numFmtId="167" fontId="4" fillId="0" borderId="18" xfId="0" applyNumberFormat="1" applyFont="1" applyFill="1" applyBorder="1" applyAlignment="1">
      <alignment horizontal="center"/>
    </xf>
    <xf numFmtId="167" fontId="4" fillId="0" borderId="41" xfId="0" applyNumberFormat="1" applyFont="1" applyFill="1" applyBorder="1" applyAlignment="1">
      <alignment horizontal="center" vertical="center"/>
    </xf>
    <xf numFmtId="167" fontId="4" fillId="0" borderId="25" xfId="0" applyNumberFormat="1" applyFont="1" applyFill="1" applyBorder="1" applyAlignment="1">
      <alignment horizontal="center" vertical="center"/>
    </xf>
    <xf numFmtId="167" fontId="4" fillId="0" borderId="25" xfId="0" applyNumberFormat="1" applyFont="1" applyFill="1" applyBorder="1" applyAlignment="1">
      <alignment horizontal="center"/>
    </xf>
    <xf numFmtId="167" fontId="4" fillId="0" borderId="8" xfId="0" applyNumberFormat="1" applyFont="1" applyFill="1" applyBorder="1" applyAlignment="1">
      <alignment horizontal="center" vertical="center"/>
    </xf>
    <xf numFmtId="167" fontId="4" fillId="0" borderId="6" xfId="0" applyNumberFormat="1" applyFont="1" applyFill="1" applyBorder="1" applyAlignment="1">
      <alignment horizontal="center" vertical="center"/>
    </xf>
    <xf numFmtId="167" fontId="4" fillId="0" borderId="16" xfId="0" applyNumberFormat="1" applyFont="1" applyFill="1" applyBorder="1" applyAlignment="1">
      <alignment horizontal="center" vertical="center"/>
    </xf>
    <xf numFmtId="167" fontId="4" fillId="0" borderId="16" xfId="0" applyNumberFormat="1" applyFont="1" applyFill="1" applyBorder="1" applyAlignment="1">
      <alignment horizontal="center"/>
    </xf>
    <xf numFmtId="167" fontId="4" fillId="0" borderId="5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168" fontId="4" fillId="0" borderId="10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/>
    </xf>
    <xf numFmtId="168" fontId="4" fillId="0" borderId="25" xfId="0" applyNumberFormat="1" applyFont="1" applyBorder="1" applyAlignment="1">
      <alignment horizontal="center"/>
    </xf>
    <xf numFmtId="2" fontId="4" fillId="0" borderId="25" xfId="0" applyNumberFormat="1" applyFont="1" applyBorder="1" applyAlignment="1">
      <alignment horizontal="center"/>
    </xf>
    <xf numFmtId="4" fontId="4" fillId="0" borderId="42" xfId="0" applyNumberFormat="1" applyFont="1" applyBorder="1" applyAlignment="1">
      <alignment horizontal="center" vertical="center"/>
    </xf>
    <xf numFmtId="168" fontId="4" fillId="0" borderId="43" xfId="0" applyNumberFormat="1" applyFont="1" applyBorder="1" applyAlignment="1">
      <alignment horizontal="center" vertical="center"/>
    </xf>
    <xf numFmtId="167" fontId="4" fillId="0" borderId="43" xfId="0" applyNumberFormat="1" applyFont="1" applyFill="1" applyBorder="1" applyAlignment="1">
      <alignment horizontal="center"/>
    </xf>
    <xf numFmtId="2" fontId="4" fillId="0" borderId="44" xfId="0" applyNumberFormat="1" applyFont="1" applyBorder="1" applyAlignment="1">
      <alignment horizontal="center"/>
    </xf>
    <xf numFmtId="167" fontId="4" fillId="0" borderId="22" xfId="0" applyNumberFormat="1" applyFont="1" applyFill="1" applyBorder="1" applyAlignment="1">
      <alignment horizontal="center" vertical="center"/>
    </xf>
    <xf numFmtId="167" fontId="4" fillId="0" borderId="19" xfId="0" applyNumberFormat="1" applyFont="1" applyFill="1" applyBorder="1" applyAlignment="1">
      <alignment horizontal="center" vertical="center"/>
    </xf>
    <xf numFmtId="167" fontId="4" fillId="0" borderId="19" xfId="0" applyNumberFormat="1" applyFont="1" applyFill="1" applyBorder="1" applyAlignment="1">
      <alignment horizontal="center"/>
    </xf>
    <xf numFmtId="167" fontId="4" fillId="0" borderId="20" xfId="0" applyNumberFormat="1" applyFont="1" applyFill="1" applyBorder="1" applyAlignment="1">
      <alignment horizontal="center"/>
    </xf>
    <xf numFmtId="0" fontId="9" fillId="0" borderId="39" xfId="0" applyFont="1" applyBorder="1" applyAlignment="1">
      <alignment horizontal="left"/>
    </xf>
    <xf numFmtId="3" fontId="9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inden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2" applyFont="1" applyFill="1" applyAlignment="1">
      <alignment horizontal="left" vertical="top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7">
    <cellStyle name="Hipervínculo" xfId="2" builtinId="8"/>
    <cellStyle name="Hipervínculo 2" xfId="4" xr:uid="{00000000-0005-0000-0000-000008000000}"/>
    <cellStyle name="Hyperlink" xfId="6" xr:uid="{00000000-0005-0000-0000-00000A000000}"/>
    <cellStyle name="Normal" xfId="0" builtinId="0"/>
    <cellStyle name="Normal 3" xfId="3" xr:uid="{00000000-0005-0000-0000-000007000000}"/>
    <cellStyle name="Normal 4" xfId="5" xr:uid="{00000000-0005-0000-0000-000009000000}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[Tablero histórico de emisiones.xlsx]Hoja5!TablaDinámica4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Hoja5!$A$5:$A$24</c:f>
              <c:multiLvlStrCache>
                <c:ptCount val="15"/>
                <c:lvl>
                  <c:pt idx="0">
                    <c:v>Categoría 1</c:v>
                  </c:pt>
                  <c:pt idx="1">
                    <c:v>Categoría 2</c:v>
                  </c:pt>
                  <c:pt idx="2">
                    <c:v>Categoría 3</c:v>
                  </c:pt>
                  <c:pt idx="3">
                    <c:v>Categoría 1</c:v>
                  </c:pt>
                  <c:pt idx="4">
                    <c:v>Categoría 2</c:v>
                  </c:pt>
                  <c:pt idx="5">
                    <c:v>Categoría 3</c:v>
                  </c:pt>
                  <c:pt idx="6">
                    <c:v>Categoría 4</c:v>
                  </c:pt>
                  <c:pt idx="7">
                    <c:v>Categoría 1</c:v>
                  </c:pt>
                  <c:pt idx="8">
                    <c:v>Categoría 2</c:v>
                  </c:pt>
                  <c:pt idx="9">
                    <c:v>Categoría 3</c:v>
                  </c:pt>
                  <c:pt idx="10">
                    <c:v>Categoría 4</c:v>
                  </c:pt>
                  <c:pt idx="11">
                    <c:v>Categoría 1</c:v>
                  </c:pt>
                  <c:pt idx="12">
                    <c:v>Categoría 2</c:v>
                  </c:pt>
                  <c:pt idx="13">
                    <c:v>Categoría 3</c:v>
                  </c:pt>
                  <c:pt idx="14">
                    <c:v>Categoría 4</c:v>
                  </c:pt>
                </c:lvl>
                <c:lvl>
                  <c:pt idx="0">
                    <c:v>2021</c:v>
                  </c:pt>
                  <c:pt idx="3">
                    <c:v>2022</c:v>
                  </c:pt>
                  <c:pt idx="7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Hoja5!$B$5:$B$24</c:f>
              <c:numCache>
                <c:formatCode>General</c:formatCode>
                <c:ptCount val="15"/>
                <c:pt idx="0">
                  <c:v>43</c:v>
                </c:pt>
                <c:pt idx="1">
                  <c:v>108</c:v>
                </c:pt>
                <c:pt idx="2">
                  <c:v>1</c:v>
                </c:pt>
                <c:pt idx="3">
                  <c:v>43</c:v>
                </c:pt>
                <c:pt idx="4">
                  <c:v>108</c:v>
                </c:pt>
                <c:pt idx="5">
                  <c:v>7</c:v>
                </c:pt>
                <c:pt idx="6">
                  <c:v>7</c:v>
                </c:pt>
                <c:pt idx="7">
                  <c:v>45</c:v>
                </c:pt>
                <c:pt idx="8">
                  <c:v>108</c:v>
                </c:pt>
                <c:pt idx="9">
                  <c:v>20</c:v>
                </c:pt>
                <c:pt idx="10">
                  <c:v>12</c:v>
                </c:pt>
                <c:pt idx="11">
                  <c:v>41</c:v>
                </c:pt>
                <c:pt idx="12">
                  <c:v>76</c:v>
                </c:pt>
                <c:pt idx="13">
                  <c:v>7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CDA6-4BF5-9B96-0BE97875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203664"/>
        <c:axId val="985200752"/>
      </c:barChart>
      <c:catAx>
        <c:axId val="98520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5200752"/>
        <c:crosses val="autoZero"/>
        <c:auto val="1"/>
        <c:lblAlgn val="ctr"/>
        <c:lblOffset val="100"/>
        <c:noMultiLvlLbl val="0"/>
      </c:catAx>
      <c:valAx>
        <c:axId val="98520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520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133350</xdr:rowOff>
    </xdr:from>
    <xdr:to>
      <xdr:col>10</xdr:col>
      <xdr:colOff>180975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93955-AE3B-4BD1-9F48-8A178A4D2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DAVID ANTORVEZA GIL" refreshedDate="45630.711470023147" createdVersion="7" refreshedVersion="7" minRefreshableVersion="3" recordCount="628" xr:uid="{ABBA6557-022B-439B-97CE-36FD1DBF5990}">
  <cacheSource type="worksheet">
    <worksheetSource ref="A1:L629" sheet="Tablero"/>
  </cacheSource>
  <cacheFields count="13">
    <cacheField name="Año" numFmtId="0">
      <sharedItems containsSemiMixedTypes="0" containsString="0" containsNumber="1" containsInteger="1" minValue="2021" maxValue="2024" count="4">
        <n v="2023"/>
        <n v="2022"/>
        <n v="2021"/>
        <n v="2024"/>
      </sharedItems>
    </cacheField>
    <cacheField name="Categoría" numFmtId="0">
      <sharedItems count="4">
        <s v="Categoría 1"/>
        <s v="Categoría 2"/>
        <s v="Categoría 3"/>
        <s v="Categoría 4"/>
      </sharedItems>
    </cacheField>
    <cacheField name="Emisión" numFmtId="0">
      <sharedItems count="48">
        <s v="Emisión antropogénica"/>
        <s v="Aire acondicionado R 410 A"/>
        <s v="Equipos de refigreación R 134 A"/>
        <s v="Equipos de refigreación R 513 A "/>
        <s v="Extinción de incendios"/>
        <s v="Gases laboratorios"/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Emisión Passenger Car"/>
        <s v="Emisión Light-duty truck"/>
        <s v="Transmilenio"/>
        <s v="Automóvil"/>
        <s v="Sitp"/>
        <s v="Motocicleta"/>
        <s v="Patineta eléctrica"/>
        <s v="Bicicleta"/>
        <s v="Carro compartido"/>
        <s v="A pie"/>
        <s v="Vehículos"/>
        <s v="Impresiones"/>
        <s v="Fotocopias"/>
        <s v="Equipos de oficina"/>
        <s v="Muebles y enseres"/>
        <s v="Construcciones y edificaciones"/>
        <s v="Residuos sólidos urbanos"/>
        <s v="Residuos aprovechables"/>
        <s v="Residuos tratados en celda de seguridad"/>
        <s v="Residuos tratados en termodestrucción"/>
        <s v="Residuos biosanitarios y cortopunzantes"/>
        <s v="Residuos de vidrio disposición directa "/>
        <s v="Vuelo internacional"/>
        <s v="Vuelo nacional"/>
        <s v="Equipos de computo "/>
        <s v="Carro Particular"/>
        <s v="Moto"/>
        <s v="Taxi"/>
        <s v="Patineta"/>
        <s v="Disposición de residuos "/>
      </sharedItems>
    </cacheField>
    <cacheField name="Tipo de emisión" numFmtId="0">
      <sharedItems count="12">
        <s v="Combustión fija"/>
        <s v="Combustión móvil"/>
        <s v="Emisión fugitiva"/>
        <s v="Electricidad importada"/>
        <s v="Aguas arriba"/>
        <s v="Aguas abajo"/>
        <s v="Tráfico de cercanias"/>
        <s v="Bienes comprados"/>
        <s v="Disposición de residuos "/>
        <s v="Viajes de negocio"/>
        <s v="Residuos dispuestos en vertedero controlado"/>
        <s v="Residuos aprovechables tratados"/>
      </sharedItems>
    </cacheField>
    <cacheField name="Información" numFmtId="0">
      <sharedItems containsBlank="1" count="186">
        <s v="Planta eléctrica; Laboratorios"/>
        <s v="Planta eléctrica; Campus El Nogal"/>
        <s v="Gas Natural"/>
        <s v="Camioneta; Enero"/>
        <s v="Camioneta; Febrero"/>
        <s v="Camioneta; Marzo"/>
        <s v="Camioneta; Abril"/>
        <s v="Camioneta: Mayo "/>
        <s v="Camioneta; Junio"/>
        <s v="Camioneta; Julio"/>
        <s v="Camioneta; Agosto"/>
        <s v="Camioneta; Septiembre"/>
        <s v="Camioneta; Octubre"/>
        <s v="Camioneta; Noviembre"/>
        <s v="Camioneta; Diciembre"/>
        <s v="Aire acondicionado: ARNU07 GTRD4"/>
        <s v="Aire acondicionado: ARNU09 GM1A4"/>
        <s v="Aire acondicionado: ARNU09 GTRD4"/>
        <s v="Aire acondicionado: ARNU12 GBHA4"/>
        <s v="Aire acondicionado: ARNU18 GBHA4"/>
        <s v="Aire acondicionado: ARNU24 GBHA4"/>
        <s v="Aire acondicionado: ARNU28 GM2 A4"/>
        <s v="Aire acondicionado: ARNU36 GM2 A4"/>
        <s v="Aire acondicionado: ARNU48 GM3 B4"/>
        <s v="Aire acondicionado: ARNU76 GB8 A4"/>
        <s v="Aire acondicionado: ARNU96 GB8 A4"/>
        <s v="Aire acondicionado: ARUM096 BTE5"/>
        <s v="Aire acondicionado: ARUM121BTE5"/>
        <s v="Aire acondicionado: ARUM168 BTE5"/>
        <s v="Aire acondicionado: ARUM192 BTE5"/>
        <s v="Aire acondicionado: ARUM216 BTE5"/>
        <s v="Aire acondicionado: ARUM241BTE5"/>
        <s v="Equipos de refigreación: ULTRA-LAB"/>
        <s v="Equipos de refigreación: 106-1207-WVQ"/>
        <s v="Equipos de refigreación: CE 400"/>
        <s v="Equipos de refigreación: CCN300FYJX"/>
        <s v="Equipos de refigreación: ALASKAV208S0"/>
        <s v="Equipo Extinción de incendios: CO2 (15 lbs)"/>
        <s v="Equipo Extinción de incendios:  CO2 (9,9 lbs)"/>
        <s v="Equipo Extinción de incendios:  Solkaflam (5,5 lbs)"/>
        <s v="Equipo Extinción de incendios:  Solkaflam (8,2 lbs)"/>
        <s v="Equipo Extinción de incendios:  Solkaflam (15,4 lbs)"/>
        <s v="Gases laboratorios: Óxido nitroso"/>
        <s v="Enero; 1077130"/>
        <s v="Febrero; 1077130"/>
        <s v="Marzo; 1077130"/>
        <s v="Abril; 1077130"/>
        <s v="Mayo; 1077130"/>
        <s v="Junio; 1077130"/>
        <s v="Julio; 1077130"/>
        <s v="Agosto; 1077130"/>
        <s v="Septiembre; 1077130"/>
        <s v="Octubre; 1077130"/>
        <s v="Noviembre; 1077130"/>
        <s v="Diciembre; 1077130"/>
        <s v="Enero; 7518643-3"/>
        <s v="Febrero; 7518643-3"/>
        <s v="Marzo; 7518643-3"/>
        <s v="Abril; 7518643-3"/>
        <s v="Mayo; 7518643-3"/>
        <s v="Junio; 7518643-3"/>
        <s v="Julio; 7518643-3"/>
        <s v="Agosto; 7518643-3"/>
        <s v="Septiembre; 7518643-3"/>
        <s v="Octubre; 7518643-3"/>
        <s v="Noviembre; 7518643-3"/>
        <s v="Diciembre; 7518643-3"/>
        <s v="Enero; 0508678-6"/>
        <s v="Febrero; 0508678-6"/>
        <s v="Marzo; 0508678-6"/>
        <s v="Abril; 0508678-6"/>
        <s v="Mayo; 0508678-6"/>
        <s v="Junio; 0508678-6"/>
        <s v="Julio; 0508678-6"/>
        <s v="Agosto; 0508678-6"/>
        <s v="Septiembre; 0508678-6"/>
        <s v="Octubre; 0508678-6"/>
        <s v="Noviembre; 0508678-6"/>
        <s v="Diciembre; 0508678-6"/>
        <s v="Enero; 0508675-0"/>
        <s v="Febrero; 0508675-0"/>
        <s v="Marzo; 0508675-0"/>
        <s v="Abril; 0508675-0"/>
        <s v="Mayo; 0508675-0"/>
        <s v="Junio; 0508675-0"/>
        <s v="Julio; 0508675-0"/>
        <s v="Agosto; 0508675-0"/>
        <s v="Septiembre; 0508675-0"/>
        <s v="Octubre; 0508675-0"/>
        <s v="Noviembre; 0508675-0"/>
        <s v="Diciembre; 0508675-0"/>
        <s v="Enero; 0508681-9"/>
        <s v="Febrero; 0508681-9"/>
        <s v="Marzo; 0508681-9"/>
        <s v="Abril; 0508681-9"/>
        <s v="Mayo; 0508681-9"/>
        <s v="Junio; 0508681-9"/>
        <s v="Julio; 0508681-9"/>
        <s v="Agosto; 0508681-9"/>
        <s v="Septiembre; 0508681-9"/>
        <s v="Octubre; 0508681-9"/>
        <s v="Noviembre; 0508681-9"/>
        <s v="Diciembre; 0508681-9"/>
        <s v="Enero; 0509594-1"/>
        <s v="Febrero; 0509594-1"/>
        <s v="Marzo; 0509594-1"/>
        <s v="Abril; 0509594-1"/>
        <s v="Mayo; 0509594-1"/>
        <s v="Junio; 0509594-1"/>
        <s v="Julio; 0509594-1"/>
        <s v="Agosto; 0509594-1"/>
        <s v="Septiembre; 0509594-1"/>
        <s v="Octubre; 0509594-1"/>
        <s v="Noviembre; 0509594-1"/>
        <s v="Diciembre; 0509594-1"/>
        <s v="Enero; 0508668-9"/>
        <s v="Febrero; 0508668-9"/>
        <s v="Marzo; 0508668-9"/>
        <s v="Abril; 0508668-9"/>
        <s v="Mayo; 0508668-9"/>
        <s v="Junio; 0508668-9"/>
        <s v="Julio; 0508668-9"/>
        <s v="Agosto; 0508668-9"/>
        <s v="Septiembre; 0508668-9"/>
        <s v="Octubre; 0508668-9"/>
        <s v="Noviembre; 0508668-9"/>
        <s v="Diciembre; 0508668-9"/>
        <s v="Enero; 0508673-6"/>
        <s v="Febrero; 0508673-6"/>
        <s v="Marzo; 0508673-6"/>
        <s v="Abril; 0508673-6"/>
        <s v="Mayo; 0508673-6"/>
        <s v="Junio; 0508673-6"/>
        <s v="Julio; 0508673-6"/>
        <s v="Agosto; 0508673-6"/>
        <s v="Septiembre; 0508673-6"/>
        <s v="Octubre; 0508673-6"/>
        <s v="Noviembre; 0508673-6"/>
        <s v="Diciembre; 0508673-6"/>
        <s v="Enero; 0510868-5"/>
        <s v="Febrero; 0510868-5"/>
        <s v="Marzo; 0510868-5"/>
        <s v="Abril; 0510868-5"/>
        <s v="Mayo; 0510868-5"/>
        <s v="Junio; 0510868-5"/>
        <s v="Julio; 0510868-5"/>
        <s v="Agosto; 0510868-5"/>
        <s v="Septiembre; 0510868-5"/>
        <s v="Octubre; 0510868-5"/>
        <s v="Noviembre; 0510868-5"/>
        <s v="Diciembre; 0510868-5"/>
        <s v="Emisión Passenger Car"/>
        <s v="Emisión Light-duty truck"/>
        <s v="Moto"/>
        <s v="Patineta"/>
        <s v="Bicicleta"/>
        <s v="Carro compartido"/>
        <s v="A pie"/>
        <s v="Producto: Juego de llantas "/>
        <s v="Producto: Impresiontes"/>
        <s v="Producto: Fotocopias"/>
        <s v="Producto: Mobiliario (Poltronas, mesas)"/>
        <s v="Producto: Pintura electrostática"/>
        <s v="Producto: Insumos de ferretería"/>
        <s v="Residuos dispuestos en vertedero controlado"/>
        <s v="Residuos aprovechables tratados"/>
        <s v="Residuos celda de seguridad"/>
        <s v="Residuos termodestruidos"/>
        <s v="Residuos biosanitarios y cortopunzantes"/>
        <s v="Residuos de vidrio en disposición directa"/>
        <s v="Vuelo internacional"/>
        <s v="Vuelo nacional"/>
        <s v="Producto: Computadores Lenovo"/>
        <s v="Enero; 1083851"/>
        <s v="Febrero; 1083851"/>
        <s v="Marzo; 1083851"/>
        <s v="Abril; 1083851"/>
        <s v="Mayo; 1083851"/>
        <s v="Junio; 1083851"/>
        <s v="Julio; 1083851"/>
        <s v="Agosto; 1083851"/>
        <s v="Transmilenio"/>
        <s v="Carro Particular"/>
        <s v="Taxi"/>
        <s v="Sitp"/>
        <m/>
      </sharedItems>
    </cacheField>
    <cacheField name="Ubicación" numFmtId="0">
      <sharedItems containsBlank="1"/>
    </cacheField>
    <cacheField name="Consumo 1" numFmtId="0">
      <sharedItems containsSemiMixedTypes="0" containsString="0" containsNumber="1" minValue="0" maxValue="3191265.3"/>
    </cacheField>
    <cacheField name="Unidades 1" numFmtId="0">
      <sharedItems/>
    </cacheField>
    <cacheField name="Emisión_x000a_(ton CO2)" numFmtId="0">
      <sharedItems containsBlank="1" containsMixedTypes="1" containsNumber="1" minValue="0" maxValue="10.736650035"/>
    </cacheField>
    <cacheField name="Emisión_x000a_ (ton CH4)" numFmtId="0">
      <sharedItems containsSemiMixedTypes="0" containsString="0" containsNumber="1" minValue="0" maxValue="1.1846281231249918"/>
    </cacheField>
    <cacheField name="Emisión_x000a_(ton N2O)" numFmtId="0">
      <sharedItems containsSemiMixedTypes="0" containsString="0" containsNumber="1" minValue="0" maxValue="3.0329999999999999"/>
    </cacheField>
    <cacheField name="Emisión _x000a_(ton HFC)" numFmtId="0">
      <sharedItems containsMixedTypes="1" containsNumber="1" minValue="0" maxValue="14.238"/>
    </cacheField>
    <cacheField name="Emisión _x000a_(ton CO2eq)" numFmtId="0">
      <sharedItems containsMixedTypes="1" containsNumber="1" minValue="0" maxValue="84.522393926549356" count="462">
        <n v="0.01"/>
        <n v="1.9427133887999999"/>
        <n v="0.41342606781956481"/>
        <n v="0.15664678235064"/>
        <n v="0.14585368879889998"/>
        <n v="0.14588545655034002"/>
        <n v="0.13479851129777998"/>
        <n v="0.14615548243758003"/>
        <n v="9.9663378205139999E-2"/>
        <n v="0.10879660674414"/>
        <n v="0.13384547875457997"/>
        <n v="7.0246440371699997E-2"/>
        <n v="0.12317945620859999"/>
        <n v="0.12032035857899999"/>
        <n v="9.7685835678000002E-2"/>
        <n v="0.41760000000000003"/>
        <n v="0.15033599999999997"/>
        <n v="0.50112000000000001"/>
        <n v="2.2968000000000002"/>
        <n v="3.6748799999999999"/>
        <n v="0.44474400000000003"/>
        <n v="2.4346079999999999"/>
        <n v="1.0962000000000001"/>
        <n v="8.7403679999999984"/>
        <n v="4.5936000000000003"/>
        <n v="5.0111999999999997"/>
        <n v="2.0671200000000001E-2"/>
        <n v="4.5936000000000006E-3"/>
        <n v="1.0022400000000001E-2"/>
        <n v="1.1483999999999999E-2"/>
        <n v="1.2528000000000001E-2"/>
        <n v="7.5167999999999997E-3"/>
        <n v="0.141984"/>
        <n v="7.5167999999999985E-2"/>
        <n v="3.7583999999999992E-2"/>
        <n v="0.18791999999999998"/>
        <n v="2.5056000000000002E-2"/>
        <n v="5.6375999999999996E-2"/>
        <n v="1.0199999999999999E-2"/>
        <n v="3.375E-3"/>
        <n v="3.5594999999999999"/>
        <n v="3.3448000000000002"/>
        <n v="0.47460000000000002"/>
        <n v="0"/>
        <n v="14.766969599999999"/>
        <n v="17.283628800000002"/>
        <n v="20.270476800000001"/>
        <n v="16.813094400000001"/>
        <n v="20.263564800000005"/>
        <n v="17.197056"/>
        <n v="16.680556800000002"/>
        <n v="21.020256"/>
        <n v="19.998144"/>
        <n v="20.647872"/>
        <n v="21.048940800000004"/>
        <n v="14.872723200000003"/>
        <n v="2.9548800000000006"/>
        <n v="2.1819456000000006"/>
        <n v="2.6593920000000004"/>
        <n v="2.5608960000000001"/>
        <n v="3.151872"/>
        <n v="5.220288"/>
        <n v="3.7209024000000004"/>
        <n v="3.2503679999999999"/>
        <n v="8.7436800000000009E-2"/>
        <n v="5.9788800000000003E-2"/>
        <n v="7.1884799999999999E-2"/>
        <n v="8.8473599999999999E-2"/>
        <n v="9.089280000000001E-2"/>
        <n v="0.10039679999999999"/>
        <n v="0.10955520000000002"/>
        <n v="9.2793600000000018E-2"/>
        <n v="0.1301184"/>
        <n v="0.13996800000000001"/>
        <n v="0.18524160000000003"/>
        <n v="0.12666240000000001"/>
        <n v="3.12768E-2"/>
        <n v="1.8662400000000003E-2"/>
        <n v="1.5033599999999999E-2"/>
        <n v="1.22688E-2"/>
        <n v="1.5897600000000001E-2"/>
        <n v="7.6032000000000001E-3"/>
        <n v="7.4303999999999993E-3"/>
        <n v="6.9120000000000006E-3"/>
        <n v="8.1216000000000014E-3"/>
        <n v="1.9008E-3"/>
        <n v="7.9488000000000007E-3"/>
        <n v="8.4671999999999994E-3"/>
        <n v="9.6076800000000018E-2"/>
        <n v="8.432640000000001E-2"/>
        <n v="8.0697600000000008E-2"/>
        <n v="8.1388799999999997E-2"/>
        <n v="7.6550400000000005E-2"/>
        <n v="7.8451200000000013E-2"/>
        <n v="8.6745600000000006E-2"/>
        <n v="8.2598400000000002E-2"/>
        <n v="8.5708800000000016E-2"/>
        <n v="8.0524800000000007E-2"/>
        <n v="0.1017792"/>
        <n v="9.3312000000000006E-2"/>
        <n v="0.14739840000000001"/>
        <n v="0.12337919999999999"/>
        <n v="0.12821760000000001"/>
        <n v="0.11992319999999999"/>
        <n v="0.12597120000000001"/>
        <n v="0.13167360000000003"/>
        <n v="0.1247616"/>
        <n v="0.14273279999999999"/>
        <n v="0.1223424"/>
        <n v="0.1567296"/>
        <n v="0.1219968"/>
        <n v="7.5340799999999999E-2"/>
        <n v="5.7542400000000007E-2"/>
        <n v="3.5596800000000005E-2"/>
        <n v="3.2832E-2"/>
        <n v="3.2140799999999997E-2"/>
        <n v="3.5423999999999997E-2"/>
        <n v="3.2313599999999998E-2"/>
        <n v="3.61152E-2"/>
        <n v="3.76704E-2"/>
        <n v="3.4214400000000006E-2"/>
        <n v="2.5747199999999998E-2"/>
        <n v="2.4019200000000004E-2"/>
        <n v="2.47104E-2"/>
        <n v="2.3328000000000002E-2"/>
        <n v="2.4364799999999999E-2"/>
        <n v="2.2809600000000003E-2"/>
        <n v="2.2636800000000002E-2"/>
        <n v="2.05632E-2"/>
        <n v="2.0908799999999998E-2"/>
        <n v="1.9353599999999999E-2"/>
        <n v="0.2293056"/>
        <n v="0.22636800000000001"/>
        <n v="0.25937279999999996"/>
        <n v="0.36789120000000003"/>
        <n v="0.40210560000000006"/>
        <n v="0.37013760000000001"/>
        <n v="0.34456320000000001"/>
        <n v="0.33626879999999998"/>
        <n v="0.38517120000000005"/>
        <n v="0.38897280000000001"/>
        <n v="0.42024960000000006"/>
        <n v="0.29393280000000005"/>
        <n v="5.2784521966079995E-2"/>
        <n v="0.30209636323152"/>
        <n v="0.35134697433672007"/>
        <n v="0.29443866159203996"/>
        <n v="0.43722208695615999"/>
        <n v="2.8866535450199999E-3"/>
        <n v="0.73845777678815994"/>
        <n v="0.14373245771984"/>
        <n v="0.14717515131792003"/>
        <n v="0.21688969667904001"/>
        <n v="28.873136332493331"/>
        <n v="13.834839702472681"/>
        <n v="1.8499934774057039"/>
        <n v="0.90824007781681204"/>
        <n v="2.1309048525600005E-2"/>
        <n v="3.4000000000000002E-2"/>
        <n v="0.35906399999999999"/>
        <n v="1.0467000000000001E-2"/>
        <n v="0.96"/>
        <n v="0.06"/>
        <n v="0.54"/>
        <n v="8.1845771999999997"/>
        <n v="0.38519999999999999"/>
        <n v="6.324239999999999E-2"/>
        <n v="0.242592"/>
        <n v="0.34326960000000006"/>
        <n v="4.1350800000000002E-3"/>
        <n v="21.586470000000002"/>
        <n v="32.467649999999999"/>
        <n v="10.738691896932"/>
        <n v="1.2991490934822401E-2"/>
        <n v="0.28050924521519993"/>
        <n v="0.25795414169280001"/>
        <n v="0.24095839467239999"/>
        <n v="0.32498409723120003"/>
        <n v="0.27169369419060002"/>
        <n v="0.30695589828899994"/>
        <n v="8.3283199999999997"/>
        <n v="10.875871999999999"/>
        <n v="12.184031999999998"/>
        <n v="9.9555679999999995"/>
        <n v="11.566576"/>
        <n v="9.5623360000000002"/>
        <n v="9.5094720000000024"/>
        <n v="11.9476"/>
        <n v="11.936064"/>
        <n v="11.839296000000001"/>
        <n v="11.400144000000001"/>
        <n v="9.2066239999999997"/>
        <n v="1.2767999999999999"/>
        <n v="1.7236800000000001"/>
        <n v="1.5960000000000001"/>
        <n v="1.4683199999999998"/>
        <n v="1.6162719999999999"/>
        <n v="1.876336"/>
        <n v="1.6598400000000002"/>
        <n v="2.0428799999999998"/>
        <n v="1.78752"/>
        <n v="2.8000000000000001E-2"/>
        <n v="2.52E-2"/>
        <n v="2.3855999999999999E-2"/>
        <n v="1.7472000000000001E-2"/>
        <n v="2.2735999999999999E-2"/>
        <n v="4.2000000000000003E-2"/>
        <n v="4.9055999999999995E-2"/>
        <n v="5.0063999999999997E-2"/>
        <n v="4.3456000000000002E-2"/>
        <n v="4.6031999999999997E-2"/>
        <n v="6.4848000000000003E-2"/>
        <n v="6.8096000000000004E-2"/>
        <n v="1.8031999999999999E-2"/>
        <n v="1.4448000000000001E-2"/>
        <n v="1.9487999999999998E-2"/>
        <n v="1.7696E-2"/>
        <n v="1.7247999999999999E-2"/>
        <n v="1.4336E-2"/>
        <n v="1.2320000000000001E-2"/>
        <n v="1.2208E-2"/>
        <n v="1.3663999999999999E-2"/>
        <n v="1.3328E-2"/>
        <n v="1.5120000000000001E-2"/>
        <n v="9.5423999999999995E-2"/>
        <n v="7.2464000000000001E-2"/>
        <n v="7.6160000000000005E-2"/>
        <n v="7.2576000000000002E-2"/>
        <n v="7.2688000000000003E-2"/>
        <n v="6.2608000000000011E-2"/>
        <n v="6.5295999999999993E-2"/>
        <n v="5.6784000000000001E-2"/>
        <n v="5.9359999999999996E-2"/>
        <n v="6.1824000000000004E-2"/>
        <n v="5.8800000000000005E-2"/>
        <n v="0.105616"/>
        <n v="9.5311999999999994E-2"/>
        <n v="0.106624"/>
        <n v="0.10326400000000001"/>
        <n v="0.10617599999999999"/>
        <n v="0.12566400000000003"/>
        <n v="0.10774400000000001"/>
        <n v="0.110096"/>
        <n v="9.2287999999999995E-2"/>
        <n v="9.3967999999999996E-2"/>
        <n v="0.103488"/>
        <n v="8.7584000000000009E-2"/>
        <n v="0.12835199999999997"/>
        <n v="0.108976"/>
        <n v="9.6879999999999994E-2"/>
        <n v="9.2959999999999987E-2"/>
        <n v="0.102144"/>
        <n v="9.9568000000000004E-2"/>
        <n v="9.5984E-2"/>
        <n v="0.102256"/>
        <n v="8.299200000000001E-2"/>
        <n v="9.7215999999999997E-2"/>
        <n v="8.9151999999999995E-2"/>
        <n v="1.6576E-2"/>
        <n v="1.8928E-2"/>
        <n v="1.9823999999999998E-2"/>
        <n v="1.5456000000000001E-2"/>
        <n v="1.5232000000000001E-2"/>
        <n v="1.5791999999999997E-2"/>
        <n v="1.4896000000000001E-2"/>
        <n v="1.848E-2"/>
        <n v="1.6239999999999997E-2"/>
        <n v="1.6912E-2"/>
        <n v="0.18065600000000001"/>
        <n v="0.22511999999999999"/>
        <n v="0.26084800000000002"/>
        <n v="0.19969599999999998"/>
        <n v="0.18177600000000002"/>
        <n v="0.21615999999999999"/>
        <n v="0.151424"/>
        <n v="0.16844800000000001"/>
        <n v="0.21112"/>
        <n v="0.22534399999999999"/>
        <n v="0.20574400000000001"/>
        <n v="0.14873600000000001"/>
        <n v="1.9333585842400001E-2"/>
        <n v="7.1229000471999997E-3"/>
        <n v="0.21826600858920006"/>
        <n v="0.1699320439832"/>
        <n v="0.34800454516320006"/>
        <n v="34.028800000000004"/>
        <n v="27.843700000000002"/>
        <n v="0.23608999999999999"/>
        <n v="2.2999999999999998"/>
        <n v="0.34"/>
        <n v="0.02"/>
        <n v="0.17"/>
        <n v="0.05"/>
        <n v="0.78959999999999986"/>
        <n v="0.16243199999999999"/>
        <n v="0.54143999999999992"/>
        <n v="2.4816000000000003"/>
        <n v="3.9705599999999999"/>
        <n v="0.48052799999999996"/>
        <n v="2.6304959999999995"/>
        <n v="1.1844000000000001"/>
        <n v="9.4436160000000005"/>
        <n v="4.9632000000000005"/>
        <n v="5.4143999999999997"/>
        <n v="4.273315633152E-2"/>
        <n v="9.4962569625599985E-3"/>
        <n v="2.1694035302400001E-2"/>
        <n v="3.16200797568E-2"/>
        <n v="3.8373883199999993E-2"/>
        <n v="1.8965908032768004E-2"/>
        <n v="8.9999999999999992E-5"/>
        <n v="1.2E-5"/>
        <n v="2.6999999999999999E-5"/>
        <n v="4.1000000000000002E-2"/>
        <n v="1.4E-2"/>
        <n v="14.238"/>
        <n v="13.379"/>
        <n v="1.8979999999999999"/>
        <n v="3.04"/>
        <n v="4.4044800000000005E-3"/>
        <n v="1.624152E-4"/>
        <n v="0.48687701446787646"/>
        <n v="0.28612721964693166"/>
        <n v="0.28219606277389553"/>
        <n v="0.27948168422287395"/>
        <n v="0.26930952390640894"/>
        <n v="0.26988914340734027"/>
        <n v="0.35332834434434435"/>
        <n v="0.34016223835528431"/>
        <n v="0.34560216971279373"/>
        <n v="12.71"/>
        <n v="11.2"/>
        <n v="1.85"/>
        <n v="3.85"/>
        <n v="3.55"/>
        <n v="4.8023999999999996"/>
        <n v="2"/>
        <n v="1.6704000000000001"/>
        <n v="4.1760000000000002"/>
        <n v="2.2528000000000001"/>
        <n v="10.8576"/>
        <n v="3.7584"/>
        <n v="24.169915439999997"/>
        <n v="11.039271039999999"/>
        <n v="14.6246525"/>
        <n v="8.7796224000000009"/>
        <n v="17.75813724"/>
        <n v="0.17016999999999996"/>
        <n v="9.008999999999999E-2"/>
        <n v="2.5739999999999999E-3"/>
        <n v="5.679E-2"/>
        <e v="#REF!"/>
        <n v="4.3"/>
        <n v="3.6654969600000004E-2"/>
        <n v="0.10996490880000001"/>
        <n v="0.61014595586500531"/>
        <n v="0.13866623503560002"/>
        <n v="0.13247152350479999"/>
        <n v="0.14295488147999996"/>
        <n v="0.13501294361999999"/>
        <n v="7.1477440739999981E-2"/>
        <n v="5.5593565019999999E-2"/>
        <n v="0.38480000000000003"/>
        <n v="0.13852799999999998"/>
        <n v="0.46175999999999995"/>
        <n v="2.1164000000000001"/>
        <n v="3.3862399999999999"/>
        <n v="0.40981200000000001"/>
        <n v="2.2433839999999998"/>
        <n v="1.0101000000000002"/>
        <n v="8.053863999999999"/>
        <n v="4.2328000000000001"/>
        <n v="4.6175999999999995"/>
        <n v="1.9047600000000001E-2"/>
        <n v="4.2328000000000001E-3"/>
        <n v="9.2352000000000007E-3"/>
        <n v="1.0581999999999999E-2"/>
        <n v="1.1544E-2"/>
        <n v="6.9264000000000001E-3"/>
        <n v="0.130832"/>
        <n v="6.9263999999999992E-2"/>
        <n v="3.4631999999999996E-2"/>
        <n v="0.17315999999999998"/>
        <n v="2.3088000000000001E-2"/>
        <n v="5.1948000000000001E-2"/>
        <n v="14.3474112"/>
        <n v="20.232806400000001"/>
        <n v="20.259936000000003"/>
        <n v="21.0567168"/>
        <n v="19.8567936"/>
        <n v="2.5019711999999998"/>
        <n v="2.8492992000000004"/>
        <n v="2.5987391999999998"/>
        <n v="2.5907904000000004"/>
        <n v="2.1988799999999999"/>
        <n v="1.8111168"/>
        <n v="1.6673472"/>
        <n v="1.4561856"/>
        <n v="0.1059264"/>
        <n v="9.2620800000000017E-2"/>
        <n v="8.9164800000000016E-2"/>
        <n v="0.1060992"/>
        <n v="0.10558080000000002"/>
        <n v="0.13703040000000002"/>
        <n v="0.18316800000000003"/>
        <n v="0.14411520000000003"/>
        <n v="0.16796160000000002"/>
        <n v="3.3523200000000003E-2"/>
        <n v="1.6934399999999999E-2"/>
        <n v="1.1404800000000001E-2"/>
        <n v="1.2096000000000003E-2"/>
        <n v="1.4860799999999999E-2"/>
        <n v="1.26144E-2"/>
        <n v="9.1584000000000006E-3"/>
        <n v="1.0540800000000001E-2"/>
        <n v="8.778240000000001E-2"/>
        <n v="7.3958399999999994E-2"/>
        <n v="7.7414399999999994E-2"/>
        <n v="7.7068800000000007E-2"/>
        <n v="8.6918400000000007E-2"/>
        <n v="7.4822399999999997E-2"/>
        <n v="7.0329600000000006E-2"/>
        <n v="7.6723200000000005E-2"/>
        <n v="0.1083456"/>
        <n v="0.1225152"/>
        <n v="0.13443840000000001"/>
        <n v="0.12752640000000001"/>
        <n v="0.11456640000000001"/>
        <n v="0.11283840000000001"/>
        <n v="0.12769920000000001"/>
        <n v="4.0089600000000003E-2"/>
        <n v="3.6806400000000003E-2"/>
        <n v="5.2358400000000006E-2"/>
        <n v="0.11162880000000001"/>
        <n v="0.14204159999999999"/>
        <n v="0.10903680000000002"/>
        <n v="0.1190592"/>
        <n v="0.1237248"/>
        <n v="2.0736000000000001E-2"/>
        <n v="1.9180800000000001E-2"/>
        <n v="2.1772800000000002E-2"/>
        <n v="1.9008000000000004E-2"/>
        <n v="1.7625599999999998E-2"/>
        <n v="1.5552E-2"/>
        <n v="1.6761600000000001E-2"/>
        <n v="0.3074112"/>
        <n v="0.31812479999999999"/>
        <n v="0.3336768"/>
        <n v="0.37704959999999998"/>
        <n v="0.37186560000000002"/>
        <n v="0.37929599999999997"/>
        <n v="0.30827520000000003"/>
        <n v="0.32037120000000002"/>
        <n v="0.34560000000000002"/>
        <n v="84.522393926549356"/>
        <n v="48.711206386610066"/>
        <n v="46.949025560992112"/>
        <n v="12.213513624795191"/>
        <n v="7.4123531753587013"/>
        <n v="3.5127643630079995E-2"/>
        <n v="7.6942057022547772"/>
        <n v="1.48621064060803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x v="0"/>
    <x v="0"/>
    <x v="0"/>
    <x v="0"/>
    <s v="Laboratorios"/>
    <n v="1"/>
    <s v="Galón"/>
    <n v="0.01"/>
    <n v="0"/>
    <n v="0"/>
    <n v="0"/>
    <x v="0"/>
  </r>
  <r>
    <x v="0"/>
    <x v="0"/>
    <x v="0"/>
    <x v="0"/>
    <x v="1"/>
    <s v="Legacy"/>
    <n v="212"/>
    <s v="Galón"/>
    <n v="1.9423439999999998"/>
    <n v="1.9080000000000002E-6"/>
    <n v="1.1448E-6"/>
    <n v="0"/>
    <x v="1"/>
  </r>
  <r>
    <x v="0"/>
    <x v="0"/>
    <x v="0"/>
    <x v="0"/>
    <x v="2"/>
    <s v="Legacy"/>
    <n v="1371"/>
    <s v="m3"/>
    <n v="2.2715718012064001"/>
    <n v="4.4420399999999999E-5"/>
    <n v="4.4050229999999998E-6"/>
    <n v="0"/>
    <x v="2"/>
  </r>
  <r>
    <x v="0"/>
    <x v="0"/>
    <x v="0"/>
    <x v="1"/>
    <x v="3"/>
    <m/>
    <n v="19.724"/>
    <s v="Galón"/>
    <n v="0.15635609280000001"/>
    <n v="5.201218799999999E-6"/>
    <n v="4.9704480000000006E-7"/>
    <n v="0"/>
    <x v="3"/>
  </r>
  <r>
    <x v="0"/>
    <x v="0"/>
    <x v="0"/>
    <x v="1"/>
    <x v="4"/>
    <m/>
    <n v="18.364999999999998"/>
    <s v="Galón"/>
    <n v="0.14558302799999998"/>
    <n v="4.8428504999999986E-6"/>
    <n v="4.6279799999999993E-7"/>
    <n v="0"/>
    <x v="4"/>
  </r>
  <r>
    <x v="0"/>
    <x v="0"/>
    <x v="0"/>
    <x v="1"/>
    <x v="5"/>
    <m/>
    <n v="18.369"/>
    <s v="Galón"/>
    <n v="0.14561473680000001"/>
    <n v="4.8439052999999996E-6"/>
    <n v="4.6289879999999998E-7"/>
    <n v="0"/>
    <x v="5"/>
  </r>
  <r>
    <x v="0"/>
    <x v="0"/>
    <x v="0"/>
    <x v="1"/>
    <x v="6"/>
    <m/>
    <n v="16.972999999999999"/>
    <s v="Galón"/>
    <n v="0.13454836559999997"/>
    <n v="4.4757800999999998E-6"/>
    <n v="4.277196E-7"/>
    <n v="0"/>
    <x v="6"/>
  </r>
  <r>
    <x v="0"/>
    <x v="0"/>
    <x v="0"/>
    <x v="1"/>
    <x v="7"/>
    <m/>
    <n v="18.402999999999999"/>
    <s v="Galón"/>
    <n v="0.14588426160000001"/>
    <n v="4.8528710999999995E-6"/>
    <n v="4.6375559999999999E-7"/>
    <n v="0"/>
    <x v="7"/>
  </r>
  <r>
    <x v="0"/>
    <x v="0"/>
    <x v="0"/>
    <x v="1"/>
    <x v="8"/>
    <m/>
    <n v="12.548999999999999"/>
    <s v="Galón"/>
    <n v="9.9478432800000002E-2"/>
    <n v="3.3091713000000001E-6"/>
    <n v="3.1623480000000001E-7"/>
    <n v="0"/>
    <x v="8"/>
  </r>
  <r>
    <x v="0"/>
    <x v="0"/>
    <x v="0"/>
    <x v="1"/>
    <x v="9"/>
    <m/>
    <n v="13.699"/>
    <s v="Galón"/>
    <n v="0.10859471279999999"/>
    <n v="3.6124263000000005E-6"/>
    <n v="3.4521480000000005E-7"/>
    <n v="0"/>
    <x v="9"/>
  </r>
  <r>
    <x v="0"/>
    <x v="0"/>
    <x v="0"/>
    <x v="1"/>
    <x v="10"/>
    <m/>
    <n v="16.853000000000002"/>
    <s v="Galón"/>
    <n v="0.13359710159999999"/>
    <n v="4.4441361000000013E-6"/>
    <n v="4.2469560000000006E-7"/>
    <n v="0"/>
    <x v="10"/>
  </r>
  <r>
    <x v="0"/>
    <x v="0"/>
    <x v="0"/>
    <x v="1"/>
    <x v="11"/>
    <m/>
    <n v="8.8450000000000006"/>
    <s v="Galón"/>
    <n v="7.0116083999999995E-2"/>
    <n v="2.3324264999999999E-6"/>
    <n v="2.2289400000000001E-7"/>
    <n v="0"/>
    <x v="11"/>
  </r>
  <r>
    <x v="0"/>
    <x v="0"/>
    <x v="0"/>
    <x v="1"/>
    <x v="12"/>
    <m/>
    <n v="15.51"/>
    <s v="Galón"/>
    <n v="0.12295087199999999"/>
    <n v="4.0899870000000001E-6"/>
    <n v="3.9085199999999998E-7"/>
    <n v="0"/>
    <x v="12"/>
  </r>
  <r>
    <x v="0"/>
    <x v="0"/>
    <x v="0"/>
    <x v="1"/>
    <x v="13"/>
    <m/>
    <n v="15.15"/>
    <s v="Galón"/>
    <n v="0.12009707999999999"/>
    <n v="3.9950550000000003E-6"/>
    <n v="3.8178000000000002E-7"/>
    <n v="0"/>
    <x v="13"/>
  </r>
  <r>
    <x v="0"/>
    <x v="0"/>
    <x v="0"/>
    <x v="1"/>
    <x v="14"/>
    <m/>
    <n v="12.3"/>
    <s v="Galón"/>
    <n v="9.7504560000000004E-2"/>
    <n v="3.2435099999999998E-6"/>
    <n v="3.0996E-7"/>
    <n v="0"/>
    <x v="14"/>
  </r>
  <r>
    <x v="0"/>
    <x v="0"/>
    <x v="1"/>
    <x v="2"/>
    <x v="15"/>
    <s v="Legacy"/>
    <n v="1000"/>
    <s v="g"/>
    <n v="0"/>
    <n v="0"/>
    <n v="0"/>
    <n v="2.0000000000000001E-4"/>
    <x v="15"/>
  </r>
  <r>
    <x v="0"/>
    <x v="0"/>
    <x v="1"/>
    <x v="2"/>
    <x v="16"/>
    <s v="Legacy"/>
    <n v="720"/>
    <s v="g"/>
    <n v="0"/>
    <n v="0"/>
    <n v="0"/>
    <n v="7.1999999999999988E-5"/>
    <x v="16"/>
  </r>
  <r>
    <x v="0"/>
    <x v="0"/>
    <x v="1"/>
    <x v="2"/>
    <x v="17"/>
    <s v="Legacy"/>
    <n v="2400"/>
    <s v="g"/>
    <n v="0"/>
    <n v="0"/>
    <n v="0"/>
    <n v="2.3999999999999998E-4"/>
    <x v="17"/>
  </r>
  <r>
    <x v="0"/>
    <x v="0"/>
    <x v="1"/>
    <x v="2"/>
    <x v="18"/>
    <s v="Legacy"/>
    <n v="11000"/>
    <s v="g"/>
    <n v="0"/>
    <n v="0"/>
    <n v="0"/>
    <n v="1.1000000000000001E-3"/>
    <x v="18"/>
  </r>
  <r>
    <x v="0"/>
    <x v="0"/>
    <x v="1"/>
    <x v="2"/>
    <x v="19"/>
    <s v="Legacy"/>
    <n v="17600"/>
    <s v="g"/>
    <n v="0"/>
    <n v="0"/>
    <n v="0"/>
    <n v="1.7600000000000001E-3"/>
    <x v="19"/>
  </r>
  <r>
    <x v="0"/>
    <x v="0"/>
    <x v="1"/>
    <x v="2"/>
    <x v="20"/>
    <s v="Legacy"/>
    <n v="2130"/>
    <s v="g"/>
    <n v="0"/>
    <n v="0"/>
    <n v="0"/>
    <n v="2.13E-4"/>
    <x v="20"/>
  </r>
  <r>
    <x v="0"/>
    <x v="0"/>
    <x v="1"/>
    <x v="2"/>
    <x v="21"/>
    <s v="Legacy"/>
    <n v="11660"/>
    <s v="g"/>
    <n v="0"/>
    <n v="0"/>
    <n v="0"/>
    <n v="1.1659999999999999E-3"/>
    <x v="21"/>
  </r>
  <r>
    <x v="0"/>
    <x v="0"/>
    <x v="1"/>
    <x v="2"/>
    <x v="22"/>
    <s v="Legacy"/>
    <n v="5250"/>
    <s v="g"/>
    <n v="0"/>
    <n v="0"/>
    <n v="0"/>
    <n v="5.2500000000000008E-4"/>
    <x v="22"/>
  </r>
  <r>
    <x v="0"/>
    <x v="0"/>
    <x v="1"/>
    <x v="2"/>
    <x v="23"/>
    <s v="Legacy"/>
    <n v="41860"/>
    <s v="g"/>
    <n v="0"/>
    <n v="0"/>
    <n v="0"/>
    <n v="4.1859999999999996E-3"/>
    <x v="23"/>
  </r>
  <r>
    <x v="0"/>
    <x v="0"/>
    <x v="1"/>
    <x v="2"/>
    <x v="24"/>
    <s v="Legacy"/>
    <n v="22000"/>
    <s v="g"/>
    <n v="0"/>
    <n v="0"/>
    <n v="0"/>
    <n v="2.2000000000000001E-3"/>
    <x v="24"/>
  </r>
  <r>
    <x v="0"/>
    <x v="0"/>
    <x v="1"/>
    <x v="2"/>
    <x v="25"/>
    <s v="Legacy"/>
    <n v="24000"/>
    <s v="g"/>
    <n v="0"/>
    <n v="0"/>
    <n v="0"/>
    <n v="2.3999999999999998E-3"/>
    <x v="25"/>
  </r>
  <r>
    <x v="0"/>
    <x v="0"/>
    <x v="1"/>
    <x v="2"/>
    <x v="26"/>
    <s v="Legacy"/>
    <n v="99"/>
    <s v="g"/>
    <n v="0"/>
    <n v="0"/>
    <n v="0"/>
    <n v="9.9000000000000001E-6"/>
    <x v="26"/>
  </r>
  <r>
    <x v="0"/>
    <x v="0"/>
    <x v="1"/>
    <x v="2"/>
    <x v="27"/>
    <s v="Legacy"/>
    <n v="22"/>
    <s v="g"/>
    <n v="0"/>
    <n v="0"/>
    <n v="0"/>
    <n v="2.2000000000000001E-6"/>
    <x v="27"/>
  </r>
  <r>
    <x v="0"/>
    <x v="0"/>
    <x v="1"/>
    <x v="2"/>
    <x v="28"/>
    <s v="Legacy"/>
    <n v="48"/>
    <s v="g"/>
    <n v="0"/>
    <n v="0"/>
    <n v="0"/>
    <n v="4.8000000000000006E-6"/>
    <x v="28"/>
  </r>
  <r>
    <x v="0"/>
    <x v="0"/>
    <x v="1"/>
    <x v="2"/>
    <x v="29"/>
    <s v="Legacy"/>
    <n v="55"/>
    <s v="g"/>
    <n v="0"/>
    <n v="0"/>
    <n v="0"/>
    <n v="5.4999999999999999E-6"/>
    <x v="29"/>
  </r>
  <r>
    <x v="0"/>
    <x v="0"/>
    <x v="1"/>
    <x v="2"/>
    <x v="30"/>
    <s v="Legacy"/>
    <n v="60"/>
    <s v="g"/>
    <n v="0"/>
    <n v="0"/>
    <n v="0"/>
    <n v="6.0000000000000002E-6"/>
    <x v="30"/>
  </r>
  <r>
    <x v="0"/>
    <x v="0"/>
    <x v="1"/>
    <x v="2"/>
    <x v="31"/>
    <s v="Legacy"/>
    <n v="36"/>
    <s v="g"/>
    <n v="0"/>
    <n v="0"/>
    <n v="0"/>
    <n v="3.5999999999999998E-6"/>
    <x v="31"/>
  </r>
  <r>
    <x v="0"/>
    <x v="0"/>
    <x v="2"/>
    <x v="2"/>
    <x v="32"/>
    <s v="Laboratorios"/>
    <n v="340"/>
    <s v="g"/>
    <n v="0"/>
    <n v="0"/>
    <n v="0"/>
    <n v="6.7999999999999999E-5"/>
    <x v="32"/>
  </r>
  <r>
    <x v="0"/>
    <x v="0"/>
    <x v="2"/>
    <x v="2"/>
    <x v="32"/>
    <s v="Laboratorios"/>
    <n v="180"/>
    <s v="g"/>
    <n v="0"/>
    <n v="0"/>
    <n v="0"/>
    <n v="3.5999999999999994E-5"/>
    <x v="33"/>
  </r>
  <r>
    <x v="0"/>
    <x v="0"/>
    <x v="2"/>
    <x v="2"/>
    <x v="33"/>
    <s v="Laboratorios"/>
    <n v="180"/>
    <s v="g"/>
    <n v="0"/>
    <n v="0"/>
    <n v="0"/>
    <n v="1.7999999999999997E-5"/>
    <x v="34"/>
  </r>
  <r>
    <x v="0"/>
    <x v="0"/>
    <x v="2"/>
    <x v="2"/>
    <x v="34"/>
    <s v="Av. Chile"/>
    <n v="600"/>
    <s v="g"/>
    <n v="0"/>
    <n v="0"/>
    <n v="0"/>
    <n v="8.9999999999999992E-5"/>
    <x v="35"/>
  </r>
  <r>
    <x v="0"/>
    <x v="0"/>
    <x v="2"/>
    <x v="2"/>
    <x v="35"/>
    <s v="Legacy"/>
    <n v="80"/>
    <s v="g"/>
    <n v="0"/>
    <n v="0"/>
    <n v="0"/>
    <n v="1.2E-5"/>
    <x v="36"/>
  </r>
  <r>
    <x v="0"/>
    <x v="0"/>
    <x v="3"/>
    <x v="2"/>
    <x v="36"/>
    <s v="Laboratorios"/>
    <n v="180"/>
    <s v="g"/>
    <n v="0"/>
    <n v="0"/>
    <n v="0"/>
    <n v="2.6999999999999999E-5"/>
    <x v="37"/>
  </r>
  <r>
    <x v="0"/>
    <x v="0"/>
    <x v="4"/>
    <x v="2"/>
    <x v="37"/>
    <m/>
    <n v="40.799999999999997"/>
    <s v="kg"/>
    <n v="1.0199999999999999E-2"/>
    <n v="0"/>
    <n v="0"/>
    <n v="0"/>
    <x v="38"/>
  </r>
  <r>
    <x v="0"/>
    <x v="0"/>
    <x v="4"/>
    <x v="2"/>
    <x v="38"/>
    <m/>
    <n v="13.5"/>
    <s v="kg"/>
    <n v="3.375E-3"/>
    <n v="0"/>
    <n v="0"/>
    <n v="0"/>
    <x v="39"/>
  </r>
  <r>
    <x v="0"/>
    <x v="0"/>
    <x v="4"/>
    <x v="2"/>
    <x v="39"/>
    <m/>
    <n v="157.5"/>
    <s v="kg"/>
    <n v="0"/>
    <n v="0"/>
    <n v="0"/>
    <n v="3.5594999999999999"/>
    <x v="40"/>
  </r>
  <r>
    <x v="0"/>
    <x v="0"/>
    <x v="4"/>
    <x v="2"/>
    <x v="40"/>
    <m/>
    <n v="148"/>
    <s v="kg"/>
    <n v="0"/>
    <n v="0"/>
    <n v="0"/>
    <n v="3.3448000000000002"/>
    <x v="41"/>
  </r>
  <r>
    <x v="0"/>
    <x v="0"/>
    <x v="4"/>
    <x v="2"/>
    <x v="41"/>
    <m/>
    <n v="21"/>
    <s v="kg"/>
    <n v="0"/>
    <n v="0"/>
    <n v="0"/>
    <n v="0.47460000000000002"/>
    <x v="42"/>
  </r>
  <r>
    <x v="0"/>
    <x v="0"/>
    <x v="5"/>
    <x v="2"/>
    <x v="42"/>
    <s v="Laboratorios"/>
    <n v="0"/>
    <s v="m3"/>
    <n v="0"/>
    <n v="0"/>
    <n v="0"/>
    <n v="0"/>
    <x v="43"/>
  </r>
  <r>
    <x v="0"/>
    <x v="1"/>
    <x v="6"/>
    <x v="3"/>
    <x v="43"/>
    <s v="Legacy"/>
    <n v="85457"/>
    <s v="kWh"/>
    <n v="0"/>
    <n v="0"/>
    <n v="0"/>
    <n v="0"/>
    <x v="44"/>
  </r>
  <r>
    <x v="0"/>
    <x v="1"/>
    <x v="7"/>
    <x v="3"/>
    <x v="44"/>
    <s v="Legacy"/>
    <n v="100021"/>
    <s v="kWh"/>
    <n v="0"/>
    <n v="0"/>
    <n v="0"/>
    <n v="0"/>
    <x v="45"/>
  </r>
  <r>
    <x v="0"/>
    <x v="1"/>
    <x v="8"/>
    <x v="3"/>
    <x v="45"/>
    <s v="Legacy"/>
    <n v="117306"/>
    <s v="kWh"/>
    <n v="0"/>
    <n v="0"/>
    <n v="0"/>
    <n v="0"/>
    <x v="46"/>
  </r>
  <r>
    <x v="0"/>
    <x v="1"/>
    <x v="9"/>
    <x v="3"/>
    <x v="46"/>
    <s v="Legacy"/>
    <n v="97298"/>
    <s v="kWh"/>
    <n v="0"/>
    <n v="0"/>
    <n v="0"/>
    <n v="0"/>
    <x v="47"/>
  </r>
  <r>
    <x v="0"/>
    <x v="1"/>
    <x v="10"/>
    <x v="3"/>
    <x v="47"/>
    <s v="Legacy"/>
    <n v="117266"/>
    <s v="kWh"/>
    <n v="0"/>
    <n v="0"/>
    <n v="0"/>
    <n v="0"/>
    <x v="48"/>
  </r>
  <r>
    <x v="0"/>
    <x v="1"/>
    <x v="11"/>
    <x v="3"/>
    <x v="48"/>
    <s v="Legacy"/>
    <n v="99520"/>
    <s v="kWh"/>
    <n v="0"/>
    <n v="0"/>
    <n v="0"/>
    <n v="0"/>
    <x v="49"/>
  </r>
  <r>
    <x v="0"/>
    <x v="1"/>
    <x v="12"/>
    <x v="3"/>
    <x v="49"/>
    <s v="Legacy"/>
    <n v="96531"/>
    <s v="kWh"/>
    <n v="0"/>
    <n v="0"/>
    <n v="0"/>
    <n v="0"/>
    <x v="50"/>
  </r>
  <r>
    <x v="0"/>
    <x v="1"/>
    <x v="13"/>
    <x v="3"/>
    <x v="50"/>
    <s v="Legacy"/>
    <n v="121645"/>
    <s v="kWh"/>
    <n v="0"/>
    <n v="0"/>
    <n v="0"/>
    <n v="0"/>
    <x v="51"/>
  </r>
  <r>
    <x v="0"/>
    <x v="1"/>
    <x v="14"/>
    <x v="3"/>
    <x v="51"/>
    <s v="Legacy"/>
    <n v="115730"/>
    <s v="kWh"/>
    <n v="0"/>
    <n v="0"/>
    <n v="0"/>
    <n v="0"/>
    <x v="52"/>
  </r>
  <r>
    <x v="0"/>
    <x v="1"/>
    <x v="15"/>
    <x v="3"/>
    <x v="52"/>
    <s v="Legacy"/>
    <n v="119490"/>
    <s v="kWh"/>
    <n v="0"/>
    <n v="0"/>
    <n v="0"/>
    <n v="0"/>
    <x v="53"/>
  </r>
  <r>
    <x v="0"/>
    <x v="1"/>
    <x v="16"/>
    <x v="3"/>
    <x v="53"/>
    <s v="Legacy"/>
    <n v="121811"/>
    <s v="kWh"/>
    <n v="0"/>
    <n v="0"/>
    <n v="0"/>
    <n v="0"/>
    <x v="54"/>
  </r>
  <r>
    <x v="0"/>
    <x v="1"/>
    <x v="17"/>
    <x v="3"/>
    <x v="54"/>
    <s v="Legacy"/>
    <n v="86069"/>
    <s v="kWh"/>
    <n v="0"/>
    <n v="0"/>
    <n v="0"/>
    <n v="0"/>
    <x v="55"/>
  </r>
  <r>
    <x v="0"/>
    <x v="1"/>
    <x v="6"/>
    <x v="3"/>
    <x v="55"/>
    <s v="Fundadores"/>
    <n v="17100"/>
    <s v="kWh"/>
    <n v="0"/>
    <n v="0"/>
    <n v="0"/>
    <n v="0"/>
    <x v="56"/>
  </r>
  <r>
    <x v="0"/>
    <x v="1"/>
    <x v="7"/>
    <x v="3"/>
    <x v="56"/>
    <s v="Fundadores"/>
    <n v="12627"/>
    <s v="kWh"/>
    <n v="0"/>
    <n v="0"/>
    <n v="0"/>
    <n v="0"/>
    <x v="57"/>
  </r>
  <r>
    <x v="0"/>
    <x v="1"/>
    <x v="8"/>
    <x v="3"/>
    <x v="57"/>
    <s v="Fundadores"/>
    <n v="15390"/>
    <s v="kWh"/>
    <n v="0"/>
    <n v="0"/>
    <n v="0"/>
    <n v="0"/>
    <x v="58"/>
  </r>
  <r>
    <x v="0"/>
    <x v="1"/>
    <x v="9"/>
    <x v="3"/>
    <x v="58"/>
    <s v="Fundadores"/>
    <n v="14820"/>
    <s v="kWh"/>
    <n v="0"/>
    <n v="0"/>
    <n v="0"/>
    <n v="0"/>
    <x v="59"/>
  </r>
  <r>
    <x v="0"/>
    <x v="1"/>
    <x v="10"/>
    <x v="3"/>
    <x v="59"/>
    <s v="Fundadores"/>
    <n v="18240"/>
    <s v="kWh"/>
    <n v="0"/>
    <n v="0"/>
    <n v="0"/>
    <n v="0"/>
    <x v="60"/>
  </r>
  <r>
    <x v="0"/>
    <x v="1"/>
    <x v="11"/>
    <x v="3"/>
    <x v="60"/>
    <s v="Fundadores"/>
    <n v="18240"/>
    <s v="kWh"/>
    <n v="0"/>
    <n v="0"/>
    <n v="0"/>
    <n v="0"/>
    <x v="60"/>
  </r>
  <r>
    <x v="0"/>
    <x v="1"/>
    <x v="12"/>
    <x v="3"/>
    <x v="61"/>
    <s v="Fundadores"/>
    <n v="15390"/>
    <s v="kWh"/>
    <n v="0"/>
    <n v="0"/>
    <n v="0"/>
    <n v="0"/>
    <x v="58"/>
  </r>
  <r>
    <x v="0"/>
    <x v="1"/>
    <x v="13"/>
    <x v="3"/>
    <x v="62"/>
    <s v="Fundadores"/>
    <n v="15390"/>
    <s v="kWh"/>
    <n v="0"/>
    <n v="0"/>
    <n v="0"/>
    <n v="0"/>
    <x v="58"/>
  </r>
  <r>
    <x v="0"/>
    <x v="1"/>
    <x v="14"/>
    <x v="3"/>
    <x v="63"/>
    <s v="Fundadores"/>
    <n v="17100"/>
    <s v="kWh"/>
    <n v="0"/>
    <n v="0"/>
    <n v="0"/>
    <n v="0"/>
    <x v="56"/>
  </r>
  <r>
    <x v="0"/>
    <x v="1"/>
    <x v="15"/>
    <x v="3"/>
    <x v="64"/>
    <s v="Fundadores"/>
    <n v="30210"/>
    <s v="kWh"/>
    <n v="0"/>
    <n v="0"/>
    <n v="0"/>
    <n v="0"/>
    <x v="61"/>
  </r>
  <r>
    <x v="0"/>
    <x v="1"/>
    <x v="16"/>
    <x v="3"/>
    <x v="65"/>
    <s v="Fundadores"/>
    <n v="21533"/>
    <s v="kWh"/>
    <n v="0"/>
    <n v="0"/>
    <n v="0"/>
    <n v="0"/>
    <x v="62"/>
  </r>
  <r>
    <x v="0"/>
    <x v="1"/>
    <x v="17"/>
    <x v="3"/>
    <x v="66"/>
    <s v="Fundadores"/>
    <n v="18810"/>
    <s v="kWh"/>
    <n v="0"/>
    <n v="0"/>
    <n v="0"/>
    <n v="0"/>
    <x v="63"/>
  </r>
  <r>
    <x v="0"/>
    <x v="1"/>
    <x v="6"/>
    <x v="3"/>
    <x v="67"/>
    <s v="Av. Chile"/>
    <n v="506"/>
    <s v="kWh"/>
    <n v="0"/>
    <n v="0"/>
    <n v="0"/>
    <n v="0"/>
    <x v="64"/>
  </r>
  <r>
    <x v="0"/>
    <x v="1"/>
    <x v="7"/>
    <x v="3"/>
    <x v="68"/>
    <s v="Av. Chile"/>
    <n v="346"/>
    <s v="kWh"/>
    <n v="0"/>
    <n v="0"/>
    <n v="0"/>
    <n v="0"/>
    <x v="65"/>
  </r>
  <r>
    <x v="0"/>
    <x v="1"/>
    <x v="8"/>
    <x v="3"/>
    <x v="69"/>
    <s v="Av. Chile"/>
    <n v="416"/>
    <s v="kWh"/>
    <n v="0"/>
    <n v="0"/>
    <n v="0"/>
    <n v="0"/>
    <x v="66"/>
  </r>
  <r>
    <x v="0"/>
    <x v="1"/>
    <x v="9"/>
    <x v="3"/>
    <x v="70"/>
    <s v="Av. Chile"/>
    <n v="512"/>
    <s v="kWh"/>
    <n v="0"/>
    <n v="0"/>
    <n v="0"/>
    <n v="0"/>
    <x v="67"/>
  </r>
  <r>
    <x v="0"/>
    <x v="1"/>
    <x v="10"/>
    <x v="3"/>
    <x v="71"/>
    <s v="Av. Chile"/>
    <n v="526"/>
    <s v="kWh"/>
    <n v="0"/>
    <n v="0"/>
    <n v="0"/>
    <n v="0"/>
    <x v="68"/>
  </r>
  <r>
    <x v="0"/>
    <x v="1"/>
    <x v="11"/>
    <x v="3"/>
    <x v="72"/>
    <s v="Av. Chile"/>
    <n v="581"/>
    <s v="kWh"/>
    <n v="0"/>
    <n v="0"/>
    <n v="0"/>
    <n v="0"/>
    <x v="69"/>
  </r>
  <r>
    <x v="0"/>
    <x v="1"/>
    <x v="12"/>
    <x v="3"/>
    <x v="73"/>
    <s v="Av. Chile"/>
    <n v="634"/>
    <s v="kWh"/>
    <n v="0"/>
    <n v="0"/>
    <n v="0"/>
    <n v="0"/>
    <x v="70"/>
  </r>
  <r>
    <x v="0"/>
    <x v="1"/>
    <x v="13"/>
    <x v="3"/>
    <x v="74"/>
    <s v="Av. Chile"/>
    <n v="537"/>
    <s v="kWh"/>
    <n v="0"/>
    <n v="0"/>
    <n v="0"/>
    <n v="0"/>
    <x v="71"/>
  </r>
  <r>
    <x v="0"/>
    <x v="1"/>
    <x v="14"/>
    <x v="3"/>
    <x v="75"/>
    <s v="Av. Chile"/>
    <n v="753"/>
    <s v="kWh"/>
    <n v="0"/>
    <n v="0"/>
    <n v="0"/>
    <n v="0"/>
    <x v="72"/>
  </r>
  <r>
    <x v="0"/>
    <x v="1"/>
    <x v="15"/>
    <x v="3"/>
    <x v="76"/>
    <s v="Av. Chile"/>
    <n v="810"/>
    <s v="kWh"/>
    <n v="0"/>
    <n v="0"/>
    <n v="0"/>
    <n v="0"/>
    <x v="73"/>
  </r>
  <r>
    <x v="0"/>
    <x v="1"/>
    <x v="16"/>
    <x v="3"/>
    <x v="77"/>
    <s v="Av. Chile"/>
    <n v="1072"/>
    <s v="kWh"/>
    <n v="0"/>
    <n v="0"/>
    <n v="0"/>
    <n v="0"/>
    <x v="74"/>
  </r>
  <r>
    <x v="0"/>
    <x v="1"/>
    <x v="17"/>
    <x v="3"/>
    <x v="78"/>
    <s v="Av. Chile"/>
    <n v="733"/>
    <s v="kWh"/>
    <n v="0"/>
    <n v="0"/>
    <n v="0"/>
    <n v="0"/>
    <x v="75"/>
  </r>
  <r>
    <x v="0"/>
    <x v="1"/>
    <x v="6"/>
    <x v="3"/>
    <x v="79"/>
    <s v="Av. Chile"/>
    <n v="181"/>
    <s v="kWh"/>
    <n v="0"/>
    <n v="0"/>
    <n v="0"/>
    <n v="0"/>
    <x v="76"/>
  </r>
  <r>
    <x v="0"/>
    <x v="1"/>
    <x v="7"/>
    <x v="3"/>
    <x v="80"/>
    <s v="Av. Chile"/>
    <n v="108"/>
    <s v="kWh"/>
    <n v="0"/>
    <n v="0"/>
    <n v="0"/>
    <n v="0"/>
    <x v="77"/>
  </r>
  <r>
    <x v="0"/>
    <x v="1"/>
    <x v="8"/>
    <x v="3"/>
    <x v="81"/>
    <s v="Av. Chile"/>
    <n v="87"/>
    <s v="kWh"/>
    <n v="0"/>
    <n v="0"/>
    <n v="0"/>
    <n v="0"/>
    <x v="78"/>
  </r>
  <r>
    <x v="0"/>
    <x v="1"/>
    <x v="9"/>
    <x v="3"/>
    <x v="82"/>
    <s v="Av. Chile"/>
    <n v="71"/>
    <s v="kWh"/>
    <n v="0"/>
    <n v="0"/>
    <n v="0"/>
    <n v="0"/>
    <x v="79"/>
  </r>
  <r>
    <x v="0"/>
    <x v="1"/>
    <x v="10"/>
    <x v="3"/>
    <x v="83"/>
    <s v="Av. Chile"/>
    <n v="92"/>
    <s v="kWh"/>
    <n v="0"/>
    <n v="0"/>
    <n v="0"/>
    <n v="0"/>
    <x v="80"/>
  </r>
  <r>
    <x v="0"/>
    <x v="1"/>
    <x v="11"/>
    <x v="3"/>
    <x v="84"/>
    <s v="Av. Chile"/>
    <n v="44"/>
    <s v="kWh"/>
    <n v="0"/>
    <n v="0"/>
    <n v="0"/>
    <n v="0"/>
    <x v="81"/>
  </r>
  <r>
    <x v="0"/>
    <x v="1"/>
    <x v="12"/>
    <x v="3"/>
    <x v="85"/>
    <s v="Av. Chile"/>
    <n v="43"/>
    <s v="kWh"/>
    <n v="0"/>
    <n v="0"/>
    <n v="0"/>
    <n v="0"/>
    <x v="82"/>
  </r>
  <r>
    <x v="0"/>
    <x v="1"/>
    <x v="13"/>
    <x v="3"/>
    <x v="86"/>
    <s v="Av. Chile"/>
    <n v="40"/>
    <s v="kWh"/>
    <n v="0"/>
    <n v="0"/>
    <n v="0"/>
    <n v="0"/>
    <x v="83"/>
  </r>
  <r>
    <x v="0"/>
    <x v="1"/>
    <x v="14"/>
    <x v="3"/>
    <x v="87"/>
    <s v="Av. Chile"/>
    <n v="47"/>
    <s v="kWh"/>
    <n v="0"/>
    <n v="0"/>
    <n v="0"/>
    <n v="0"/>
    <x v="84"/>
  </r>
  <r>
    <x v="0"/>
    <x v="1"/>
    <x v="15"/>
    <x v="3"/>
    <x v="88"/>
    <s v="Av. Chile"/>
    <n v="11"/>
    <s v="kWh"/>
    <n v="0"/>
    <n v="0"/>
    <n v="0"/>
    <n v="0"/>
    <x v="85"/>
  </r>
  <r>
    <x v="0"/>
    <x v="1"/>
    <x v="16"/>
    <x v="3"/>
    <x v="89"/>
    <s v="Av. Chile"/>
    <n v="46"/>
    <s v="kWh"/>
    <n v="0"/>
    <n v="0"/>
    <n v="0"/>
    <n v="0"/>
    <x v="86"/>
  </r>
  <r>
    <x v="0"/>
    <x v="1"/>
    <x v="17"/>
    <x v="3"/>
    <x v="90"/>
    <s v="Av. Chile"/>
    <n v="49"/>
    <s v="kWh"/>
    <n v="0"/>
    <n v="0"/>
    <n v="0"/>
    <n v="0"/>
    <x v="87"/>
  </r>
  <r>
    <x v="0"/>
    <x v="1"/>
    <x v="6"/>
    <x v="3"/>
    <x v="91"/>
    <s v="Av. Chile"/>
    <n v="556"/>
    <s v="kWh"/>
    <n v="0"/>
    <n v="0"/>
    <n v="0"/>
    <n v="0"/>
    <x v="88"/>
  </r>
  <r>
    <x v="0"/>
    <x v="1"/>
    <x v="7"/>
    <x v="3"/>
    <x v="92"/>
    <s v="Av. Chile"/>
    <n v="488"/>
    <s v="kWh"/>
    <n v="0"/>
    <n v="0"/>
    <n v="0"/>
    <n v="0"/>
    <x v="89"/>
  </r>
  <r>
    <x v="0"/>
    <x v="1"/>
    <x v="8"/>
    <x v="3"/>
    <x v="93"/>
    <s v="Av. Chile"/>
    <n v="467"/>
    <s v="kWh"/>
    <n v="0"/>
    <n v="0"/>
    <n v="0"/>
    <n v="0"/>
    <x v="90"/>
  </r>
  <r>
    <x v="0"/>
    <x v="1"/>
    <x v="9"/>
    <x v="3"/>
    <x v="94"/>
    <s v="Av. Chile"/>
    <n v="471"/>
    <s v="kWh"/>
    <n v="0"/>
    <n v="0"/>
    <n v="0"/>
    <n v="0"/>
    <x v="91"/>
  </r>
  <r>
    <x v="0"/>
    <x v="1"/>
    <x v="10"/>
    <x v="3"/>
    <x v="95"/>
    <s v="Av. Chile"/>
    <n v="443"/>
    <s v="kWh"/>
    <n v="0"/>
    <n v="0"/>
    <n v="0"/>
    <n v="0"/>
    <x v="92"/>
  </r>
  <r>
    <x v="0"/>
    <x v="1"/>
    <x v="11"/>
    <x v="3"/>
    <x v="96"/>
    <s v="Av. Chile"/>
    <n v="454"/>
    <s v="kWh"/>
    <n v="0"/>
    <n v="0"/>
    <n v="0"/>
    <n v="0"/>
    <x v="93"/>
  </r>
  <r>
    <x v="0"/>
    <x v="1"/>
    <x v="12"/>
    <x v="3"/>
    <x v="97"/>
    <s v="Av. Chile"/>
    <n v="502"/>
    <s v="kWh"/>
    <n v="0"/>
    <n v="0"/>
    <n v="0"/>
    <n v="0"/>
    <x v="94"/>
  </r>
  <r>
    <x v="0"/>
    <x v="1"/>
    <x v="13"/>
    <x v="3"/>
    <x v="98"/>
    <s v="Av. Chile"/>
    <n v="478"/>
    <s v="kWh"/>
    <n v="0"/>
    <n v="0"/>
    <n v="0"/>
    <n v="0"/>
    <x v="95"/>
  </r>
  <r>
    <x v="0"/>
    <x v="1"/>
    <x v="14"/>
    <x v="3"/>
    <x v="99"/>
    <s v="Av. Chile"/>
    <n v="496"/>
    <s v="kWh"/>
    <n v="0"/>
    <n v="0"/>
    <n v="0"/>
    <n v="0"/>
    <x v="96"/>
  </r>
  <r>
    <x v="0"/>
    <x v="1"/>
    <x v="15"/>
    <x v="3"/>
    <x v="100"/>
    <s v="Av. Chile"/>
    <n v="466"/>
    <s v="kWh"/>
    <n v="0"/>
    <n v="0"/>
    <n v="0"/>
    <n v="0"/>
    <x v="97"/>
  </r>
  <r>
    <x v="0"/>
    <x v="1"/>
    <x v="16"/>
    <x v="3"/>
    <x v="101"/>
    <s v="Av. Chile"/>
    <n v="589"/>
    <s v="kWh"/>
    <n v="0"/>
    <n v="0"/>
    <n v="0"/>
    <n v="0"/>
    <x v="98"/>
  </r>
  <r>
    <x v="0"/>
    <x v="1"/>
    <x v="17"/>
    <x v="3"/>
    <x v="102"/>
    <s v="Av. Chile"/>
    <n v="540"/>
    <s v="kWh"/>
    <n v="0"/>
    <n v="0"/>
    <n v="0"/>
    <n v="0"/>
    <x v="99"/>
  </r>
  <r>
    <x v="0"/>
    <x v="1"/>
    <x v="6"/>
    <x v="3"/>
    <x v="103"/>
    <s v="Av. Chile"/>
    <n v="853"/>
    <s v="kWh"/>
    <n v="0"/>
    <n v="0"/>
    <n v="0"/>
    <n v="0"/>
    <x v="100"/>
  </r>
  <r>
    <x v="0"/>
    <x v="1"/>
    <x v="7"/>
    <x v="3"/>
    <x v="104"/>
    <s v="Av. Chile"/>
    <n v="714"/>
    <s v="kWh"/>
    <n v="0"/>
    <n v="0"/>
    <n v="0"/>
    <n v="0"/>
    <x v="101"/>
  </r>
  <r>
    <x v="0"/>
    <x v="1"/>
    <x v="8"/>
    <x v="3"/>
    <x v="105"/>
    <s v="Av. Chile"/>
    <n v="742"/>
    <s v="kWh"/>
    <n v="0"/>
    <n v="0"/>
    <n v="0"/>
    <n v="0"/>
    <x v="102"/>
  </r>
  <r>
    <x v="0"/>
    <x v="1"/>
    <x v="9"/>
    <x v="3"/>
    <x v="106"/>
    <s v="Av. Chile"/>
    <n v="733"/>
    <s v="kWh"/>
    <n v="0"/>
    <n v="0"/>
    <n v="0"/>
    <n v="0"/>
    <x v="75"/>
  </r>
  <r>
    <x v="0"/>
    <x v="1"/>
    <x v="10"/>
    <x v="3"/>
    <x v="107"/>
    <s v="Av. Chile"/>
    <n v="694"/>
    <s v="kWh"/>
    <n v="0"/>
    <n v="0"/>
    <n v="0"/>
    <n v="0"/>
    <x v="103"/>
  </r>
  <r>
    <x v="0"/>
    <x v="1"/>
    <x v="11"/>
    <x v="3"/>
    <x v="108"/>
    <s v="Av. Chile"/>
    <n v="729"/>
    <s v="kWh"/>
    <n v="0"/>
    <n v="0"/>
    <n v="0"/>
    <n v="0"/>
    <x v="104"/>
  </r>
  <r>
    <x v="0"/>
    <x v="1"/>
    <x v="12"/>
    <x v="3"/>
    <x v="109"/>
    <s v="Av. Chile"/>
    <n v="762"/>
    <s v="kWh"/>
    <n v="0"/>
    <n v="0"/>
    <n v="0"/>
    <n v="0"/>
    <x v="105"/>
  </r>
  <r>
    <x v="0"/>
    <x v="1"/>
    <x v="13"/>
    <x v="3"/>
    <x v="110"/>
    <s v="Av. Chile"/>
    <n v="722"/>
    <s v="kWh"/>
    <n v="0"/>
    <n v="0"/>
    <n v="0"/>
    <n v="0"/>
    <x v="106"/>
  </r>
  <r>
    <x v="0"/>
    <x v="1"/>
    <x v="14"/>
    <x v="3"/>
    <x v="111"/>
    <s v="Av. Chile"/>
    <n v="826"/>
    <s v="kWh"/>
    <n v="0"/>
    <n v="0"/>
    <n v="0"/>
    <n v="0"/>
    <x v="107"/>
  </r>
  <r>
    <x v="0"/>
    <x v="1"/>
    <x v="15"/>
    <x v="3"/>
    <x v="112"/>
    <s v="Av. Chile"/>
    <n v="708"/>
    <s v="kWh"/>
    <n v="0"/>
    <n v="0"/>
    <n v="0"/>
    <n v="0"/>
    <x v="108"/>
  </r>
  <r>
    <x v="0"/>
    <x v="1"/>
    <x v="16"/>
    <x v="3"/>
    <x v="113"/>
    <s v="Av. Chile"/>
    <n v="907"/>
    <s v="kWh"/>
    <n v="0"/>
    <n v="0"/>
    <n v="0"/>
    <n v="0"/>
    <x v="109"/>
  </r>
  <r>
    <x v="0"/>
    <x v="1"/>
    <x v="17"/>
    <x v="3"/>
    <x v="114"/>
    <s v="Av. Chile"/>
    <n v="706"/>
    <s v="kWh"/>
    <n v="0"/>
    <n v="0"/>
    <n v="0"/>
    <n v="0"/>
    <x v="110"/>
  </r>
  <r>
    <x v="0"/>
    <x v="1"/>
    <x v="6"/>
    <x v="3"/>
    <x v="115"/>
    <s v="Av. Chile"/>
    <n v="826"/>
    <s v="kWh"/>
    <n v="0"/>
    <n v="0"/>
    <n v="0"/>
    <n v="0"/>
    <x v="107"/>
  </r>
  <r>
    <x v="0"/>
    <x v="1"/>
    <x v="7"/>
    <x v="3"/>
    <x v="116"/>
    <s v="Av. Chile"/>
    <n v="436"/>
    <s v="kWh"/>
    <n v="0"/>
    <n v="0"/>
    <n v="0"/>
    <n v="0"/>
    <x v="111"/>
  </r>
  <r>
    <x v="0"/>
    <x v="1"/>
    <x v="8"/>
    <x v="3"/>
    <x v="117"/>
    <s v="Av. Chile"/>
    <n v="333"/>
    <s v="kWh"/>
    <n v="0"/>
    <n v="0"/>
    <n v="0"/>
    <n v="0"/>
    <x v="112"/>
  </r>
  <r>
    <x v="0"/>
    <x v="1"/>
    <x v="9"/>
    <x v="3"/>
    <x v="118"/>
    <s v="Av. Chile"/>
    <n v="206"/>
    <s v="kWh"/>
    <n v="0"/>
    <n v="0"/>
    <n v="0"/>
    <n v="0"/>
    <x v="113"/>
  </r>
  <r>
    <x v="0"/>
    <x v="1"/>
    <x v="10"/>
    <x v="3"/>
    <x v="119"/>
    <s v="Av. Chile"/>
    <n v="190"/>
    <s v="kWh"/>
    <n v="0"/>
    <n v="0"/>
    <n v="0"/>
    <n v="0"/>
    <x v="114"/>
  </r>
  <r>
    <x v="0"/>
    <x v="1"/>
    <x v="11"/>
    <x v="3"/>
    <x v="120"/>
    <s v="Av. Chile"/>
    <n v="186"/>
    <s v="kWh"/>
    <n v="0"/>
    <n v="0"/>
    <n v="0"/>
    <n v="0"/>
    <x v="115"/>
  </r>
  <r>
    <x v="0"/>
    <x v="1"/>
    <x v="12"/>
    <x v="3"/>
    <x v="121"/>
    <s v="Av. Chile"/>
    <n v="205"/>
    <s v="kWh"/>
    <n v="0"/>
    <n v="0"/>
    <n v="0"/>
    <n v="0"/>
    <x v="116"/>
  </r>
  <r>
    <x v="0"/>
    <x v="1"/>
    <x v="13"/>
    <x v="3"/>
    <x v="122"/>
    <s v="Av. Chile"/>
    <n v="187"/>
    <s v="kWh"/>
    <n v="0"/>
    <n v="0"/>
    <n v="0"/>
    <n v="0"/>
    <x v="117"/>
  </r>
  <r>
    <x v="0"/>
    <x v="1"/>
    <x v="14"/>
    <x v="3"/>
    <x v="123"/>
    <s v="Av. Chile"/>
    <n v="209"/>
    <s v="kWh"/>
    <n v="0"/>
    <n v="0"/>
    <n v="0"/>
    <n v="0"/>
    <x v="118"/>
  </r>
  <r>
    <x v="0"/>
    <x v="1"/>
    <x v="15"/>
    <x v="3"/>
    <x v="124"/>
    <s v="Av. Chile"/>
    <n v="187"/>
    <s v="kWh"/>
    <n v="0"/>
    <n v="0"/>
    <n v="0"/>
    <n v="0"/>
    <x v="117"/>
  </r>
  <r>
    <x v="0"/>
    <x v="1"/>
    <x v="16"/>
    <x v="3"/>
    <x v="125"/>
    <s v="Av. Chile"/>
    <n v="218"/>
    <s v="kWh"/>
    <n v="0"/>
    <n v="0"/>
    <n v="0"/>
    <n v="0"/>
    <x v="119"/>
  </r>
  <r>
    <x v="0"/>
    <x v="1"/>
    <x v="17"/>
    <x v="3"/>
    <x v="126"/>
    <s v="Av. Chile"/>
    <n v="198"/>
    <s v="kWh"/>
    <n v="0"/>
    <n v="0"/>
    <n v="0"/>
    <n v="0"/>
    <x v="120"/>
  </r>
  <r>
    <x v="0"/>
    <x v="1"/>
    <x v="6"/>
    <x v="3"/>
    <x v="127"/>
    <s v="Av. Chile"/>
    <n v="149"/>
    <s v="kWh"/>
    <n v="0"/>
    <n v="0"/>
    <n v="0"/>
    <n v="0"/>
    <x v="121"/>
  </r>
  <r>
    <x v="0"/>
    <x v="1"/>
    <x v="7"/>
    <x v="3"/>
    <x v="128"/>
    <s v="Av. Chile"/>
    <n v="139"/>
    <s v="kWh"/>
    <n v="0"/>
    <n v="0"/>
    <n v="0"/>
    <n v="0"/>
    <x v="122"/>
  </r>
  <r>
    <x v="0"/>
    <x v="1"/>
    <x v="8"/>
    <x v="3"/>
    <x v="129"/>
    <s v="Av. Chile"/>
    <n v="143"/>
    <s v="kWh"/>
    <n v="0"/>
    <n v="0"/>
    <n v="0"/>
    <n v="0"/>
    <x v="123"/>
  </r>
  <r>
    <x v="0"/>
    <x v="1"/>
    <x v="9"/>
    <x v="3"/>
    <x v="130"/>
    <s v="Av. Chile"/>
    <n v="135"/>
    <s v="kWh"/>
    <n v="0"/>
    <n v="0"/>
    <n v="0"/>
    <n v="0"/>
    <x v="124"/>
  </r>
  <r>
    <x v="0"/>
    <x v="1"/>
    <x v="10"/>
    <x v="3"/>
    <x v="131"/>
    <s v="Av. Chile"/>
    <n v="141"/>
    <s v="kWh"/>
    <n v="0"/>
    <n v="0"/>
    <n v="0"/>
    <n v="0"/>
    <x v="125"/>
  </r>
  <r>
    <x v="0"/>
    <x v="1"/>
    <x v="11"/>
    <x v="3"/>
    <x v="132"/>
    <s v="Av. Chile"/>
    <n v="132"/>
    <s v="kWh"/>
    <n v="0"/>
    <n v="0"/>
    <n v="0"/>
    <n v="0"/>
    <x v="126"/>
  </r>
  <r>
    <x v="0"/>
    <x v="1"/>
    <x v="12"/>
    <x v="3"/>
    <x v="133"/>
    <s v="Av. Chile"/>
    <n v="131"/>
    <s v="kWh"/>
    <n v="0"/>
    <n v="0"/>
    <n v="0"/>
    <n v="0"/>
    <x v="127"/>
  </r>
  <r>
    <x v="0"/>
    <x v="1"/>
    <x v="13"/>
    <x v="3"/>
    <x v="134"/>
    <s v="Av. Chile"/>
    <n v="119"/>
    <s v="kWh"/>
    <n v="0"/>
    <n v="0"/>
    <n v="0"/>
    <n v="0"/>
    <x v="128"/>
  </r>
  <r>
    <x v="0"/>
    <x v="1"/>
    <x v="14"/>
    <x v="3"/>
    <x v="135"/>
    <s v="Av. Chile"/>
    <n v="121"/>
    <s v="kWh"/>
    <n v="0"/>
    <n v="0"/>
    <n v="0"/>
    <n v="0"/>
    <x v="129"/>
  </r>
  <r>
    <x v="0"/>
    <x v="1"/>
    <x v="15"/>
    <x v="3"/>
    <x v="136"/>
    <s v="Av. Chile"/>
    <n v="112"/>
    <s v="kWh"/>
    <n v="0"/>
    <n v="0"/>
    <n v="0"/>
    <n v="0"/>
    <x v="130"/>
  </r>
  <r>
    <x v="0"/>
    <x v="1"/>
    <x v="16"/>
    <x v="3"/>
    <x v="137"/>
    <s v="Av. Chile"/>
    <n v="121"/>
    <s v="kWh"/>
    <n v="0"/>
    <n v="0"/>
    <n v="0"/>
    <n v="0"/>
    <x v="129"/>
  </r>
  <r>
    <x v="0"/>
    <x v="1"/>
    <x v="17"/>
    <x v="3"/>
    <x v="138"/>
    <s v="Av. Chile"/>
    <n v="119"/>
    <s v="kWh"/>
    <n v="0"/>
    <n v="0"/>
    <n v="0"/>
    <n v="0"/>
    <x v="128"/>
  </r>
  <r>
    <x v="0"/>
    <x v="1"/>
    <x v="6"/>
    <x v="3"/>
    <x v="139"/>
    <s v="Laboratorios"/>
    <n v="1327"/>
    <s v="kWh"/>
    <n v="0"/>
    <n v="0"/>
    <n v="0"/>
    <n v="0"/>
    <x v="131"/>
  </r>
  <r>
    <x v="0"/>
    <x v="1"/>
    <x v="7"/>
    <x v="3"/>
    <x v="140"/>
    <s v="Laboratorios"/>
    <n v="1310"/>
    <s v="kWh"/>
    <n v="0"/>
    <n v="0"/>
    <n v="0"/>
    <n v="0"/>
    <x v="132"/>
  </r>
  <r>
    <x v="0"/>
    <x v="1"/>
    <x v="8"/>
    <x v="3"/>
    <x v="141"/>
    <s v="Laboratorios"/>
    <n v="1501"/>
    <s v="kWh"/>
    <n v="0"/>
    <n v="0"/>
    <n v="0"/>
    <n v="0"/>
    <x v="133"/>
  </r>
  <r>
    <x v="0"/>
    <x v="1"/>
    <x v="9"/>
    <x v="3"/>
    <x v="142"/>
    <s v="Laboratorios"/>
    <n v="2129"/>
    <s v="kWh"/>
    <n v="0"/>
    <n v="0"/>
    <n v="0"/>
    <n v="0"/>
    <x v="134"/>
  </r>
  <r>
    <x v="0"/>
    <x v="1"/>
    <x v="10"/>
    <x v="3"/>
    <x v="143"/>
    <s v="Laboratorios"/>
    <n v="2327"/>
    <s v="kWh"/>
    <n v="0"/>
    <n v="0"/>
    <n v="0"/>
    <n v="0"/>
    <x v="135"/>
  </r>
  <r>
    <x v="0"/>
    <x v="1"/>
    <x v="11"/>
    <x v="3"/>
    <x v="144"/>
    <s v="Laboratorios"/>
    <n v="2142"/>
    <s v="kWh"/>
    <n v="0"/>
    <n v="0"/>
    <n v="0"/>
    <n v="0"/>
    <x v="136"/>
  </r>
  <r>
    <x v="0"/>
    <x v="1"/>
    <x v="12"/>
    <x v="3"/>
    <x v="145"/>
    <s v="Laboratorios"/>
    <n v="1994"/>
    <s v="kWh"/>
    <n v="0"/>
    <n v="0"/>
    <n v="0"/>
    <n v="0"/>
    <x v="137"/>
  </r>
  <r>
    <x v="0"/>
    <x v="1"/>
    <x v="13"/>
    <x v="3"/>
    <x v="146"/>
    <s v="Laboratorios"/>
    <n v="1946"/>
    <s v="kWh"/>
    <n v="0"/>
    <n v="0"/>
    <n v="0"/>
    <n v="0"/>
    <x v="138"/>
  </r>
  <r>
    <x v="0"/>
    <x v="1"/>
    <x v="14"/>
    <x v="3"/>
    <x v="147"/>
    <s v="Laboratorios"/>
    <n v="2229"/>
    <s v="kWh"/>
    <n v="0"/>
    <n v="0"/>
    <n v="0"/>
    <n v="0"/>
    <x v="139"/>
  </r>
  <r>
    <x v="0"/>
    <x v="1"/>
    <x v="15"/>
    <x v="3"/>
    <x v="148"/>
    <s v="Laboratorios"/>
    <n v="2251"/>
    <s v="kWh"/>
    <n v="0"/>
    <n v="0"/>
    <n v="0"/>
    <n v="0"/>
    <x v="140"/>
  </r>
  <r>
    <x v="0"/>
    <x v="1"/>
    <x v="16"/>
    <x v="3"/>
    <x v="149"/>
    <s v="Laboratorios"/>
    <n v="2432"/>
    <s v="kWh"/>
    <n v="0"/>
    <n v="0"/>
    <n v="0"/>
    <n v="0"/>
    <x v="141"/>
  </r>
  <r>
    <x v="0"/>
    <x v="1"/>
    <x v="17"/>
    <x v="3"/>
    <x v="150"/>
    <s v="Laboratorios"/>
    <n v="1701"/>
    <s v="kWh"/>
    <n v="0"/>
    <n v="0"/>
    <n v="0"/>
    <n v="0"/>
    <x v="142"/>
  </r>
  <r>
    <x v="0"/>
    <x v="2"/>
    <x v="18"/>
    <x v="4"/>
    <x v="151"/>
    <m/>
    <n v="0.99419360000000001"/>
    <s v="Millas"/>
    <n v="7.3013577983999994E-3"/>
    <n v="2.1474581760000001E-4"/>
    <n v="1.4316387840000001E-4"/>
    <n v="0"/>
    <x v="143"/>
  </r>
  <r>
    <x v="0"/>
    <x v="2"/>
    <x v="19"/>
    <x v="4"/>
    <x v="152"/>
    <m/>
    <n v="7.2700407"/>
    <s v="Millas"/>
    <n v="3.5332397802000003E-2"/>
    <n v="9.5964537240000002E-4"/>
    <n v="8.7240488400000006E-4"/>
    <n v="0"/>
    <x v="144"/>
  </r>
  <r>
    <x v="0"/>
    <x v="2"/>
    <x v="18"/>
    <x v="4"/>
    <x v="151"/>
    <m/>
    <n v="13.235202300000001"/>
    <s v="Millas"/>
    <n v="4.8599662845600008E-2"/>
    <n v="1.4294018484000003E-3"/>
    <n v="9.5293456560000022E-4"/>
    <n v="0"/>
    <x v="145"/>
  </r>
  <r>
    <x v="0"/>
    <x v="2"/>
    <x v="18"/>
    <x v="4"/>
    <x v="151"/>
    <m/>
    <n v="9.5069762999999998"/>
    <s v="Millas"/>
    <n v="4.0727886469199996E-2"/>
    <n v="1.1978790137999998E-3"/>
    <n v="7.9858600919999992E-4"/>
    <n v="0"/>
    <x v="146"/>
  </r>
  <r>
    <x v="0"/>
    <x v="2"/>
    <x v="19"/>
    <x v="4"/>
    <x v="152"/>
    <m/>
    <n v="7.8914116999999999"/>
    <s v="Millas"/>
    <n v="5.1136347816000002E-2"/>
    <n v="1.3888884591999999E-3"/>
    <n v="1.2626258720000001E-3"/>
    <n v="0"/>
    <x v="147"/>
  </r>
  <r>
    <x v="0"/>
    <x v="2"/>
    <x v="18"/>
    <x v="4"/>
    <x v="151"/>
    <m/>
    <n v="1.3048791"/>
    <s v="Millas"/>
    <n v="3.9929300460000001E-4"/>
    <n v="1.1743911899999999E-5"/>
    <n v="7.8292745999999999E-6"/>
    <n v="0"/>
    <x v="148"/>
  </r>
  <r>
    <x v="0"/>
    <x v="2"/>
    <x v="19"/>
    <x v="5"/>
    <x v="152"/>
    <m/>
    <n v="8.8856052999999999"/>
    <s v="Millas"/>
    <n v="8.6368083516000005E-2"/>
    <n v="2.3457997991999996E-3"/>
    <n v="2.1325452719999998E-3"/>
    <n v="0"/>
    <x v="149"/>
  </r>
  <r>
    <x v="0"/>
    <x v="2"/>
    <x v="19"/>
    <x v="5"/>
    <x v="152"/>
    <m/>
    <n v="20.753791400000001"/>
    <s v="Millas"/>
    <n v="1.6810571034000001E-2"/>
    <n v="4.5658341079999996E-4"/>
    <n v="4.1507582800000005E-4"/>
    <n v="0"/>
    <x v="150"/>
  </r>
  <r>
    <x v="0"/>
    <x v="2"/>
    <x v="19"/>
    <x v="5"/>
    <x v="152"/>
    <m/>
    <n v="21.250888200000002"/>
    <s v="Millas"/>
    <n v="1.7213219442000004E-2"/>
    <n v="4.6751954040000004E-4"/>
    <n v="4.2501776400000006E-4"/>
    <n v="0"/>
    <x v="151"/>
  </r>
  <r>
    <x v="0"/>
    <x v="2"/>
    <x v="19"/>
    <x v="5"/>
    <x v="152"/>
    <m/>
    <n v="10.4390328"/>
    <s v="Millas"/>
    <n v="2.5366849704000001E-2"/>
    <n v="6.8897616479999993E-4"/>
    <n v="6.2634196800000002E-4"/>
    <n v="0"/>
    <x v="152"/>
  </r>
  <r>
    <x v="0"/>
    <x v="2"/>
    <x v="20"/>
    <x v="6"/>
    <x v="152"/>
    <m/>
    <n v="1420.6032350400001"/>
    <s v="Millas"/>
    <n v="3.3227715948962651"/>
    <n v="0.2623240732812841"/>
    <n v="6.4956437193460809E-2"/>
    <n v="0"/>
    <x v="153"/>
  </r>
  <r>
    <x v="0"/>
    <x v="2"/>
    <x v="21"/>
    <x v="6"/>
    <x v="152"/>
    <m/>
    <n v="516.58299455999997"/>
    <s v="Millas"/>
    <n v="1.9136881606349518"/>
    <n v="5.6284945901027998E-2"/>
    <n v="3.7523297267351999E-2"/>
    <n v="0"/>
    <x v="154"/>
  </r>
  <r>
    <x v="0"/>
    <x v="2"/>
    <x v="22"/>
    <x v="6"/>
    <x v="152"/>
    <m/>
    <n v="387.43724592000001"/>
    <s v="Millas"/>
    <n v="0.29185647735153597"/>
    <n v="2.3536812689639999E-2"/>
    <n v="3.1382416919519996E-3"/>
    <n v="0"/>
    <x v="155"/>
  </r>
  <r>
    <x v="0"/>
    <x v="2"/>
    <x v="23"/>
    <x v="6"/>
    <x v="153"/>
    <m/>
    <n v="32.286437159999998"/>
    <s v="Millas"/>
    <n v="9.4689662902847999E-2"/>
    <n v="2.2916913096167998E-2"/>
    <n v="4.784849987112E-4"/>
    <n v="0"/>
    <x v="156"/>
  </r>
  <r>
    <x v="0"/>
    <x v="2"/>
    <x v="24"/>
    <x v="6"/>
    <x v="154"/>
    <m/>
    <n v="96.859311480000002"/>
    <s v="Millas"/>
    <n v="2.1309048525600005E-2"/>
    <n v="0"/>
    <n v="0"/>
    <n v="0"/>
    <x v="157"/>
  </r>
  <r>
    <x v="0"/>
    <x v="2"/>
    <x v="25"/>
    <x v="6"/>
    <x v="155"/>
    <m/>
    <n v="387.43724592000001"/>
    <s v="Millas"/>
    <n v="0"/>
    <n v="0"/>
    <n v="0"/>
    <n v="0"/>
    <x v="43"/>
  </r>
  <r>
    <x v="0"/>
    <x v="2"/>
    <x v="26"/>
    <x v="6"/>
    <x v="156"/>
    <m/>
    <n v="0"/>
    <s v="Millas"/>
    <n v="0"/>
    <n v="0"/>
    <n v="0"/>
    <n v="0"/>
    <x v="43"/>
  </r>
  <r>
    <x v="0"/>
    <x v="2"/>
    <x v="27"/>
    <x v="6"/>
    <x v="157"/>
    <m/>
    <n v="129.14574863999999"/>
    <s v="Millas"/>
    <n v="0"/>
    <n v="0"/>
    <n v="0"/>
    <n v="0"/>
    <x v="43"/>
  </r>
  <r>
    <x v="0"/>
    <x v="3"/>
    <x v="28"/>
    <x v="7"/>
    <x v="158"/>
    <m/>
    <n v="4"/>
    <s v="Unidad"/>
    <n v="0"/>
    <n v="0"/>
    <n v="0"/>
    <n v="0"/>
    <x v="158"/>
  </r>
  <r>
    <x v="0"/>
    <x v="3"/>
    <x v="29"/>
    <x v="7"/>
    <x v="159"/>
    <m/>
    <n v="89766"/>
    <s v="Unidad"/>
    <n v="0"/>
    <n v="0"/>
    <n v="0"/>
    <n v="0"/>
    <x v="159"/>
  </r>
  <r>
    <x v="0"/>
    <x v="3"/>
    <x v="30"/>
    <x v="7"/>
    <x v="160"/>
    <m/>
    <n v="3489"/>
    <s v="Unidad"/>
    <n v="0"/>
    <n v="0"/>
    <n v="0"/>
    <n v="0"/>
    <x v="160"/>
  </r>
  <r>
    <x v="0"/>
    <x v="3"/>
    <x v="31"/>
    <x v="7"/>
    <x v="161"/>
    <m/>
    <n v="10"/>
    <s v="Unidad"/>
    <n v="0"/>
    <n v="0"/>
    <n v="0"/>
    <n v="0"/>
    <x v="161"/>
  </r>
  <r>
    <x v="0"/>
    <x v="3"/>
    <x v="32"/>
    <x v="7"/>
    <x v="162"/>
    <m/>
    <n v="10"/>
    <s v="Litros"/>
    <n v="0"/>
    <n v="0"/>
    <n v="0"/>
    <n v="0"/>
    <x v="162"/>
  </r>
  <r>
    <x v="0"/>
    <x v="3"/>
    <x v="33"/>
    <x v="7"/>
    <x v="163"/>
    <m/>
    <n v="270"/>
    <s v="kg"/>
    <n v="0"/>
    <n v="0"/>
    <n v="0"/>
    <n v="0"/>
    <x v="163"/>
  </r>
  <r>
    <x v="0"/>
    <x v="3"/>
    <x v="34"/>
    <x v="8"/>
    <x v="164"/>
    <m/>
    <n v="1964"/>
    <s v="kg"/>
    <n v="1.7676000000000001"/>
    <n v="0.23567999999999997"/>
    <n v="1.9640000000000003E-4"/>
    <n v="0"/>
    <x v="164"/>
  </r>
  <r>
    <x v="0"/>
    <x v="3"/>
    <x v="35"/>
    <x v="8"/>
    <x v="165"/>
    <m/>
    <n v="1284"/>
    <s v="kg"/>
    <n v="0.38519999999999999"/>
    <n v="0"/>
    <n v="0"/>
    <n v="0"/>
    <x v="165"/>
  </r>
  <r>
    <x v="0"/>
    <x v="3"/>
    <x v="36"/>
    <x v="8"/>
    <x v="166"/>
    <m/>
    <n v="52"/>
    <s v="kg"/>
    <n v="6.2399999999999997E-2"/>
    <n v="3.1199999999999999E-5"/>
    <n v="1.0400000000000002E-5"/>
    <n v="0"/>
    <x v="166"/>
  </r>
  <r>
    <x v="0"/>
    <x v="3"/>
    <x v="37"/>
    <x v="8"/>
    <x v="167"/>
    <m/>
    <n v="96"/>
    <s v="kg"/>
    <n v="0.24"/>
    <n v="9.6000000000000002E-5"/>
    <n v="2.8799999999999999E-5"/>
    <n v="0"/>
    <x v="167"/>
  </r>
  <r>
    <x v="0"/>
    <x v="3"/>
    <x v="38"/>
    <x v="8"/>
    <x v="168"/>
    <m/>
    <n v="112.4"/>
    <s v="kg"/>
    <n v="0.33720000000000006"/>
    <n v="2.2480000000000002E-4"/>
    <n v="4.496000000000001E-5"/>
    <n v="0"/>
    <x v="168"/>
  </r>
  <r>
    <x v="0"/>
    <x v="3"/>
    <x v="39"/>
    <x v="8"/>
    <x v="169"/>
    <m/>
    <n v="20.399999999999999"/>
    <s v="kg"/>
    <n v="4.0800000000000003E-3"/>
    <n v="2.04E-6"/>
    <n v="0"/>
    <n v="0"/>
    <x v="169"/>
  </r>
  <r>
    <x v="0"/>
    <x v="2"/>
    <x v="40"/>
    <x v="9"/>
    <x v="170"/>
    <m/>
    <n v="423163.8"/>
    <s v="Km"/>
    <n v="0"/>
    <n v="0"/>
    <n v="0"/>
    <n v="0"/>
    <x v="170"/>
  </r>
  <r>
    <x v="0"/>
    <x v="2"/>
    <x v="41"/>
    <x v="9"/>
    <x v="171"/>
    <m/>
    <n v="235574"/>
    <s v="Km"/>
    <n v="0"/>
    <n v="0"/>
    <n v="0"/>
    <n v="0"/>
    <x v="171"/>
  </r>
  <r>
    <x v="1"/>
    <x v="0"/>
    <x v="0"/>
    <x v="0"/>
    <x v="1"/>
    <s v="Campus El Nogal"/>
    <n v="1171.8675000000001"/>
    <s v="Galón"/>
    <n v="10.736650035"/>
    <n v="1.0546807499999999E-5"/>
    <n v="6.3280845000000006E-6"/>
    <n v="0"/>
    <x v="172"/>
  </r>
  <r>
    <x v="1"/>
    <x v="0"/>
    <x v="0"/>
    <x v="0"/>
    <x v="2"/>
    <s v="Legacy"/>
    <n v="508"/>
    <s v="m3"/>
    <n v="7.1381818323200008E-2"/>
    <n v="1.3931999999999998E-6"/>
    <n v="1.3815900000000001E-7"/>
    <n v="0"/>
    <x v="173"/>
  </r>
  <r>
    <x v="1"/>
    <x v="0"/>
    <x v="0"/>
    <x v="1"/>
    <x v="3"/>
    <m/>
    <n v="35.32"/>
    <s v="Galón"/>
    <n v="0.27998870399999998"/>
    <n v="9.3138840000000003E-6"/>
    <n v="8.9006400000000013E-7"/>
    <n v="0"/>
    <x v="174"/>
  </r>
  <r>
    <x v="1"/>
    <x v="0"/>
    <x v="0"/>
    <x v="1"/>
    <x v="4"/>
    <m/>
    <n v="35.32"/>
    <s v="Galón"/>
    <n v="0.27998870399999998"/>
    <n v="9.3138840000000003E-6"/>
    <n v="8.9006400000000013E-7"/>
    <n v="0"/>
    <x v="174"/>
  </r>
  <r>
    <x v="1"/>
    <x v="0"/>
    <x v="0"/>
    <x v="1"/>
    <x v="5"/>
    <m/>
    <n v="35.32"/>
    <s v="Galón"/>
    <n v="0.27998870399999998"/>
    <n v="9.3138840000000003E-6"/>
    <n v="8.9006400000000013E-7"/>
    <n v="0"/>
    <x v="174"/>
  </r>
  <r>
    <x v="1"/>
    <x v="0"/>
    <x v="0"/>
    <x v="1"/>
    <x v="6"/>
    <m/>
    <n v="35.32"/>
    <s v="Galón"/>
    <n v="0.27998870399999998"/>
    <n v="9.3138840000000003E-6"/>
    <n v="8.9006400000000013E-7"/>
    <n v="0"/>
    <x v="174"/>
  </r>
  <r>
    <x v="1"/>
    <x v="0"/>
    <x v="0"/>
    <x v="1"/>
    <x v="7"/>
    <m/>
    <n v="35.32"/>
    <s v="Galón"/>
    <n v="0.27998870399999998"/>
    <n v="9.3138840000000003E-6"/>
    <n v="8.9006400000000013E-7"/>
    <n v="0"/>
    <x v="174"/>
  </r>
  <r>
    <x v="1"/>
    <x v="0"/>
    <x v="0"/>
    <x v="1"/>
    <x v="8"/>
    <m/>
    <n v="35.32"/>
    <s v="Galón"/>
    <n v="0.27998870399999998"/>
    <n v="9.3138840000000003E-6"/>
    <n v="8.9006400000000013E-7"/>
    <n v="0"/>
    <x v="174"/>
  </r>
  <r>
    <x v="1"/>
    <x v="0"/>
    <x v="0"/>
    <x v="1"/>
    <x v="9"/>
    <m/>
    <n v="32.479999999999997"/>
    <s v="Galón"/>
    <n v="0.25747545599999999"/>
    <n v="8.5649759999999995E-6"/>
    <n v="8.1849600000000008E-7"/>
    <n v="0"/>
    <x v="175"/>
  </r>
  <r>
    <x v="1"/>
    <x v="0"/>
    <x v="0"/>
    <x v="1"/>
    <x v="10"/>
    <m/>
    <n v="30.34"/>
    <s v="Galón"/>
    <n v="0.24051124799999998"/>
    <n v="8.0006579999999996E-6"/>
    <n v="7.6456800000000002E-7"/>
    <n v="0"/>
    <x v="176"/>
  </r>
  <r>
    <x v="1"/>
    <x v="0"/>
    <x v="0"/>
    <x v="1"/>
    <x v="11"/>
    <m/>
    <n v="40.92"/>
    <s v="Galón"/>
    <n v="0.32438102400000002"/>
    <n v="1.0790604000000001E-5"/>
    <n v="1.0311840000000002E-6"/>
    <n v="0"/>
    <x v="177"/>
  </r>
  <r>
    <x v="1"/>
    <x v="0"/>
    <x v="0"/>
    <x v="1"/>
    <x v="12"/>
    <m/>
    <n v="34.21"/>
    <s v="Galón"/>
    <n v="0.27118951200000002"/>
    <n v="9.0211769999999997E-6"/>
    <n v="8.6209200000000007E-7"/>
    <n v="0"/>
    <x v="178"/>
  </r>
  <r>
    <x v="1"/>
    <x v="0"/>
    <x v="0"/>
    <x v="1"/>
    <x v="13"/>
    <m/>
    <n v="38.65"/>
    <s v="Galón"/>
    <n v="0.30638627999999996"/>
    <n v="1.0192004999999999E-5"/>
    <n v="9.7397999999999999E-7"/>
    <n v="0"/>
    <x v="179"/>
  </r>
  <r>
    <x v="1"/>
    <x v="0"/>
    <x v="0"/>
    <x v="1"/>
    <x v="14"/>
    <m/>
    <n v="35.32"/>
    <s v="Galón"/>
    <n v="0.27998870399999998"/>
    <n v="9.3138840000000003E-6"/>
    <n v="8.9006400000000013E-7"/>
    <n v="0"/>
    <x v="174"/>
  </r>
  <r>
    <x v="1"/>
    <x v="1"/>
    <x v="6"/>
    <x v="3"/>
    <x v="43"/>
    <s v="Legacy"/>
    <n v="74360"/>
    <s v="kWh"/>
    <n v="0"/>
    <n v="0"/>
    <n v="0"/>
    <n v="0"/>
    <x v="180"/>
  </r>
  <r>
    <x v="1"/>
    <x v="1"/>
    <x v="7"/>
    <x v="3"/>
    <x v="44"/>
    <s v="Legacy"/>
    <n v="97106"/>
    <s v="kWh"/>
    <n v="0"/>
    <n v="0"/>
    <n v="0"/>
    <n v="0"/>
    <x v="181"/>
  </r>
  <r>
    <x v="1"/>
    <x v="1"/>
    <x v="8"/>
    <x v="3"/>
    <x v="45"/>
    <s v="Legacy"/>
    <n v="108786"/>
    <s v="kWh"/>
    <n v="0"/>
    <n v="0"/>
    <n v="0"/>
    <n v="0"/>
    <x v="182"/>
  </r>
  <r>
    <x v="1"/>
    <x v="1"/>
    <x v="9"/>
    <x v="3"/>
    <x v="46"/>
    <s v="Legacy"/>
    <n v="88889"/>
    <s v="kWh"/>
    <n v="0"/>
    <n v="0"/>
    <n v="0"/>
    <n v="0"/>
    <x v="183"/>
  </r>
  <r>
    <x v="1"/>
    <x v="1"/>
    <x v="10"/>
    <x v="3"/>
    <x v="47"/>
    <s v="Legacy"/>
    <n v="103273"/>
    <s v="kWh"/>
    <n v="0"/>
    <n v="0"/>
    <n v="0"/>
    <n v="0"/>
    <x v="184"/>
  </r>
  <r>
    <x v="1"/>
    <x v="1"/>
    <x v="11"/>
    <x v="3"/>
    <x v="48"/>
    <s v="Legacy"/>
    <n v="85378"/>
    <s v="kWh"/>
    <n v="0"/>
    <n v="0"/>
    <n v="0"/>
    <n v="0"/>
    <x v="185"/>
  </r>
  <r>
    <x v="1"/>
    <x v="1"/>
    <x v="12"/>
    <x v="3"/>
    <x v="49"/>
    <s v="Legacy"/>
    <n v="84906"/>
    <s v="kWh"/>
    <n v="0"/>
    <n v="0"/>
    <n v="0"/>
    <n v="0"/>
    <x v="186"/>
  </r>
  <r>
    <x v="1"/>
    <x v="1"/>
    <x v="13"/>
    <x v="3"/>
    <x v="50"/>
    <s v="Legacy"/>
    <n v="106675"/>
    <s v="kWh"/>
    <n v="0"/>
    <n v="0"/>
    <n v="0"/>
    <n v="0"/>
    <x v="187"/>
  </r>
  <r>
    <x v="1"/>
    <x v="1"/>
    <x v="14"/>
    <x v="3"/>
    <x v="51"/>
    <s v="Legacy"/>
    <n v="106572"/>
    <s v="kWh"/>
    <n v="0"/>
    <n v="0"/>
    <n v="0"/>
    <n v="0"/>
    <x v="188"/>
  </r>
  <r>
    <x v="1"/>
    <x v="1"/>
    <x v="15"/>
    <x v="3"/>
    <x v="52"/>
    <s v="Legacy"/>
    <n v="105708"/>
    <s v="kWh"/>
    <n v="0"/>
    <n v="0"/>
    <n v="0"/>
    <n v="0"/>
    <x v="189"/>
  </r>
  <r>
    <x v="1"/>
    <x v="1"/>
    <x v="16"/>
    <x v="3"/>
    <x v="53"/>
    <s v="Legacy"/>
    <n v="101787"/>
    <s v="kWh"/>
    <n v="0"/>
    <n v="0"/>
    <n v="0"/>
    <n v="0"/>
    <x v="190"/>
  </r>
  <r>
    <x v="1"/>
    <x v="1"/>
    <x v="17"/>
    <x v="3"/>
    <x v="54"/>
    <s v="Legacy"/>
    <n v="82202"/>
    <s v="kWh"/>
    <n v="0"/>
    <n v="0"/>
    <n v="0"/>
    <n v="0"/>
    <x v="191"/>
  </r>
  <r>
    <x v="1"/>
    <x v="1"/>
    <x v="6"/>
    <x v="3"/>
    <x v="55"/>
    <s v="Fundadores"/>
    <n v="11400"/>
    <s v="kWh"/>
    <n v="0"/>
    <n v="0"/>
    <n v="0"/>
    <n v="0"/>
    <x v="192"/>
  </r>
  <r>
    <x v="1"/>
    <x v="1"/>
    <x v="7"/>
    <x v="3"/>
    <x v="56"/>
    <s v="Fundadores"/>
    <n v="15390"/>
    <s v="kWh"/>
    <n v="0"/>
    <n v="0"/>
    <n v="0"/>
    <n v="0"/>
    <x v="193"/>
  </r>
  <r>
    <x v="1"/>
    <x v="1"/>
    <x v="8"/>
    <x v="3"/>
    <x v="57"/>
    <s v="Fundadores"/>
    <n v="14250"/>
    <s v="kWh"/>
    <n v="0"/>
    <n v="0"/>
    <n v="0"/>
    <n v="0"/>
    <x v="194"/>
  </r>
  <r>
    <x v="1"/>
    <x v="1"/>
    <x v="9"/>
    <x v="3"/>
    <x v="58"/>
    <s v="Fundadores"/>
    <n v="14250"/>
    <s v="kWh"/>
    <n v="0"/>
    <n v="0"/>
    <n v="0"/>
    <n v="0"/>
    <x v="194"/>
  </r>
  <r>
    <x v="1"/>
    <x v="1"/>
    <x v="10"/>
    <x v="3"/>
    <x v="59"/>
    <s v="Fundadores"/>
    <n v="13110"/>
    <s v="kWh"/>
    <n v="0"/>
    <n v="0"/>
    <n v="0"/>
    <n v="0"/>
    <x v="195"/>
  </r>
  <r>
    <x v="1"/>
    <x v="1"/>
    <x v="11"/>
    <x v="3"/>
    <x v="60"/>
    <s v="Fundadores"/>
    <n v="15390"/>
    <s v="kWh"/>
    <n v="0"/>
    <n v="0"/>
    <n v="0"/>
    <n v="0"/>
    <x v="193"/>
  </r>
  <r>
    <x v="1"/>
    <x v="1"/>
    <x v="12"/>
    <x v="3"/>
    <x v="61"/>
    <s v="Fundadores"/>
    <n v="14431"/>
    <s v="kWh"/>
    <n v="0"/>
    <n v="0"/>
    <n v="0"/>
    <n v="0"/>
    <x v="196"/>
  </r>
  <r>
    <x v="1"/>
    <x v="1"/>
    <x v="13"/>
    <x v="3"/>
    <x v="62"/>
    <s v="Fundadores"/>
    <n v="16753"/>
    <s v="kWh"/>
    <n v="0"/>
    <n v="0"/>
    <n v="0"/>
    <n v="0"/>
    <x v="197"/>
  </r>
  <r>
    <x v="1"/>
    <x v="1"/>
    <x v="14"/>
    <x v="3"/>
    <x v="63"/>
    <s v="Fundadores"/>
    <n v="14820"/>
    <s v="kWh"/>
    <n v="0"/>
    <n v="0"/>
    <n v="0"/>
    <n v="0"/>
    <x v="198"/>
  </r>
  <r>
    <x v="1"/>
    <x v="1"/>
    <x v="15"/>
    <x v="3"/>
    <x v="64"/>
    <s v="Fundadores"/>
    <n v="18240"/>
    <s v="kWh"/>
    <n v="0"/>
    <n v="0"/>
    <n v="0"/>
    <n v="0"/>
    <x v="199"/>
  </r>
  <r>
    <x v="1"/>
    <x v="1"/>
    <x v="16"/>
    <x v="3"/>
    <x v="65"/>
    <s v="Fundadores"/>
    <n v="15960"/>
    <s v="kWh"/>
    <n v="0"/>
    <n v="0"/>
    <n v="0"/>
    <n v="0"/>
    <x v="200"/>
  </r>
  <r>
    <x v="1"/>
    <x v="1"/>
    <x v="17"/>
    <x v="3"/>
    <x v="66"/>
    <s v="Fundadores"/>
    <n v="14820"/>
    <s v="kWh"/>
    <n v="0"/>
    <n v="0"/>
    <n v="0"/>
    <n v="0"/>
    <x v="198"/>
  </r>
  <r>
    <x v="1"/>
    <x v="1"/>
    <x v="6"/>
    <x v="3"/>
    <x v="67"/>
    <s v="Av. Chile"/>
    <n v="250"/>
    <s v="kWh"/>
    <n v="0"/>
    <n v="0"/>
    <n v="0"/>
    <n v="0"/>
    <x v="201"/>
  </r>
  <r>
    <x v="1"/>
    <x v="1"/>
    <x v="7"/>
    <x v="3"/>
    <x v="68"/>
    <s v="Av. Chile"/>
    <n v="225"/>
    <s v="kWh"/>
    <n v="0"/>
    <n v="0"/>
    <n v="0"/>
    <n v="0"/>
    <x v="202"/>
  </r>
  <r>
    <x v="1"/>
    <x v="1"/>
    <x v="8"/>
    <x v="3"/>
    <x v="69"/>
    <s v="Av. Chile"/>
    <n v="213"/>
    <s v="kWh"/>
    <n v="0"/>
    <n v="0"/>
    <n v="0"/>
    <n v="0"/>
    <x v="203"/>
  </r>
  <r>
    <x v="1"/>
    <x v="1"/>
    <x v="9"/>
    <x v="3"/>
    <x v="70"/>
    <s v="Av. Chile"/>
    <n v="156"/>
    <s v="kWh"/>
    <n v="0"/>
    <n v="0"/>
    <n v="0"/>
    <n v="0"/>
    <x v="204"/>
  </r>
  <r>
    <x v="1"/>
    <x v="1"/>
    <x v="10"/>
    <x v="3"/>
    <x v="71"/>
    <s v="Av. Chile"/>
    <n v="203"/>
    <s v="kWh"/>
    <n v="0"/>
    <n v="0"/>
    <n v="0"/>
    <n v="0"/>
    <x v="205"/>
  </r>
  <r>
    <x v="1"/>
    <x v="1"/>
    <x v="11"/>
    <x v="3"/>
    <x v="72"/>
    <s v="Av. Chile"/>
    <n v="375"/>
    <s v="kWh"/>
    <n v="0"/>
    <n v="0"/>
    <n v="0"/>
    <n v="0"/>
    <x v="206"/>
  </r>
  <r>
    <x v="1"/>
    <x v="1"/>
    <x v="12"/>
    <x v="3"/>
    <x v="73"/>
    <s v="Av. Chile"/>
    <n v="438"/>
    <s v="kWh"/>
    <n v="0"/>
    <n v="0"/>
    <n v="0"/>
    <n v="0"/>
    <x v="207"/>
  </r>
  <r>
    <x v="1"/>
    <x v="1"/>
    <x v="13"/>
    <x v="3"/>
    <x v="74"/>
    <s v="Av. Chile"/>
    <n v="447"/>
    <s v="kWh"/>
    <n v="0"/>
    <n v="0"/>
    <n v="0"/>
    <n v="0"/>
    <x v="208"/>
  </r>
  <r>
    <x v="1"/>
    <x v="1"/>
    <x v="14"/>
    <x v="3"/>
    <x v="75"/>
    <s v="Av. Chile"/>
    <n v="388"/>
    <s v="kWh"/>
    <n v="0"/>
    <n v="0"/>
    <n v="0"/>
    <n v="0"/>
    <x v="209"/>
  </r>
  <r>
    <x v="1"/>
    <x v="1"/>
    <x v="15"/>
    <x v="3"/>
    <x v="76"/>
    <s v="Av. Chile"/>
    <n v="411"/>
    <s v="kWh"/>
    <n v="0"/>
    <n v="0"/>
    <n v="0"/>
    <n v="0"/>
    <x v="210"/>
  </r>
  <r>
    <x v="1"/>
    <x v="1"/>
    <x v="16"/>
    <x v="3"/>
    <x v="77"/>
    <s v="Av. Chile"/>
    <n v="579"/>
    <s v="kWh"/>
    <n v="0"/>
    <n v="0"/>
    <n v="0"/>
    <n v="0"/>
    <x v="211"/>
  </r>
  <r>
    <x v="1"/>
    <x v="1"/>
    <x v="17"/>
    <x v="3"/>
    <x v="78"/>
    <s v="Av. Chile"/>
    <n v="608"/>
    <s v="kWh"/>
    <n v="0"/>
    <n v="0"/>
    <n v="0"/>
    <n v="0"/>
    <x v="212"/>
  </r>
  <r>
    <x v="1"/>
    <x v="1"/>
    <x v="6"/>
    <x v="3"/>
    <x v="79"/>
    <s v="Av. Chile"/>
    <n v="161"/>
    <s v="kWh"/>
    <n v="0"/>
    <n v="0"/>
    <n v="0"/>
    <n v="0"/>
    <x v="213"/>
  </r>
  <r>
    <x v="1"/>
    <x v="1"/>
    <x v="7"/>
    <x v="3"/>
    <x v="80"/>
    <s v="Av. Chile"/>
    <n v="129"/>
    <s v="kWh"/>
    <n v="0"/>
    <n v="0"/>
    <n v="0"/>
    <n v="0"/>
    <x v="214"/>
  </r>
  <r>
    <x v="1"/>
    <x v="1"/>
    <x v="8"/>
    <x v="3"/>
    <x v="81"/>
    <s v="Av. Chile"/>
    <n v="174"/>
    <s v="kWh"/>
    <n v="0"/>
    <n v="0"/>
    <n v="0"/>
    <n v="0"/>
    <x v="215"/>
  </r>
  <r>
    <x v="1"/>
    <x v="1"/>
    <x v="9"/>
    <x v="3"/>
    <x v="82"/>
    <s v="Av. Chile"/>
    <n v="158"/>
    <s v="kWh"/>
    <n v="0"/>
    <n v="0"/>
    <n v="0"/>
    <n v="0"/>
    <x v="216"/>
  </r>
  <r>
    <x v="1"/>
    <x v="1"/>
    <x v="10"/>
    <x v="3"/>
    <x v="83"/>
    <s v="Av. Chile"/>
    <n v="154"/>
    <s v="kWh"/>
    <n v="0"/>
    <n v="0"/>
    <n v="0"/>
    <n v="0"/>
    <x v="217"/>
  </r>
  <r>
    <x v="1"/>
    <x v="1"/>
    <x v="11"/>
    <x v="3"/>
    <x v="84"/>
    <s v="Av. Chile"/>
    <n v="128"/>
    <s v="kWh"/>
    <n v="0"/>
    <n v="0"/>
    <n v="0"/>
    <n v="0"/>
    <x v="218"/>
  </r>
  <r>
    <x v="1"/>
    <x v="1"/>
    <x v="12"/>
    <x v="3"/>
    <x v="85"/>
    <s v="Av. Chile"/>
    <n v="110"/>
    <s v="kWh"/>
    <n v="0"/>
    <n v="0"/>
    <n v="0"/>
    <n v="0"/>
    <x v="219"/>
  </r>
  <r>
    <x v="1"/>
    <x v="1"/>
    <x v="13"/>
    <x v="3"/>
    <x v="86"/>
    <s v="Av. Chile"/>
    <n v="129"/>
    <s v="kWh"/>
    <n v="0"/>
    <n v="0"/>
    <n v="0"/>
    <n v="0"/>
    <x v="214"/>
  </r>
  <r>
    <x v="1"/>
    <x v="1"/>
    <x v="14"/>
    <x v="3"/>
    <x v="87"/>
    <s v="Av. Chile"/>
    <n v="109"/>
    <s v="kWh"/>
    <n v="0"/>
    <n v="0"/>
    <n v="0"/>
    <n v="0"/>
    <x v="220"/>
  </r>
  <r>
    <x v="1"/>
    <x v="1"/>
    <x v="15"/>
    <x v="3"/>
    <x v="88"/>
    <s v="Av. Chile"/>
    <n v="122"/>
    <s v="kWh"/>
    <n v="0"/>
    <n v="0"/>
    <n v="0"/>
    <n v="0"/>
    <x v="221"/>
  </r>
  <r>
    <x v="1"/>
    <x v="1"/>
    <x v="16"/>
    <x v="3"/>
    <x v="89"/>
    <s v="Av. Chile"/>
    <n v="119"/>
    <s v="kWh"/>
    <n v="0"/>
    <n v="0"/>
    <n v="0"/>
    <n v="0"/>
    <x v="222"/>
  </r>
  <r>
    <x v="1"/>
    <x v="1"/>
    <x v="17"/>
    <x v="3"/>
    <x v="90"/>
    <s v="Av. Chile"/>
    <n v="135"/>
    <s v="kWh"/>
    <n v="0"/>
    <n v="0"/>
    <n v="0"/>
    <n v="0"/>
    <x v="223"/>
  </r>
  <r>
    <x v="1"/>
    <x v="1"/>
    <x v="6"/>
    <x v="3"/>
    <x v="91"/>
    <s v="Av. Chile"/>
    <n v="852"/>
    <s v="kWh"/>
    <n v="0"/>
    <n v="0"/>
    <n v="0"/>
    <n v="0"/>
    <x v="224"/>
  </r>
  <r>
    <x v="1"/>
    <x v="1"/>
    <x v="7"/>
    <x v="3"/>
    <x v="92"/>
    <s v="Av. Chile"/>
    <n v="647"/>
    <s v="kWh"/>
    <n v="0"/>
    <n v="0"/>
    <n v="0"/>
    <n v="0"/>
    <x v="225"/>
  </r>
  <r>
    <x v="1"/>
    <x v="1"/>
    <x v="8"/>
    <x v="3"/>
    <x v="93"/>
    <s v="Av. Chile"/>
    <n v="680"/>
    <s v="kWh"/>
    <n v="0"/>
    <n v="0"/>
    <n v="0"/>
    <n v="0"/>
    <x v="226"/>
  </r>
  <r>
    <x v="1"/>
    <x v="1"/>
    <x v="9"/>
    <x v="3"/>
    <x v="94"/>
    <s v="Av. Chile"/>
    <n v="648"/>
    <s v="kWh"/>
    <n v="0"/>
    <n v="0"/>
    <n v="0"/>
    <n v="0"/>
    <x v="227"/>
  </r>
  <r>
    <x v="1"/>
    <x v="1"/>
    <x v="10"/>
    <x v="3"/>
    <x v="95"/>
    <s v="Av. Chile"/>
    <n v="649"/>
    <s v="kWh"/>
    <n v="0"/>
    <n v="0"/>
    <n v="0"/>
    <n v="0"/>
    <x v="228"/>
  </r>
  <r>
    <x v="1"/>
    <x v="1"/>
    <x v="11"/>
    <x v="3"/>
    <x v="96"/>
    <s v="Av. Chile"/>
    <n v="680"/>
    <s v="kWh"/>
    <n v="0"/>
    <n v="0"/>
    <n v="0"/>
    <n v="0"/>
    <x v="226"/>
  </r>
  <r>
    <x v="1"/>
    <x v="1"/>
    <x v="12"/>
    <x v="3"/>
    <x v="97"/>
    <s v="Av. Chile"/>
    <n v="559"/>
    <s v="kWh"/>
    <n v="0"/>
    <n v="0"/>
    <n v="0"/>
    <n v="0"/>
    <x v="229"/>
  </r>
  <r>
    <x v="1"/>
    <x v="1"/>
    <x v="13"/>
    <x v="3"/>
    <x v="98"/>
    <s v="Av. Chile"/>
    <n v="583"/>
    <s v="kWh"/>
    <n v="0"/>
    <n v="0"/>
    <n v="0"/>
    <n v="0"/>
    <x v="230"/>
  </r>
  <r>
    <x v="1"/>
    <x v="1"/>
    <x v="14"/>
    <x v="3"/>
    <x v="99"/>
    <s v="Av. Chile"/>
    <n v="507"/>
    <s v="kWh"/>
    <n v="0"/>
    <n v="0"/>
    <n v="0"/>
    <n v="0"/>
    <x v="231"/>
  </r>
  <r>
    <x v="1"/>
    <x v="1"/>
    <x v="15"/>
    <x v="3"/>
    <x v="100"/>
    <s v="Av. Chile"/>
    <n v="530"/>
    <s v="kWh"/>
    <n v="0"/>
    <n v="0"/>
    <n v="0"/>
    <n v="0"/>
    <x v="232"/>
  </r>
  <r>
    <x v="1"/>
    <x v="1"/>
    <x v="16"/>
    <x v="3"/>
    <x v="101"/>
    <s v="Av. Chile"/>
    <n v="552"/>
    <s v="kWh"/>
    <n v="0"/>
    <n v="0"/>
    <n v="0"/>
    <n v="0"/>
    <x v="233"/>
  </r>
  <r>
    <x v="1"/>
    <x v="1"/>
    <x v="17"/>
    <x v="3"/>
    <x v="102"/>
    <s v="Av. Chile"/>
    <n v="525"/>
    <s v="kWh"/>
    <n v="0"/>
    <n v="0"/>
    <n v="0"/>
    <n v="0"/>
    <x v="234"/>
  </r>
  <r>
    <x v="1"/>
    <x v="1"/>
    <x v="6"/>
    <x v="3"/>
    <x v="103"/>
    <s v="Av. Chile"/>
    <n v="943"/>
    <s v="kWh"/>
    <n v="0"/>
    <n v="0"/>
    <n v="0"/>
    <n v="0"/>
    <x v="235"/>
  </r>
  <r>
    <x v="1"/>
    <x v="1"/>
    <x v="7"/>
    <x v="3"/>
    <x v="104"/>
    <s v="Av. Chile"/>
    <n v="851"/>
    <s v="kWh"/>
    <n v="0"/>
    <n v="0"/>
    <n v="0"/>
    <n v="0"/>
    <x v="236"/>
  </r>
  <r>
    <x v="1"/>
    <x v="1"/>
    <x v="8"/>
    <x v="3"/>
    <x v="105"/>
    <s v="Av. Chile"/>
    <n v="952"/>
    <s v="kWh"/>
    <n v="0"/>
    <n v="0"/>
    <n v="0"/>
    <n v="0"/>
    <x v="237"/>
  </r>
  <r>
    <x v="1"/>
    <x v="1"/>
    <x v="9"/>
    <x v="3"/>
    <x v="106"/>
    <s v="Av. Chile"/>
    <n v="922"/>
    <s v="kWh"/>
    <n v="0"/>
    <n v="0"/>
    <n v="0"/>
    <n v="0"/>
    <x v="238"/>
  </r>
  <r>
    <x v="1"/>
    <x v="1"/>
    <x v="10"/>
    <x v="3"/>
    <x v="107"/>
    <s v="Av. Chile"/>
    <n v="948"/>
    <s v="kWh"/>
    <n v="0"/>
    <n v="0"/>
    <n v="0"/>
    <n v="0"/>
    <x v="239"/>
  </r>
  <r>
    <x v="1"/>
    <x v="1"/>
    <x v="11"/>
    <x v="3"/>
    <x v="108"/>
    <s v="Av. Chile"/>
    <n v="1122"/>
    <s v="kWh"/>
    <n v="0"/>
    <n v="0"/>
    <n v="0"/>
    <n v="0"/>
    <x v="240"/>
  </r>
  <r>
    <x v="1"/>
    <x v="1"/>
    <x v="12"/>
    <x v="3"/>
    <x v="109"/>
    <s v="Av. Chile"/>
    <n v="962"/>
    <s v="kWh"/>
    <n v="0"/>
    <n v="0"/>
    <n v="0"/>
    <n v="0"/>
    <x v="241"/>
  </r>
  <r>
    <x v="1"/>
    <x v="1"/>
    <x v="13"/>
    <x v="3"/>
    <x v="110"/>
    <s v="Av. Chile"/>
    <n v="983"/>
    <s v="kWh"/>
    <n v="0"/>
    <n v="0"/>
    <n v="0"/>
    <n v="0"/>
    <x v="242"/>
  </r>
  <r>
    <x v="1"/>
    <x v="1"/>
    <x v="14"/>
    <x v="3"/>
    <x v="111"/>
    <s v="Av. Chile"/>
    <n v="824"/>
    <s v="kWh"/>
    <n v="0"/>
    <n v="0"/>
    <n v="0"/>
    <n v="0"/>
    <x v="243"/>
  </r>
  <r>
    <x v="1"/>
    <x v="1"/>
    <x v="15"/>
    <x v="3"/>
    <x v="112"/>
    <s v="Av. Chile"/>
    <n v="839"/>
    <s v="kWh"/>
    <n v="0"/>
    <n v="0"/>
    <n v="0"/>
    <n v="0"/>
    <x v="244"/>
  </r>
  <r>
    <x v="1"/>
    <x v="1"/>
    <x v="16"/>
    <x v="3"/>
    <x v="113"/>
    <s v="Av. Chile"/>
    <n v="924"/>
    <s v="kWh"/>
    <n v="0"/>
    <n v="0"/>
    <n v="0"/>
    <n v="0"/>
    <x v="245"/>
  </r>
  <r>
    <x v="1"/>
    <x v="1"/>
    <x v="17"/>
    <x v="3"/>
    <x v="114"/>
    <s v="Av. Chile"/>
    <n v="782"/>
    <s v="kWh"/>
    <n v="0"/>
    <n v="0"/>
    <n v="0"/>
    <n v="0"/>
    <x v="246"/>
  </r>
  <r>
    <x v="1"/>
    <x v="1"/>
    <x v="6"/>
    <x v="3"/>
    <x v="115"/>
    <s v="Av. Chile"/>
    <n v="1146"/>
    <s v="kWh"/>
    <n v="0"/>
    <n v="0"/>
    <n v="0"/>
    <n v="0"/>
    <x v="247"/>
  </r>
  <r>
    <x v="1"/>
    <x v="1"/>
    <x v="7"/>
    <x v="3"/>
    <x v="116"/>
    <s v="Av. Chile"/>
    <n v="973"/>
    <s v="kWh"/>
    <n v="0"/>
    <n v="0"/>
    <n v="0"/>
    <n v="0"/>
    <x v="248"/>
  </r>
  <r>
    <x v="1"/>
    <x v="1"/>
    <x v="8"/>
    <x v="3"/>
    <x v="117"/>
    <s v="Av. Chile"/>
    <n v="865"/>
    <s v="kWh"/>
    <n v="0"/>
    <n v="0"/>
    <n v="0"/>
    <n v="0"/>
    <x v="249"/>
  </r>
  <r>
    <x v="1"/>
    <x v="1"/>
    <x v="9"/>
    <x v="3"/>
    <x v="118"/>
    <s v="Av. Chile"/>
    <n v="830"/>
    <s v="kWh"/>
    <n v="0"/>
    <n v="0"/>
    <n v="0"/>
    <n v="0"/>
    <x v="250"/>
  </r>
  <r>
    <x v="1"/>
    <x v="1"/>
    <x v="10"/>
    <x v="3"/>
    <x v="119"/>
    <s v="Av. Chile"/>
    <n v="912"/>
    <s v="kWh"/>
    <n v="0"/>
    <n v="0"/>
    <n v="0"/>
    <n v="0"/>
    <x v="251"/>
  </r>
  <r>
    <x v="1"/>
    <x v="1"/>
    <x v="11"/>
    <x v="3"/>
    <x v="120"/>
    <s v="Av. Chile"/>
    <n v="889"/>
    <s v="kWh"/>
    <n v="0"/>
    <n v="0"/>
    <n v="0"/>
    <n v="0"/>
    <x v="252"/>
  </r>
  <r>
    <x v="1"/>
    <x v="1"/>
    <x v="12"/>
    <x v="3"/>
    <x v="121"/>
    <s v="Av. Chile"/>
    <n v="857"/>
    <s v="kWh"/>
    <n v="0"/>
    <n v="0"/>
    <n v="0"/>
    <n v="0"/>
    <x v="253"/>
  </r>
  <r>
    <x v="1"/>
    <x v="1"/>
    <x v="13"/>
    <x v="3"/>
    <x v="122"/>
    <s v="Av. Chile"/>
    <n v="913"/>
    <s v="kWh"/>
    <n v="0"/>
    <n v="0"/>
    <n v="0"/>
    <n v="0"/>
    <x v="254"/>
  </r>
  <r>
    <x v="1"/>
    <x v="1"/>
    <x v="14"/>
    <x v="3"/>
    <x v="123"/>
    <s v="Av. Chile"/>
    <n v="782"/>
    <s v="kWh"/>
    <n v="0"/>
    <n v="0"/>
    <n v="0"/>
    <n v="0"/>
    <x v="246"/>
  </r>
  <r>
    <x v="1"/>
    <x v="1"/>
    <x v="15"/>
    <x v="3"/>
    <x v="124"/>
    <s v="Av. Chile"/>
    <n v="741"/>
    <s v="kWh"/>
    <n v="0"/>
    <n v="0"/>
    <n v="0"/>
    <n v="0"/>
    <x v="255"/>
  </r>
  <r>
    <x v="1"/>
    <x v="1"/>
    <x v="16"/>
    <x v="3"/>
    <x v="125"/>
    <s v="Av. Chile"/>
    <n v="868"/>
    <s v="kWh"/>
    <n v="0"/>
    <n v="0"/>
    <n v="0"/>
    <n v="0"/>
    <x v="256"/>
  </r>
  <r>
    <x v="1"/>
    <x v="1"/>
    <x v="17"/>
    <x v="3"/>
    <x v="126"/>
    <s v="Av. Chile"/>
    <n v="796"/>
    <s v="kWh"/>
    <n v="0"/>
    <n v="0"/>
    <n v="0"/>
    <n v="0"/>
    <x v="257"/>
  </r>
  <r>
    <x v="1"/>
    <x v="1"/>
    <x v="6"/>
    <x v="3"/>
    <x v="127"/>
    <s v="Av. Chile"/>
    <n v="148"/>
    <s v="kWh"/>
    <n v="0"/>
    <n v="0"/>
    <n v="0"/>
    <n v="0"/>
    <x v="258"/>
  </r>
  <r>
    <x v="1"/>
    <x v="1"/>
    <x v="7"/>
    <x v="3"/>
    <x v="128"/>
    <s v="Av. Chile"/>
    <n v="169"/>
    <s v="kWh"/>
    <n v="0"/>
    <n v="0"/>
    <n v="0"/>
    <n v="0"/>
    <x v="259"/>
  </r>
  <r>
    <x v="1"/>
    <x v="1"/>
    <x v="8"/>
    <x v="3"/>
    <x v="129"/>
    <s v="Av. Chile"/>
    <n v="177"/>
    <s v="kWh"/>
    <n v="0"/>
    <n v="0"/>
    <n v="0"/>
    <n v="0"/>
    <x v="260"/>
  </r>
  <r>
    <x v="1"/>
    <x v="1"/>
    <x v="9"/>
    <x v="3"/>
    <x v="130"/>
    <s v="Av. Chile"/>
    <n v="138"/>
    <s v="kWh"/>
    <n v="0"/>
    <n v="0"/>
    <n v="0"/>
    <n v="0"/>
    <x v="261"/>
  </r>
  <r>
    <x v="1"/>
    <x v="1"/>
    <x v="10"/>
    <x v="3"/>
    <x v="131"/>
    <s v="Av. Chile"/>
    <n v="136"/>
    <s v="kWh"/>
    <n v="0"/>
    <n v="0"/>
    <n v="0"/>
    <n v="0"/>
    <x v="262"/>
  </r>
  <r>
    <x v="1"/>
    <x v="1"/>
    <x v="11"/>
    <x v="3"/>
    <x v="132"/>
    <s v="Av. Chile"/>
    <n v="141"/>
    <s v="kWh"/>
    <n v="0"/>
    <n v="0"/>
    <n v="0"/>
    <n v="0"/>
    <x v="263"/>
  </r>
  <r>
    <x v="1"/>
    <x v="1"/>
    <x v="12"/>
    <x v="3"/>
    <x v="133"/>
    <s v="Av. Chile"/>
    <n v="135"/>
    <s v="kWh"/>
    <n v="0"/>
    <n v="0"/>
    <n v="0"/>
    <n v="0"/>
    <x v="223"/>
  </r>
  <r>
    <x v="1"/>
    <x v="1"/>
    <x v="13"/>
    <x v="3"/>
    <x v="134"/>
    <s v="Av. Chile"/>
    <n v="133"/>
    <s v="kWh"/>
    <n v="0"/>
    <n v="0"/>
    <n v="0"/>
    <n v="0"/>
    <x v="264"/>
  </r>
  <r>
    <x v="1"/>
    <x v="1"/>
    <x v="14"/>
    <x v="3"/>
    <x v="135"/>
    <s v="Av. Chile"/>
    <n v="136"/>
    <s v="kWh"/>
    <n v="0"/>
    <n v="0"/>
    <n v="0"/>
    <n v="0"/>
    <x v="262"/>
  </r>
  <r>
    <x v="1"/>
    <x v="1"/>
    <x v="15"/>
    <x v="3"/>
    <x v="136"/>
    <s v="Av. Chile"/>
    <n v="165"/>
    <s v="kWh"/>
    <n v="0"/>
    <n v="0"/>
    <n v="0"/>
    <n v="0"/>
    <x v="265"/>
  </r>
  <r>
    <x v="1"/>
    <x v="1"/>
    <x v="16"/>
    <x v="3"/>
    <x v="137"/>
    <s v="Av. Chile"/>
    <n v="145"/>
    <s v="kWh"/>
    <n v="0"/>
    <n v="0"/>
    <n v="0"/>
    <n v="0"/>
    <x v="266"/>
  </r>
  <r>
    <x v="1"/>
    <x v="1"/>
    <x v="17"/>
    <x v="3"/>
    <x v="138"/>
    <s v="Av. Chile"/>
    <n v="151"/>
    <s v="kWh"/>
    <n v="0"/>
    <n v="0"/>
    <n v="0"/>
    <n v="0"/>
    <x v="267"/>
  </r>
  <r>
    <x v="1"/>
    <x v="1"/>
    <x v="6"/>
    <x v="3"/>
    <x v="139"/>
    <s v="Laboratorios"/>
    <n v="1613"/>
    <s v="kWh"/>
    <n v="0"/>
    <n v="0"/>
    <n v="0"/>
    <n v="0"/>
    <x v="268"/>
  </r>
  <r>
    <x v="1"/>
    <x v="1"/>
    <x v="7"/>
    <x v="3"/>
    <x v="140"/>
    <s v="Laboratorios"/>
    <n v="2010"/>
    <s v="kWh"/>
    <n v="0"/>
    <n v="0"/>
    <n v="0"/>
    <n v="0"/>
    <x v="269"/>
  </r>
  <r>
    <x v="1"/>
    <x v="1"/>
    <x v="8"/>
    <x v="3"/>
    <x v="141"/>
    <s v="Laboratorios"/>
    <n v="2329"/>
    <s v="kWh"/>
    <n v="0"/>
    <n v="0"/>
    <n v="0"/>
    <n v="0"/>
    <x v="270"/>
  </r>
  <r>
    <x v="1"/>
    <x v="1"/>
    <x v="9"/>
    <x v="3"/>
    <x v="142"/>
    <s v="Laboratorios"/>
    <n v="1783"/>
    <s v="kWh"/>
    <n v="0"/>
    <n v="0"/>
    <n v="0"/>
    <n v="0"/>
    <x v="271"/>
  </r>
  <r>
    <x v="1"/>
    <x v="1"/>
    <x v="10"/>
    <x v="3"/>
    <x v="143"/>
    <s v="Laboratorios"/>
    <n v="1623"/>
    <s v="kWh"/>
    <n v="0"/>
    <n v="0"/>
    <n v="0"/>
    <n v="0"/>
    <x v="272"/>
  </r>
  <r>
    <x v="1"/>
    <x v="1"/>
    <x v="11"/>
    <x v="3"/>
    <x v="144"/>
    <s v="Laboratorios"/>
    <n v="1930"/>
    <s v="kWh"/>
    <n v="0"/>
    <n v="0"/>
    <n v="0"/>
    <n v="0"/>
    <x v="273"/>
  </r>
  <r>
    <x v="1"/>
    <x v="1"/>
    <x v="12"/>
    <x v="3"/>
    <x v="145"/>
    <s v="Laboratorios"/>
    <n v="1352"/>
    <s v="kWh"/>
    <n v="0"/>
    <n v="0"/>
    <n v="0"/>
    <n v="0"/>
    <x v="274"/>
  </r>
  <r>
    <x v="1"/>
    <x v="1"/>
    <x v="13"/>
    <x v="3"/>
    <x v="146"/>
    <s v="Laboratorios"/>
    <n v="1504"/>
    <s v="kWh"/>
    <n v="0"/>
    <n v="0"/>
    <n v="0"/>
    <n v="0"/>
    <x v="275"/>
  </r>
  <r>
    <x v="1"/>
    <x v="1"/>
    <x v="14"/>
    <x v="3"/>
    <x v="147"/>
    <s v="Laboratorios"/>
    <n v="1885"/>
    <s v="kWh"/>
    <n v="0"/>
    <n v="0"/>
    <n v="0"/>
    <n v="0"/>
    <x v="276"/>
  </r>
  <r>
    <x v="1"/>
    <x v="1"/>
    <x v="15"/>
    <x v="3"/>
    <x v="148"/>
    <s v="Laboratorios"/>
    <n v="2012"/>
    <s v="kWh"/>
    <n v="0"/>
    <n v="0"/>
    <n v="0"/>
    <n v="0"/>
    <x v="277"/>
  </r>
  <r>
    <x v="1"/>
    <x v="1"/>
    <x v="16"/>
    <x v="3"/>
    <x v="149"/>
    <s v="Laboratorios"/>
    <n v="1837"/>
    <s v="kWh"/>
    <n v="0"/>
    <n v="0"/>
    <n v="0"/>
    <n v="0"/>
    <x v="278"/>
  </r>
  <r>
    <x v="1"/>
    <x v="1"/>
    <x v="17"/>
    <x v="3"/>
    <x v="150"/>
    <s v="Laboratorios"/>
    <n v="1328"/>
    <s v="kWh"/>
    <n v="0"/>
    <n v="0"/>
    <n v="0"/>
    <n v="0"/>
    <x v="279"/>
  </r>
  <r>
    <x v="1"/>
    <x v="2"/>
    <x v="19"/>
    <x v="4"/>
    <x v="152"/>
    <m/>
    <n v="2.3612098000000001"/>
    <s v="Millas"/>
    <n v="2.2053699532000003E-3"/>
    <n v="6.1391454799999997E-5"/>
    <n v="5.6669035200000001E-5"/>
    <n v="0"/>
    <x v="280"/>
  </r>
  <r>
    <x v="1"/>
    <x v="2"/>
    <x v="19"/>
    <x v="4"/>
    <x v="152"/>
    <m/>
    <n v="0.86991940000000001"/>
    <s v="Millas"/>
    <n v="8.1250471960000006E-4"/>
    <n v="2.26179044E-5"/>
    <n v="2.0878065600000003E-5"/>
    <n v="0"/>
    <x v="281"/>
  </r>
  <r>
    <x v="1"/>
    <x v="2"/>
    <x v="19"/>
    <x v="5"/>
    <x v="152"/>
    <m/>
    <n v="8.8856052999999999"/>
    <s v="Millas"/>
    <n v="2.4897466050600007E-2"/>
    <n v="6.930772134000001E-4"/>
    <n v="6.3976358160000016E-4"/>
    <n v="0"/>
    <x v="282"/>
  </r>
  <r>
    <x v="1"/>
    <x v="2"/>
    <x v="19"/>
    <x v="5"/>
    <x v="152"/>
    <m/>
    <n v="20.753791400000001"/>
    <s v="Millas"/>
    <n v="1.9384041167600004E-2"/>
    <n v="5.3959857639999996E-4"/>
    <n v="4.9809099359999999E-4"/>
    <n v="0"/>
    <x v="283"/>
  </r>
  <r>
    <x v="1"/>
    <x v="2"/>
    <x v="19"/>
    <x v="5"/>
    <x v="152"/>
    <m/>
    <n v="21.250888200000002"/>
    <s v="Millas"/>
    <n v="3.9696659157600005E-2"/>
    <n v="1.1050461864E-3"/>
    <n v="1.0200426336000002E-3"/>
    <n v="0"/>
    <x v="284"/>
  </r>
  <r>
    <x v="1"/>
    <x v="2"/>
    <x v="40"/>
    <x v="9"/>
    <x v="170"/>
    <m/>
    <n v="3191265.3"/>
    <s v="Km"/>
    <n v="0"/>
    <n v="0"/>
    <n v="0"/>
    <n v="0"/>
    <x v="285"/>
  </r>
  <r>
    <x v="1"/>
    <x v="2"/>
    <x v="41"/>
    <x v="9"/>
    <x v="171"/>
    <m/>
    <n v="1259605"/>
    <s v="Km"/>
    <n v="0"/>
    <n v="0"/>
    <n v="0"/>
    <n v="0"/>
    <x v="286"/>
  </r>
  <r>
    <x v="1"/>
    <x v="3"/>
    <x v="42"/>
    <x v="7"/>
    <x v="172"/>
    <m/>
    <n v="2191.5665132057184"/>
    <s v="USD"/>
    <n v="0.23499999999999999"/>
    <n v="2.9999999999999997E-5"/>
    <n v="1.39E-6"/>
    <n v="0"/>
    <x v="287"/>
  </r>
  <r>
    <x v="1"/>
    <x v="3"/>
    <x v="42"/>
    <x v="7"/>
    <x v="172"/>
    <m/>
    <n v="2191.5665132057184"/>
    <s v="USD"/>
    <n v="0.23499999999999999"/>
    <n v="2.9999999999999997E-5"/>
    <n v="1.39E-6"/>
    <n v="0"/>
    <x v="287"/>
  </r>
  <r>
    <x v="1"/>
    <x v="3"/>
    <x v="34"/>
    <x v="8"/>
    <x v="164"/>
    <m/>
    <n v="2640"/>
    <s v="kg"/>
    <n v="2.16"/>
    <n v="0.14000000000000001"/>
    <n v="0"/>
    <n v="0"/>
    <x v="288"/>
  </r>
  <r>
    <x v="1"/>
    <x v="3"/>
    <x v="35"/>
    <x v="8"/>
    <x v="165"/>
    <m/>
    <n v="2638"/>
    <s v="kg"/>
    <n v="0.34"/>
    <n v="0"/>
    <n v="0"/>
    <n v="0"/>
    <x v="289"/>
  </r>
  <r>
    <x v="1"/>
    <x v="3"/>
    <x v="36"/>
    <x v="8"/>
    <x v="166"/>
    <m/>
    <n v="112"/>
    <s v="kg"/>
    <n v="0.02"/>
    <n v="0"/>
    <n v="0"/>
    <n v="0"/>
    <x v="290"/>
  </r>
  <r>
    <x v="1"/>
    <x v="3"/>
    <x v="37"/>
    <x v="8"/>
    <x v="167"/>
    <m/>
    <n v="89"/>
    <s v="kg"/>
    <n v="0.17"/>
    <n v="0"/>
    <n v="0"/>
    <n v="0"/>
    <x v="291"/>
  </r>
  <r>
    <x v="1"/>
    <x v="3"/>
    <x v="38"/>
    <x v="8"/>
    <x v="168"/>
    <m/>
    <n v="86"/>
    <s v="kg"/>
    <n v="0.05"/>
    <n v="0"/>
    <n v="0"/>
    <n v="0"/>
    <x v="292"/>
  </r>
  <r>
    <x v="1"/>
    <x v="0"/>
    <x v="1"/>
    <x v="2"/>
    <x v="15"/>
    <s v="Legacy"/>
    <n v="1000"/>
    <s v="g"/>
    <n v="0"/>
    <n v="0"/>
    <n v="0"/>
    <n v="3.5E-4"/>
    <x v="293"/>
  </r>
  <r>
    <x v="1"/>
    <x v="0"/>
    <x v="1"/>
    <x v="2"/>
    <x v="16"/>
    <s v="Legacy"/>
    <n v="720"/>
    <s v="g"/>
    <n v="0"/>
    <n v="0"/>
    <n v="0"/>
    <n v="7.1999999999999988E-5"/>
    <x v="294"/>
  </r>
  <r>
    <x v="1"/>
    <x v="0"/>
    <x v="1"/>
    <x v="2"/>
    <x v="17"/>
    <s v="Legacy"/>
    <n v="2400"/>
    <s v="g"/>
    <n v="0"/>
    <n v="0"/>
    <n v="0"/>
    <n v="2.3999999999999998E-4"/>
    <x v="295"/>
  </r>
  <r>
    <x v="1"/>
    <x v="0"/>
    <x v="1"/>
    <x v="2"/>
    <x v="18"/>
    <s v="Legacy"/>
    <n v="11000"/>
    <s v="g"/>
    <n v="0"/>
    <n v="0"/>
    <n v="0"/>
    <n v="1.1000000000000001E-3"/>
    <x v="296"/>
  </r>
  <r>
    <x v="1"/>
    <x v="0"/>
    <x v="1"/>
    <x v="2"/>
    <x v="19"/>
    <s v="Legacy"/>
    <n v="17600"/>
    <s v="g"/>
    <n v="0"/>
    <n v="0"/>
    <n v="0"/>
    <n v="1.7600000000000001E-3"/>
    <x v="297"/>
  </r>
  <r>
    <x v="1"/>
    <x v="0"/>
    <x v="1"/>
    <x v="2"/>
    <x v="20"/>
    <s v="Legacy"/>
    <n v="2130"/>
    <s v="g"/>
    <n v="0"/>
    <n v="0"/>
    <n v="0"/>
    <n v="2.13E-4"/>
    <x v="298"/>
  </r>
  <r>
    <x v="1"/>
    <x v="0"/>
    <x v="1"/>
    <x v="2"/>
    <x v="21"/>
    <s v="Legacy"/>
    <n v="11660"/>
    <s v="g"/>
    <n v="0"/>
    <n v="0"/>
    <n v="0"/>
    <n v="1.1659999999999999E-3"/>
    <x v="299"/>
  </r>
  <r>
    <x v="1"/>
    <x v="0"/>
    <x v="1"/>
    <x v="2"/>
    <x v="22"/>
    <s v="Legacy"/>
    <n v="5250"/>
    <s v="g"/>
    <n v="0"/>
    <n v="0"/>
    <n v="0"/>
    <n v="5.2500000000000008E-4"/>
    <x v="300"/>
  </r>
  <r>
    <x v="1"/>
    <x v="0"/>
    <x v="1"/>
    <x v="2"/>
    <x v="23"/>
    <s v="Legacy"/>
    <n v="41860"/>
    <s v="g"/>
    <n v="0"/>
    <n v="0"/>
    <n v="0"/>
    <n v="4.1859999999999996E-3"/>
    <x v="301"/>
  </r>
  <r>
    <x v="1"/>
    <x v="0"/>
    <x v="1"/>
    <x v="2"/>
    <x v="24"/>
    <s v="Legacy"/>
    <n v="22000"/>
    <s v="g"/>
    <n v="0"/>
    <n v="0"/>
    <n v="0"/>
    <n v="2.2000000000000001E-3"/>
    <x v="302"/>
  </r>
  <r>
    <x v="1"/>
    <x v="0"/>
    <x v="1"/>
    <x v="2"/>
    <x v="25"/>
    <s v="Legacy"/>
    <n v="24000"/>
    <s v="g"/>
    <n v="0"/>
    <n v="0"/>
    <n v="0"/>
    <n v="2.3999999999999998E-3"/>
    <x v="303"/>
  </r>
  <r>
    <x v="1"/>
    <x v="0"/>
    <x v="1"/>
    <x v="2"/>
    <x v="26"/>
    <s v="Legacy"/>
    <n v="94.710009599999992"/>
    <s v="g"/>
    <n v="0"/>
    <n v="0"/>
    <n v="0"/>
    <n v="1.8942001919999999E-5"/>
    <x v="304"/>
  </r>
  <r>
    <x v="1"/>
    <x v="0"/>
    <x v="1"/>
    <x v="2"/>
    <x v="27"/>
    <s v="Legacy"/>
    <n v="21.046668799999999"/>
    <s v="g"/>
    <n v="0"/>
    <n v="0"/>
    <n v="0"/>
    <n v="4.2093337599999993E-6"/>
    <x v="305"/>
  </r>
  <r>
    <x v="1"/>
    <x v="0"/>
    <x v="1"/>
    <x v="2"/>
    <x v="28"/>
    <s v="Legacy"/>
    <n v="48.080751999999997"/>
    <s v="g"/>
    <n v="0"/>
    <n v="0"/>
    <n v="0"/>
    <n v="9.6161504000000009E-6"/>
    <x v="306"/>
  </r>
  <r>
    <x v="1"/>
    <x v="0"/>
    <x v="1"/>
    <x v="2"/>
    <x v="29"/>
    <s v="Legacy"/>
    <n v="70.07996399999999"/>
    <s v="g"/>
    <n v="0"/>
    <n v="0"/>
    <n v="0"/>
    <n v="1.40159928E-5"/>
    <x v="307"/>
  </r>
  <r>
    <x v="1"/>
    <x v="0"/>
    <x v="1"/>
    <x v="2"/>
    <x v="30"/>
    <s v="Legacy"/>
    <n v="85.04849999999999"/>
    <s v="g"/>
    <n v="0"/>
    <n v="0"/>
    <n v="0"/>
    <n v="1.7009700000000001E-5"/>
    <x v="308"/>
  </r>
  <r>
    <x v="1"/>
    <x v="0"/>
    <x v="1"/>
    <x v="2"/>
    <x v="31"/>
    <s v="Legacy"/>
    <n v="42.034370640000006"/>
    <s v="g"/>
    <n v="0"/>
    <n v="0"/>
    <n v="0"/>
    <n v="8.4068741280000018E-6"/>
    <x v="309"/>
  </r>
  <r>
    <x v="1"/>
    <x v="0"/>
    <x v="2"/>
    <x v="2"/>
    <x v="32"/>
    <s v="Laboratorios"/>
    <n v="340"/>
    <s v="g"/>
    <n v="0"/>
    <n v="0"/>
    <n v="0"/>
    <n v="1.1899999999999998E-4"/>
    <x v="32"/>
  </r>
  <r>
    <x v="1"/>
    <x v="0"/>
    <x v="2"/>
    <x v="2"/>
    <x v="32"/>
    <s v="Laboratorios"/>
    <n v="180"/>
    <s v="g"/>
    <n v="0"/>
    <n v="0"/>
    <n v="0"/>
    <n v="6.2999999999999986E-5"/>
    <x v="33"/>
  </r>
  <r>
    <x v="1"/>
    <x v="0"/>
    <x v="2"/>
    <x v="2"/>
    <x v="33"/>
    <s v="Laboratorios"/>
    <n v="180"/>
    <s v="g"/>
    <n v="0"/>
    <n v="0"/>
    <n v="0"/>
    <n v="1.7999999999999999E-6"/>
    <x v="34"/>
  </r>
  <r>
    <x v="1"/>
    <x v="0"/>
    <x v="2"/>
    <x v="2"/>
    <x v="34"/>
    <s v="Av. Chile"/>
    <n v="600"/>
    <s v="g"/>
    <n v="0"/>
    <n v="0"/>
    <n v="0"/>
    <n v="0.13733999999999999"/>
    <x v="310"/>
  </r>
  <r>
    <x v="1"/>
    <x v="0"/>
    <x v="2"/>
    <x v="2"/>
    <x v="35"/>
    <s v="Legacy"/>
    <n v="80"/>
    <s v="g"/>
    <n v="0"/>
    <n v="0"/>
    <n v="0"/>
    <n v="1.8312000000000002E-2"/>
    <x v="311"/>
  </r>
  <r>
    <x v="1"/>
    <x v="0"/>
    <x v="3"/>
    <x v="2"/>
    <x v="36"/>
    <s v="Laboratorios"/>
    <n v="180"/>
    <s v="g"/>
    <n v="0"/>
    <n v="0"/>
    <n v="0"/>
    <n v="4.1201999999999996E-2"/>
    <x v="312"/>
  </r>
  <r>
    <x v="1"/>
    <x v="0"/>
    <x v="4"/>
    <x v="2"/>
    <x v="37"/>
    <m/>
    <n v="40.799999999999997"/>
    <s v="kg"/>
    <n v="4.1000000000000002E-2"/>
    <n v="0"/>
    <n v="0"/>
    <n v="0"/>
    <x v="313"/>
  </r>
  <r>
    <x v="1"/>
    <x v="0"/>
    <x v="4"/>
    <x v="2"/>
    <x v="38"/>
    <m/>
    <n v="13.5"/>
    <s v="kg"/>
    <n v="1.4E-2"/>
    <n v="0"/>
    <n v="0"/>
    <n v="0"/>
    <x v="314"/>
  </r>
  <r>
    <x v="1"/>
    <x v="0"/>
    <x v="4"/>
    <x v="2"/>
    <x v="39"/>
    <m/>
    <n v="157.5"/>
    <s v="kg"/>
    <n v="0"/>
    <n v="0"/>
    <n v="0"/>
    <n v="14.238"/>
    <x v="315"/>
  </r>
  <r>
    <x v="1"/>
    <x v="0"/>
    <x v="4"/>
    <x v="2"/>
    <x v="40"/>
    <m/>
    <n v="148"/>
    <s v="kg"/>
    <n v="0"/>
    <n v="0"/>
    <n v="0"/>
    <n v="13.379"/>
    <x v="316"/>
  </r>
  <r>
    <x v="1"/>
    <x v="0"/>
    <x v="4"/>
    <x v="2"/>
    <x v="41"/>
    <m/>
    <n v="21"/>
    <s v="kg"/>
    <n v="0"/>
    <n v="0"/>
    <n v="0"/>
    <n v="1.8979999999999999"/>
    <x v="317"/>
  </r>
  <r>
    <x v="1"/>
    <x v="0"/>
    <x v="5"/>
    <x v="2"/>
    <x v="42"/>
    <s v="Laboratorios"/>
    <n v="111"/>
    <s v="m3"/>
    <n v="3.0329999999999999"/>
    <n v="0"/>
    <n v="3.0329999999999999"/>
    <n v="0"/>
    <x v="318"/>
  </r>
  <r>
    <x v="2"/>
    <x v="0"/>
    <x v="0"/>
    <x v="0"/>
    <x v="0"/>
    <s v="Laboratorios"/>
    <n v="6.4"/>
    <s v="Galón"/>
    <n v="5.7600000000000004E-5"/>
    <n v="3.4560000000000008E-5"/>
    <n v="5.8647951360000006E-2"/>
    <n v="0"/>
    <x v="319"/>
  </r>
  <r>
    <x v="2"/>
    <x v="0"/>
    <x v="0"/>
    <x v="0"/>
    <x v="1"/>
    <s v="Campus El Nogal"/>
    <n v="0.24"/>
    <s v="Galón"/>
    <n v="2.1239999999999999E-6"/>
    <n v="1.2744E-6"/>
    <n v="2.1626432063999996E-3"/>
    <n v="0"/>
    <x v="320"/>
  </r>
  <r>
    <x v="2"/>
    <x v="0"/>
    <x v="0"/>
    <x v="0"/>
    <x v="2"/>
    <s v="Legacy"/>
    <n v="0"/>
    <s v="m3"/>
    <n v="0"/>
    <n v="0"/>
    <n v="0"/>
    <n v="0"/>
    <x v="43"/>
  </r>
  <r>
    <x v="2"/>
    <x v="0"/>
    <x v="0"/>
    <x v="1"/>
    <x v="3"/>
    <m/>
    <n v="61.304561059342817"/>
    <s v="Galón"/>
    <n v="0.48597351642962239"/>
    <n v="1.6166012751348699E-2"/>
    <n v="1.544874938695439E-3"/>
    <n v="0"/>
    <x v="321"/>
  </r>
  <r>
    <x v="2"/>
    <x v="0"/>
    <x v="0"/>
    <x v="1"/>
    <x v="4"/>
    <m/>
    <n v="36.027380809415156"/>
    <s v="Galón"/>
    <n v="0.28559625315239584"/>
    <n v="9.5004203194427768E-3"/>
    <n v="9.0788999639726195E-4"/>
    <n v="0"/>
    <x v="322"/>
  </r>
  <r>
    <x v="2"/>
    <x v="0"/>
    <x v="0"/>
    <x v="1"/>
    <x v="5"/>
    <m/>
    <n v="35.532393698922185"/>
    <s v="Galón"/>
    <n v="0.28167239133009592"/>
    <n v="9.3698922184057808E-3"/>
    <n v="8.954163212128391E-4"/>
    <n v="0"/>
    <x v="323"/>
  </r>
  <r>
    <x v="2"/>
    <x v="0"/>
    <x v="0"/>
    <x v="1"/>
    <x v="6"/>
    <m/>
    <n v="35.190615835777123"/>
    <s v="Galón"/>
    <n v="0.27896304985337239"/>
    <n v="9.2797653958944255E-3"/>
    <n v="8.8680351906158346E-4"/>
    <n v="0"/>
    <x v="324"/>
  </r>
  <r>
    <x v="2"/>
    <x v="0"/>
    <x v="0"/>
    <x v="1"/>
    <x v="7"/>
    <m/>
    <n v="33.909799932180398"/>
    <s v="Galón"/>
    <n v="0.26880976602238049"/>
    <n v="8.9420142421159695E-3"/>
    <n v="8.5452695829094604E-4"/>
    <n v="0"/>
    <x v="325"/>
  </r>
  <r>
    <x v="2"/>
    <x v="0"/>
    <x v="0"/>
    <x v="1"/>
    <x v="8"/>
    <m/>
    <n v="33.909799932180398"/>
    <s v="Galón"/>
    <n v="0.26880976602238049"/>
    <n v="8.9420142421159695E-3"/>
    <n v="8.5452695829094604E-4"/>
    <n v="0"/>
    <x v="325"/>
  </r>
  <r>
    <x v="2"/>
    <x v="0"/>
    <x v="0"/>
    <x v="1"/>
    <x v="9"/>
    <m/>
    <n v="33.982782057091072"/>
    <s v="Galón"/>
    <n v="0.2693883099229723"/>
    <n v="8.961259628454914E-3"/>
    <n v="8.5636610783869501E-4"/>
    <n v="0"/>
    <x v="326"/>
  </r>
  <r>
    <x v="2"/>
    <x v="0"/>
    <x v="0"/>
    <x v="1"/>
    <x v="10"/>
    <m/>
    <n v="0"/>
    <s v="Galón"/>
    <n v="0"/>
    <n v="0"/>
    <n v="0"/>
    <n v="0"/>
    <x v="43"/>
  </r>
  <r>
    <x v="2"/>
    <x v="0"/>
    <x v="0"/>
    <x v="1"/>
    <x v="11"/>
    <m/>
    <n v="44.488933377822264"/>
    <s v="Galón"/>
    <n v="0.35267267267267266"/>
    <n v="1.1731731731731731E-2"/>
    <n v="1.1211211211211213E-3"/>
    <n v="0"/>
    <x v="327"/>
  </r>
  <r>
    <x v="2"/>
    <x v="0"/>
    <x v="0"/>
    <x v="1"/>
    <x v="12"/>
    <m/>
    <n v="42.831138237498664"/>
    <s v="Galón"/>
    <n v="0.33953099903629941"/>
    <n v="1.1294571153228397E-2"/>
    <n v="1.0793446835849665E-3"/>
    <n v="0"/>
    <x v="328"/>
  </r>
  <r>
    <x v="2"/>
    <x v="0"/>
    <x v="0"/>
    <x v="1"/>
    <x v="13"/>
    <m/>
    <n v="0"/>
    <s v="Galón"/>
    <n v="0"/>
    <n v="0"/>
    <n v="0"/>
    <n v="0"/>
    <x v="43"/>
  </r>
  <r>
    <x v="2"/>
    <x v="0"/>
    <x v="0"/>
    <x v="1"/>
    <x v="14"/>
    <m/>
    <n v="43.516100957354219"/>
    <s v="Galón"/>
    <n v="0.34496083550913836"/>
    <n v="1.1475195822454307E-2"/>
    <n v="1.0966057441253263E-3"/>
    <n v="0"/>
    <x v="329"/>
  </r>
  <r>
    <x v="2"/>
    <x v="0"/>
    <x v="5"/>
    <x v="2"/>
    <x v="42"/>
    <s v="Laboratorios"/>
    <n v="0"/>
    <s v="m3"/>
    <n v="0"/>
    <n v="0"/>
    <n v="0"/>
    <n v="0"/>
    <x v="43"/>
  </r>
  <r>
    <x v="2"/>
    <x v="0"/>
    <x v="4"/>
    <x v="2"/>
    <x v="37"/>
    <m/>
    <n v="40.799999999999997"/>
    <s v="kg"/>
    <n v="4.1000000000000002E-2"/>
    <n v="0"/>
    <n v="0"/>
    <n v="0"/>
    <x v="313"/>
  </r>
  <r>
    <x v="2"/>
    <x v="0"/>
    <x v="4"/>
    <x v="2"/>
    <x v="38"/>
    <m/>
    <n v="13.5"/>
    <s v="kg"/>
    <n v="1.4E-2"/>
    <n v="0"/>
    <n v="0"/>
    <n v="0"/>
    <x v="314"/>
  </r>
  <r>
    <x v="2"/>
    <x v="0"/>
    <x v="4"/>
    <x v="2"/>
    <x v="39"/>
    <m/>
    <n v="157.5"/>
    <s v="kg"/>
    <n v="0"/>
    <n v="0"/>
    <n v="0"/>
    <n v="0.1575"/>
    <x v="330"/>
  </r>
  <r>
    <x v="2"/>
    <x v="0"/>
    <x v="4"/>
    <x v="2"/>
    <x v="40"/>
    <m/>
    <n v="148"/>
    <s v="kg"/>
    <n v="0"/>
    <n v="0"/>
    <n v="0"/>
    <n v="0.14799999999999999"/>
    <x v="331"/>
  </r>
  <r>
    <x v="2"/>
    <x v="0"/>
    <x v="4"/>
    <x v="2"/>
    <x v="41"/>
    <m/>
    <n v="21"/>
    <s v="kg"/>
    <n v="0"/>
    <n v="0"/>
    <n v="0"/>
    <n v="2.1000000000000001E-2"/>
    <x v="332"/>
  </r>
  <r>
    <x v="2"/>
    <x v="0"/>
    <x v="1"/>
    <x v="2"/>
    <x v="16"/>
    <s v="Legacy"/>
    <n v="3"/>
    <s v="kg"/>
    <n v="0"/>
    <n v="0"/>
    <n v="0"/>
    <n v="0"/>
    <x v="333"/>
  </r>
  <r>
    <x v="2"/>
    <x v="0"/>
    <x v="1"/>
    <x v="2"/>
    <x v="22"/>
    <s v="Legacy"/>
    <n v="15"/>
    <s v="kg"/>
    <n v="0"/>
    <n v="0"/>
    <n v="0"/>
    <n v="0"/>
    <x v="334"/>
  </r>
  <r>
    <x v="2"/>
    <x v="0"/>
    <x v="1"/>
    <x v="2"/>
    <x v="24"/>
    <s v="Legacy"/>
    <n v="23"/>
    <s v="kg"/>
    <n v="0"/>
    <n v="0"/>
    <n v="0"/>
    <n v="0"/>
    <x v="335"/>
  </r>
  <r>
    <x v="2"/>
    <x v="0"/>
    <x v="1"/>
    <x v="2"/>
    <x v="25"/>
    <s v="Legacy"/>
    <n v="23"/>
    <s v="kg"/>
    <n v="0"/>
    <n v="0"/>
    <n v="0"/>
    <n v="0"/>
    <x v="335"/>
  </r>
  <r>
    <x v="2"/>
    <x v="0"/>
    <x v="1"/>
    <x v="2"/>
    <x v="15"/>
    <s v="Legacy"/>
    <n v="2"/>
    <s v="kg"/>
    <n v="0"/>
    <n v="0"/>
    <n v="0"/>
    <n v="0"/>
    <x v="336"/>
  </r>
  <r>
    <x v="2"/>
    <x v="0"/>
    <x v="1"/>
    <x v="2"/>
    <x v="17"/>
    <s v="Legacy"/>
    <n v="4"/>
    <s v="kg"/>
    <n v="0"/>
    <n v="0"/>
    <n v="0"/>
    <n v="0"/>
    <x v="337"/>
  </r>
  <r>
    <x v="2"/>
    <x v="0"/>
    <x v="1"/>
    <x v="2"/>
    <x v="18"/>
    <s v="Legacy"/>
    <n v="10"/>
    <s v="kg"/>
    <n v="0"/>
    <n v="0"/>
    <n v="0"/>
    <n v="0"/>
    <x v="338"/>
  </r>
  <r>
    <x v="2"/>
    <x v="0"/>
    <x v="1"/>
    <x v="2"/>
    <x v="20"/>
    <s v="Legacy"/>
    <n v="3"/>
    <s v="kg"/>
    <n v="0"/>
    <n v="0"/>
    <n v="0"/>
    <n v="0"/>
    <x v="339"/>
  </r>
  <r>
    <x v="2"/>
    <x v="0"/>
    <x v="1"/>
    <x v="2"/>
    <x v="21"/>
    <s v="Legacy"/>
    <n v="11"/>
    <s v="kg"/>
    <n v="0"/>
    <n v="0"/>
    <n v="0"/>
    <n v="0"/>
    <x v="24"/>
  </r>
  <r>
    <x v="2"/>
    <x v="0"/>
    <x v="1"/>
    <x v="2"/>
    <x v="23"/>
    <s v="Legacy"/>
    <n v="26"/>
    <s v="kg"/>
    <n v="0"/>
    <n v="0"/>
    <n v="0"/>
    <n v="0"/>
    <x v="340"/>
  </r>
  <r>
    <x v="2"/>
    <x v="0"/>
    <x v="1"/>
    <x v="2"/>
    <x v="26"/>
    <s v="Legacy"/>
    <n v="9"/>
    <s v="kg"/>
    <n v="0"/>
    <n v="0"/>
    <n v="0"/>
    <n v="0"/>
    <x v="341"/>
  </r>
  <r>
    <x v="2"/>
    <x v="0"/>
    <x v="1"/>
    <x v="2"/>
    <x v="27"/>
    <s v="Legacy"/>
    <n v="2"/>
    <s v="kg"/>
    <n v="0"/>
    <n v="0"/>
    <n v="0"/>
    <n v="0"/>
    <x v="336"/>
  </r>
  <r>
    <x v="2"/>
    <x v="0"/>
    <x v="1"/>
    <x v="2"/>
    <x v="19"/>
    <s v="Legacy"/>
    <n v="11"/>
    <s v="kg"/>
    <n v="0"/>
    <n v="0"/>
    <n v="0"/>
    <n v="0"/>
    <x v="342"/>
  </r>
  <r>
    <x v="2"/>
    <x v="0"/>
    <x v="1"/>
    <x v="2"/>
    <x v="28"/>
    <s v="Legacy"/>
    <n v="4"/>
    <s v="kg"/>
    <n v="0"/>
    <n v="0"/>
    <n v="0"/>
    <n v="0"/>
    <x v="343"/>
  </r>
  <r>
    <x v="2"/>
    <x v="0"/>
    <x v="1"/>
    <x v="2"/>
    <x v="29"/>
    <s v="Legacy"/>
    <n v="5"/>
    <s v="kg"/>
    <n v="0"/>
    <n v="0"/>
    <n v="0"/>
    <n v="0"/>
    <x v="344"/>
  </r>
  <r>
    <x v="2"/>
    <x v="0"/>
    <x v="1"/>
    <x v="2"/>
    <x v="31"/>
    <s v="Legacy"/>
    <n v="3"/>
    <s v="kg"/>
    <n v="0"/>
    <n v="0"/>
    <n v="0"/>
    <n v="0"/>
    <x v="345"/>
  </r>
  <r>
    <x v="2"/>
    <x v="0"/>
    <x v="1"/>
    <x v="2"/>
    <x v="30"/>
    <s v="Legacy"/>
    <n v="5"/>
    <s v="kg"/>
    <n v="0"/>
    <n v="0"/>
    <n v="0"/>
    <n v="0"/>
    <x v="346"/>
  </r>
  <r>
    <x v="2"/>
    <x v="0"/>
    <x v="2"/>
    <x v="2"/>
    <x v="32"/>
    <s v="Laboratorios"/>
    <n v="340"/>
    <s v="g"/>
    <n v="0"/>
    <n v="0"/>
    <n v="0"/>
    <n v="0"/>
    <x v="347"/>
  </r>
  <r>
    <x v="2"/>
    <x v="0"/>
    <x v="2"/>
    <x v="2"/>
    <x v="32"/>
    <s v="Laboratorios"/>
    <n v="180"/>
    <s v="g"/>
    <n v="0"/>
    <n v="0"/>
    <n v="0"/>
    <n v="0"/>
    <x v="348"/>
  </r>
  <r>
    <x v="2"/>
    <x v="0"/>
    <x v="2"/>
    <x v="2"/>
    <x v="33"/>
    <s v="Laboratorios"/>
    <n v="180"/>
    <s v="g"/>
    <n v="0"/>
    <n v="0"/>
    <n v="0"/>
    <n v="0"/>
    <x v="349"/>
  </r>
  <r>
    <x v="2"/>
    <x v="0"/>
    <x v="3"/>
    <x v="2"/>
    <x v="36"/>
    <s v="Laboratorios"/>
    <n v="180"/>
    <s v="g"/>
    <n v="0"/>
    <n v="0"/>
    <n v="0"/>
    <n v="0"/>
    <x v="349"/>
  </r>
  <r>
    <x v="2"/>
    <x v="0"/>
    <x v="2"/>
    <x v="2"/>
    <x v="34"/>
    <s v="Av. Chile"/>
    <n v="600"/>
    <s v="g"/>
    <n v="0"/>
    <n v="0"/>
    <n v="0"/>
    <n v="0"/>
    <x v="350"/>
  </r>
  <r>
    <x v="2"/>
    <x v="1"/>
    <x v="6"/>
    <x v="3"/>
    <x v="43"/>
    <s v="Legacy"/>
    <n v="5812"/>
    <s v="kWh"/>
    <n v="0"/>
    <n v="0"/>
    <n v="0"/>
    <n v="0"/>
    <x v="351"/>
  </r>
  <r>
    <x v="2"/>
    <x v="1"/>
    <x v="7"/>
    <x v="3"/>
    <x v="44"/>
    <s v="Legacy"/>
    <n v="36288"/>
    <s v="kWh"/>
    <n v="0"/>
    <n v="0"/>
    <n v="0"/>
    <n v="0"/>
    <x v="351"/>
  </r>
  <r>
    <x v="2"/>
    <x v="1"/>
    <x v="8"/>
    <x v="3"/>
    <x v="45"/>
    <s v="Legacy"/>
    <n v="14570"/>
    <s v="kWh"/>
    <n v="0"/>
    <n v="0"/>
    <n v="0"/>
    <n v="0"/>
    <x v="351"/>
  </r>
  <r>
    <x v="2"/>
    <x v="1"/>
    <x v="9"/>
    <x v="3"/>
    <x v="46"/>
    <s v="Legacy"/>
    <n v="15574"/>
    <s v="kWh"/>
    <n v="0"/>
    <n v="0"/>
    <n v="0"/>
    <n v="0"/>
    <x v="351"/>
  </r>
  <r>
    <x v="2"/>
    <x v="1"/>
    <x v="10"/>
    <x v="3"/>
    <x v="47"/>
    <s v="Legacy"/>
    <n v="14067"/>
    <s v="kWh"/>
    <n v="0"/>
    <n v="0"/>
    <n v="0"/>
    <n v="0"/>
    <x v="351"/>
  </r>
  <r>
    <x v="2"/>
    <x v="1"/>
    <x v="11"/>
    <x v="3"/>
    <x v="48"/>
    <s v="Legacy"/>
    <n v="17844"/>
    <s v="kWh"/>
    <n v="0"/>
    <n v="0"/>
    <n v="0"/>
    <n v="0"/>
    <x v="351"/>
  </r>
  <r>
    <x v="2"/>
    <x v="1"/>
    <x v="12"/>
    <x v="3"/>
    <x v="49"/>
    <s v="Legacy"/>
    <n v="24510"/>
    <s v="kWh"/>
    <n v="0"/>
    <n v="0"/>
    <n v="0"/>
    <n v="0"/>
    <x v="351"/>
  </r>
  <r>
    <x v="2"/>
    <x v="1"/>
    <x v="13"/>
    <x v="3"/>
    <x v="50"/>
    <s v="Legacy"/>
    <n v="26220"/>
    <s v="kWh"/>
    <n v="0"/>
    <n v="0"/>
    <n v="0"/>
    <n v="0"/>
    <x v="351"/>
  </r>
  <r>
    <x v="2"/>
    <x v="1"/>
    <x v="14"/>
    <x v="3"/>
    <x v="51"/>
    <s v="Legacy"/>
    <n v="18240"/>
    <s v="kWh"/>
    <n v="0"/>
    <n v="0"/>
    <n v="0"/>
    <n v="0"/>
    <x v="351"/>
  </r>
  <r>
    <x v="2"/>
    <x v="1"/>
    <x v="15"/>
    <x v="3"/>
    <x v="52"/>
    <s v="Legacy"/>
    <n v="19477"/>
    <s v="kWh"/>
    <n v="0"/>
    <n v="0"/>
    <n v="0"/>
    <n v="0"/>
    <x v="351"/>
  </r>
  <r>
    <x v="2"/>
    <x v="1"/>
    <x v="16"/>
    <x v="3"/>
    <x v="53"/>
    <s v="Legacy"/>
    <n v="20004"/>
    <s v="kWh"/>
    <n v="0"/>
    <n v="0"/>
    <n v="0"/>
    <n v="0"/>
    <x v="351"/>
  </r>
  <r>
    <x v="2"/>
    <x v="1"/>
    <x v="17"/>
    <x v="3"/>
    <x v="54"/>
    <s v="Legacy"/>
    <n v="14250"/>
    <s v="kWh"/>
    <n v="0"/>
    <n v="0"/>
    <n v="0"/>
    <n v="0"/>
    <x v="351"/>
  </r>
  <r>
    <x v="2"/>
    <x v="1"/>
    <x v="6"/>
    <x v="3"/>
    <x v="55"/>
    <s v="Fundadores"/>
    <n v="80465"/>
    <s v="kWh"/>
    <n v="0"/>
    <n v="0"/>
    <n v="0"/>
    <n v="0"/>
    <x v="351"/>
  </r>
  <r>
    <x v="2"/>
    <x v="1"/>
    <x v="7"/>
    <x v="3"/>
    <x v="56"/>
    <s v="Fundadores"/>
    <n v="77336"/>
    <s v="kWh"/>
    <n v="0"/>
    <n v="0"/>
    <n v="0"/>
    <n v="0"/>
    <x v="351"/>
  </r>
  <r>
    <x v="2"/>
    <x v="1"/>
    <x v="8"/>
    <x v="3"/>
    <x v="57"/>
    <s v="Fundadores"/>
    <n v="93364"/>
    <s v="kWh"/>
    <n v="0"/>
    <n v="0"/>
    <n v="0"/>
    <n v="0"/>
    <x v="351"/>
  </r>
  <r>
    <x v="2"/>
    <x v="1"/>
    <x v="9"/>
    <x v="3"/>
    <x v="58"/>
    <s v="Fundadores"/>
    <n v="63034"/>
    <s v="kWh"/>
    <n v="0"/>
    <n v="0"/>
    <n v="0"/>
    <n v="0"/>
    <x v="351"/>
  </r>
  <r>
    <x v="2"/>
    <x v="1"/>
    <x v="10"/>
    <x v="3"/>
    <x v="59"/>
    <s v="Fundadores"/>
    <n v="57237"/>
    <s v="kWh"/>
    <n v="0"/>
    <n v="0"/>
    <n v="0"/>
    <n v="0"/>
    <x v="351"/>
  </r>
  <r>
    <x v="2"/>
    <x v="1"/>
    <x v="11"/>
    <x v="3"/>
    <x v="60"/>
    <s v="Fundadores"/>
    <n v="60254"/>
    <s v="kWh"/>
    <n v="0"/>
    <n v="0"/>
    <n v="0"/>
    <n v="0"/>
    <x v="351"/>
  </r>
  <r>
    <x v="2"/>
    <x v="1"/>
    <x v="12"/>
    <x v="3"/>
    <x v="61"/>
    <s v="Fundadores"/>
    <n v="69779"/>
    <s v="kWh"/>
    <n v="0"/>
    <n v="0"/>
    <n v="0"/>
    <n v="0"/>
    <x v="351"/>
  </r>
  <r>
    <x v="2"/>
    <x v="1"/>
    <x v="13"/>
    <x v="3"/>
    <x v="62"/>
    <s v="Fundadores"/>
    <n v="82251"/>
    <s v="kWh"/>
    <n v="0"/>
    <n v="0"/>
    <n v="0"/>
    <n v="0"/>
    <x v="351"/>
  </r>
  <r>
    <x v="2"/>
    <x v="1"/>
    <x v="14"/>
    <x v="3"/>
    <x v="63"/>
    <s v="Fundadores"/>
    <n v="86379"/>
    <s v="kWh"/>
    <n v="0"/>
    <n v="0"/>
    <n v="0"/>
    <n v="0"/>
    <x v="351"/>
  </r>
  <r>
    <x v="2"/>
    <x v="1"/>
    <x v="15"/>
    <x v="3"/>
    <x v="64"/>
    <s v="Fundadores"/>
    <n v="84306"/>
    <s v="kWh"/>
    <n v="0"/>
    <n v="0"/>
    <n v="0"/>
    <n v="0"/>
    <x v="351"/>
  </r>
  <r>
    <x v="2"/>
    <x v="1"/>
    <x v="16"/>
    <x v="3"/>
    <x v="65"/>
    <s v="Fundadores"/>
    <n v="82355"/>
    <s v="kWh"/>
    <n v="0"/>
    <n v="0"/>
    <n v="0"/>
    <n v="0"/>
    <x v="351"/>
  </r>
  <r>
    <x v="2"/>
    <x v="1"/>
    <x v="17"/>
    <x v="3"/>
    <x v="66"/>
    <s v="Fundadores"/>
    <n v="64169"/>
    <s v="kWh"/>
    <n v="0"/>
    <n v="0"/>
    <n v="0"/>
    <n v="0"/>
    <x v="351"/>
  </r>
  <r>
    <x v="2"/>
    <x v="1"/>
    <x v="6"/>
    <x v="3"/>
    <x v="67"/>
    <s v="Av. Chile"/>
    <n v="808.66666666666663"/>
    <s v="kWh"/>
    <n v="0"/>
    <n v="0"/>
    <n v="0"/>
    <n v="0"/>
    <x v="351"/>
  </r>
  <r>
    <x v="2"/>
    <x v="1"/>
    <x v="7"/>
    <x v="3"/>
    <x v="68"/>
    <s v="Av. Chile"/>
    <n v="688.66666666666663"/>
    <s v="kWh"/>
    <n v="0"/>
    <n v="0"/>
    <n v="0"/>
    <n v="0"/>
    <x v="351"/>
  </r>
  <r>
    <x v="2"/>
    <x v="1"/>
    <x v="8"/>
    <x v="3"/>
    <x v="69"/>
    <s v="Av. Chile"/>
    <n v="709.83333333333337"/>
    <s v="kWh"/>
    <n v="0"/>
    <n v="0"/>
    <n v="0"/>
    <n v="0"/>
    <x v="351"/>
  </r>
  <r>
    <x v="2"/>
    <x v="1"/>
    <x v="9"/>
    <x v="3"/>
    <x v="70"/>
    <s v="Av. Chile"/>
    <n v="713.33333333333337"/>
    <s v="kWh"/>
    <n v="0"/>
    <n v="0"/>
    <n v="0"/>
    <n v="0"/>
    <x v="351"/>
  </r>
  <r>
    <x v="2"/>
    <x v="1"/>
    <x v="10"/>
    <x v="3"/>
    <x v="71"/>
    <s v="Av. Chile"/>
    <n v="620.83333333333337"/>
    <s v="kWh"/>
    <n v="0"/>
    <n v="0"/>
    <n v="0"/>
    <n v="0"/>
    <x v="351"/>
  </r>
  <r>
    <x v="2"/>
    <x v="1"/>
    <x v="11"/>
    <x v="3"/>
    <x v="72"/>
    <s v="Av. Chile"/>
    <n v="707.16666666666663"/>
    <s v="kWh"/>
    <n v="0"/>
    <n v="0"/>
    <n v="0"/>
    <n v="0"/>
    <x v="351"/>
  </r>
  <r>
    <x v="2"/>
    <x v="1"/>
    <x v="12"/>
    <x v="3"/>
    <x v="73"/>
    <s v="Av. Chile"/>
    <n v="598.33333333333337"/>
    <s v="kWh"/>
    <n v="0"/>
    <n v="0"/>
    <n v="0"/>
    <n v="0"/>
    <x v="351"/>
  </r>
  <r>
    <x v="2"/>
    <x v="1"/>
    <x v="13"/>
    <x v="3"/>
    <x v="74"/>
    <s v="Av. Chile"/>
    <n v="606.66666666666663"/>
    <s v="kWh"/>
    <n v="0"/>
    <n v="0"/>
    <n v="0"/>
    <n v="0"/>
    <x v="351"/>
  </r>
  <r>
    <x v="2"/>
    <x v="1"/>
    <x v="14"/>
    <x v="3"/>
    <x v="75"/>
    <s v="Av. Chile"/>
    <n v="515.16666666666663"/>
    <s v="kWh"/>
    <n v="0"/>
    <n v="0"/>
    <n v="0"/>
    <n v="0"/>
    <x v="351"/>
  </r>
  <r>
    <x v="2"/>
    <x v="1"/>
    <x v="15"/>
    <x v="3"/>
    <x v="76"/>
    <s v="Av. Chile"/>
    <n v="547.33333333333337"/>
    <s v="kWh"/>
    <n v="0"/>
    <n v="0"/>
    <n v="0"/>
    <n v="0"/>
    <x v="351"/>
  </r>
  <r>
    <x v="2"/>
    <x v="1"/>
    <x v="16"/>
    <x v="3"/>
    <x v="77"/>
    <s v="Av. Chile"/>
    <n v="617.33333333333337"/>
    <s v="kWh"/>
    <n v="0"/>
    <n v="0"/>
    <n v="0"/>
    <n v="0"/>
    <x v="351"/>
  </r>
  <r>
    <x v="2"/>
    <x v="1"/>
    <x v="17"/>
    <x v="3"/>
    <x v="78"/>
    <s v="Av. Chile"/>
    <n v="610.5"/>
    <s v="kWh"/>
    <n v="0"/>
    <n v="0"/>
    <n v="0"/>
    <n v="0"/>
    <x v="351"/>
  </r>
  <r>
    <x v="2"/>
    <x v="1"/>
    <x v="6"/>
    <x v="3"/>
    <x v="79"/>
    <s v="Av. Chile"/>
    <n v="808.66666666666663"/>
    <s v="kWh"/>
    <n v="0"/>
    <n v="0"/>
    <n v="0"/>
    <n v="0"/>
    <x v="351"/>
  </r>
  <r>
    <x v="2"/>
    <x v="1"/>
    <x v="7"/>
    <x v="3"/>
    <x v="80"/>
    <s v="Av. Chile"/>
    <n v="688.66666666666663"/>
    <s v="kWh"/>
    <n v="0"/>
    <n v="0"/>
    <n v="0"/>
    <n v="0"/>
    <x v="351"/>
  </r>
  <r>
    <x v="2"/>
    <x v="1"/>
    <x v="8"/>
    <x v="3"/>
    <x v="81"/>
    <s v="Av. Chile"/>
    <n v="709.83333333333337"/>
    <s v="kWh"/>
    <n v="0"/>
    <n v="0"/>
    <n v="0"/>
    <n v="0"/>
    <x v="351"/>
  </r>
  <r>
    <x v="2"/>
    <x v="1"/>
    <x v="9"/>
    <x v="3"/>
    <x v="82"/>
    <s v="Av. Chile"/>
    <n v="713.33333333333337"/>
    <s v="kWh"/>
    <n v="0"/>
    <n v="0"/>
    <n v="0"/>
    <n v="0"/>
    <x v="351"/>
  </r>
  <r>
    <x v="2"/>
    <x v="1"/>
    <x v="10"/>
    <x v="3"/>
    <x v="83"/>
    <s v="Av. Chile"/>
    <n v="620.83333333333337"/>
    <s v="kWh"/>
    <n v="0"/>
    <n v="0"/>
    <n v="0"/>
    <n v="0"/>
    <x v="351"/>
  </r>
  <r>
    <x v="2"/>
    <x v="1"/>
    <x v="11"/>
    <x v="3"/>
    <x v="84"/>
    <s v="Av. Chile"/>
    <n v="707.16666666666663"/>
    <s v="kWh"/>
    <n v="0"/>
    <n v="0"/>
    <n v="0"/>
    <n v="0"/>
    <x v="351"/>
  </r>
  <r>
    <x v="2"/>
    <x v="1"/>
    <x v="12"/>
    <x v="3"/>
    <x v="85"/>
    <s v="Av. Chile"/>
    <n v="598.33333333333337"/>
    <s v="kWh"/>
    <n v="0"/>
    <n v="0"/>
    <n v="0"/>
    <n v="0"/>
    <x v="351"/>
  </r>
  <r>
    <x v="2"/>
    <x v="1"/>
    <x v="13"/>
    <x v="3"/>
    <x v="86"/>
    <s v="Av. Chile"/>
    <n v="606.66666666666663"/>
    <s v="kWh"/>
    <n v="0"/>
    <n v="0"/>
    <n v="0"/>
    <n v="0"/>
    <x v="351"/>
  </r>
  <r>
    <x v="2"/>
    <x v="1"/>
    <x v="14"/>
    <x v="3"/>
    <x v="87"/>
    <s v="Av. Chile"/>
    <n v="515.16666666666663"/>
    <s v="kWh"/>
    <n v="0"/>
    <n v="0"/>
    <n v="0"/>
    <n v="0"/>
    <x v="351"/>
  </r>
  <r>
    <x v="2"/>
    <x v="1"/>
    <x v="15"/>
    <x v="3"/>
    <x v="88"/>
    <s v="Av. Chile"/>
    <n v="547.33333333333337"/>
    <s v="kWh"/>
    <n v="0"/>
    <n v="0"/>
    <n v="0"/>
    <n v="0"/>
    <x v="351"/>
  </r>
  <r>
    <x v="2"/>
    <x v="1"/>
    <x v="16"/>
    <x v="3"/>
    <x v="89"/>
    <s v="Av. Chile"/>
    <n v="617.33333333333337"/>
    <s v="kWh"/>
    <n v="0"/>
    <n v="0"/>
    <n v="0"/>
    <n v="0"/>
    <x v="351"/>
  </r>
  <r>
    <x v="2"/>
    <x v="1"/>
    <x v="17"/>
    <x v="3"/>
    <x v="90"/>
    <s v="Av. Chile"/>
    <n v="610.5"/>
    <s v="kWh"/>
    <n v="0"/>
    <n v="0"/>
    <n v="0"/>
    <n v="0"/>
    <x v="351"/>
  </r>
  <r>
    <x v="2"/>
    <x v="1"/>
    <x v="6"/>
    <x v="3"/>
    <x v="91"/>
    <s v="Av. Chile"/>
    <n v="808.66666666666663"/>
    <s v="kWh"/>
    <n v="0"/>
    <n v="0"/>
    <n v="0"/>
    <n v="0"/>
    <x v="351"/>
  </r>
  <r>
    <x v="2"/>
    <x v="1"/>
    <x v="7"/>
    <x v="3"/>
    <x v="92"/>
    <s v="Av. Chile"/>
    <n v="688.66666666666663"/>
    <s v="kWh"/>
    <n v="0"/>
    <n v="0"/>
    <n v="0"/>
    <n v="0"/>
    <x v="351"/>
  </r>
  <r>
    <x v="2"/>
    <x v="1"/>
    <x v="8"/>
    <x v="3"/>
    <x v="93"/>
    <s v="Av. Chile"/>
    <n v="709.83333333333337"/>
    <s v="kWh"/>
    <n v="0"/>
    <n v="0"/>
    <n v="0"/>
    <n v="0"/>
    <x v="351"/>
  </r>
  <r>
    <x v="2"/>
    <x v="1"/>
    <x v="9"/>
    <x v="3"/>
    <x v="94"/>
    <s v="Av. Chile"/>
    <n v="713.33333333333337"/>
    <s v="kWh"/>
    <n v="0"/>
    <n v="0"/>
    <n v="0"/>
    <n v="0"/>
    <x v="351"/>
  </r>
  <r>
    <x v="2"/>
    <x v="1"/>
    <x v="10"/>
    <x v="3"/>
    <x v="95"/>
    <s v="Av. Chile"/>
    <n v="620.83333333333337"/>
    <s v="kWh"/>
    <n v="0"/>
    <n v="0"/>
    <n v="0"/>
    <n v="0"/>
    <x v="351"/>
  </r>
  <r>
    <x v="2"/>
    <x v="1"/>
    <x v="11"/>
    <x v="3"/>
    <x v="96"/>
    <s v="Av. Chile"/>
    <n v="707.16666666666663"/>
    <s v="kWh"/>
    <n v="0"/>
    <n v="0"/>
    <n v="0"/>
    <n v="0"/>
    <x v="351"/>
  </r>
  <r>
    <x v="2"/>
    <x v="1"/>
    <x v="12"/>
    <x v="3"/>
    <x v="97"/>
    <s v="Av. Chile"/>
    <n v="598.33333333333337"/>
    <s v="kWh"/>
    <n v="0"/>
    <n v="0"/>
    <n v="0"/>
    <n v="0"/>
    <x v="351"/>
  </r>
  <r>
    <x v="2"/>
    <x v="1"/>
    <x v="13"/>
    <x v="3"/>
    <x v="98"/>
    <s v="Av. Chile"/>
    <n v="606.66666666666663"/>
    <s v="kWh"/>
    <n v="0"/>
    <n v="0"/>
    <n v="0"/>
    <n v="0"/>
    <x v="351"/>
  </r>
  <r>
    <x v="2"/>
    <x v="1"/>
    <x v="14"/>
    <x v="3"/>
    <x v="99"/>
    <s v="Av. Chile"/>
    <n v="515.16666666666663"/>
    <s v="kWh"/>
    <n v="0"/>
    <n v="0"/>
    <n v="0"/>
    <n v="0"/>
    <x v="351"/>
  </r>
  <r>
    <x v="2"/>
    <x v="1"/>
    <x v="15"/>
    <x v="3"/>
    <x v="100"/>
    <s v="Av. Chile"/>
    <n v="547.33333333333337"/>
    <s v="kWh"/>
    <n v="0"/>
    <n v="0"/>
    <n v="0"/>
    <n v="0"/>
    <x v="351"/>
  </r>
  <r>
    <x v="2"/>
    <x v="1"/>
    <x v="16"/>
    <x v="3"/>
    <x v="101"/>
    <s v="Av. Chile"/>
    <n v="617.33333333333337"/>
    <s v="kWh"/>
    <n v="0"/>
    <n v="0"/>
    <n v="0"/>
    <n v="0"/>
    <x v="351"/>
  </r>
  <r>
    <x v="2"/>
    <x v="1"/>
    <x v="17"/>
    <x v="3"/>
    <x v="102"/>
    <s v="Av. Chile"/>
    <n v="610.5"/>
    <s v="kWh"/>
    <n v="0"/>
    <n v="0"/>
    <n v="0"/>
    <n v="0"/>
    <x v="351"/>
  </r>
  <r>
    <x v="2"/>
    <x v="1"/>
    <x v="6"/>
    <x v="3"/>
    <x v="103"/>
    <s v="Av. Chile"/>
    <n v="808.66666666666663"/>
    <s v="kWh"/>
    <n v="0"/>
    <n v="0"/>
    <n v="0"/>
    <n v="0"/>
    <x v="351"/>
  </r>
  <r>
    <x v="2"/>
    <x v="1"/>
    <x v="7"/>
    <x v="3"/>
    <x v="104"/>
    <s v="Av. Chile"/>
    <n v="688.66666666666663"/>
    <s v="kWh"/>
    <n v="0"/>
    <n v="0"/>
    <n v="0"/>
    <n v="0"/>
    <x v="351"/>
  </r>
  <r>
    <x v="2"/>
    <x v="1"/>
    <x v="8"/>
    <x v="3"/>
    <x v="105"/>
    <s v="Av. Chile"/>
    <n v="709.83333333333337"/>
    <s v="kWh"/>
    <n v="0"/>
    <n v="0"/>
    <n v="0"/>
    <n v="0"/>
    <x v="351"/>
  </r>
  <r>
    <x v="2"/>
    <x v="1"/>
    <x v="9"/>
    <x v="3"/>
    <x v="106"/>
    <s v="Av. Chile"/>
    <n v="713.33333333333337"/>
    <s v="kWh"/>
    <n v="0"/>
    <n v="0"/>
    <n v="0"/>
    <n v="0"/>
    <x v="351"/>
  </r>
  <r>
    <x v="2"/>
    <x v="1"/>
    <x v="10"/>
    <x v="3"/>
    <x v="107"/>
    <s v="Av. Chile"/>
    <n v="620.83333333333337"/>
    <s v="kWh"/>
    <n v="0"/>
    <n v="0"/>
    <n v="0"/>
    <n v="0"/>
    <x v="351"/>
  </r>
  <r>
    <x v="2"/>
    <x v="1"/>
    <x v="11"/>
    <x v="3"/>
    <x v="108"/>
    <s v="Av. Chile"/>
    <n v="707.16666666666663"/>
    <s v="kWh"/>
    <n v="0"/>
    <n v="0"/>
    <n v="0"/>
    <n v="0"/>
    <x v="351"/>
  </r>
  <r>
    <x v="2"/>
    <x v="1"/>
    <x v="12"/>
    <x v="3"/>
    <x v="109"/>
    <s v="Av. Chile"/>
    <n v="598.33333333333337"/>
    <s v="kWh"/>
    <n v="0"/>
    <n v="0"/>
    <n v="0"/>
    <n v="0"/>
    <x v="351"/>
  </r>
  <r>
    <x v="2"/>
    <x v="1"/>
    <x v="13"/>
    <x v="3"/>
    <x v="110"/>
    <s v="Av. Chile"/>
    <n v="606.66666666666663"/>
    <s v="kWh"/>
    <n v="0"/>
    <n v="0"/>
    <n v="0"/>
    <n v="0"/>
    <x v="351"/>
  </r>
  <r>
    <x v="2"/>
    <x v="1"/>
    <x v="14"/>
    <x v="3"/>
    <x v="111"/>
    <s v="Av. Chile"/>
    <n v="515.16666666666663"/>
    <s v="kWh"/>
    <n v="0"/>
    <n v="0"/>
    <n v="0"/>
    <n v="0"/>
    <x v="351"/>
  </r>
  <r>
    <x v="2"/>
    <x v="1"/>
    <x v="15"/>
    <x v="3"/>
    <x v="112"/>
    <s v="Av. Chile"/>
    <n v="547.33333333333337"/>
    <s v="kWh"/>
    <n v="0"/>
    <n v="0"/>
    <n v="0"/>
    <n v="0"/>
    <x v="351"/>
  </r>
  <r>
    <x v="2"/>
    <x v="1"/>
    <x v="16"/>
    <x v="3"/>
    <x v="113"/>
    <s v="Av. Chile"/>
    <n v="617.33333333333337"/>
    <s v="kWh"/>
    <n v="0"/>
    <n v="0"/>
    <n v="0"/>
    <n v="0"/>
    <x v="351"/>
  </r>
  <r>
    <x v="2"/>
    <x v="1"/>
    <x v="17"/>
    <x v="3"/>
    <x v="114"/>
    <s v="Av. Chile"/>
    <n v="610.5"/>
    <s v="kWh"/>
    <n v="0"/>
    <n v="0"/>
    <n v="0"/>
    <n v="0"/>
    <x v="351"/>
  </r>
  <r>
    <x v="2"/>
    <x v="1"/>
    <x v="6"/>
    <x v="3"/>
    <x v="115"/>
    <s v="Av. Chile"/>
    <n v="808.66666666666663"/>
    <s v="kWh"/>
    <n v="0"/>
    <n v="0"/>
    <n v="0"/>
    <n v="0"/>
    <x v="351"/>
  </r>
  <r>
    <x v="2"/>
    <x v="1"/>
    <x v="7"/>
    <x v="3"/>
    <x v="116"/>
    <s v="Av. Chile"/>
    <n v="688.66666666666663"/>
    <s v="kWh"/>
    <n v="0"/>
    <n v="0"/>
    <n v="0"/>
    <n v="0"/>
    <x v="351"/>
  </r>
  <r>
    <x v="2"/>
    <x v="1"/>
    <x v="8"/>
    <x v="3"/>
    <x v="117"/>
    <s v="Av. Chile"/>
    <n v="709.83333333333337"/>
    <s v="kWh"/>
    <n v="0"/>
    <n v="0"/>
    <n v="0"/>
    <n v="0"/>
    <x v="351"/>
  </r>
  <r>
    <x v="2"/>
    <x v="1"/>
    <x v="9"/>
    <x v="3"/>
    <x v="118"/>
    <s v="Av. Chile"/>
    <n v="713.33333333333337"/>
    <s v="kWh"/>
    <n v="0"/>
    <n v="0"/>
    <n v="0"/>
    <n v="0"/>
    <x v="351"/>
  </r>
  <r>
    <x v="2"/>
    <x v="1"/>
    <x v="10"/>
    <x v="3"/>
    <x v="119"/>
    <s v="Av. Chile"/>
    <n v="620.83333333333337"/>
    <s v="kWh"/>
    <n v="0"/>
    <n v="0"/>
    <n v="0"/>
    <n v="0"/>
    <x v="351"/>
  </r>
  <r>
    <x v="2"/>
    <x v="1"/>
    <x v="11"/>
    <x v="3"/>
    <x v="120"/>
    <s v="Av. Chile"/>
    <n v="707.16666666666663"/>
    <s v="kWh"/>
    <n v="0"/>
    <n v="0"/>
    <n v="0"/>
    <n v="0"/>
    <x v="351"/>
  </r>
  <r>
    <x v="2"/>
    <x v="1"/>
    <x v="12"/>
    <x v="3"/>
    <x v="121"/>
    <s v="Av. Chile"/>
    <n v="598.33333333333337"/>
    <s v="kWh"/>
    <n v="0"/>
    <n v="0"/>
    <n v="0"/>
    <n v="0"/>
    <x v="351"/>
  </r>
  <r>
    <x v="2"/>
    <x v="1"/>
    <x v="13"/>
    <x v="3"/>
    <x v="122"/>
    <s v="Av. Chile"/>
    <n v="606.66666666666663"/>
    <s v="kWh"/>
    <n v="0"/>
    <n v="0"/>
    <n v="0"/>
    <n v="0"/>
    <x v="351"/>
  </r>
  <r>
    <x v="2"/>
    <x v="1"/>
    <x v="14"/>
    <x v="3"/>
    <x v="123"/>
    <s v="Av. Chile"/>
    <n v="515.16666666666663"/>
    <s v="kWh"/>
    <n v="0"/>
    <n v="0"/>
    <n v="0"/>
    <n v="0"/>
    <x v="351"/>
  </r>
  <r>
    <x v="2"/>
    <x v="1"/>
    <x v="15"/>
    <x v="3"/>
    <x v="124"/>
    <s v="Av. Chile"/>
    <n v="547.33333333333337"/>
    <s v="kWh"/>
    <n v="0"/>
    <n v="0"/>
    <n v="0"/>
    <n v="0"/>
    <x v="351"/>
  </r>
  <r>
    <x v="2"/>
    <x v="1"/>
    <x v="16"/>
    <x v="3"/>
    <x v="125"/>
    <s v="Av. Chile"/>
    <n v="617.33333333333337"/>
    <s v="kWh"/>
    <n v="0"/>
    <n v="0"/>
    <n v="0"/>
    <n v="0"/>
    <x v="351"/>
  </r>
  <r>
    <x v="2"/>
    <x v="1"/>
    <x v="17"/>
    <x v="3"/>
    <x v="126"/>
    <s v="Av. Chile"/>
    <n v="610.5"/>
    <s v="kWh"/>
    <n v="0"/>
    <n v="0"/>
    <n v="0"/>
    <n v="0"/>
    <x v="351"/>
  </r>
  <r>
    <x v="2"/>
    <x v="1"/>
    <x v="6"/>
    <x v="3"/>
    <x v="127"/>
    <s v="Av. Chile"/>
    <n v="808.66666666666663"/>
    <s v="kWh"/>
    <n v="0"/>
    <n v="0"/>
    <n v="0"/>
    <n v="0"/>
    <x v="351"/>
  </r>
  <r>
    <x v="2"/>
    <x v="1"/>
    <x v="7"/>
    <x v="3"/>
    <x v="128"/>
    <s v="Av. Chile"/>
    <n v="688.66666666666663"/>
    <s v="kWh"/>
    <n v="0"/>
    <n v="0"/>
    <n v="0"/>
    <n v="0"/>
    <x v="351"/>
  </r>
  <r>
    <x v="2"/>
    <x v="1"/>
    <x v="8"/>
    <x v="3"/>
    <x v="129"/>
    <s v="Av. Chile"/>
    <n v="709.83333333333337"/>
    <s v="kWh"/>
    <n v="0"/>
    <n v="0"/>
    <n v="0"/>
    <n v="0"/>
    <x v="351"/>
  </r>
  <r>
    <x v="2"/>
    <x v="1"/>
    <x v="9"/>
    <x v="3"/>
    <x v="130"/>
    <s v="Av. Chile"/>
    <n v="713.33333333333337"/>
    <s v="kWh"/>
    <n v="0"/>
    <n v="0"/>
    <n v="0"/>
    <n v="0"/>
    <x v="351"/>
  </r>
  <r>
    <x v="2"/>
    <x v="1"/>
    <x v="10"/>
    <x v="3"/>
    <x v="131"/>
    <s v="Av. Chile"/>
    <n v="620.83333333333337"/>
    <s v="kWh"/>
    <n v="0"/>
    <n v="0"/>
    <n v="0"/>
    <n v="0"/>
    <x v="351"/>
  </r>
  <r>
    <x v="2"/>
    <x v="1"/>
    <x v="11"/>
    <x v="3"/>
    <x v="132"/>
    <s v="Av. Chile"/>
    <n v="707.16666666666663"/>
    <s v="kWh"/>
    <n v="0"/>
    <n v="0"/>
    <n v="0"/>
    <n v="0"/>
    <x v="351"/>
  </r>
  <r>
    <x v="2"/>
    <x v="1"/>
    <x v="12"/>
    <x v="3"/>
    <x v="133"/>
    <s v="Av. Chile"/>
    <n v="598.33333333333337"/>
    <s v="kWh"/>
    <n v="0"/>
    <n v="0"/>
    <n v="0"/>
    <n v="0"/>
    <x v="351"/>
  </r>
  <r>
    <x v="2"/>
    <x v="1"/>
    <x v="13"/>
    <x v="3"/>
    <x v="134"/>
    <s v="Av. Chile"/>
    <n v="606.66666666666663"/>
    <s v="kWh"/>
    <n v="0"/>
    <n v="0"/>
    <n v="0"/>
    <n v="0"/>
    <x v="351"/>
  </r>
  <r>
    <x v="2"/>
    <x v="1"/>
    <x v="14"/>
    <x v="3"/>
    <x v="135"/>
    <s v="Av. Chile"/>
    <n v="515.16666666666663"/>
    <s v="kWh"/>
    <n v="0"/>
    <n v="0"/>
    <n v="0"/>
    <n v="0"/>
    <x v="351"/>
  </r>
  <r>
    <x v="2"/>
    <x v="1"/>
    <x v="15"/>
    <x v="3"/>
    <x v="136"/>
    <s v="Av. Chile"/>
    <n v="547.33333333333337"/>
    <s v="kWh"/>
    <n v="0"/>
    <n v="0"/>
    <n v="0"/>
    <n v="0"/>
    <x v="351"/>
  </r>
  <r>
    <x v="2"/>
    <x v="1"/>
    <x v="16"/>
    <x v="3"/>
    <x v="137"/>
    <s v="Av. Chile"/>
    <n v="617.33333333333337"/>
    <s v="kWh"/>
    <n v="0"/>
    <n v="0"/>
    <n v="0"/>
    <n v="0"/>
    <x v="351"/>
  </r>
  <r>
    <x v="2"/>
    <x v="1"/>
    <x v="17"/>
    <x v="3"/>
    <x v="138"/>
    <s v="Av. Chile"/>
    <n v="610.5"/>
    <s v="kWh"/>
    <n v="0"/>
    <n v="0"/>
    <n v="0"/>
    <n v="0"/>
    <x v="351"/>
  </r>
  <r>
    <x v="2"/>
    <x v="1"/>
    <x v="6"/>
    <x v="3"/>
    <x v="139"/>
    <s v="Laboratorios"/>
    <n v="0"/>
    <s v="kWh"/>
    <n v="0"/>
    <n v="0"/>
    <n v="0"/>
    <n v="0"/>
    <x v="351"/>
  </r>
  <r>
    <x v="2"/>
    <x v="1"/>
    <x v="7"/>
    <x v="3"/>
    <x v="140"/>
    <s v="Laboratorios"/>
    <n v="2700"/>
    <s v="kWh"/>
    <n v="0"/>
    <n v="0"/>
    <n v="0"/>
    <n v="0"/>
    <x v="351"/>
  </r>
  <r>
    <x v="2"/>
    <x v="1"/>
    <x v="8"/>
    <x v="3"/>
    <x v="141"/>
    <s v="Laboratorios"/>
    <n v="1372"/>
    <s v="kWh"/>
    <n v="0"/>
    <n v="0"/>
    <n v="0"/>
    <n v="0"/>
    <x v="351"/>
  </r>
  <r>
    <x v="2"/>
    <x v="1"/>
    <x v="9"/>
    <x v="3"/>
    <x v="142"/>
    <s v="Laboratorios"/>
    <n v="1590"/>
    <s v="kWh"/>
    <n v="0"/>
    <n v="0"/>
    <n v="0"/>
    <n v="0"/>
    <x v="351"/>
  </r>
  <r>
    <x v="2"/>
    <x v="1"/>
    <x v="10"/>
    <x v="3"/>
    <x v="143"/>
    <s v="Laboratorios"/>
    <n v="1323"/>
    <s v="kWh"/>
    <n v="0"/>
    <n v="0"/>
    <n v="0"/>
    <n v="0"/>
    <x v="351"/>
  </r>
  <r>
    <x v="2"/>
    <x v="1"/>
    <x v="11"/>
    <x v="3"/>
    <x v="144"/>
    <s v="Laboratorios"/>
    <n v="1446"/>
    <s v="kWh"/>
    <n v="0"/>
    <n v="0"/>
    <n v="0"/>
    <n v="0"/>
    <x v="351"/>
  </r>
  <r>
    <x v="2"/>
    <x v="1"/>
    <x v="12"/>
    <x v="3"/>
    <x v="145"/>
    <s v="Laboratorios"/>
    <n v="1739"/>
    <s v="kWh"/>
    <n v="0"/>
    <n v="0"/>
    <n v="0"/>
    <n v="0"/>
    <x v="351"/>
  </r>
  <r>
    <x v="2"/>
    <x v="1"/>
    <x v="13"/>
    <x v="3"/>
    <x v="146"/>
    <s v="Laboratorios"/>
    <n v="2316"/>
    <s v="kWh"/>
    <n v="0"/>
    <n v="0"/>
    <n v="0"/>
    <n v="0"/>
    <x v="351"/>
  </r>
  <r>
    <x v="2"/>
    <x v="1"/>
    <x v="14"/>
    <x v="3"/>
    <x v="147"/>
    <s v="Laboratorios"/>
    <n v="2237"/>
    <s v="kWh"/>
    <n v="0"/>
    <n v="0"/>
    <n v="0"/>
    <n v="0"/>
    <x v="351"/>
  </r>
  <r>
    <x v="2"/>
    <x v="1"/>
    <x v="15"/>
    <x v="3"/>
    <x v="148"/>
    <s v="Laboratorios"/>
    <n v="2476"/>
    <s v="kWh"/>
    <n v="0"/>
    <n v="0"/>
    <n v="0"/>
    <n v="0"/>
    <x v="351"/>
  </r>
  <r>
    <x v="2"/>
    <x v="1"/>
    <x v="16"/>
    <x v="3"/>
    <x v="149"/>
    <s v="Laboratorios"/>
    <n v="2582"/>
    <s v="kWh"/>
    <n v="0"/>
    <n v="0"/>
    <n v="0"/>
    <n v="0"/>
    <x v="351"/>
  </r>
  <r>
    <x v="2"/>
    <x v="1"/>
    <x v="17"/>
    <x v="3"/>
    <x v="150"/>
    <s v="Laboratorios"/>
    <n v="2190"/>
    <s v="kWh"/>
    <n v="0"/>
    <n v="0"/>
    <n v="0"/>
    <n v="0"/>
    <x v="351"/>
  </r>
  <r>
    <x v="2"/>
    <x v="2"/>
    <x v="41"/>
    <x v="9"/>
    <x v="171"/>
    <m/>
    <n v="34650"/>
    <s v="Km"/>
    <n v="0"/>
    <n v="0"/>
    <n v="0"/>
    <n v="0"/>
    <x v="352"/>
  </r>
  <r>
    <x v="3"/>
    <x v="0"/>
    <x v="0"/>
    <x v="0"/>
    <x v="0"/>
    <s v="Laboratorios"/>
    <n v="4"/>
    <s v="Galón"/>
    <n v="3.6648E-2"/>
    <n v="3.5999999999999998E-8"/>
    <n v="2.1600000000000002E-8"/>
    <n v="0"/>
    <x v="353"/>
  </r>
  <r>
    <x v="3"/>
    <x v="0"/>
    <x v="0"/>
    <x v="0"/>
    <x v="1"/>
    <s v="Campus El Nogal"/>
    <n v="12"/>
    <s v="Galón"/>
    <n v="0.109944"/>
    <n v="1.0799999999999999E-7"/>
    <n v="6.4799999999999998E-8"/>
    <n v="0"/>
    <x v="354"/>
  </r>
  <r>
    <x v="0"/>
    <x v="0"/>
    <x v="0"/>
    <x v="0"/>
    <x v="2"/>
    <m/>
    <n v="2024"/>
    <s v="m3"/>
    <n v="3.3524503069505784"/>
    <n v="6.55776E-5"/>
    <n v="6.5031119999999991E-6"/>
    <n v="0"/>
    <x v="355"/>
  </r>
  <r>
    <x v="3"/>
    <x v="0"/>
    <x v="0"/>
    <x v="1"/>
    <x v="3"/>
    <m/>
    <n v="17.46"/>
    <s v="Galón"/>
    <m/>
    <n v="0.13840891200000002"/>
    <n v="4.6042019999999995E-6"/>
    <n v="4.3999200000000001E-7"/>
    <x v="356"/>
  </r>
  <r>
    <x v="3"/>
    <x v="0"/>
    <x v="0"/>
    <x v="1"/>
    <x v="4"/>
    <m/>
    <n v="16.68"/>
    <s v="Galón"/>
    <m/>
    <n v="0.132225696"/>
    <n v="4.3985159999999999E-6"/>
    <n v="4.2033600000000007E-7"/>
    <x v="357"/>
  </r>
  <r>
    <x v="3"/>
    <x v="0"/>
    <x v="0"/>
    <x v="1"/>
    <x v="5"/>
    <m/>
    <n v="18"/>
    <s v="Galón"/>
    <m/>
    <n v="0.14268959999999997"/>
    <n v="4.7466000000000004E-6"/>
    <n v="4.5360000000000004E-7"/>
    <x v="358"/>
  </r>
  <r>
    <x v="3"/>
    <x v="0"/>
    <x v="0"/>
    <x v="1"/>
    <x v="6"/>
    <m/>
    <n v="17"/>
    <s v="Galón"/>
    <m/>
    <n v="0.1347624"/>
    <n v="4.4828999999999999E-6"/>
    <n v="4.284E-7"/>
    <x v="359"/>
  </r>
  <r>
    <x v="3"/>
    <x v="0"/>
    <x v="0"/>
    <x v="1"/>
    <x v="7"/>
    <m/>
    <n v="9"/>
    <s v="Galón"/>
    <m/>
    <n v="7.1344799999999986E-2"/>
    <n v="2.3733000000000002E-6"/>
    <n v="2.2680000000000002E-7"/>
    <x v="360"/>
  </r>
  <r>
    <x v="3"/>
    <x v="0"/>
    <x v="0"/>
    <x v="1"/>
    <x v="8"/>
    <m/>
    <n v="17"/>
    <s v="Galón"/>
    <m/>
    <n v="0.1347624"/>
    <n v="4.4828999999999999E-6"/>
    <n v="4.284E-7"/>
    <x v="359"/>
  </r>
  <r>
    <x v="3"/>
    <x v="0"/>
    <x v="0"/>
    <x v="1"/>
    <x v="9"/>
    <m/>
    <n v="18"/>
    <s v="Galón"/>
    <m/>
    <n v="0.14268959999999997"/>
    <n v="4.7466000000000004E-6"/>
    <n v="4.5360000000000004E-7"/>
    <x v="358"/>
  </r>
  <r>
    <x v="3"/>
    <x v="0"/>
    <x v="0"/>
    <x v="1"/>
    <x v="10"/>
    <m/>
    <n v="18"/>
    <s v="Galón"/>
    <m/>
    <n v="0.14268959999999997"/>
    <n v="4.7466000000000004E-6"/>
    <n v="4.5360000000000004E-7"/>
    <x v="358"/>
  </r>
  <r>
    <x v="3"/>
    <x v="0"/>
    <x v="0"/>
    <x v="1"/>
    <x v="11"/>
    <m/>
    <n v="18"/>
    <s v="Galón"/>
    <m/>
    <n v="0.14268959999999997"/>
    <n v="4.7466000000000004E-6"/>
    <n v="4.5360000000000004E-7"/>
    <x v="358"/>
  </r>
  <r>
    <x v="3"/>
    <x v="0"/>
    <x v="0"/>
    <x v="1"/>
    <x v="12"/>
    <m/>
    <n v="7"/>
    <s v="Galón"/>
    <m/>
    <n v="5.5490399999999995E-2"/>
    <n v="1.8459E-6"/>
    <n v="1.7640000000000002E-7"/>
    <x v="361"/>
  </r>
  <r>
    <x v="3"/>
    <x v="0"/>
    <x v="0"/>
    <x v="1"/>
    <x v="13"/>
    <m/>
    <n v="18"/>
    <s v="Galón"/>
    <m/>
    <n v="0.14268959999999997"/>
    <n v="4.7466000000000004E-6"/>
    <n v="4.5360000000000004E-7"/>
    <x v="358"/>
  </r>
  <r>
    <x v="3"/>
    <x v="0"/>
    <x v="1"/>
    <x v="2"/>
    <x v="15"/>
    <s v="Legacy"/>
    <n v="1000"/>
    <s v="g"/>
    <s v="-"/>
    <n v="0"/>
    <n v="0"/>
    <n v="2.0000000000000001E-4"/>
    <x v="362"/>
  </r>
  <r>
    <x v="3"/>
    <x v="0"/>
    <x v="1"/>
    <x v="2"/>
    <x v="16"/>
    <s v="Legacy"/>
    <n v="720"/>
    <s v="g"/>
    <s v="-"/>
    <n v="0"/>
    <n v="0"/>
    <n v="7.1999999999999988E-5"/>
    <x v="363"/>
  </r>
  <r>
    <x v="3"/>
    <x v="0"/>
    <x v="1"/>
    <x v="2"/>
    <x v="17"/>
    <s v="Legacy"/>
    <n v="2400"/>
    <s v="g"/>
    <s v="-"/>
    <n v="0"/>
    <n v="0"/>
    <n v="2.3999999999999998E-4"/>
    <x v="364"/>
  </r>
  <r>
    <x v="3"/>
    <x v="0"/>
    <x v="1"/>
    <x v="2"/>
    <x v="18"/>
    <s v="Legacy"/>
    <n v="11000"/>
    <s v="g"/>
    <s v="-"/>
    <n v="0"/>
    <n v="0"/>
    <n v="1.1000000000000001E-3"/>
    <x v="365"/>
  </r>
  <r>
    <x v="3"/>
    <x v="0"/>
    <x v="1"/>
    <x v="2"/>
    <x v="19"/>
    <s v="Legacy"/>
    <n v="17600"/>
    <s v="g"/>
    <s v="-"/>
    <n v="0"/>
    <n v="0"/>
    <n v="1.7600000000000001E-3"/>
    <x v="366"/>
  </r>
  <r>
    <x v="3"/>
    <x v="0"/>
    <x v="1"/>
    <x v="2"/>
    <x v="20"/>
    <s v="Legacy"/>
    <n v="2130"/>
    <s v="g"/>
    <s v="-"/>
    <n v="0"/>
    <n v="0"/>
    <n v="2.13E-4"/>
    <x v="367"/>
  </r>
  <r>
    <x v="3"/>
    <x v="0"/>
    <x v="1"/>
    <x v="2"/>
    <x v="21"/>
    <s v="Legacy"/>
    <n v="11660"/>
    <s v="g"/>
    <s v="-"/>
    <n v="0"/>
    <n v="0"/>
    <n v="1.1659999999999999E-3"/>
    <x v="368"/>
  </r>
  <r>
    <x v="3"/>
    <x v="0"/>
    <x v="1"/>
    <x v="2"/>
    <x v="22"/>
    <s v="Legacy"/>
    <n v="5250"/>
    <s v="g"/>
    <s v="-"/>
    <n v="0"/>
    <n v="0"/>
    <n v="5.2500000000000008E-4"/>
    <x v="369"/>
  </r>
  <r>
    <x v="3"/>
    <x v="0"/>
    <x v="1"/>
    <x v="2"/>
    <x v="23"/>
    <s v="Legacy"/>
    <n v="41860"/>
    <s v="g"/>
    <s v="-"/>
    <n v="0"/>
    <n v="0"/>
    <n v="4.1859999999999996E-3"/>
    <x v="370"/>
  </r>
  <r>
    <x v="3"/>
    <x v="0"/>
    <x v="1"/>
    <x v="2"/>
    <x v="24"/>
    <s v="Legacy"/>
    <n v="22000"/>
    <s v="g"/>
    <s v="-"/>
    <n v="0"/>
    <n v="0"/>
    <n v="2.2000000000000001E-3"/>
    <x v="371"/>
  </r>
  <r>
    <x v="3"/>
    <x v="0"/>
    <x v="1"/>
    <x v="2"/>
    <x v="25"/>
    <s v="Legacy"/>
    <n v="24000"/>
    <s v="g"/>
    <s v="-"/>
    <n v="0"/>
    <n v="0"/>
    <n v="2.3999999999999998E-3"/>
    <x v="372"/>
  </r>
  <r>
    <x v="3"/>
    <x v="0"/>
    <x v="1"/>
    <x v="2"/>
    <x v="26"/>
    <s v="Legacy"/>
    <n v="99"/>
    <s v="g"/>
    <s v="-"/>
    <n v="0"/>
    <n v="0"/>
    <n v="9.9000000000000001E-6"/>
    <x v="373"/>
  </r>
  <r>
    <x v="3"/>
    <x v="0"/>
    <x v="1"/>
    <x v="2"/>
    <x v="27"/>
    <s v="Legacy"/>
    <n v="22"/>
    <s v="g"/>
    <s v="-"/>
    <n v="0"/>
    <n v="0"/>
    <n v="2.2000000000000001E-6"/>
    <x v="374"/>
  </r>
  <r>
    <x v="3"/>
    <x v="0"/>
    <x v="1"/>
    <x v="2"/>
    <x v="28"/>
    <s v="Legacy"/>
    <n v="48"/>
    <s v="g"/>
    <s v="-"/>
    <n v="0"/>
    <n v="0"/>
    <n v="4.8000000000000006E-6"/>
    <x v="375"/>
  </r>
  <r>
    <x v="3"/>
    <x v="0"/>
    <x v="1"/>
    <x v="2"/>
    <x v="29"/>
    <s v="Legacy"/>
    <n v="55"/>
    <s v="g"/>
    <s v="-"/>
    <n v="0"/>
    <n v="0"/>
    <n v="5.4999999999999999E-6"/>
    <x v="376"/>
  </r>
  <r>
    <x v="3"/>
    <x v="0"/>
    <x v="1"/>
    <x v="2"/>
    <x v="30"/>
    <s v="Legacy"/>
    <n v="60"/>
    <s v="g"/>
    <s v="-"/>
    <n v="0"/>
    <n v="0"/>
    <n v="6.0000000000000002E-6"/>
    <x v="377"/>
  </r>
  <r>
    <x v="3"/>
    <x v="0"/>
    <x v="1"/>
    <x v="2"/>
    <x v="31"/>
    <s v="Legacy"/>
    <n v="36"/>
    <s v="g"/>
    <s v="-"/>
    <n v="0"/>
    <n v="0"/>
    <n v="3.5999999999999998E-6"/>
    <x v="378"/>
  </r>
  <r>
    <x v="3"/>
    <x v="0"/>
    <x v="2"/>
    <x v="2"/>
    <x v="32"/>
    <s v="Laboratorios"/>
    <n v="340"/>
    <s v="g"/>
    <s v="-"/>
    <n v="0"/>
    <n v="0"/>
    <n v="6.7999999999999999E-5"/>
    <x v="379"/>
  </r>
  <r>
    <x v="3"/>
    <x v="0"/>
    <x v="2"/>
    <x v="2"/>
    <x v="32"/>
    <s v="Laboratorios"/>
    <n v="180"/>
    <s v="g"/>
    <s v="-"/>
    <n v="0"/>
    <n v="0"/>
    <n v="3.5999999999999994E-5"/>
    <x v="380"/>
  </r>
  <r>
    <x v="3"/>
    <x v="0"/>
    <x v="2"/>
    <x v="2"/>
    <x v="33"/>
    <s v="Laboratorios"/>
    <n v="180"/>
    <s v="g"/>
    <s v="-"/>
    <n v="0"/>
    <n v="0"/>
    <n v="1.7999999999999997E-5"/>
    <x v="381"/>
  </r>
  <r>
    <x v="3"/>
    <x v="0"/>
    <x v="2"/>
    <x v="2"/>
    <x v="34"/>
    <s v="Av. Chile"/>
    <n v="600"/>
    <s v="g"/>
    <s v="-"/>
    <n v="0"/>
    <n v="0"/>
    <n v="8.9999999999999992E-5"/>
    <x v="382"/>
  </r>
  <r>
    <x v="3"/>
    <x v="0"/>
    <x v="2"/>
    <x v="2"/>
    <x v="35"/>
    <s v="Legacy"/>
    <n v="80"/>
    <s v="g"/>
    <s v="-"/>
    <n v="0"/>
    <n v="0"/>
    <n v="1.2E-5"/>
    <x v="383"/>
  </r>
  <r>
    <x v="3"/>
    <x v="0"/>
    <x v="3"/>
    <x v="2"/>
    <x v="36"/>
    <s v="Laboratorios"/>
    <n v="180"/>
    <s v="g"/>
    <s v="-"/>
    <n v="0"/>
    <n v="0"/>
    <n v="2.6999999999999999E-5"/>
    <x v="384"/>
  </r>
  <r>
    <x v="3"/>
    <x v="0"/>
    <x v="4"/>
    <x v="2"/>
    <x v="37"/>
    <m/>
    <n v="40.799999999999997"/>
    <s v="kg"/>
    <n v="1.0199999999999999E-2"/>
    <n v="0"/>
    <n v="0"/>
    <s v="-"/>
    <x v="38"/>
  </r>
  <r>
    <x v="3"/>
    <x v="0"/>
    <x v="4"/>
    <x v="2"/>
    <x v="38"/>
    <m/>
    <n v="13.5"/>
    <s v="kg"/>
    <n v="3.375E-3"/>
    <n v="0"/>
    <n v="0"/>
    <s v="-"/>
    <x v="39"/>
  </r>
  <r>
    <x v="3"/>
    <x v="0"/>
    <x v="4"/>
    <x v="2"/>
    <x v="39"/>
    <m/>
    <n v="157.5"/>
    <s v="kg"/>
    <s v="-"/>
    <n v="0"/>
    <n v="0"/>
    <n v="3.5594999999999999"/>
    <x v="40"/>
  </r>
  <r>
    <x v="3"/>
    <x v="0"/>
    <x v="4"/>
    <x v="2"/>
    <x v="40"/>
    <m/>
    <n v="148"/>
    <s v="kg"/>
    <s v="-"/>
    <n v="0"/>
    <n v="0"/>
    <n v="3.3448000000000002"/>
    <x v="41"/>
  </r>
  <r>
    <x v="3"/>
    <x v="0"/>
    <x v="4"/>
    <x v="2"/>
    <x v="41"/>
    <m/>
    <n v="21"/>
    <s v="kg"/>
    <s v="-"/>
    <n v="0"/>
    <n v="0"/>
    <n v="0.47460000000000002"/>
    <x v="42"/>
  </r>
  <r>
    <x v="3"/>
    <x v="1"/>
    <x v="6"/>
    <x v="3"/>
    <x v="43"/>
    <s v="Legacy"/>
    <n v="83029"/>
    <s v="kWh"/>
    <n v="0"/>
    <n v="0"/>
    <n v="0"/>
    <n v="0"/>
    <x v="385"/>
  </r>
  <r>
    <x v="3"/>
    <x v="1"/>
    <x v="7"/>
    <x v="3"/>
    <x v="44"/>
    <s v="Legacy"/>
    <n v="117088"/>
    <s v="kWh"/>
    <n v="0"/>
    <n v="0"/>
    <n v="0"/>
    <n v="0"/>
    <x v="386"/>
  </r>
  <r>
    <x v="3"/>
    <x v="1"/>
    <x v="8"/>
    <x v="3"/>
    <x v="45"/>
    <s v="Legacy"/>
    <n v="117245"/>
    <s v="kWh"/>
    <n v="0"/>
    <n v="0"/>
    <n v="0"/>
    <n v="0"/>
    <x v="387"/>
  </r>
  <r>
    <x v="3"/>
    <x v="1"/>
    <x v="9"/>
    <x v="3"/>
    <x v="46"/>
    <s v="Legacy"/>
    <n v="121856"/>
    <s v="kWh"/>
    <n v="0"/>
    <n v="0"/>
    <n v="0"/>
    <n v="0"/>
    <x v="388"/>
  </r>
  <r>
    <x v="3"/>
    <x v="1"/>
    <x v="10"/>
    <x v="3"/>
    <x v="47"/>
    <s v="Legacy"/>
    <n v="114912"/>
    <s v="kWh"/>
    <n v="0"/>
    <n v="0"/>
    <n v="0"/>
    <n v="0"/>
    <x v="389"/>
  </r>
  <r>
    <x v="3"/>
    <x v="1"/>
    <x v="6"/>
    <x v="3"/>
    <x v="173"/>
    <s v="Fundadores"/>
    <n v="14479"/>
    <s v="kWh"/>
    <n v="0"/>
    <n v="0"/>
    <n v="0"/>
    <n v="0"/>
    <x v="390"/>
  </r>
  <r>
    <x v="3"/>
    <x v="1"/>
    <x v="7"/>
    <x v="3"/>
    <x v="174"/>
    <s v="Fundadores"/>
    <n v="16489"/>
    <s v="kWh"/>
    <n v="0"/>
    <n v="0"/>
    <n v="0"/>
    <n v="0"/>
    <x v="391"/>
  </r>
  <r>
    <x v="3"/>
    <x v="1"/>
    <x v="8"/>
    <x v="3"/>
    <x v="175"/>
    <s v="Fundadores"/>
    <n v="15039"/>
    <s v="kWh"/>
    <n v="0"/>
    <n v="0"/>
    <n v="0"/>
    <n v="0"/>
    <x v="392"/>
  </r>
  <r>
    <x v="3"/>
    <x v="1"/>
    <x v="9"/>
    <x v="3"/>
    <x v="176"/>
    <s v="Fundadores"/>
    <n v="14993"/>
    <s v="kWh"/>
    <n v="0"/>
    <n v="0"/>
    <n v="0"/>
    <n v="0"/>
    <x v="393"/>
  </r>
  <r>
    <x v="3"/>
    <x v="1"/>
    <x v="10"/>
    <x v="3"/>
    <x v="177"/>
    <s v="Fundadores"/>
    <n v="12725"/>
    <s v="kWh"/>
    <n v="0"/>
    <n v="0"/>
    <n v="0"/>
    <n v="0"/>
    <x v="394"/>
  </r>
  <r>
    <x v="3"/>
    <x v="1"/>
    <x v="11"/>
    <x v="3"/>
    <x v="178"/>
    <s v="Fundadores"/>
    <n v="10481"/>
    <s v="kWh"/>
    <n v="0"/>
    <n v="0"/>
    <n v="0"/>
    <n v="0"/>
    <x v="395"/>
  </r>
  <r>
    <x v="3"/>
    <x v="1"/>
    <x v="12"/>
    <x v="3"/>
    <x v="179"/>
    <s v="Fundadores"/>
    <n v="9649"/>
    <s v="kWh"/>
    <n v="0"/>
    <n v="0"/>
    <n v="0"/>
    <n v="0"/>
    <x v="396"/>
  </r>
  <r>
    <x v="3"/>
    <x v="1"/>
    <x v="13"/>
    <x v="3"/>
    <x v="180"/>
    <s v="Fundadores"/>
    <n v="8427"/>
    <s v="kWh"/>
    <n v="0"/>
    <n v="0"/>
    <n v="0"/>
    <n v="0"/>
    <x v="397"/>
  </r>
  <r>
    <x v="3"/>
    <x v="1"/>
    <x v="6"/>
    <x v="3"/>
    <x v="67"/>
    <s v="Av. Chile"/>
    <n v="613"/>
    <s v="kWh"/>
    <n v="0"/>
    <n v="0"/>
    <n v="0"/>
    <n v="0"/>
    <x v="398"/>
  </r>
  <r>
    <x v="3"/>
    <x v="1"/>
    <x v="7"/>
    <x v="3"/>
    <x v="68"/>
    <s v="Av. Chile"/>
    <n v="536"/>
    <s v="kWh"/>
    <n v="0"/>
    <n v="0"/>
    <n v="0"/>
    <n v="0"/>
    <x v="399"/>
  </r>
  <r>
    <x v="3"/>
    <x v="1"/>
    <x v="8"/>
    <x v="3"/>
    <x v="69"/>
    <s v="Av. Chile"/>
    <n v="516"/>
    <s v="kWh"/>
    <n v="0"/>
    <n v="0"/>
    <n v="0"/>
    <n v="0"/>
    <x v="400"/>
  </r>
  <r>
    <x v="3"/>
    <x v="1"/>
    <x v="9"/>
    <x v="3"/>
    <x v="70"/>
    <s v="Av. Chile"/>
    <n v="614"/>
    <s v="kWh"/>
    <n v="0"/>
    <n v="0"/>
    <n v="0"/>
    <n v="0"/>
    <x v="401"/>
  </r>
  <r>
    <x v="3"/>
    <x v="1"/>
    <x v="10"/>
    <x v="3"/>
    <x v="71"/>
    <s v="Av. Chile"/>
    <n v="611"/>
    <s v="kWh"/>
    <n v="0"/>
    <n v="0"/>
    <n v="0"/>
    <n v="0"/>
    <x v="402"/>
  </r>
  <r>
    <x v="3"/>
    <x v="1"/>
    <x v="11"/>
    <x v="3"/>
    <x v="72"/>
    <s v="Av. Chile"/>
    <n v="793"/>
    <s v="kWh"/>
    <n v="0"/>
    <n v="0"/>
    <n v="0"/>
    <n v="0"/>
    <x v="403"/>
  </r>
  <r>
    <x v="3"/>
    <x v="1"/>
    <x v="12"/>
    <x v="3"/>
    <x v="73"/>
    <s v="Av. Chile"/>
    <n v="1060"/>
    <s v="kWh"/>
    <n v="0"/>
    <n v="0"/>
    <n v="0"/>
    <n v="0"/>
    <x v="404"/>
  </r>
  <r>
    <x v="3"/>
    <x v="1"/>
    <x v="13"/>
    <x v="3"/>
    <x v="74"/>
    <s v="Av. Chile"/>
    <n v="834"/>
    <s v="kWh"/>
    <n v="0"/>
    <n v="0"/>
    <n v="0"/>
    <n v="0"/>
    <x v="405"/>
  </r>
  <r>
    <x v="3"/>
    <x v="1"/>
    <x v="14"/>
    <x v="3"/>
    <x v="75"/>
    <s v="Av. Chile"/>
    <n v="972"/>
    <s v="kWh"/>
    <n v="0"/>
    <n v="0"/>
    <n v="0"/>
    <n v="0"/>
    <x v="406"/>
  </r>
  <r>
    <x v="3"/>
    <x v="1"/>
    <x v="6"/>
    <x v="3"/>
    <x v="79"/>
    <s v="Av. Chile"/>
    <n v="194"/>
    <s v="kWh"/>
    <n v="0"/>
    <n v="0"/>
    <n v="0"/>
    <n v="0"/>
    <x v="407"/>
  </r>
  <r>
    <x v="3"/>
    <x v="1"/>
    <x v="7"/>
    <x v="3"/>
    <x v="80"/>
    <s v="Av. Chile"/>
    <n v="98"/>
    <s v="kWh"/>
    <n v="0"/>
    <n v="0"/>
    <n v="0"/>
    <n v="0"/>
    <x v="408"/>
  </r>
  <r>
    <x v="3"/>
    <x v="1"/>
    <x v="8"/>
    <x v="3"/>
    <x v="81"/>
    <s v="Av. Chile"/>
    <n v="43"/>
    <s v="kWh"/>
    <n v="0"/>
    <n v="0"/>
    <n v="0"/>
    <n v="0"/>
    <x v="82"/>
  </r>
  <r>
    <x v="3"/>
    <x v="1"/>
    <x v="9"/>
    <x v="3"/>
    <x v="82"/>
    <s v="Av. Chile"/>
    <n v="66"/>
    <s v="kWh"/>
    <n v="0"/>
    <n v="0"/>
    <n v="0"/>
    <n v="0"/>
    <x v="409"/>
  </r>
  <r>
    <x v="3"/>
    <x v="1"/>
    <x v="10"/>
    <x v="3"/>
    <x v="83"/>
    <s v="Av. Chile"/>
    <n v="70"/>
    <s v="kWh"/>
    <n v="0"/>
    <n v="0"/>
    <n v="0"/>
    <n v="0"/>
    <x v="410"/>
  </r>
  <r>
    <x v="3"/>
    <x v="1"/>
    <x v="11"/>
    <x v="3"/>
    <x v="84"/>
    <s v="Av. Chile"/>
    <n v="86"/>
    <s v="kWh"/>
    <n v="0"/>
    <n v="0"/>
    <n v="0"/>
    <n v="0"/>
    <x v="411"/>
  </r>
  <r>
    <x v="3"/>
    <x v="1"/>
    <x v="12"/>
    <x v="3"/>
    <x v="85"/>
    <s v="Av. Chile"/>
    <n v="73"/>
    <s v="kWh"/>
    <n v="0"/>
    <n v="0"/>
    <n v="0"/>
    <n v="0"/>
    <x v="412"/>
  </r>
  <r>
    <x v="3"/>
    <x v="1"/>
    <x v="13"/>
    <x v="3"/>
    <x v="86"/>
    <s v="Av. Chile"/>
    <n v="53"/>
    <s v="kWh"/>
    <n v="0"/>
    <n v="0"/>
    <n v="0"/>
    <n v="0"/>
    <x v="413"/>
  </r>
  <r>
    <x v="3"/>
    <x v="1"/>
    <x v="14"/>
    <x v="3"/>
    <x v="87"/>
    <s v="Av. Chile"/>
    <n v="61"/>
    <s v="kWh"/>
    <n v="0"/>
    <n v="0"/>
    <n v="0"/>
    <n v="0"/>
    <x v="414"/>
  </r>
  <r>
    <x v="3"/>
    <x v="1"/>
    <x v="6"/>
    <x v="3"/>
    <x v="91"/>
    <s v="Av. Chile"/>
    <n v="508"/>
    <s v="kWh"/>
    <n v="0"/>
    <n v="0"/>
    <n v="0"/>
    <n v="0"/>
    <x v="415"/>
  </r>
  <r>
    <x v="3"/>
    <x v="1"/>
    <x v="7"/>
    <x v="3"/>
    <x v="92"/>
    <s v="Av. Chile"/>
    <n v="428"/>
    <s v="kWh"/>
    <n v="0"/>
    <n v="0"/>
    <n v="0"/>
    <n v="0"/>
    <x v="416"/>
  </r>
  <r>
    <x v="3"/>
    <x v="1"/>
    <x v="8"/>
    <x v="3"/>
    <x v="93"/>
    <s v="Av. Chile"/>
    <n v="448"/>
    <s v="kWh"/>
    <n v="0"/>
    <n v="0"/>
    <n v="0"/>
    <n v="0"/>
    <x v="417"/>
  </r>
  <r>
    <x v="3"/>
    <x v="1"/>
    <x v="9"/>
    <x v="3"/>
    <x v="94"/>
    <s v="Av. Chile"/>
    <n v="496"/>
    <s v="kWh"/>
    <n v="0"/>
    <n v="0"/>
    <n v="0"/>
    <n v="0"/>
    <x v="96"/>
  </r>
  <r>
    <x v="3"/>
    <x v="1"/>
    <x v="10"/>
    <x v="3"/>
    <x v="95"/>
    <s v="Av. Chile"/>
    <n v="446"/>
    <s v="kWh"/>
    <n v="0"/>
    <n v="0"/>
    <n v="0"/>
    <n v="0"/>
    <x v="418"/>
  </r>
  <r>
    <x v="3"/>
    <x v="1"/>
    <x v="11"/>
    <x v="3"/>
    <x v="96"/>
    <s v="Av. Chile"/>
    <n v="503"/>
    <s v="kWh"/>
    <n v="0"/>
    <n v="0"/>
    <n v="0"/>
    <n v="0"/>
    <x v="419"/>
  </r>
  <r>
    <x v="3"/>
    <x v="1"/>
    <x v="12"/>
    <x v="3"/>
    <x v="97"/>
    <s v="Av. Chile"/>
    <n v="433"/>
    <s v="kWh"/>
    <n v="0"/>
    <n v="0"/>
    <n v="0"/>
    <n v="0"/>
    <x v="420"/>
  </r>
  <r>
    <x v="3"/>
    <x v="1"/>
    <x v="13"/>
    <x v="3"/>
    <x v="98"/>
    <s v="Av. Chile"/>
    <n v="407"/>
    <s v="kWh"/>
    <n v="0"/>
    <n v="0"/>
    <n v="0"/>
    <n v="0"/>
    <x v="421"/>
  </r>
  <r>
    <x v="3"/>
    <x v="1"/>
    <x v="14"/>
    <x v="3"/>
    <x v="99"/>
    <s v="Av. Chile"/>
    <n v="444"/>
    <s v="kWh"/>
    <n v="0"/>
    <n v="0"/>
    <n v="0"/>
    <n v="0"/>
    <x v="422"/>
  </r>
  <r>
    <x v="3"/>
    <x v="1"/>
    <x v="6"/>
    <x v="3"/>
    <x v="103"/>
    <s v="Av. Chile"/>
    <n v="826"/>
    <s v="kWh"/>
    <n v="0"/>
    <n v="0"/>
    <n v="0"/>
    <n v="0"/>
    <x v="107"/>
  </r>
  <r>
    <x v="3"/>
    <x v="1"/>
    <x v="7"/>
    <x v="3"/>
    <x v="104"/>
    <s v="Av. Chile"/>
    <n v="627"/>
    <s v="kWh"/>
    <n v="0"/>
    <n v="0"/>
    <n v="0"/>
    <n v="0"/>
    <x v="423"/>
  </r>
  <r>
    <x v="3"/>
    <x v="1"/>
    <x v="8"/>
    <x v="3"/>
    <x v="105"/>
    <s v="Av. Chile"/>
    <n v="709"/>
    <s v="kWh"/>
    <n v="0"/>
    <n v="0"/>
    <n v="0"/>
    <n v="0"/>
    <x v="424"/>
  </r>
  <r>
    <x v="3"/>
    <x v="1"/>
    <x v="9"/>
    <x v="3"/>
    <x v="106"/>
    <s v="Av. Chile"/>
    <n v="778"/>
    <s v="kWh"/>
    <n v="0"/>
    <n v="0"/>
    <n v="0"/>
    <n v="0"/>
    <x v="425"/>
  </r>
  <r>
    <x v="3"/>
    <x v="1"/>
    <x v="10"/>
    <x v="3"/>
    <x v="107"/>
    <s v="Av. Chile"/>
    <n v="738"/>
    <s v="kWh"/>
    <n v="0"/>
    <n v="0"/>
    <n v="0"/>
    <n v="0"/>
    <x v="426"/>
  </r>
  <r>
    <x v="3"/>
    <x v="1"/>
    <x v="11"/>
    <x v="3"/>
    <x v="108"/>
    <s v="Av. Chile"/>
    <n v="810"/>
    <s v="kWh"/>
    <n v="0"/>
    <n v="0"/>
    <n v="0"/>
    <n v="0"/>
    <x v="73"/>
  </r>
  <r>
    <x v="3"/>
    <x v="1"/>
    <x v="12"/>
    <x v="3"/>
    <x v="109"/>
    <s v="Av. Chile"/>
    <n v="663"/>
    <s v="kWh"/>
    <n v="0"/>
    <n v="0"/>
    <n v="0"/>
    <n v="0"/>
    <x v="427"/>
  </r>
  <r>
    <x v="3"/>
    <x v="1"/>
    <x v="13"/>
    <x v="3"/>
    <x v="110"/>
    <s v="Av. Chile"/>
    <n v="653"/>
    <s v="kWh"/>
    <n v="0"/>
    <n v="0"/>
    <n v="0"/>
    <n v="0"/>
    <x v="428"/>
  </r>
  <r>
    <x v="3"/>
    <x v="1"/>
    <x v="14"/>
    <x v="3"/>
    <x v="111"/>
    <s v="Av. Chile"/>
    <n v="739"/>
    <s v="kWh"/>
    <n v="0"/>
    <n v="0"/>
    <n v="0"/>
    <n v="0"/>
    <x v="429"/>
  </r>
  <r>
    <x v="3"/>
    <x v="1"/>
    <x v="6"/>
    <x v="3"/>
    <x v="115"/>
    <s v="Av. Chile"/>
    <n v="232"/>
    <s v="kWh"/>
    <n v="0"/>
    <n v="0"/>
    <n v="0"/>
    <n v="0"/>
    <x v="430"/>
  </r>
  <r>
    <x v="3"/>
    <x v="1"/>
    <x v="7"/>
    <x v="3"/>
    <x v="116"/>
    <s v="Av. Chile"/>
    <n v="213"/>
    <s v="kWh"/>
    <n v="0"/>
    <n v="0"/>
    <n v="0"/>
    <n v="0"/>
    <x v="431"/>
  </r>
  <r>
    <x v="3"/>
    <x v="1"/>
    <x v="8"/>
    <x v="3"/>
    <x v="117"/>
    <s v="Av. Chile"/>
    <n v="303"/>
    <s v="kWh"/>
    <n v="0"/>
    <n v="0"/>
    <n v="0"/>
    <n v="0"/>
    <x v="432"/>
  </r>
  <r>
    <x v="3"/>
    <x v="1"/>
    <x v="9"/>
    <x v="3"/>
    <x v="118"/>
    <s v="Av. Chile"/>
    <n v="303"/>
    <s v="kWh"/>
    <n v="0"/>
    <n v="0"/>
    <n v="0"/>
    <n v="0"/>
    <x v="432"/>
  </r>
  <r>
    <x v="3"/>
    <x v="1"/>
    <x v="10"/>
    <x v="3"/>
    <x v="119"/>
    <s v="Av. Chile"/>
    <n v="646"/>
    <s v="kWh"/>
    <n v="0"/>
    <n v="0"/>
    <n v="0"/>
    <n v="0"/>
    <x v="433"/>
  </r>
  <r>
    <x v="3"/>
    <x v="1"/>
    <x v="11"/>
    <x v="3"/>
    <x v="120"/>
    <s v="Av. Chile"/>
    <n v="822"/>
    <s v="kWh"/>
    <n v="0"/>
    <n v="0"/>
    <n v="0"/>
    <n v="0"/>
    <x v="434"/>
  </r>
  <r>
    <x v="3"/>
    <x v="1"/>
    <x v="12"/>
    <x v="3"/>
    <x v="121"/>
    <s v="Av. Chile"/>
    <n v="631"/>
    <s v="kWh"/>
    <n v="0"/>
    <n v="0"/>
    <n v="0"/>
    <n v="0"/>
    <x v="435"/>
  </r>
  <r>
    <x v="3"/>
    <x v="1"/>
    <x v="13"/>
    <x v="3"/>
    <x v="122"/>
    <s v="Av. Chile"/>
    <n v="689"/>
    <s v="kWh"/>
    <n v="0"/>
    <n v="0"/>
    <n v="0"/>
    <n v="0"/>
    <x v="436"/>
  </r>
  <r>
    <x v="3"/>
    <x v="1"/>
    <x v="14"/>
    <x v="3"/>
    <x v="123"/>
    <s v="Av. Chile"/>
    <n v="716"/>
    <s v="kWh"/>
    <n v="0"/>
    <n v="0"/>
    <n v="0"/>
    <n v="0"/>
    <x v="437"/>
  </r>
  <r>
    <x v="3"/>
    <x v="1"/>
    <x v="6"/>
    <x v="3"/>
    <x v="127"/>
    <s v="Av. Chile"/>
    <n v="120"/>
    <s v="kWh"/>
    <n v="0"/>
    <n v="0"/>
    <n v="0"/>
    <n v="0"/>
    <x v="438"/>
  </r>
  <r>
    <x v="3"/>
    <x v="1"/>
    <x v="7"/>
    <x v="3"/>
    <x v="128"/>
    <s v="Av. Chile"/>
    <n v="111"/>
    <s v="kWh"/>
    <n v="0"/>
    <n v="0"/>
    <n v="0"/>
    <n v="0"/>
    <x v="439"/>
  </r>
  <r>
    <x v="3"/>
    <x v="1"/>
    <x v="8"/>
    <x v="3"/>
    <x v="129"/>
    <s v="Av. Chile"/>
    <n v="126"/>
    <s v="kWh"/>
    <n v="0"/>
    <n v="0"/>
    <n v="0"/>
    <n v="0"/>
    <x v="440"/>
  </r>
  <r>
    <x v="3"/>
    <x v="1"/>
    <x v="9"/>
    <x v="3"/>
    <x v="130"/>
    <s v="Av. Chile"/>
    <n v="119"/>
    <s v="kWh"/>
    <n v="0"/>
    <n v="0"/>
    <n v="0"/>
    <n v="0"/>
    <x v="128"/>
  </r>
  <r>
    <x v="3"/>
    <x v="1"/>
    <x v="10"/>
    <x v="3"/>
    <x v="131"/>
    <s v="Av. Chile"/>
    <n v="110"/>
    <s v="kWh"/>
    <n v="0"/>
    <n v="0"/>
    <n v="0"/>
    <n v="0"/>
    <x v="441"/>
  </r>
  <r>
    <x v="3"/>
    <x v="1"/>
    <x v="11"/>
    <x v="3"/>
    <x v="132"/>
    <s v="Av. Chile"/>
    <n v="102"/>
    <s v="kWh"/>
    <n v="0"/>
    <n v="0"/>
    <n v="0"/>
    <n v="0"/>
    <x v="442"/>
  </r>
  <r>
    <x v="3"/>
    <x v="1"/>
    <x v="12"/>
    <x v="3"/>
    <x v="133"/>
    <s v="Av. Chile"/>
    <n v="90"/>
    <s v="kWh"/>
    <n v="0"/>
    <n v="0"/>
    <n v="0"/>
    <n v="0"/>
    <x v="443"/>
  </r>
  <r>
    <x v="3"/>
    <x v="1"/>
    <x v="13"/>
    <x v="3"/>
    <x v="134"/>
    <s v="Av. Chile"/>
    <n v="90"/>
    <s v="kWh"/>
    <n v="0"/>
    <n v="0"/>
    <n v="0"/>
    <n v="0"/>
    <x v="443"/>
  </r>
  <r>
    <x v="3"/>
    <x v="1"/>
    <x v="14"/>
    <x v="3"/>
    <x v="135"/>
    <s v="Av. Chile"/>
    <n v="97"/>
    <s v="kWh"/>
    <n v="0"/>
    <n v="0"/>
    <n v="0"/>
    <n v="0"/>
    <x v="444"/>
  </r>
  <r>
    <x v="3"/>
    <x v="1"/>
    <x v="6"/>
    <x v="3"/>
    <x v="139"/>
    <s v="Laboratorios"/>
    <n v="1779"/>
    <s v="kWh"/>
    <n v="0"/>
    <n v="0"/>
    <n v="0"/>
    <n v="0"/>
    <x v="445"/>
  </r>
  <r>
    <x v="3"/>
    <x v="1"/>
    <x v="7"/>
    <x v="3"/>
    <x v="140"/>
    <s v="Laboratorios"/>
    <n v="1841"/>
    <s v="kWh"/>
    <n v="0"/>
    <n v="0"/>
    <n v="0"/>
    <n v="0"/>
    <x v="446"/>
  </r>
  <r>
    <x v="3"/>
    <x v="1"/>
    <x v="8"/>
    <x v="3"/>
    <x v="141"/>
    <s v="Laboratorios"/>
    <n v="1931"/>
    <s v="kWh"/>
    <n v="0"/>
    <n v="0"/>
    <n v="0"/>
    <n v="0"/>
    <x v="447"/>
  </r>
  <r>
    <x v="3"/>
    <x v="1"/>
    <x v="9"/>
    <x v="3"/>
    <x v="142"/>
    <s v="Laboratorios"/>
    <n v="2182"/>
    <s v="kWh"/>
    <n v="0"/>
    <n v="0"/>
    <n v="0"/>
    <n v="0"/>
    <x v="448"/>
  </r>
  <r>
    <x v="3"/>
    <x v="1"/>
    <x v="10"/>
    <x v="3"/>
    <x v="143"/>
    <s v="Laboratorios"/>
    <n v="2152"/>
    <s v="kWh"/>
    <n v="0"/>
    <n v="0"/>
    <n v="0"/>
    <n v="0"/>
    <x v="449"/>
  </r>
  <r>
    <x v="3"/>
    <x v="1"/>
    <x v="11"/>
    <x v="3"/>
    <x v="144"/>
    <s v="Laboratorios"/>
    <n v="2195"/>
    <s v="kWh"/>
    <n v="0"/>
    <n v="0"/>
    <n v="0"/>
    <n v="0"/>
    <x v="450"/>
  </r>
  <r>
    <x v="3"/>
    <x v="1"/>
    <x v="12"/>
    <x v="3"/>
    <x v="145"/>
    <s v="Laboratorios"/>
    <n v="1784"/>
    <s v="kWh"/>
    <n v="0"/>
    <n v="0"/>
    <n v="0"/>
    <n v="0"/>
    <x v="451"/>
  </r>
  <r>
    <x v="3"/>
    <x v="1"/>
    <x v="13"/>
    <x v="3"/>
    <x v="146"/>
    <s v="Laboratorios"/>
    <n v="1854"/>
    <s v="kWh"/>
    <n v="0"/>
    <n v="0"/>
    <n v="0"/>
    <n v="0"/>
    <x v="452"/>
  </r>
  <r>
    <x v="3"/>
    <x v="1"/>
    <x v="14"/>
    <x v="3"/>
    <x v="147"/>
    <s v="Laboratorios"/>
    <n v="2000"/>
    <s v="kWh"/>
    <n v="0"/>
    <n v="0"/>
    <n v="0"/>
    <n v="0"/>
    <x v="453"/>
  </r>
  <r>
    <x v="3"/>
    <x v="2"/>
    <x v="20"/>
    <x v="6"/>
    <x v="181"/>
    <m/>
    <n v="73135.237454832008"/>
    <s v="Millas"/>
    <n v="9.7269865814926586"/>
    <n v="0.76791999327573612"/>
    <n v="0.19015161738256323"/>
    <n v="0"/>
    <x v="454"/>
  </r>
  <r>
    <x v="3"/>
    <x v="2"/>
    <x v="43"/>
    <x v="6"/>
    <x v="182"/>
    <m/>
    <n v="22019.350143119998"/>
    <s v="Millas"/>
    <n v="6.7379211437947193"/>
    <n v="0.19817415128807997"/>
    <n v="0.13211610085872"/>
    <n v="0"/>
    <x v="455"/>
  </r>
  <r>
    <x v="3"/>
    <x v="2"/>
    <x v="44"/>
    <x v="6"/>
    <x v="153"/>
    <m/>
    <n v="13017.891462911997"/>
    <s v="Millas"/>
    <n v="4.894727190054911"/>
    <n v="1.1846281231249918"/>
    <n v="2.4733993779532795E-2"/>
    <n v="0"/>
    <x v="456"/>
  </r>
  <r>
    <x v="3"/>
    <x v="2"/>
    <x v="45"/>
    <x v="6"/>
    <x v="183"/>
    <m/>
    <n v="5520.98075436"/>
    <s v="Millas"/>
    <n v="1.68942011083416"/>
    <n v="4.9688826789239998E-2"/>
    <n v="3.3125884526159999E-2"/>
    <n v="0"/>
    <x v="457"/>
  </r>
  <r>
    <x v="3"/>
    <x v="2"/>
    <x v="22"/>
    <x v="6"/>
    <x v="184"/>
    <m/>
    <n v="9343.6949141039986"/>
    <s v="Millas"/>
    <n v="0.66340233890138378"/>
    <n v="4.6718474570519995E-2"/>
    <n v="1.9621759319618393E-2"/>
    <n v="0"/>
    <x v="458"/>
  </r>
  <r>
    <x v="3"/>
    <x v="2"/>
    <x v="46"/>
    <x v="6"/>
    <x v="154"/>
    <m/>
    <n v="1756.3821815039998"/>
    <s v="Millas"/>
    <n v="3.5127643630079995E-2"/>
    <n v="0"/>
    <n v="0"/>
    <n v="0"/>
    <x v="459"/>
  </r>
  <r>
    <x v="3"/>
    <x v="2"/>
    <x v="25"/>
    <x v="6"/>
    <x v="155"/>
    <m/>
    <n v="6450.8301445680008"/>
    <s v="Millas"/>
    <n v="0"/>
    <n v="0"/>
    <n v="0"/>
    <n v="0"/>
    <x v="43"/>
  </r>
  <r>
    <x v="3"/>
    <x v="3"/>
    <x v="47"/>
    <x v="10"/>
    <x v="185"/>
    <m/>
    <n v="12034.6"/>
    <s v="kg"/>
    <n v="0"/>
    <n v="0"/>
    <n v="0"/>
    <n v="0"/>
    <x v="460"/>
  </r>
  <r>
    <x v="3"/>
    <x v="3"/>
    <x v="47"/>
    <x v="11"/>
    <x v="185"/>
    <m/>
    <n v="13190.7"/>
    <s v="kg"/>
    <n v="0"/>
    <n v="0"/>
    <n v="0"/>
    <n v="0"/>
    <x v="4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E8049-8674-4BCC-9E2C-5632D0C302B6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4:B24" firstHeaderRow="1" firstDataRow="1" firstDataCol="1"/>
  <pivotFields count="13"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49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7"/>
        <item x="1"/>
        <item x="21"/>
        <item x="25"/>
        <item x="26"/>
        <item x="43"/>
        <item x="33"/>
        <item x="47"/>
        <item x="0"/>
        <item x="19"/>
        <item x="18"/>
        <item x="42"/>
        <item x="31"/>
        <item x="2"/>
        <item x="3"/>
        <item x="4"/>
        <item x="30"/>
        <item x="5"/>
        <item x="29"/>
        <item x="44"/>
        <item x="23"/>
        <item x="32"/>
        <item x="46"/>
        <item x="24"/>
        <item x="35"/>
        <item x="38"/>
        <item x="39"/>
        <item x="34"/>
        <item x="36"/>
        <item x="37"/>
        <item x="22"/>
        <item x="45"/>
        <item x="20"/>
        <item x="28"/>
        <item x="40"/>
        <item x="41"/>
        <item t="default"/>
      </items>
    </pivotField>
    <pivotField showAll="0">
      <items count="13">
        <item x="5"/>
        <item x="4"/>
        <item x="7"/>
        <item x="0"/>
        <item x="1"/>
        <item x="8"/>
        <item x="3"/>
        <item x="2"/>
        <item x="11"/>
        <item x="10"/>
        <item x="6"/>
        <item x="9"/>
        <item t="default"/>
      </items>
    </pivotField>
    <pivotField showAll="0">
      <items count="187">
        <item x="157"/>
        <item x="118"/>
        <item x="130"/>
        <item x="82"/>
        <item x="70"/>
        <item x="94"/>
        <item x="106"/>
        <item x="142"/>
        <item x="46"/>
        <item x="176"/>
        <item x="58"/>
        <item x="122"/>
        <item x="134"/>
        <item x="86"/>
        <item x="74"/>
        <item x="98"/>
        <item x="110"/>
        <item x="146"/>
        <item x="50"/>
        <item x="180"/>
        <item x="6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155"/>
        <item x="7"/>
        <item x="6"/>
        <item x="10"/>
        <item x="14"/>
        <item x="3"/>
        <item x="4"/>
        <item x="9"/>
        <item x="8"/>
        <item x="5"/>
        <item x="13"/>
        <item x="12"/>
        <item x="11"/>
        <item x="156"/>
        <item x="182"/>
        <item x="126"/>
        <item x="138"/>
        <item x="90"/>
        <item x="78"/>
        <item x="102"/>
        <item x="114"/>
        <item x="150"/>
        <item x="54"/>
        <item x="66"/>
        <item x="152"/>
        <item x="151"/>
        <item x="115"/>
        <item x="127"/>
        <item x="79"/>
        <item x="67"/>
        <item x="91"/>
        <item x="103"/>
        <item x="139"/>
        <item x="43"/>
        <item x="173"/>
        <item x="55"/>
        <item x="38"/>
        <item x="41"/>
        <item x="39"/>
        <item x="40"/>
        <item x="37"/>
        <item x="33"/>
        <item x="36"/>
        <item x="35"/>
        <item x="34"/>
        <item x="32"/>
        <item x="116"/>
        <item x="128"/>
        <item x="80"/>
        <item x="68"/>
        <item x="92"/>
        <item x="104"/>
        <item x="140"/>
        <item x="44"/>
        <item x="174"/>
        <item x="56"/>
        <item x="2"/>
        <item x="42"/>
        <item x="121"/>
        <item x="133"/>
        <item x="85"/>
        <item x="73"/>
        <item x="97"/>
        <item x="109"/>
        <item x="145"/>
        <item x="49"/>
        <item x="179"/>
        <item x="61"/>
        <item x="120"/>
        <item x="132"/>
        <item x="84"/>
        <item x="72"/>
        <item x="96"/>
        <item x="108"/>
        <item x="144"/>
        <item x="48"/>
        <item x="178"/>
        <item x="60"/>
        <item x="117"/>
        <item x="129"/>
        <item x="81"/>
        <item x="69"/>
        <item x="93"/>
        <item x="105"/>
        <item x="141"/>
        <item x="45"/>
        <item x="175"/>
        <item x="57"/>
        <item x="119"/>
        <item x="131"/>
        <item x="83"/>
        <item x="71"/>
        <item x="95"/>
        <item x="107"/>
        <item x="143"/>
        <item x="47"/>
        <item x="177"/>
        <item x="59"/>
        <item x="153"/>
        <item x="125"/>
        <item x="137"/>
        <item x="89"/>
        <item x="77"/>
        <item x="101"/>
        <item x="113"/>
        <item x="149"/>
        <item x="53"/>
        <item x="65"/>
        <item x="124"/>
        <item x="136"/>
        <item x="88"/>
        <item x="76"/>
        <item x="100"/>
        <item x="112"/>
        <item x="148"/>
        <item x="52"/>
        <item x="64"/>
        <item x="154"/>
        <item x="1"/>
        <item x="0"/>
        <item x="172"/>
        <item x="160"/>
        <item x="159"/>
        <item x="163"/>
        <item x="158"/>
        <item x="161"/>
        <item x="162"/>
        <item x="165"/>
        <item x="168"/>
        <item x="166"/>
        <item x="169"/>
        <item x="164"/>
        <item x="167"/>
        <item x="123"/>
        <item x="135"/>
        <item x="87"/>
        <item x="75"/>
        <item x="99"/>
        <item x="111"/>
        <item x="147"/>
        <item x="51"/>
        <item x="63"/>
        <item x="184"/>
        <item x="183"/>
        <item x="181"/>
        <item x="170"/>
        <item x="171"/>
        <item x="1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63">
        <item x="43"/>
        <item x="311"/>
        <item x="312"/>
        <item x="310"/>
        <item x="320"/>
        <item x="85"/>
        <item x="349"/>
        <item x="148"/>
        <item x="39"/>
        <item x="169"/>
        <item x="374"/>
        <item x="319"/>
        <item x="27"/>
        <item x="83"/>
        <item x="378"/>
        <item x="281"/>
        <item x="82"/>
        <item x="31"/>
        <item x="81"/>
        <item x="86"/>
        <item x="84"/>
        <item x="87"/>
        <item x="413"/>
        <item x="375"/>
        <item x="305"/>
        <item x="0"/>
        <item x="28"/>
        <item x="38"/>
        <item x="160"/>
        <item x="414"/>
        <item x="376"/>
        <item x="409"/>
        <item x="29"/>
        <item x="377"/>
        <item x="410"/>
        <item x="220"/>
        <item x="79"/>
        <item x="219"/>
        <item x="30"/>
        <item x="412"/>
        <item x="173"/>
        <item x="222"/>
        <item x="221"/>
        <item x="314"/>
        <item x="218"/>
        <item x="214"/>
        <item x="411"/>
        <item x="264"/>
        <item x="78"/>
        <item x="223"/>
        <item x="262"/>
        <item x="261"/>
        <item x="443"/>
        <item x="263"/>
        <item x="80"/>
        <item x="266"/>
        <item x="258"/>
        <item x="444"/>
        <item x="267"/>
        <item x="408"/>
        <item x="217"/>
        <item x="204"/>
        <item x="442"/>
        <item x="216"/>
        <item x="213"/>
        <item x="265"/>
        <item x="77"/>
        <item x="259"/>
        <item x="309"/>
        <item x="441"/>
        <item x="373"/>
        <item x="439"/>
        <item x="280"/>
        <item x="130"/>
        <item x="215"/>
        <item x="260"/>
        <item x="290"/>
        <item x="128"/>
        <item x="26"/>
        <item x="438"/>
        <item x="129"/>
        <item x="157"/>
        <item x="306"/>
        <item x="440"/>
        <item x="127"/>
        <item x="205"/>
        <item x="126"/>
        <item x="383"/>
        <item x="124"/>
        <item x="203"/>
        <item x="122"/>
        <item x="125"/>
        <item x="123"/>
        <item x="36"/>
        <item x="202"/>
        <item x="121"/>
        <item x="201"/>
        <item x="76"/>
        <item x="307"/>
        <item x="115"/>
        <item x="117"/>
        <item x="114"/>
        <item x="407"/>
        <item x="158"/>
        <item x="120"/>
        <item x="381"/>
        <item x="459"/>
        <item x="116"/>
        <item x="113"/>
        <item x="118"/>
        <item x="353"/>
        <item x="431"/>
        <item x="34"/>
        <item x="119"/>
        <item x="308"/>
        <item x="430"/>
        <item x="313"/>
        <item x="206"/>
        <item x="304"/>
        <item x="209"/>
        <item x="210"/>
        <item x="207"/>
        <item x="292"/>
        <item x="208"/>
        <item x="384"/>
        <item x="432"/>
        <item x="143"/>
        <item x="361"/>
        <item x="37"/>
        <item x="231"/>
        <item x="350"/>
        <item x="112"/>
        <item x="234"/>
        <item x="232"/>
        <item x="65"/>
        <item x="162"/>
        <item x="233"/>
        <item x="229"/>
        <item x="166"/>
        <item x="211"/>
        <item x="230"/>
        <item x="212"/>
        <item x="380"/>
        <item x="11"/>
        <item x="421"/>
        <item x="360"/>
        <item x="66"/>
        <item x="225"/>
        <item x="227"/>
        <item x="228"/>
        <item x="416"/>
        <item x="420"/>
        <item x="33"/>
        <item x="111"/>
        <item x="226"/>
        <item x="92"/>
        <item x="422"/>
        <item x="418"/>
        <item x="417"/>
        <item x="93"/>
        <item x="97"/>
        <item x="90"/>
        <item x="91"/>
        <item x="95"/>
        <item x="255"/>
        <item x="89"/>
        <item x="96"/>
        <item x="94"/>
        <item x="419"/>
        <item x="64"/>
        <item x="246"/>
        <item x="415"/>
        <item x="67"/>
        <item x="257"/>
        <item x="400"/>
        <item x="348"/>
        <item x="68"/>
        <item x="243"/>
        <item x="399"/>
        <item x="71"/>
        <item x="250"/>
        <item x="99"/>
        <item x="244"/>
        <item x="236"/>
        <item x="224"/>
        <item x="253"/>
        <item x="88"/>
        <item x="249"/>
        <item x="256"/>
        <item x="14"/>
        <item x="252"/>
        <item x="8"/>
        <item x="69"/>
        <item x="98"/>
        <item x="251"/>
        <item x="254"/>
        <item x="238"/>
        <item x="245"/>
        <item x="402"/>
        <item x="235"/>
        <item x="398"/>
        <item x="401"/>
        <item x="239"/>
        <item x="237"/>
        <item x="241"/>
        <item x="423"/>
        <item x="9"/>
        <item x="248"/>
        <item x="435"/>
        <item x="70"/>
        <item x="354"/>
        <item x="242"/>
        <item x="433"/>
        <item x="428"/>
        <item x="427"/>
        <item x="436"/>
        <item x="103"/>
        <item x="13"/>
        <item x="110"/>
        <item x="108"/>
        <item x="424"/>
        <item x="12"/>
        <item x="101"/>
        <item x="437"/>
        <item x="106"/>
        <item x="240"/>
        <item x="104"/>
        <item x="75"/>
        <item x="426"/>
        <item x="429"/>
        <item x="102"/>
        <item x="247"/>
        <item x="72"/>
        <item x="379"/>
        <item x="105"/>
        <item x="357"/>
        <item x="10"/>
        <item x="425"/>
        <item x="6"/>
        <item x="359"/>
        <item x="403"/>
        <item x="363"/>
        <item x="356"/>
        <item x="73"/>
        <item x="32"/>
        <item x="434"/>
        <item x="107"/>
        <item x="358"/>
        <item x="150"/>
        <item x="405"/>
        <item x="4"/>
        <item x="5"/>
        <item x="7"/>
        <item x="151"/>
        <item x="100"/>
        <item x="279"/>
        <item x="16"/>
        <item x="274"/>
        <item x="3"/>
        <item x="109"/>
        <item x="294"/>
        <item x="406"/>
        <item x="275"/>
        <item x="283"/>
        <item x="291"/>
        <item x="347"/>
        <item x="382"/>
        <item x="268"/>
        <item x="272"/>
        <item x="404"/>
        <item x="74"/>
        <item x="35"/>
        <item x="271"/>
        <item x="278"/>
        <item x="276"/>
        <item x="273"/>
        <item x="152"/>
        <item x="282"/>
        <item x="269"/>
        <item x="277"/>
        <item x="132"/>
        <item x="131"/>
        <item x="287"/>
        <item x="176"/>
        <item x="167"/>
        <item x="175"/>
        <item x="133"/>
        <item x="270"/>
        <item x="325"/>
        <item x="326"/>
        <item x="178"/>
        <item x="324"/>
        <item x="174"/>
        <item x="323"/>
        <item x="322"/>
        <item x="142"/>
        <item x="146"/>
        <item x="144"/>
        <item x="179"/>
        <item x="445"/>
        <item x="451"/>
        <item x="446"/>
        <item x="452"/>
        <item x="177"/>
        <item x="447"/>
        <item x="138"/>
        <item x="289"/>
        <item x="328"/>
        <item x="168"/>
        <item x="137"/>
        <item x="453"/>
        <item x="329"/>
        <item x="284"/>
        <item x="145"/>
        <item x="327"/>
        <item x="159"/>
        <item x="134"/>
        <item x="136"/>
        <item x="449"/>
        <item x="448"/>
        <item x="450"/>
        <item x="362"/>
        <item x="139"/>
        <item x="165"/>
        <item x="140"/>
        <item x="135"/>
        <item x="367"/>
        <item x="2"/>
        <item x="15"/>
        <item x="141"/>
        <item x="147"/>
        <item x="20"/>
        <item x="364"/>
        <item x="42"/>
        <item x="298"/>
        <item x="321"/>
        <item x="17"/>
        <item x="163"/>
        <item x="295"/>
        <item x="355"/>
        <item x="149"/>
        <item x="293"/>
        <item x="156"/>
        <item x="161"/>
        <item x="369"/>
        <item x="22"/>
        <item x="300"/>
        <item x="192"/>
        <item x="397"/>
        <item x="195"/>
        <item x="461"/>
        <item x="194"/>
        <item x="196"/>
        <item x="198"/>
        <item x="396"/>
        <item x="337"/>
        <item x="193"/>
        <item x="200"/>
        <item x="395"/>
        <item x="155"/>
        <item x="332"/>
        <item x="197"/>
        <item x="317"/>
        <item x="1"/>
        <item x="336"/>
        <item x="199"/>
        <item x="365"/>
        <item x="57"/>
        <item x="394"/>
        <item x="368"/>
        <item x="339"/>
        <item x="18"/>
        <item x="288"/>
        <item x="21"/>
        <item x="296"/>
        <item x="390"/>
        <item x="59"/>
        <item x="393"/>
        <item x="392"/>
        <item x="299"/>
        <item x="58"/>
        <item x="391"/>
        <item x="56"/>
        <item x="318"/>
        <item x="60"/>
        <item x="63"/>
        <item x="41"/>
        <item x="366"/>
        <item x="334"/>
        <item x="40"/>
        <item x="19"/>
        <item x="62"/>
        <item x="341"/>
        <item x="333"/>
        <item x="297"/>
        <item x="338"/>
        <item x="371"/>
        <item x="352"/>
        <item x="24"/>
        <item x="372"/>
        <item x="335"/>
        <item x="302"/>
        <item x="25"/>
        <item x="61"/>
        <item x="303"/>
        <item x="458"/>
        <item x="460"/>
        <item x="370"/>
        <item x="164"/>
        <item x="180"/>
        <item x="23"/>
        <item x="345"/>
        <item x="191"/>
        <item x="301"/>
        <item x="186"/>
        <item x="185"/>
        <item x="183"/>
        <item x="172"/>
        <item x="340"/>
        <item x="181"/>
        <item x="343"/>
        <item x="331"/>
        <item x="190"/>
        <item x="184"/>
        <item x="189"/>
        <item x="188"/>
        <item x="187"/>
        <item x="182"/>
        <item x="457"/>
        <item x="330"/>
        <item x="316"/>
        <item x="154"/>
        <item x="315"/>
        <item x="385"/>
        <item x="344"/>
        <item x="44"/>
        <item x="55"/>
        <item x="50"/>
        <item x="47"/>
        <item x="49"/>
        <item x="45"/>
        <item x="346"/>
        <item x="389"/>
        <item x="52"/>
        <item x="386"/>
        <item x="387"/>
        <item x="48"/>
        <item x="46"/>
        <item x="53"/>
        <item x="51"/>
        <item x="54"/>
        <item x="388"/>
        <item x="170"/>
        <item x="342"/>
        <item x="286"/>
        <item x="153"/>
        <item x="171"/>
        <item x="285"/>
        <item x="456"/>
        <item x="455"/>
        <item x="454"/>
        <item x="351"/>
        <item t="default"/>
      </items>
    </pivotField>
  </pivotFields>
  <rowFields count="2">
    <field x="0"/>
    <field x="1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uenta de Emisión _x000a_(ton CO2eq)" fld="12" subtotal="count" baseField="0" baseItem="0"/>
  </dataFields>
  <chartFormats count="1">
    <chartFormat chart="0" format="18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repositorio.uniandes.edu.co/bitstreams/5cd8bc18-254d-431d-b8cb-901b635a07ba/download" TargetMode="External"/><Relationship Id="rId1" Type="http://schemas.openxmlformats.org/officeDocument/2006/relationships/hyperlink" Target="https://www.catorce6.com/471328155953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B9B6-8047-4DB6-923B-2075828CA8B4}">
  <dimension ref="A1:P629"/>
  <sheetViews>
    <sheetView tabSelected="1" zoomScale="90" zoomScaleNormal="90" workbookViewId="0">
      <pane ySplit="1" topLeftCell="A23" activePane="bottomLeft" state="frozen"/>
      <selection pane="bottomLeft"/>
    </sheetView>
  </sheetViews>
  <sheetFormatPr baseColWidth="10" defaultColWidth="10.81640625" defaultRowHeight="14" x14ac:dyDescent="0.3"/>
  <cols>
    <col min="1" max="2" width="13.54296875" style="1" customWidth="1"/>
    <col min="3" max="3" width="24.36328125" style="100" customWidth="1"/>
    <col min="4" max="4" width="13.54296875" style="1" customWidth="1"/>
    <col min="5" max="5" width="14.1796875" style="100" customWidth="1"/>
    <col min="6" max="7" width="13.54296875" style="8" customWidth="1"/>
    <col min="8" max="10" width="13.54296875" style="1" customWidth="1"/>
    <col min="11" max="11" width="9.54296875" style="1" customWidth="1"/>
    <col min="12" max="12" width="13.54296875" style="1" customWidth="1"/>
    <col min="13" max="16384" width="10.81640625" style="1"/>
  </cols>
  <sheetData>
    <row r="1" spans="1:12" ht="30" x14ac:dyDescent="0.3">
      <c r="A1" s="19" t="s">
        <v>129</v>
      </c>
      <c r="B1" s="161" t="s">
        <v>144</v>
      </c>
      <c r="C1" s="164" t="s">
        <v>8</v>
      </c>
      <c r="D1" s="19" t="s">
        <v>9</v>
      </c>
      <c r="E1" s="166" t="s">
        <v>10</v>
      </c>
      <c r="F1" s="19" t="s">
        <v>11</v>
      </c>
      <c r="G1" s="139" t="s">
        <v>12</v>
      </c>
      <c r="H1" s="143" t="s">
        <v>15</v>
      </c>
      <c r="I1" s="144" t="s">
        <v>16</v>
      </c>
      <c r="J1" s="144" t="s">
        <v>17</v>
      </c>
      <c r="K1" s="144" t="s">
        <v>130</v>
      </c>
      <c r="L1" s="145" t="s">
        <v>18</v>
      </c>
    </row>
    <row r="2" spans="1:12" x14ac:dyDescent="0.3">
      <c r="A2" s="10">
        <v>2023</v>
      </c>
      <c r="B2" s="10" t="s">
        <v>145</v>
      </c>
      <c r="C2" s="79" t="s">
        <v>19</v>
      </c>
      <c r="D2" s="79" t="s">
        <v>198</v>
      </c>
      <c r="E2" s="79" t="s">
        <v>20</v>
      </c>
      <c r="F2" s="117">
        <v>1</v>
      </c>
      <c r="G2" s="140" t="s">
        <v>21</v>
      </c>
      <c r="H2" s="141">
        <v>0.01</v>
      </c>
      <c r="I2" s="136">
        <v>0</v>
      </c>
      <c r="J2" s="136">
        <v>0</v>
      </c>
      <c r="K2" s="136">
        <v>0</v>
      </c>
      <c r="L2" s="142">
        <v>0.01</v>
      </c>
    </row>
    <row r="3" spans="1:12" x14ac:dyDescent="0.3">
      <c r="A3" s="10">
        <v>2023</v>
      </c>
      <c r="B3" s="10" t="s">
        <v>145</v>
      </c>
      <c r="C3" s="79" t="s">
        <v>19</v>
      </c>
      <c r="D3" s="79" t="s">
        <v>199</v>
      </c>
      <c r="E3" s="79" t="s">
        <v>24</v>
      </c>
      <c r="F3" s="117">
        <v>212</v>
      </c>
      <c r="G3" s="140" t="s">
        <v>21</v>
      </c>
      <c r="H3" s="141">
        <v>1.9423439999999998</v>
      </c>
      <c r="I3" s="136">
        <v>1.9080000000000002E-6</v>
      </c>
      <c r="J3" s="136">
        <v>1.1448E-6</v>
      </c>
      <c r="K3" s="136">
        <v>0</v>
      </c>
      <c r="L3" s="142">
        <v>1.9427133887999999</v>
      </c>
    </row>
    <row r="4" spans="1:12" x14ac:dyDescent="0.3">
      <c r="A4" s="10">
        <v>2023</v>
      </c>
      <c r="B4" s="10" t="s">
        <v>145</v>
      </c>
      <c r="C4" s="79" t="s">
        <v>19</v>
      </c>
      <c r="D4" s="79" t="s">
        <v>23</v>
      </c>
      <c r="E4" s="79" t="s">
        <v>24</v>
      </c>
      <c r="F4" s="15">
        <v>1371</v>
      </c>
      <c r="G4" s="140" t="s">
        <v>25</v>
      </c>
      <c r="H4" s="141">
        <v>2.2715718012064001</v>
      </c>
      <c r="I4" s="136">
        <v>4.4420399999999999E-5</v>
      </c>
      <c r="J4" s="136">
        <v>4.4050229999999998E-6</v>
      </c>
      <c r="K4" s="136">
        <v>0</v>
      </c>
      <c r="L4" s="142">
        <v>0.41342606781956481</v>
      </c>
    </row>
    <row r="5" spans="1:12" x14ac:dyDescent="0.3">
      <c r="A5" s="10">
        <v>2023</v>
      </c>
      <c r="B5" s="10" t="s">
        <v>145</v>
      </c>
      <c r="C5" s="98" t="s">
        <v>43</v>
      </c>
      <c r="D5" s="10" t="s">
        <v>168</v>
      </c>
      <c r="E5" s="98"/>
      <c r="F5" s="137">
        <v>19.724</v>
      </c>
      <c r="G5" s="140" t="s">
        <v>21</v>
      </c>
      <c r="H5" s="141">
        <v>0.15635609280000001</v>
      </c>
      <c r="I5" s="136">
        <v>5.201218799999999E-6</v>
      </c>
      <c r="J5" s="136">
        <v>4.9704480000000006E-7</v>
      </c>
      <c r="K5" s="147">
        <v>0</v>
      </c>
      <c r="L5" s="142">
        <v>0.15664678235064</v>
      </c>
    </row>
    <row r="6" spans="1:12" x14ac:dyDescent="0.3">
      <c r="A6" s="10">
        <v>2023</v>
      </c>
      <c r="B6" s="10" t="s">
        <v>145</v>
      </c>
      <c r="C6" s="98" t="s">
        <v>43</v>
      </c>
      <c r="D6" s="10" t="s">
        <v>169</v>
      </c>
      <c r="E6" s="98"/>
      <c r="F6" s="137">
        <v>18.364999999999998</v>
      </c>
      <c r="G6" s="140" t="s">
        <v>21</v>
      </c>
      <c r="H6" s="141">
        <v>0.14558302799999998</v>
      </c>
      <c r="I6" s="136">
        <v>4.8428504999999986E-6</v>
      </c>
      <c r="J6" s="136">
        <v>4.6279799999999993E-7</v>
      </c>
      <c r="K6" s="147">
        <v>0</v>
      </c>
      <c r="L6" s="142">
        <v>0.14585368879889998</v>
      </c>
    </row>
    <row r="7" spans="1:12" x14ac:dyDescent="0.3">
      <c r="A7" s="10">
        <v>2023</v>
      </c>
      <c r="B7" s="10" t="s">
        <v>145</v>
      </c>
      <c r="C7" s="98" t="s">
        <v>43</v>
      </c>
      <c r="D7" s="10" t="s">
        <v>170</v>
      </c>
      <c r="E7" s="98"/>
      <c r="F7" s="137">
        <v>18.369</v>
      </c>
      <c r="G7" s="140" t="s">
        <v>21</v>
      </c>
      <c r="H7" s="141">
        <v>0.14561473680000001</v>
      </c>
      <c r="I7" s="136">
        <v>4.8439052999999996E-6</v>
      </c>
      <c r="J7" s="136">
        <v>4.6289879999999998E-7</v>
      </c>
      <c r="K7" s="147">
        <v>0</v>
      </c>
      <c r="L7" s="142">
        <v>0.14588545655034002</v>
      </c>
    </row>
    <row r="8" spans="1:12" x14ac:dyDescent="0.3">
      <c r="A8" s="10">
        <v>2023</v>
      </c>
      <c r="B8" s="10" t="s">
        <v>145</v>
      </c>
      <c r="C8" s="98" t="s">
        <v>43</v>
      </c>
      <c r="D8" s="10" t="s">
        <v>171</v>
      </c>
      <c r="E8" s="98"/>
      <c r="F8" s="137">
        <v>16.972999999999999</v>
      </c>
      <c r="G8" s="140" t="s">
        <v>21</v>
      </c>
      <c r="H8" s="141">
        <v>0.13454836559999997</v>
      </c>
      <c r="I8" s="136">
        <v>4.4757800999999998E-6</v>
      </c>
      <c r="J8" s="136">
        <v>4.277196E-7</v>
      </c>
      <c r="K8" s="147">
        <v>0</v>
      </c>
      <c r="L8" s="142">
        <v>0.13479851129777998</v>
      </c>
    </row>
    <row r="9" spans="1:12" x14ac:dyDescent="0.3">
      <c r="A9" s="10">
        <v>2023</v>
      </c>
      <c r="B9" s="10" t="s">
        <v>145</v>
      </c>
      <c r="C9" s="98" t="s">
        <v>43</v>
      </c>
      <c r="D9" s="10" t="s">
        <v>172</v>
      </c>
      <c r="E9" s="98"/>
      <c r="F9" s="137">
        <v>18.402999999999999</v>
      </c>
      <c r="G9" s="140" t="s">
        <v>21</v>
      </c>
      <c r="H9" s="141">
        <v>0.14588426160000001</v>
      </c>
      <c r="I9" s="136">
        <v>4.8528710999999995E-6</v>
      </c>
      <c r="J9" s="136">
        <v>4.6375559999999999E-7</v>
      </c>
      <c r="K9" s="147">
        <v>0</v>
      </c>
      <c r="L9" s="142">
        <v>0.14615548243758003</v>
      </c>
    </row>
    <row r="10" spans="1:12" x14ac:dyDescent="0.3">
      <c r="A10" s="10">
        <v>2023</v>
      </c>
      <c r="B10" s="10" t="s">
        <v>145</v>
      </c>
      <c r="C10" s="98" t="s">
        <v>43</v>
      </c>
      <c r="D10" s="10" t="s">
        <v>173</v>
      </c>
      <c r="E10" s="98"/>
      <c r="F10" s="137">
        <v>12.548999999999999</v>
      </c>
      <c r="G10" s="140" t="s">
        <v>21</v>
      </c>
      <c r="H10" s="141">
        <v>9.9478432800000002E-2</v>
      </c>
      <c r="I10" s="136">
        <v>3.3091713000000001E-6</v>
      </c>
      <c r="J10" s="136">
        <v>3.1623480000000001E-7</v>
      </c>
      <c r="K10" s="147">
        <v>0</v>
      </c>
      <c r="L10" s="142">
        <v>9.9663378205139999E-2</v>
      </c>
    </row>
    <row r="11" spans="1:12" x14ac:dyDescent="0.3">
      <c r="A11" s="10">
        <v>2023</v>
      </c>
      <c r="B11" s="10" t="s">
        <v>145</v>
      </c>
      <c r="C11" s="98" t="s">
        <v>43</v>
      </c>
      <c r="D11" s="10" t="s">
        <v>174</v>
      </c>
      <c r="E11" s="98"/>
      <c r="F11" s="137">
        <v>13.699</v>
      </c>
      <c r="G11" s="140" t="s">
        <v>21</v>
      </c>
      <c r="H11" s="141">
        <v>0.10859471279999999</v>
      </c>
      <c r="I11" s="136">
        <v>3.6124263000000005E-6</v>
      </c>
      <c r="J11" s="136">
        <v>3.4521480000000005E-7</v>
      </c>
      <c r="K11" s="147">
        <v>0</v>
      </c>
      <c r="L11" s="142">
        <v>0.10879660674414</v>
      </c>
    </row>
    <row r="12" spans="1:12" x14ac:dyDescent="0.3">
      <c r="A12" s="10">
        <v>2023</v>
      </c>
      <c r="B12" s="10" t="s">
        <v>145</v>
      </c>
      <c r="C12" s="98" t="s">
        <v>43</v>
      </c>
      <c r="D12" s="10" t="s">
        <v>175</v>
      </c>
      <c r="E12" s="98"/>
      <c r="F12" s="137">
        <v>16.853000000000002</v>
      </c>
      <c r="G12" s="140" t="s">
        <v>21</v>
      </c>
      <c r="H12" s="141">
        <v>0.13359710159999999</v>
      </c>
      <c r="I12" s="136">
        <v>4.4441361000000013E-6</v>
      </c>
      <c r="J12" s="136">
        <v>4.2469560000000006E-7</v>
      </c>
      <c r="K12" s="147">
        <v>0</v>
      </c>
      <c r="L12" s="142">
        <v>0.13384547875457997</v>
      </c>
    </row>
    <row r="13" spans="1:12" x14ac:dyDescent="0.3">
      <c r="A13" s="10">
        <v>2023</v>
      </c>
      <c r="B13" s="10" t="s">
        <v>145</v>
      </c>
      <c r="C13" s="98" t="s">
        <v>43</v>
      </c>
      <c r="D13" s="10" t="s">
        <v>176</v>
      </c>
      <c r="E13" s="98"/>
      <c r="F13" s="137">
        <v>8.8450000000000006</v>
      </c>
      <c r="G13" s="140" t="s">
        <v>21</v>
      </c>
      <c r="H13" s="141">
        <v>7.0116083999999995E-2</v>
      </c>
      <c r="I13" s="136">
        <v>2.3324264999999999E-6</v>
      </c>
      <c r="J13" s="136">
        <v>2.2289400000000001E-7</v>
      </c>
      <c r="K13" s="147">
        <v>0</v>
      </c>
      <c r="L13" s="142">
        <v>7.0246440371699997E-2</v>
      </c>
    </row>
    <row r="14" spans="1:12" x14ac:dyDescent="0.3">
      <c r="A14" s="10">
        <v>2023</v>
      </c>
      <c r="B14" s="10" t="s">
        <v>145</v>
      </c>
      <c r="C14" s="98" t="s">
        <v>43</v>
      </c>
      <c r="D14" s="10" t="s">
        <v>177</v>
      </c>
      <c r="E14" s="98"/>
      <c r="F14" s="137">
        <v>15.51</v>
      </c>
      <c r="G14" s="140" t="s">
        <v>21</v>
      </c>
      <c r="H14" s="141">
        <v>0.12295087199999999</v>
      </c>
      <c r="I14" s="136">
        <v>4.0899870000000001E-6</v>
      </c>
      <c r="J14" s="136">
        <v>3.9085199999999998E-7</v>
      </c>
      <c r="K14" s="147">
        <v>0</v>
      </c>
      <c r="L14" s="142">
        <v>0.12317945620859999</v>
      </c>
    </row>
    <row r="15" spans="1:12" x14ac:dyDescent="0.3">
      <c r="A15" s="10">
        <v>2023</v>
      </c>
      <c r="B15" s="10" t="s">
        <v>145</v>
      </c>
      <c r="C15" s="98" t="s">
        <v>43</v>
      </c>
      <c r="D15" s="10" t="s">
        <v>178</v>
      </c>
      <c r="E15" s="98"/>
      <c r="F15" s="137">
        <v>15.15</v>
      </c>
      <c r="G15" s="140" t="s">
        <v>21</v>
      </c>
      <c r="H15" s="141">
        <v>0.12009707999999999</v>
      </c>
      <c r="I15" s="136">
        <v>3.9950550000000003E-6</v>
      </c>
      <c r="J15" s="136">
        <v>3.8178000000000002E-7</v>
      </c>
      <c r="K15" s="147">
        <v>0</v>
      </c>
      <c r="L15" s="142">
        <v>0.12032035857899999</v>
      </c>
    </row>
    <row r="16" spans="1:12" x14ac:dyDescent="0.3">
      <c r="A16" s="10">
        <v>2023</v>
      </c>
      <c r="B16" s="10" t="s">
        <v>145</v>
      </c>
      <c r="C16" s="98" t="s">
        <v>43</v>
      </c>
      <c r="D16" s="10" t="s">
        <v>179</v>
      </c>
      <c r="E16" s="98"/>
      <c r="F16" s="137">
        <v>12.3</v>
      </c>
      <c r="G16" s="140" t="s">
        <v>21</v>
      </c>
      <c r="H16" s="141">
        <v>9.7504560000000004E-2</v>
      </c>
      <c r="I16" s="136">
        <v>3.2435099999999998E-6</v>
      </c>
      <c r="J16" s="136">
        <v>3.0996E-7</v>
      </c>
      <c r="K16" s="147">
        <v>0</v>
      </c>
      <c r="L16" s="142">
        <v>9.7685835678000002E-2</v>
      </c>
    </row>
    <row r="17" spans="1:12" x14ac:dyDescent="0.3">
      <c r="A17" s="10">
        <v>2023</v>
      </c>
      <c r="B17" s="10" t="s">
        <v>145</v>
      </c>
      <c r="C17" s="79" t="s">
        <v>45</v>
      </c>
      <c r="D17" s="97" t="s">
        <v>151</v>
      </c>
      <c r="E17" s="79" t="s">
        <v>24</v>
      </c>
      <c r="F17" s="96">
        <v>1000</v>
      </c>
      <c r="G17" s="140" t="s">
        <v>202</v>
      </c>
      <c r="H17" s="141">
        <v>0</v>
      </c>
      <c r="I17" s="136">
        <v>0</v>
      </c>
      <c r="J17" s="136">
        <v>0</v>
      </c>
      <c r="K17" s="136">
        <v>2.0000000000000001E-4</v>
      </c>
      <c r="L17" s="142">
        <v>0.41760000000000003</v>
      </c>
    </row>
    <row r="18" spans="1:12" x14ac:dyDescent="0.3">
      <c r="A18" s="10">
        <v>2023</v>
      </c>
      <c r="B18" s="10" t="s">
        <v>145</v>
      </c>
      <c r="C18" s="79" t="s">
        <v>45</v>
      </c>
      <c r="D18" s="97" t="s">
        <v>152</v>
      </c>
      <c r="E18" s="79" t="s">
        <v>24</v>
      </c>
      <c r="F18" s="96">
        <v>720</v>
      </c>
      <c r="G18" s="140" t="s">
        <v>202</v>
      </c>
      <c r="H18" s="141">
        <v>0</v>
      </c>
      <c r="I18" s="136">
        <v>0</v>
      </c>
      <c r="J18" s="136">
        <v>0</v>
      </c>
      <c r="K18" s="136">
        <v>7.1999999999999988E-5</v>
      </c>
      <c r="L18" s="142">
        <v>0.15033599999999997</v>
      </c>
    </row>
    <row r="19" spans="1:12" x14ac:dyDescent="0.3">
      <c r="A19" s="10">
        <v>2023</v>
      </c>
      <c r="B19" s="10" t="s">
        <v>145</v>
      </c>
      <c r="C19" s="79" t="s">
        <v>45</v>
      </c>
      <c r="D19" s="97" t="s">
        <v>153</v>
      </c>
      <c r="E19" s="79" t="s">
        <v>24</v>
      </c>
      <c r="F19" s="96">
        <v>2400</v>
      </c>
      <c r="G19" s="140" t="s">
        <v>202</v>
      </c>
      <c r="H19" s="141">
        <v>0</v>
      </c>
      <c r="I19" s="136">
        <v>0</v>
      </c>
      <c r="J19" s="136">
        <v>0</v>
      </c>
      <c r="K19" s="136">
        <v>2.3999999999999998E-4</v>
      </c>
      <c r="L19" s="142">
        <v>0.50112000000000001</v>
      </c>
    </row>
    <row r="20" spans="1:12" x14ac:dyDescent="0.3">
      <c r="A20" s="10">
        <v>2023</v>
      </c>
      <c r="B20" s="10" t="s">
        <v>145</v>
      </c>
      <c r="C20" s="79" t="s">
        <v>45</v>
      </c>
      <c r="D20" s="97" t="s">
        <v>154</v>
      </c>
      <c r="E20" s="79" t="s">
        <v>24</v>
      </c>
      <c r="F20" s="96">
        <v>11000</v>
      </c>
      <c r="G20" s="140" t="s">
        <v>202</v>
      </c>
      <c r="H20" s="141">
        <v>0</v>
      </c>
      <c r="I20" s="136">
        <v>0</v>
      </c>
      <c r="J20" s="136">
        <v>0</v>
      </c>
      <c r="K20" s="136">
        <v>1.1000000000000001E-3</v>
      </c>
      <c r="L20" s="142">
        <v>2.2968000000000002</v>
      </c>
    </row>
    <row r="21" spans="1:12" x14ac:dyDescent="0.3">
      <c r="A21" s="10">
        <v>2023</v>
      </c>
      <c r="B21" s="10" t="s">
        <v>145</v>
      </c>
      <c r="C21" s="79" t="s">
        <v>45</v>
      </c>
      <c r="D21" s="97" t="s">
        <v>155</v>
      </c>
      <c r="E21" s="79" t="s">
        <v>24</v>
      </c>
      <c r="F21" s="96">
        <v>17600</v>
      </c>
      <c r="G21" s="140" t="s">
        <v>202</v>
      </c>
      <c r="H21" s="141">
        <v>0</v>
      </c>
      <c r="I21" s="136">
        <v>0</v>
      </c>
      <c r="J21" s="136">
        <v>0</v>
      </c>
      <c r="K21" s="136">
        <v>1.7600000000000001E-3</v>
      </c>
      <c r="L21" s="142">
        <v>3.6748799999999999</v>
      </c>
    </row>
    <row r="22" spans="1:12" x14ac:dyDescent="0.3">
      <c r="A22" s="10">
        <v>2023</v>
      </c>
      <c r="B22" s="10" t="s">
        <v>145</v>
      </c>
      <c r="C22" s="79" t="s">
        <v>45</v>
      </c>
      <c r="D22" s="98" t="s">
        <v>156</v>
      </c>
      <c r="E22" s="79" t="s">
        <v>24</v>
      </c>
      <c r="F22" s="96">
        <v>2130</v>
      </c>
      <c r="G22" s="140" t="s">
        <v>202</v>
      </c>
      <c r="H22" s="141">
        <v>0</v>
      </c>
      <c r="I22" s="136">
        <v>0</v>
      </c>
      <c r="J22" s="136">
        <v>0</v>
      </c>
      <c r="K22" s="136">
        <v>2.13E-4</v>
      </c>
      <c r="L22" s="142">
        <v>0.44474400000000003</v>
      </c>
    </row>
    <row r="23" spans="1:12" x14ac:dyDescent="0.3">
      <c r="A23" s="10">
        <v>2023</v>
      </c>
      <c r="B23" s="10" t="s">
        <v>145</v>
      </c>
      <c r="C23" s="79" t="s">
        <v>45</v>
      </c>
      <c r="D23" s="101" t="s">
        <v>157</v>
      </c>
      <c r="E23" s="79" t="s">
        <v>24</v>
      </c>
      <c r="F23" s="96">
        <v>11660</v>
      </c>
      <c r="G23" s="140" t="s">
        <v>202</v>
      </c>
      <c r="H23" s="141">
        <v>0</v>
      </c>
      <c r="I23" s="136">
        <v>0</v>
      </c>
      <c r="J23" s="136">
        <v>0</v>
      </c>
      <c r="K23" s="136">
        <v>1.1659999999999999E-3</v>
      </c>
      <c r="L23" s="142">
        <v>2.4346079999999999</v>
      </c>
    </row>
    <row r="24" spans="1:12" x14ac:dyDescent="0.3">
      <c r="A24" s="10">
        <v>2023</v>
      </c>
      <c r="B24" s="10" t="s">
        <v>145</v>
      </c>
      <c r="C24" s="79" t="s">
        <v>45</v>
      </c>
      <c r="D24" s="101" t="s">
        <v>158</v>
      </c>
      <c r="E24" s="79" t="s">
        <v>24</v>
      </c>
      <c r="F24" s="96">
        <v>5250</v>
      </c>
      <c r="G24" s="140" t="s">
        <v>202</v>
      </c>
      <c r="H24" s="141">
        <v>0</v>
      </c>
      <c r="I24" s="136">
        <v>0</v>
      </c>
      <c r="J24" s="136">
        <v>0</v>
      </c>
      <c r="K24" s="136">
        <v>5.2500000000000008E-4</v>
      </c>
      <c r="L24" s="142">
        <v>1.0962000000000001</v>
      </c>
    </row>
    <row r="25" spans="1:12" x14ac:dyDescent="0.3">
      <c r="A25" s="10">
        <v>2023</v>
      </c>
      <c r="B25" s="10" t="s">
        <v>145</v>
      </c>
      <c r="C25" s="79" t="s">
        <v>45</v>
      </c>
      <c r="D25" s="101" t="s">
        <v>159</v>
      </c>
      <c r="E25" s="79" t="s">
        <v>24</v>
      </c>
      <c r="F25" s="96">
        <v>41860</v>
      </c>
      <c r="G25" s="140" t="s">
        <v>202</v>
      </c>
      <c r="H25" s="141">
        <v>0</v>
      </c>
      <c r="I25" s="136">
        <v>0</v>
      </c>
      <c r="J25" s="136">
        <v>0</v>
      </c>
      <c r="K25" s="136">
        <v>4.1859999999999996E-3</v>
      </c>
      <c r="L25" s="142">
        <v>8.7403679999999984</v>
      </c>
    </row>
    <row r="26" spans="1:12" x14ac:dyDescent="0.3">
      <c r="A26" s="10">
        <v>2023</v>
      </c>
      <c r="B26" s="10" t="s">
        <v>145</v>
      </c>
      <c r="C26" s="79" t="s">
        <v>45</v>
      </c>
      <c r="D26" s="95" t="s">
        <v>160</v>
      </c>
      <c r="E26" s="79" t="s">
        <v>24</v>
      </c>
      <c r="F26" s="96">
        <v>22000</v>
      </c>
      <c r="G26" s="140" t="s">
        <v>202</v>
      </c>
      <c r="H26" s="141">
        <v>0</v>
      </c>
      <c r="I26" s="136">
        <v>0</v>
      </c>
      <c r="J26" s="136">
        <v>0</v>
      </c>
      <c r="K26" s="136">
        <v>2.2000000000000001E-3</v>
      </c>
      <c r="L26" s="142">
        <v>4.5936000000000003</v>
      </c>
    </row>
    <row r="27" spans="1:12" x14ac:dyDescent="0.3">
      <c r="A27" s="10">
        <v>2023</v>
      </c>
      <c r="B27" s="10" t="s">
        <v>145</v>
      </c>
      <c r="C27" s="79" t="s">
        <v>45</v>
      </c>
      <c r="D27" s="95" t="s">
        <v>161</v>
      </c>
      <c r="E27" s="79" t="s">
        <v>24</v>
      </c>
      <c r="F27" s="96">
        <v>24000</v>
      </c>
      <c r="G27" s="140" t="s">
        <v>202</v>
      </c>
      <c r="H27" s="141">
        <v>0</v>
      </c>
      <c r="I27" s="136">
        <v>0</v>
      </c>
      <c r="J27" s="136">
        <v>0</v>
      </c>
      <c r="K27" s="136">
        <v>2.3999999999999998E-3</v>
      </c>
      <c r="L27" s="142">
        <v>5.0111999999999997</v>
      </c>
    </row>
    <row r="28" spans="1:12" x14ac:dyDescent="0.3">
      <c r="A28" s="10">
        <v>2023</v>
      </c>
      <c r="B28" s="10" t="s">
        <v>145</v>
      </c>
      <c r="C28" s="79" t="s">
        <v>45</v>
      </c>
      <c r="D28" s="95" t="s">
        <v>162</v>
      </c>
      <c r="E28" s="79" t="s">
        <v>24</v>
      </c>
      <c r="F28" s="96">
        <v>99</v>
      </c>
      <c r="G28" s="140" t="s">
        <v>202</v>
      </c>
      <c r="H28" s="141">
        <v>0</v>
      </c>
      <c r="I28" s="136">
        <v>0</v>
      </c>
      <c r="J28" s="136">
        <v>0</v>
      </c>
      <c r="K28" s="136">
        <v>9.9000000000000001E-6</v>
      </c>
      <c r="L28" s="142">
        <v>2.0671200000000001E-2</v>
      </c>
    </row>
    <row r="29" spans="1:12" x14ac:dyDescent="0.3">
      <c r="A29" s="10">
        <v>2023</v>
      </c>
      <c r="B29" s="10" t="s">
        <v>145</v>
      </c>
      <c r="C29" s="79" t="s">
        <v>45</v>
      </c>
      <c r="D29" s="95" t="s">
        <v>163</v>
      </c>
      <c r="E29" s="79" t="s">
        <v>24</v>
      </c>
      <c r="F29" s="96">
        <v>22</v>
      </c>
      <c r="G29" s="140" t="s">
        <v>202</v>
      </c>
      <c r="H29" s="141">
        <v>0</v>
      </c>
      <c r="I29" s="136">
        <v>0</v>
      </c>
      <c r="J29" s="136">
        <v>0</v>
      </c>
      <c r="K29" s="136">
        <v>2.2000000000000001E-6</v>
      </c>
      <c r="L29" s="142">
        <v>4.5936000000000006E-3</v>
      </c>
    </row>
    <row r="30" spans="1:12" x14ac:dyDescent="0.3">
      <c r="A30" s="10">
        <v>2023</v>
      </c>
      <c r="B30" s="10" t="s">
        <v>145</v>
      </c>
      <c r="C30" s="79" t="s">
        <v>45</v>
      </c>
      <c r="D30" s="95" t="s">
        <v>164</v>
      </c>
      <c r="E30" s="79" t="s">
        <v>24</v>
      </c>
      <c r="F30" s="96">
        <v>48</v>
      </c>
      <c r="G30" s="140" t="s">
        <v>202</v>
      </c>
      <c r="H30" s="141">
        <v>0</v>
      </c>
      <c r="I30" s="136">
        <v>0</v>
      </c>
      <c r="J30" s="136">
        <v>0</v>
      </c>
      <c r="K30" s="136">
        <v>4.8000000000000006E-6</v>
      </c>
      <c r="L30" s="142">
        <v>1.0022400000000001E-2</v>
      </c>
    </row>
    <row r="31" spans="1:12" x14ac:dyDescent="0.3">
      <c r="A31" s="10">
        <v>2023</v>
      </c>
      <c r="B31" s="10" t="s">
        <v>145</v>
      </c>
      <c r="C31" s="79" t="s">
        <v>45</v>
      </c>
      <c r="D31" s="95" t="s">
        <v>166</v>
      </c>
      <c r="E31" s="79" t="s">
        <v>24</v>
      </c>
      <c r="F31" s="96">
        <v>55</v>
      </c>
      <c r="G31" s="140" t="s">
        <v>202</v>
      </c>
      <c r="H31" s="141">
        <v>0</v>
      </c>
      <c r="I31" s="136">
        <v>0</v>
      </c>
      <c r="J31" s="136">
        <v>0</v>
      </c>
      <c r="K31" s="136">
        <v>5.4999999999999999E-6</v>
      </c>
      <c r="L31" s="142">
        <v>1.1483999999999999E-2</v>
      </c>
    </row>
    <row r="32" spans="1:12" x14ac:dyDescent="0.3">
      <c r="A32" s="10">
        <v>2023</v>
      </c>
      <c r="B32" s="10" t="s">
        <v>145</v>
      </c>
      <c r="C32" s="79" t="s">
        <v>45</v>
      </c>
      <c r="D32" s="95" t="s">
        <v>165</v>
      </c>
      <c r="E32" s="79" t="s">
        <v>24</v>
      </c>
      <c r="F32" s="96">
        <v>60</v>
      </c>
      <c r="G32" s="140" t="s">
        <v>202</v>
      </c>
      <c r="H32" s="141">
        <v>0</v>
      </c>
      <c r="I32" s="136">
        <v>0</v>
      </c>
      <c r="J32" s="136">
        <v>0</v>
      </c>
      <c r="K32" s="136">
        <v>6.0000000000000002E-6</v>
      </c>
      <c r="L32" s="142">
        <v>1.2528000000000001E-2</v>
      </c>
    </row>
    <row r="33" spans="1:16" x14ac:dyDescent="0.3">
      <c r="A33" s="10">
        <v>2023</v>
      </c>
      <c r="B33" s="10" t="s">
        <v>145</v>
      </c>
      <c r="C33" s="79" t="s">
        <v>45</v>
      </c>
      <c r="D33" s="95" t="s">
        <v>167</v>
      </c>
      <c r="E33" s="79" t="s">
        <v>24</v>
      </c>
      <c r="F33" s="96">
        <v>36</v>
      </c>
      <c r="G33" s="140" t="s">
        <v>202</v>
      </c>
      <c r="H33" s="141">
        <v>0</v>
      </c>
      <c r="I33" s="136">
        <v>0</v>
      </c>
      <c r="J33" s="136">
        <v>0</v>
      </c>
      <c r="K33" s="136">
        <v>3.5999999999999998E-6</v>
      </c>
      <c r="L33" s="142">
        <v>7.5167999999999997E-3</v>
      </c>
    </row>
    <row r="34" spans="1:16" x14ac:dyDescent="0.3">
      <c r="A34" s="10">
        <v>2023</v>
      </c>
      <c r="B34" s="10" t="s">
        <v>145</v>
      </c>
      <c r="C34" s="79" t="s">
        <v>45</v>
      </c>
      <c r="D34" s="79" t="s">
        <v>180</v>
      </c>
      <c r="E34" s="97" t="s">
        <v>20</v>
      </c>
      <c r="F34" s="41">
        <v>340</v>
      </c>
      <c r="G34" s="140" t="s">
        <v>202</v>
      </c>
      <c r="H34" s="141">
        <v>0</v>
      </c>
      <c r="I34" s="136">
        <v>0</v>
      </c>
      <c r="J34" s="136">
        <v>0</v>
      </c>
      <c r="K34" s="136">
        <v>6.7999999999999999E-5</v>
      </c>
      <c r="L34" s="142">
        <v>0.141984</v>
      </c>
    </row>
    <row r="35" spans="1:16" x14ac:dyDescent="0.3">
      <c r="A35" s="10">
        <v>2023</v>
      </c>
      <c r="B35" s="10" t="s">
        <v>145</v>
      </c>
      <c r="C35" s="79" t="s">
        <v>45</v>
      </c>
      <c r="D35" s="79" t="s">
        <v>180</v>
      </c>
      <c r="E35" s="97" t="s">
        <v>20</v>
      </c>
      <c r="F35" s="41">
        <v>180</v>
      </c>
      <c r="G35" s="140" t="s">
        <v>202</v>
      </c>
      <c r="H35" s="141">
        <v>0</v>
      </c>
      <c r="I35" s="136">
        <v>0</v>
      </c>
      <c r="J35" s="136">
        <v>0</v>
      </c>
      <c r="K35" s="136">
        <v>3.5999999999999994E-5</v>
      </c>
      <c r="L35" s="142">
        <v>7.5167999999999985E-2</v>
      </c>
    </row>
    <row r="36" spans="1:16" x14ac:dyDescent="0.3">
      <c r="A36" s="10">
        <v>2023</v>
      </c>
      <c r="B36" s="10" t="s">
        <v>145</v>
      </c>
      <c r="C36" s="79" t="s">
        <v>45</v>
      </c>
      <c r="D36" s="79" t="s">
        <v>181</v>
      </c>
      <c r="E36" s="97" t="s">
        <v>20</v>
      </c>
      <c r="F36" s="41">
        <v>180</v>
      </c>
      <c r="G36" s="140" t="s">
        <v>202</v>
      </c>
      <c r="H36" s="141">
        <v>0</v>
      </c>
      <c r="I36" s="136">
        <v>0</v>
      </c>
      <c r="J36" s="136">
        <v>0</v>
      </c>
      <c r="K36" s="136">
        <v>1.7999999999999997E-5</v>
      </c>
      <c r="L36" s="142">
        <v>3.7583999999999992E-2</v>
      </c>
    </row>
    <row r="37" spans="1:16" x14ac:dyDescent="0.3">
      <c r="A37" s="10">
        <v>2023</v>
      </c>
      <c r="B37" s="10" t="s">
        <v>145</v>
      </c>
      <c r="C37" s="79" t="s">
        <v>45</v>
      </c>
      <c r="D37" s="79" t="s">
        <v>182</v>
      </c>
      <c r="E37" s="98" t="s">
        <v>46</v>
      </c>
      <c r="F37" s="41">
        <v>600</v>
      </c>
      <c r="G37" s="140" t="s">
        <v>202</v>
      </c>
      <c r="H37" s="141">
        <v>0</v>
      </c>
      <c r="I37" s="136">
        <v>0</v>
      </c>
      <c r="J37" s="136">
        <v>0</v>
      </c>
      <c r="K37" s="136">
        <v>8.9999999999999992E-5</v>
      </c>
      <c r="L37" s="142">
        <v>0.18791999999999998</v>
      </c>
    </row>
    <row r="38" spans="1:16" x14ac:dyDescent="0.3">
      <c r="A38" s="10">
        <v>2023</v>
      </c>
      <c r="B38" s="10" t="s">
        <v>145</v>
      </c>
      <c r="C38" s="79" t="s">
        <v>45</v>
      </c>
      <c r="D38" s="99" t="s">
        <v>183</v>
      </c>
      <c r="E38" s="98" t="s">
        <v>24</v>
      </c>
      <c r="F38" s="41">
        <v>80</v>
      </c>
      <c r="G38" s="140" t="s">
        <v>202</v>
      </c>
      <c r="H38" s="141">
        <v>0</v>
      </c>
      <c r="I38" s="136">
        <v>0</v>
      </c>
      <c r="J38" s="136">
        <v>0</v>
      </c>
      <c r="K38" s="136">
        <v>1.2E-5</v>
      </c>
      <c r="L38" s="142">
        <v>2.5056000000000002E-2</v>
      </c>
    </row>
    <row r="39" spans="1:16" x14ac:dyDescent="0.3">
      <c r="A39" s="10">
        <v>2023</v>
      </c>
      <c r="B39" s="10" t="s">
        <v>145</v>
      </c>
      <c r="C39" s="79" t="s">
        <v>45</v>
      </c>
      <c r="D39" s="79" t="s">
        <v>184</v>
      </c>
      <c r="E39" s="97" t="s">
        <v>20</v>
      </c>
      <c r="F39" s="41">
        <v>180</v>
      </c>
      <c r="G39" s="140" t="s">
        <v>202</v>
      </c>
      <c r="H39" s="141">
        <v>0</v>
      </c>
      <c r="I39" s="136">
        <v>0</v>
      </c>
      <c r="J39" s="136">
        <v>0</v>
      </c>
      <c r="K39" s="136">
        <v>2.6999999999999999E-5</v>
      </c>
      <c r="L39" s="142">
        <v>5.6375999999999996E-2</v>
      </c>
    </row>
    <row r="40" spans="1:16" x14ac:dyDescent="0.3">
      <c r="A40" s="10">
        <v>2023</v>
      </c>
      <c r="B40" s="10" t="s">
        <v>145</v>
      </c>
      <c r="C40" s="79" t="s">
        <v>45</v>
      </c>
      <c r="D40" s="98" t="s">
        <v>185</v>
      </c>
      <c r="E40" s="98"/>
      <c r="F40" s="9">
        <v>40.799999999999997</v>
      </c>
      <c r="G40" s="109" t="s">
        <v>135</v>
      </c>
      <c r="H40" s="141">
        <v>1.0199999999999999E-2</v>
      </c>
      <c r="I40" s="136">
        <v>0</v>
      </c>
      <c r="J40" s="136">
        <v>0</v>
      </c>
      <c r="K40" s="136">
        <v>0</v>
      </c>
      <c r="L40" s="142">
        <v>1.0199999999999999E-2</v>
      </c>
    </row>
    <row r="41" spans="1:16" x14ac:dyDescent="0.3">
      <c r="A41" s="10">
        <v>2023</v>
      </c>
      <c r="B41" s="10" t="s">
        <v>145</v>
      </c>
      <c r="C41" s="79" t="s">
        <v>45</v>
      </c>
      <c r="D41" s="98" t="s">
        <v>186</v>
      </c>
      <c r="E41" s="98"/>
      <c r="F41" s="9">
        <v>13.5</v>
      </c>
      <c r="G41" s="109" t="s">
        <v>135</v>
      </c>
      <c r="H41" s="141">
        <v>3.375E-3</v>
      </c>
      <c r="I41" s="136">
        <v>0</v>
      </c>
      <c r="J41" s="136">
        <v>0</v>
      </c>
      <c r="K41" s="136">
        <v>0</v>
      </c>
      <c r="L41" s="142">
        <v>3.375E-3</v>
      </c>
    </row>
    <row r="42" spans="1:16" x14ac:dyDescent="0.3">
      <c r="A42" s="10">
        <v>2023</v>
      </c>
      <c r="B42" s="10" t="s">
        <v>145</v>
      </c>
      <c r="C42" s="79" t="s">
        <v>45</v>
      </c>
      <c r="D42" s="98" t="s">
        <v>187</v>
      </c>
      <c r="E42" s="98"/>
      <c r="F42" s="9">
        <v>157.5</v>
      </c>
      <c r="G42" s="109" t="s">
        <v>135</v>
      </c>
      <c r="H42" s="141">
        <v>0</v>
      </c>
      <c r="I42" s="136">
        <v>0</v>
      </c>
      <c r="J42" s="136">
        <v>0</v>
      </c>
      <c r="K42" s="136">
        <v>3.5594999999999999</v>
      </c>
      <c r="L42" s="142">
        <v>3.5594999999999999</v>
      </c>
    </row>
    <row r="43" spans="1:16" x14ac:dyDescent="0.3">
      <c r="A43" s="10">
        <v>2023</v>
      </c>
      <c r="B43" s="10" t="s">
        <v>145</v>
      </c>
      <c r="C43" s="79" t="s">
        <v>45</v>
      </c>
      <c r="D43" s="98" t="s">
        <v>188</v>
      </c>
      <c r="E43" s="98"/>
      <c r="F43" s="9">
        <v>148</v>
      </c>
      <c r="G43" s="109" t="s">
        <v>135</v>
      </c>
      <c r="H43" s="141">
        <v>0</v>
      </c>
      <c r="I43" s="136">
        <v>0</v>
      </c>
      <c r="J43" s="136">
        <v>0</v>
      </c>
      <c r="K43" s="136">
        <v>3.3448000000000002</v>
      </c>
      <c r="L43" s="142">
        <v>3.3448000000000002</v>
      </c>
    </row>
    <row r="44" spans="1:16" x14ac:dyDescent="0.3">
      <c r="A44" s="10">
        <v>2023</v>
      </c>
      <c r="B44" s="10" t="s">
        <v>145</v>
      </c>
      <c r="C44" s="79" t="s">
        <v>45</v>
      </c>
      <c r="D44" s="98" t="s">
        <v>189</v>
      </c>
      <c r="E44" s="98"/>
      <c r="F44" s="9">
        <v>21</v>
      </c>
      <c r="G44" s="109" t="s">
        <v>135</v>
      </c>
      <c r="H44" s="141">
        <v>0</v>
      </c>
      <c r="I44" s="136">
        <v>0</v>
      </c>
      <c r="J44" s="136">
        <v>0</v>
      </c>
      <c r="K44" s="136">
        <v>0.47460000000000002</v>
      </c>
      <c r="L44" s="142">
        <v>0.47460000000000002</v>
      </c>
    </row>
    <row r="45" spans="1:16" ht="14.5" x14ac:dyDescent="0.35">
      <c r="A45" s="10">
        <v>2023</v>
      </c>
      <c r="B45" s="10" t="s">
        <v>145</v>
      </c>
      <c r="C45" s="79" t="s">
        <v>45</v>
      </c>
      <c r="D45" s="98" t="s">
        <v>190</v>
      </c>
      <c r="E45" s="97" t="s">
        <v>20</v>
      </c>
      <c r="F45" s="9">
        <v>0</v>
      </c>
      <c r="G45" s="140" t="s">
        <v>25</v>
      </c>
      <c r="H45" s="141">
        <v>0</v>
      </c>
      <c r="I45" s="136">
        <v>0</v>
      </c>
      <c r="J45" s="136">
        <v>0</v>
      </c>
      <c r="K45" s="147">
        <v>0</v>
      </c>
      <c r="L45" s="142">
        <v>0</v>
      </c>
      <c r="N45"/>
      <c r="O45"/>
      <c r="P45"/>
    </row>
    <row r="46" spans="1:16" x14ac:dyDescent="0.3">
      <c r="A46" s="10">
        <v>2023</v>
      </c>
      <c r="B46" s="10" t="s">
        <v>146</v>
      </c>
      <c r="C46" s="79" t="s">
        <v>49</v>
      </c>
      <c r="D46" s="79" t="s">
        <v>205</v>
      </c>
      <c r="E46" s="79" t="s">
        <v>24</v>
      </c>
      <c r="F46" s="104">
        <v>85457</v>
      </c>
      <c r="G46" s="140" t="s">
        <v>50</v>
      </c>
      <c r="H46" s="141">
        <v>0</v>
      </c>
      <c r="I46" s="136">
        <v>0</v>
      </c>
      <c r="J46" s="136">
        <v>0</v>
      </c>
      <c r="K46" s="147">
        <v>0</v>
      </c>
      <c r="L46" s="142">
        <v>14.766969599999999</v>
      </c>
    </row>
    <row r="47" spans="1:16" x14ac:dyDescent="0.3">
      <c r="A47" s="10">
        <v>2023</v>
      </c>
      <c r="B47" s="10" t="s">
        <v>146</v>
      </c>
      <c r="C47" s="79" t="s">
        <v>49</v>
      </c>
      <c r="D47" s="79" t="s">
        <v>206</v>
      </c>
      <c r="E47" s="79" t="s">
        <v>24</v>
      </c>
      <c r="F47" s="104">
        <v>100021</v>
      </c>
      <c r="G47" s="140" t="s">
        <v>50</v>
      </c>
      <c r="H47" s="141">
        <v>0</v>
      </c>
      <c r="I47" s="136">
        <v>0</v>
      </c>
      <c r="J47" s="136">
        <v>0</v>
      </c>
      <c r="K47" s="147">
        <v>0</v>
      </c>
      <c r="L47" s="142">
        <v>17.283628800000002</v>
      </c>
    </row>
    <row r="48" spans="1:16" x14ac:dyDescent="0.3">
      <c r="A48" s="10">
        <v>2023</v>
      </c>
      <c r="B48" s="10" t="s">
        <v>146</v>
      </c>
      <c r="C48" s="79" t="s">
        <v>49</v>
      </c>
      <c r="D48" s="79" t="s">
        <v>207</v>
      </c>
      <c r="E48" s="79" t="s">
        <v>24</v>
      </c>
      <c r="F48" s="104">
        <v>117306</v>
      </c>
      <c r="G48" s="140" t="s">
        <v>50</v>
      </c>
      <c r="H48" s="141">
        <v>0</v>
      </c>
      <c r="I48" s="136">
        <v>0</v>
      </c>
      <c r="J48" s="136">
        <v>0</v>
      </c>
      <c r="K48" s="147">
        <v>0</v>
      </c>
      <c r="L48" s="142">
        <v>20.270476800000001</v>
      </c>
    </row>
    <row r="49" spans="1:12" x14ac:dyDescent="0.3">
      <c r="A49" s="10">
        <v>2023</v>
      </c>
      <c r="B49" s="10" t="s">
        <v>146</v>
      </c>
      <c r="C49" s="79" t="s">
        <v>49</v>
      </c>
      <c r="D49" s="79" t="s">
        <v>208</v>
      </c>
      <c r="E49" s="79" t="s">
        <v>24</v>
      </c>
      <c r="F49" s="104">
        <v>97298</v>
      </c>
      <c r="G49" s="140" t="s">
        <v>50</v>
      </c>
      <c r="H49" s="141">
        <v>0</v>
      </c>
      <c r="I49" s="136">
        <v>0</v>
      </c>
      <c r="J49" s="136">
        <v>0</v>
      </c>
      <c r="K49" s="147">
        <v>0</v>
      </c>
      <c r="L49" s="142">
        <v>16.813094400000001</v>
      </c>
    </row>
    <row r="50" spans="1:12" x14ac:dyDescent="0.3">
      <c r="A50" s="10">
        <v>2023</v>
      </c>
      <c r="B50" s="10" t="s">
        <v>146</v>
      </c>
      <c r="C50" s="79" t="s">
        <v>49</v>
      </c>
      <c r="D50" s="79" t="s">
        <v>209</v>
      </c>
      <c r="E50" s="79" t="s">
        <v>24</v>
      </c>
      <c r="F50" s="104">
        <v>117266</v>
      </c>
      <c r="G50" s="140" t="s">
        <v>50</v>
      </c>
      <c r="H50" s="141">
        <v>0</v>
      </c>
      <c r="I50" s="136">
        <v>0</v>
      </c>
      <c r="J50" s="136">
        <v>0</v>
      </c>
      <c r="K50" s="147">
        <v>0</v>
      </c>
      <c r="L50" s="142">
        <v>20.263564800000005</v>
      </c>
    </row>
    <row r="51" spans="1:12" x14ac:dyDescent="0.3">
      <c r="A51" s="10">
        <v>2023</v>
      </c>
      <c r="B51" s="10" t="s">
        <v>146</v>
      </c>
      <c r="C51" s="79" t="s">
        <v>49</v>
      </c>
      <c r="D51" s="79" t="s">
        <v>210</v>
      </c>
      <c r="E51" s="79" t="s">
        <v>24</v>
      </c>
      <c r="F51" s="104">
        <v>99520</v>
      </c>
      <c r="G51" s="140" t="s">
        <v>50</v>
      </c>
      <c r="H51" s="141">
        <v>0</v>
      </c>
      <c r="I51" s="136">
        <v>0</v>
      </c>
      <c r="J51" s="136">
        <v>0</v>
      </c>
      <c r="K51" s="147">
        <v>0</v>
      </c>
      <c r="L51" s="142">
        <v>17.197056</v>
      </c>
    </row>
    <row r="52" spans="1:12" x14ac:dyDescent="0.3">
      <c r="A52" s="10">
        <v>2023</v>
      </c>
      <c r="B52" s="10" t="s">
        <v>146</v>
      </c>
      <c r="C52" s="79" t="s">
        <v>49</v>
      </c>
      <c r="D52" s="79" t="s">
        <v>211</v>
      </c>
      <c r="E52" s="79" t="s">
        <v>24</v>
      </c>
      <c r="F52" s="104">
        <v>96531</v>
      </c>
      <c r="G52" s="140" t="s">
        <v>50</v>
      </c>
      <c r="H52" s="141">
        <v>0</v>
      </c>
      <c r="I52" s="136">
        <v>0</v>
      </c>
      <c r="J52" s="136">
        <v>0</v>
      </c>
      <c r="K52" s="147">
        <v>0</v>
      </c>
      <c r="L52" s="142">
        <v>16.680556800000002</v>
      </c>
    </row>
    <row r="53" spans="1:12" x14ac:dyDescent="0.3">
      <c r="A53" s="10">
        <v>2023</v>
      </c>
      <c r="B53" s="10" t="s">
        <v>146</v>
      </c>
      <c r="C53" s="79" t="s">
        <v>49</v>
      </c>
      <c r="D53" s="79" t="s">
        <v>212</v>
      </c>
      <c r="E53" s="79" t="s">
        <v>24</v>
      </c>
      <c r="F53" s="104">
        <v>121645</v>
      </c>
      <c r="G53" s="140" t="s">
        <v>50</v>
      </c>
      <c r="H53" s="141">
        <v>0</v>
      </c>
      <c r="I53" s="136">
        <v>0</v>
      </c>
      <c r="J53" s="136">
        <v>0</v>
      </c>
      <c r="K53" s="147">
        <v>0</v>
      </c>
      <c r="L53" s="142">
        <v>21.020256</v>
      </c>
    </row>
    <row r="54" spans="1:12" x14ac:dyDescent="0.3">
      <c r="A54" s="10">
        <v>2023</v>
      </c>
      <c r="B54" s="10" t="s">
        <v>146</v>
      </c>
      <c r="C54" s="79" t="s">
        <v>49</v>
      </c>
      <c r="D54" s="79" t="s">
        <v>213</v>
      </c>
      <c r="E54" s="79" t="s">
        <v>24</v>
      </c>
      <c r="F54" s="104">
        <v>115730</v>
      </c>
      <c r="G54" s="140" t="s">
        <v>50</v>
      </c>
      <c r="H54" s="141">
        <v>0</v>
      </c>
      <c r="I54" s="136">
        <v>0</v>
      </c>
      <c r="J54" s="136">
        <v>0</v>
      </c>
      <c r="K54" s="147">
        <v>0</v>
      </c>
      <c r="L54" s="142">
        <v>19.998144</v>
      </c>
    </row>
    <row r="55" spans="1:12" x14ac:dyDescent="0.3">
      <c r="A55" s="10">
        <v>2023</v>
      </c>
      <c r="B55" s="10" t="s">
        <v>146</v>
      </c>
      <c r="C55" s="79" t="s">
        <v>49</v>
      </c>
      <c r="D55" s="79" t="s">
        <v>214</v>
      </c>
      <c r="E55" s="79" t="s">
        <v>24</v>
      </c>
      <c r="F55" s="104">
        <v>119490</v>
      </c>
      <c r="G55" s="140" t="s">
        <v>50</v>
      </c>
      <c r="H55" s="141">
        <v>0</v>
      </c>
      <c r="I55" s="136">
        <v>0</v>
      </c>
      <c r="J55" s="136">
        <v>0</v>
      </c>
      <c r="K55" s="147">
        <v>0</v>
      </c>
      <c r="L55" s="142">
        <v>20.647872</v>
      </c>
    </row>
    <row r="56" spans="1:12" x14ac:dyDescent="0.3">
      <c r="A56" s="10">
        <v>2023</v>
      </c>
      <c r="B56" s="10" t="s">
        <v>146</v>
      </c>
      <c r="C56" s="79" t="s">
        <v>49</v>
      </c>
      <c r="D56" s="79" t="s">
        <v>215</v>
      </c>
      <c r="E56" s="79" t="s">
        <v>24</v>
      </c>
      <c r="F56" s="104">
        <v>121811</v>
      </c>
      <c r="G56" s="140" t="s">
        <v>50</v>
      </c>
      <c r="H56" s="141">
        <v>0</v>
      </c>
      <c r="I56" s="136">
        <v>0</v>
      </c>
      <c r="J56" s="136">
        <v>0</v>
      </c>
      <c r="K56" s="147">
        <v>0</v>
      </c>
      <c r="L56" s="142">
        <v>21.048940800000004</v>
      </c>
    </row>
    <row r="57" spans="1:12" x14ac:dyDescent="0.3">
      <c r="A57" s="10">
        <v>2023</v>
      </c>
      <c r="B57" s="10" t="s">
        <v>146</v>
      </c>
      <c r="C57" s="79" t="s">
        <v>49</v>
      </c>
      <c r="D57" s="79" t="s">
        <v>216</v>
      </c>
      <c r="E57" s="79" t="s">
        <v>24</v>
      </c>
      <c r="F57" s="104">
        <v>86069</v>
      </c>
      <c r="G57" s="140" t="s">
        <v>50</v>
      </c>
      <c r="H57" s="141">
        <v>0</v>
      </c>
      <c r="I57" s="136">
        <v>0</v>
      </c>
      <c r="J57" s="136">
        <v>0</v>
      </c>
      <c r="K57" s="147">
        <v>0</v>
      </c>
      <c r="L57" s="142">
        <v>14.872723200000003</v>
      </c>
    </row>
    <row r="58" spans="1:12" x14ac:dyDescent="0.3">
      <c r="A58" s="10">
        <v>2023</v>
      </c>
      <c r="B58" s="10" t="s">
        <v>146</v>
      </c>
      <c r="C58" s="79" t="s">
        <v>49</v>
      </c>
      <c r="D58" s="79" t="s">
        <v>217</v>
      </c>
      <c r="E58" s="79" t="s">
        <v>51</v>
      </c>
      <c r="F58" s="104">
        <v>17100</v>
      </c>
      <c r="G58" s="140" t="s">
        <v>50</v>
      </c>
      <c r="H58" s="141">
        <v>0</v>
      </c>
      <c r="I58" s="136">
        <v>0</v>
      </c>
      <c r="J58" s="136">
        <v>0</v>
      </c>
      <c r="K58" s="147">
        <v>0</v>
      </c>
      <c r="L58" s="142">
        <v>2.9548800000000006</v>
      </c>
    </row>
    <row r="59" spans="1:12" x14ac:dyDescent="0.3">
      <c r="A59" s="10">
        <v>2023</v>
      </c>
      <c r="B59" s="10" t="s">
        <v>146</v>
      </c>
      <c r="C59" s="79" t="s">
        <v>49</v>
      </c>
      <c r="D59" s="79" t="s">
        <v>218</v>
      </c>
      <c r="E59" s="79" t="s">
        <v>51</v>
      </c>
      <c r="F59" s="104">
        <v>12627</v>
      </c>
      <c r="G59" s="140" t="s">
        <v>50</v>
      </c>
      <c r="H59" s="141">
        <v>0</v>
      </c>
      <c r="I59" s="136">
        <v>0</v>
      </c>
      <c r="J59" s="136">
        <v>0</v>
      </c>
      <c r="K59" s="147">
        <v>0</v>
      </c>
      <c r="L59" s="142">
        <v>2.1819456000000006</v>
      </c>
    </row>
    <row r="60" spans="1:12" x14ac:dyDescent="0.3">
      <c r="A60" s="10">
        <v>2023</v>
      </c>
      <c r="B60" s="10" t="s">
        <v>146</v>
      </c>
      <c r="C60" s="79" t="s">
        <v>49</v>
      </c>
      <c r="D60" s="79" t="s">
        <v>219</v>
      </c>
      <c r="E60" s="79" t="s">
        <v>51</v>
      </c>
      <c r="F60" s="104">
        <v>15390</v>
      </c>
      <c r="G60" s="140" t="s">
        <v>50</v>
      </c>
      <c r="H60" s="141">
        <v>0</v>
      </c>
      <c r="I60" s="136">
        <v>0</v>
      </c>
      <c r="J60" s="136">
        <v>0</v>
      </c>
      <c r="K60" s="147">
        <v>0</v>
      </c>
      <c r="L60" s="142">
        <v>2.6593920000000004</v>
      </c>
    </row>
    <row r="61" spans="1:12" x14ac:dyDescent="0.3">
      <c r="A61" s="10">
        <v>2023</v>
      </c>
      <c r="B61" s="10" t="s">
        <v>146</v>
      </c>
      <c r="C61" s="79" t="s">
        <v>49</v>
      </c>
      <c r="D61" s="79" t="s">
        <v>220</v>
      </c>
      <c r="E61" s="79" t="s">
        <v>51</v>
      </c>
      <c r="F61" s="104">
        <v>14820</v>
      </c>
      <c r="G61" s="140" t="s">
        <v>50</v>
      </c>
      <c r="H61" s="141">
        <v>0</v>
      </c>
      <c r="I61" s="136">
        <v>0</v>
      </c>
      <c r="J61" s="136">
        <v>0</v>
      </c>
      <c r="K61" s="147">
        <v>0</v>
      </c>
      <c r="L61" s="142">
        <v>2.5608960000000001</v>
      </c>
    </row>
    <row r="62" spans="1:12" x14ac:dyDescent="0.3">
      <c r="A62" s="10">
        <v>2023</v>
      </c>
      <c r="B62" s="10" t="s">
        <v>146</v>
      </c>
      <c r="C62" s="79" t="s">
        <v>49</v>
      </c>
      <c r="D62" s="79" t="s">
        <v>221</v>
      </c>
      <c r="E62" s="79" t="s">
        <v>51</v>
      </c>
      <c r="F62" s="104">
        <v>18240</v>
      </c>
      <c r="G62" s="140" t="s">
        <v>50</v>
      </c>
      <c r="H62" s="141">
        <v>0</v>
      </c>
      <c r="I62" s="136">
        <v>0</v>
      </c>
      <c r="J62" s="136">
        <v>0</v>
      </c>
      <c r="K62" s="147">
        <v>0</v>
      </c>
      <c r="L62" s="142">
        <v>3.151872</v>
      </c>
    </row>
    <row r="63" spans="1:12" x14ac:dyDescent="0.3">
      <c r="A63" s="10">
        <v>2023</v>
      </c>
      <c r="B63" s="10" t="s">
        <v>146</v>
      </c>
      <c r="C63" s="79" t="s">
        <v>49</v>
      </c>
      <c r="D63" s="79" t="s">
        <v>222</v>
      </c>
      <c r="E63" s="79" t="s">
        <v>51</v>
      </c>
      <c r="F63" s="104">
        <v>18240</v>
      </c>
      <c r="G63" s="140" t="s">
        <v>50</v>
      </c>
      <c r="H63" s="141">
        <v>0</v>
      </c>
      <c r="I63" s="136">
        <v>0</v>
      </c>
      <c r="J63" s="136">
        <v>0</v>
      </c>
      <c r="K63" s="147">
        <v>0</v>
      </c>
      <c r="L63" s="142">
        <v>3.151872</v>
      </c>
    </row>
    <row r="64" spans="1:12" x14ac:dyDescent="0.3">
      <c r="A64" s="10">
        <v>2023</v>
      </c>
      <c r="B64" s="10" t="s">
        <v>146</v>
      </c>
      <c r="C64" s="79" t="s">
        <v>49</v>
      </c>
      <c r="D64" s="79" t="s">
        <v>223</v>
      </c>
      <c r="E64" s="79" t="s">
        <v>51</v>
      </c>
      <c r="F64" s="104">
        <v>15390</v>
      </c>
      <c r="G64" s="140" t="s">
        <v>50</v>
      </c>
      <c r="H64" s="141">
        <v>0</v>
      </c>
      <c r="I64" s="136">
        <v>0</v>
      </c>
      <c r="J64" s="136">
        <v>0</v>
      </c>
      <c r="K64" s="147">
        <v>0</v>
      </c>
      <c r="L64" s="142">
        <v>2.6593920000000004</v>
      </c>
    </row>
    <row r="65" spans="1:12" x14ac:dyDescent="0.3">
      <c r="A65" s="10">
        <v>2023</v>
      </c>
      <c r="B65" s="10" t="s">
        <v>146</v>
      </c>
      <c r="C65" s="79" t="s">
        <v>49</v>
      </c>
      <c r="D65" s="79" t="s">
        <v>224</v>
      </c>
      <c r="E65" s="79" t="s">
        <v>51</v>
      </c>
      <c r="F65" s="104">
        <v>15390</v>
      </c>
      <c r="G65" s="140" t="s">
        <v>50</v>
      </c>
      <c r="H65" s="141">
        <v>0</v>
      </c>
      <c r="I65" s="136">
        <v>0</v>
      </c>
      <c r="J65" s="136">
        <v>0</v>
      </c>
      <c r="K65" s="147">
        <v>0</v>
      </c>
      <c r="L65" s="142">
        <v>2.6593920000000004</v>
      </c>
    </row>
    <row r="66" spans="1:12" x14ac:dyDescent="0.3">
      <c r="A66" s="10">
        <v>2023</v>
      </c>
      <c r="B66" s="10" t="s">
        <v>146</v>
      </c>
      <c r="C66" s="79" t="s">
        <v>49</v>
      </c>
      <c r="D66" s="79" t="s">
        <v>225</v>
      </c>
      <c r="E66" s="79" t="s">
        <v>51</v>
      </c>
      <c r="F66" s="104">
        <v>17100</v>
      </c>
      <c r="G66" s="140" t="s">
        <v>50</v>
      </c>
      <c r="H66" s="141">
        <v>0</v>
      </c>
      <c r="I66" s="136">
        <v>0</v>
      </c>
      <c r="J66" s="136">
        <v>0</v>
      </c>
      <c r="K66" s="147">
        <v>0</v>
      </c>
      <c r="L66" s="142">
        <v>2.9548800000000006</v>
      </c>
    </row>
    <row r="67" spans="1:12" x14ac:dyDescent="0.3">
      <c r="A67" s="10">
        <v>2023</v>
      </c>
      <c r="B67" s="10" t="s">
        <v>146</v>
      </c>
      <c r="C67" s="79" t="s">
        <v>49</v>
      </c>
      <c r="D67" s="79" t="s">
        <v>226</v>
      </c>
      <c r="E67" s="79" t="s">
        <v>51</v>
      </c>
      <c r="F67" s="104">
        <v>30210</v>
      </c>
      <c r="G67" s="140" t="s">
        <v>50</v>
      </c>
      <c r="H67" s="141">
        <v>0</v>
      </c>
      <c r="I67" s="136">
        <v>0</v>
      </c>
      <c r="J67" s="136">
        <v>0</v>
      </c>
      <c r="K67" s="147">
        <v>0</v>
      </c>
      <c r="L67" s="142">
        <v>5.220288</v>
      </c>
    </row>
    <row r="68" spans="1:12" x14ac:dyDescent="0.3">
      <c r="A68" s="10">
        <v>2023</v>
      </c>
      <c r="B68" s="10" t="s">
        <v>146</v>
      </c>
      <c r="C68" s="79" t="s">
        <v>49</v>
      </c>
      <c r="D68" s="79" t="s">
        <v>227</v>
      </c>
      <c r="E68" s="79" t="s">
        <v>51</v>
      </c>
      <c r="F68" s="104">
        <v>21533</v>
      </c>
      <c r="G68" s="140" t="s">
        <v>50</v>
      </c>
      <c r="H68" s="141">
        <v>0</v>
      </c>
      <c r="I68" s="136">
        <v>0</v>
      </c>
      <c r="J68" s="136">
        <v>0</v>
      </c>
      <c r="K68" s="147">
        <v>0</v>
      </c>
      <c r="L68" s="142">
        <v>3.7209024000000004</v>
      </c>
    </row>
    <row r="69" spans="1:12" x14ac:dyDescent="0.3">
      <c r="A69" s="10">
        <v>2023</v>
      </c>
      <c r="B69" s="10" t="s">
        <v>146</v>
      </c>
      <c r="C69" s="79" t="s">
        <v>49</v>
      </c>
      <c r="D69" s="79" t="s">
        <v>228</v>
      </c>
      <c r="E69" s="79" t="s">
        <v>51</v>
      </c>
      <c r="F69" s="104">
        <v>18810</v>
      </c>
      <c r="G69" s="140" t="s">
        <v>50</v>
      </c>
      <c r="H69" s="141">
        <v>0</v>
      </c>
      <c r="I69" s="136">
        <v>0</v>
      </c>
      <c r="J69" s="136">
        <v>0</v>
      </c>
      <c r="K69" s="147">
        <v>0</v>
      </c>
      <c r="L69" s="142">
        <v>3.2503679999999999</v>
      </c>
    </row>
    <row r="70" spans="1:12" x14ac:dyDescent="0.3">
      <c r="A70" s="10">
        <v>2023</v>
      </c>
      <c r="B70" s="10" t="s">
        <v>146</v>
      </c>
      <c r="C70" s="79" t="s">
        <v>49</v>
      </c>
      <c r="D70" s="79" t="s">
        <v>249</v>
      </c>
      <c r="E70" s="79" t="s">
        <v>46</v>
      </c>
      <c r="F70" s="104">
        <v>506</v>
      </c>
      <c r="G70" s="140" t="s">
        <v>50</v>
      </c>
      <c r="H70" s="141">
        <v>0</v>
      </c>
      <c r="I70" s="136">
        <v>0</v>
      </c>
      <c r="J70" s="136">
        <v>0</v>
      </c>
      <c r="K70" s="147">
        <v>0</v>
      </c>
      <c r="L70" s="142">
        <v>8.7436800000000009E-2</v>
      </c>
    </row>
    <row r="71" spans="1:12" x14ac:dyDescent="0.3">
      <c r="A71" s="10">
        <v>2023</v>
      </c>
      <c r="B71" s="10" t="s">
        <v>146</v>
      </c>
      <c r="C71" s="79" t="s">
        <v>49</v>
      </c>
      <c r="D71" s="79" t="s">
        <v>250</v>
      </c>
      <c r="E71" s="79" t="s">
        <v>46</v>
      </c>
      <c r="F71" s="104">
        <v>346</v>
      </c>
      <c r="G71" s="140" t="s">
        <v>50</v>
      </c>
      <c r="H71" s="141">
        <v>0</v>
      </c>
      <c r="I71" s="136">
        <v>0</v>
      </c>
      <c r="J71" s="136">
        <v>0</v>
      </c>
      <c r="K71" s="147">
        <v>0</v>
      </c>
      <c r="L71" s="142">
        <v>5.9788800000000003E-2</v>
      </c>
    </row>
    <row r="72" spans="1:12" x14ac:dyDescent="0.3">
      <c r="A72" s="10">
        <v>2023</v>
      </c>
      <c r="B72" s="10" t="s">
        <v>146</v>
      </c>
      <c r="C72" s="79" t="s">
        <v>49</v>
      </c>
      <c r="D72" s="79" t="s">
        <v>251</v>
      </c>
      <c r="E72" s="79" t="s">
        <v>46</v>
      </c>
      <c r="F72" s="104">
        <v>416</v>
      </c>
      <c r="G72" s="140" t="s">
        <v>50</v>
      </c>
      <c r="H72" s="141">
        <v>0</v>
      </c>
      <c r="I72" s="136">
        <v>0</v>
      </c>
      <c r="J72" s="136">
        <v>0</v>
      </c>
      <c r="K72" s="147">
        <v>0</v>
      </c>
      <c r="L72" s="142">
        <v>7.1884799999999999E-2</v>
      </c>
    </row>
    <row r="73" spans="1:12" x14ac:dyDescent="0.3">
      <c r="A73" s="10">
        <v>2023</v>
      </c>
      <c r="B73" s="10" t="s">
        <v>146</v>
      </c>
      <c r="C73" s="79" t="s">
        <v>49</v>
      </c>
      <c r="D73" s="79" t="s">
        <v>252</v>
      </c>
      <c r="E73" s="79" t="s">
        <v>46</v>
      </c>
      <c r="F73" s="104">
        <v>512</v>
      </c>
      <c r="G73" s="140" t="s">
        <v>50</v>
      </c>
      <c r="H73" s="141">
        <v>0</v>
      </c>
      <c r="I73" s="136">
        <v>0</v>
      </c>
      <c r="J73" s="136">
        <v>0</v>
      </c>
      <c r="K73" s="147">
        <v>0</v>
      </c>
      <c r="L73" s="142">
        <v>8.8473599999999999E-2</v>
      </c>
    </row>
    <row r="74" spans="1:12" x14ac:dyDescent="0.3">
      <c r="A74" s="10">
        <v>2023</v>
      </c>
      <c r="B74" s="10" t="s">
        <v>146</v>
      </c>
      <c r="C74" s="79" t="s">
        <v>49</v>
      </c>
      <c r="D74" s="79" t="s">
        <v>253</v>
      </c>
      <c r="E74" s="79" t="s">
        <v>46</v>
      </c>
      <c r="F74" s="104">
        <v>526</v>
      </c>
      <c r="G74" s="140" t="s">
        <v>50</v>
      </c>
      <c r="H74" s="141">
        <v>0</v>
      </c>
      <c r="I74" s="136">
        <v>0</v>
      </c>
      <c r="J74" s="136">
        <v>0</v>
      </c>
      <c r="K74" s="147">
        <v>0</v>
      </c>
      <c r="L74" s="142">
        <v>9.089280000000001E-2</v>
      </c>
    </row>
    <row r="75" spans="1:12" x14ac:dyDescent="0.3">
      <c r="A75" s="10">
        <v>2023</v>
      </c>
      <c r="B75" s="10" t="s">
        <v>146</v>
      </c>
      <c r="C75" s="79" t="s">
        <v>49</v>
      </c>
      <c r="D75" s="79" t="s">
        <v>254</v>
      </c>
      <c r="E75" s="79" t="s">
        <v>46</v>
      </c>
      <c r="F75" s="104">
        <v>581</v>
      </c>
      <c r="G75" s="140" t="s">
        <v>50</v>
      </c>
      <c r="H75" s="141">
        <v>0</v>
      </c>
      <c r="I75" s="136">
        <v>0</v>
      </c>
      <c r="J75" s="136">
        <v>0</v>
      </c>
      <c r="K75" s="147">
        <v>0</v>
      </c>
      <c r="L75" s="142">
        <v>0.10039679999999999</v>
      </c>
    </row>
    <row r="76" spans="1:12" x14ac:dyDescent="0.3">
      <c r="A76" s="10">
        <v>2023</v>
      </c>
      <c r="B76" s="10" t="s">
        <v>146</v>
      </c>
      <c r="C76" s="79" t="s">
        <v>49</v>
      </c>
      <c r="D76" s="79" t="s">
        <v>255</v>
      </c>
      <c r="E76" s="79" t="s">
        <v>46</v>
      </c>
      <c r="F76" s="104">
        <v>634</v>
      </c>
      <c r="G76" s="140" t="s">
        <v>50</v>
      </c>
      <c r="H76" s="141">
        <v>0</v>
      </c>
      <c r="I76" s="136">
        <v>0</v>
      </c>
      <c r="J76" s="136">
        <v>0</v>
      </c>
      <c r="K76" s="147">
        <v>0</v>
      </c>
      <c r="L76" s="142">
        <v>0.10955520000000002</v>
      </c>
    </row>
    <row r="77" spans="1:12" x14ac:dyDescent="0.3">
      <c r="A77" s="10">
        <v>2023</v>
      </c>
      <c r="B77" s="10" t="s">
        <v>146</v>
      </c>
      <c r="C77" s="79" t="s">
        <v>49</v>
      </c>
      <c r="D77" s="79" t="s">
        <v>256</v>
      </c>
      <c r="E77" s="79" t="s">
        <v>46</v>
      </c>
      <c r="F77" s="104">
        <v>537</v>
      </c>
      <c r="G77" s="140" t="s">
        <v>50</v>
      </c>
      <c r="H77" s="141">
        <v>0</v>
      </c>
      <c r="I77" s="136">
        <v>0</v>
      </c>
      <c r="J77" s="136">
        <v>0</v>
      </c>
      <c r="K77" s="147">
        <v>0</v>
      </c>
      <c r="L77" s="142">
        <v>9.2793600000000018E-2</v>
      </c>
    </row>
    <row r="78" spans="1:12" x14ac:dyDescent="0.3">
      <c r="A78" s="10">
        <v>2023</v>
      </c>
      <c r="B78" s="10" t="s">
        <v>146</v>
      </c>
      <c r="C78" s="79" t="s">
        <v>49</v>
      </c>
      <c r="D78" s="79" t="s">
        <v>257</v>
      </c>
      <c r="E78" s="79" t="s">
        <v>46</v>
      </c>
      <c r="F78" s="104">
        <v>753</v>
      </c>
      <c r="G78" s="140" t="s">
        <v>50</v>
      </c>
      <c r="H78" s="141">
        <v>0</v>
      </c>
      <c r="I78" s="136">
        <v>0</v>
      </c>
      <c r="J78" s="136">
        <v>0</v>
      </c>
      <c r="K78" s="147">
        <v>0</v>
      </c>
      <c r="L78" s="142">
        <v>0.1301184</v>
      </c>
    </row>
    <row r="79" spans="1:12" x14ac:dyDescent="0.3">
      <c r="A79" s="10">
        <v>2023</v>
      </c>
      <c r="B79" s="10" t="s">
        <v>146</v>
      </c>
      <c r="C79" s="79" t="s">
        <v>49</v>
      </c>
      <c r="D79" s="79" t="s">
        <v>258</v>
      </c>
      <c r="E79" s="79" t="s">
        <v>46</v>
      </c>
      <c r="F79" s="104">
        <v>810</v>
      </c>
      <c r="G79" s="140" t="s">
        <v>50</v>
      </c>
      <c r="H79" s="141">
        <v>0</v>
      </c>
      <c r="I79" s="136">
        <v>0</v>
      </c>
      <c r="J79" s="136">
        <v>0</v>
      </c>
      <c r="K79" s="147">
        <v>0</v>
      </c>
      <c r="L79" s="142">
        <v>0.13996800000000001</v>
      </c>
    </row>
    <row r="80" spans="1:12" x14ac:dyDescent="0.3">
      <c r="A80" s="10">
        <v>2023</v>
      </c>
      <c r="B80" s="10" t="s">
        <v>146</v>
      </c>
      <c r="C80" s="79" t="s">
        <v>49</v>
      </c>
      <c r="D80" s="79" t="s">
        <v>259</v>
      </c>
      <c r="E80" s="79" t="s">
        <v>46</v>
      </c>
      <c r="F80" s="104">
        <v>1072</v>
      </c>
      <c r="G80" s="140" t="s">
        <v>50</v>
      </c>
      <c r="H80" s="141">
        <v>0</v>
      </c>
      <c r="I80" s="136">
        <v>0</v>
      </c>
      <c r="J80" s="136">
        <v>0</v>
      </c>
      <c r="K80" s="147">
        <v>0</v>
      </c>
      <c r="L80" s="142">
        <v>0.18524160000000003</v>
      </c>
    </row>
    <row r="81" spans="1:12" x14ac:dyDescent="0.3">
      <c r="A81" s="10">
        <v>2023</v>
      </c>
      <c r="B81" s="10" t="s">
        <v>146</v>
      </c>
      <c r="C81" s="79" t="s">
        <v>49</v>
      </c>
      <c r="D81" s="79" t="s">
        <v>260</v>
      </c>
      <c r="E81" s="79" t="s">
        <v>46</v>
      </c>
      <c r="F81" s="104">
        <v>733</v>
      </c>
      <c r="G81" s="140" t="s">
        <v>50</v>
      </c>
      <c r="H81" s="141">
        <v>0</v>
      </c>
      <c r="I81" s="136">
        <v>0</v>
      </c>
      <c r="J81" s="136">
        <v>0</v>
      </c>
      <c r="K81" s="147">
        <v>0</v>
      </c>
      <c r="L81" s="142">
        <v>0.12666240000000001</v>
      </c>
    </row>
    <row r="82" spans="1:12" x14ac:dyDescent="0.3">
      <c r="A82" s="10">
        <v>2023</v>
      </c>
      <c r="B82" s="10" t="s">
        <v>146</v>
      </c>
      <c r="C82" s="79" t="s">
        <v>49</v>
      </c>
      <c r="D82" s="79" t="s">
        <v>261</v>
      </c>
      <c r="E82" s="79" t="s">
        <v>46</v>
      </c>
      <c r="F82" s="104">
        <v>181</v>
      </c>
      <c r="G82" s="140" t="s">
        <v>50</v>
      </c>
      <c r="H82" s="141">
        <v>0</v>
      </c>
      <c r="I82" s="136">
        <v>0</v>
      </c>
      <c r="J82" s="136">
        <v>0</v>
      </c>
      <c r="K82" s="147">
        <v>0</v>
      </c>
      <c r="L82" s="142">
        <v>3.12768E-2</v>
      </c>
    </row>
    <row r="83" spans="1:12" x14ac:dyDescent="0.3">
      <c r="A83" s="10">
        <v>2023</v>
      </c>
      <c r="B83" s="10" t="s">
        <v>146</v>
      </c>
      <c r="C83" s="79" t="s">
        <v>49</v>
      </c>
      <c r="D83" s="79" t="s">
        <v>262</v>
      </c>
      <c r="E83" s="79" t="s">
        <v>46</v>
      </c>
      <c r="F83" s="104">
        <v>108</v>
      </c>
      <c r="G83" s="140" t="s">
        <v>50</v>
      </c>
      <c r="H83" s="141">
        <v>0</v>
      </c>
      <c r="I83" s="136">
        <v>0</v>
      </c>
      <c r="J83" s="136">
        <v>0</v>
      </c>
      <c r="K83" s="147">
        <v>0</v>
      </c>
      <c r="L83" s="142">
        <v>1.8662400000000003E-2</v>
      </c>
    </row>
    <row r="84" spans="1:12" x14ac:dyDescent="0.3">
      <c r="A84" s="10">
        <v>2023</v>
      </c>
      <c r="B84" s="10" t="s">
        <v>146</v>
      </c>
      <c r="C84" s="79" t="s">
        <v>49</v>
      </c>
      <c r="D84" s="79" t="s">
        <v>263</v>
      </c>
      <c r="E84" s="79" t="s">
        <v>46</v>
      </c>
      <c r="F84" s="104">
        <v>87</v>
      </c>
      <c r="G84" s="140" t="s">
        <v>50</v>
      </c>
      <c r="H84" s="141">
        <v>0</v>
      </c>
      <c r="I84" s="136">
        <v>0</v>
      </c>
      <c r="J84" s="136">
        <v>0</v>
      </c>
      <c r="K84" s="147">
        <v>0</v>
      </c>
      <c r="L84" s="142">
        <v>1.5033599999999999E-2</v>
      </c>
    </row>
    <row r="85" spans="1:12" x14ac:dyDescent="0.3">
      <c r="A85" s="10">
        <v>2023</v>
      </c>
      <c r="B85" s="10" t="s">
        <v>146</v>
      </c>
      <c r="C85" s="79" t="s">
        <v>49</v>
      </c>
      <c r="D85" s="79" t="s">
        <v>264</v>
      </c>
      <c r="E85" s="79" t="s">
        <v>46</v>
      </c>
      <c r="F85" s="104">
        <v>71</v>
      </c>
      <c r="G85" s="140" t="s">
        <v>50</v>
      </c>
      <c r="H85" s="141">
        <v>0</v>
      </c>
      <c r="I85" s="136">
        <v>0</v>
      </c>
      <c r="J85" s="136">
        <v>0</v>
      </c>
      <c r="K85" s="147">
        <v>0</v>
      </c>
      <c r="L85" s="142">
        <v>1.22688E-2</v>
      </c>
    </row>
    <row r="86" spans="1:12" x14ac:dyDescent="0.3">
      <c r="A86" s="10">
        <v>2023</v>
      </c>
      <c r="B86" s="10" t="s">
        <v>146</v>
      </c>
      <c r="C86" s="79" t="s">
        <v>49</v>
      </c>
      <c r="D86" s="79" t="s">
        <v>265</v>
      </c>
      <c r="E86" s="79" t="s">
        <v>46</v>
      </c>
      <c r="F86" s="104">
        <v>92</v>
      </c>
      <c r="G86" s="140" t="s">
        <v>50</v>
      </c>
      <c r="H86" s="141">
        <v>0</v>
      </c>
      <c r="I86" s="136">
        <v>0</v>
      </c>
      <c r="J86" s="136">
        <v>0</v>
      </c>
      <c r="K86" s="147">
        <v>0</v>
      </c>
      <c r="L86" s="142">
        <v>1.5897600000000001E-2</v>
      </c>
    </row>
    <row r="87" spans="1:12" x14ac:dyDescent="0.3">
      <c r="A87" s="10">
        <v>2023</v>
      </c>
      <c r="B87" s="10" t="s">
        <v>146</v>
      </c>
      <c r="C87" s="79" t="s">
        <v>49</v>
      </c>
      <c r="D87" s="79" t="s">
        <v>266</v>
      </c>
      <c r="E87" s="79" t="s">
        <v>46</v>
      </c>
      <c r="F87" s="104">
        <v>44</v>
      </c>
      <c r="G87" s="140" t="s">
        <v>50</v>
      </c>
      <c r="H87" s="141">
        <v>0</v>
      </c>
      <c r="I87" s="136">
        <v>0</v>
      </c>
      <c r="J87" s="136">
        <v>0</v>
      </c>
      <c r="K87" s="147">
        <v>0</v>
      </c>
      <c r="L87" s="142">
        <v>7.6032000000000001E-3</v>
      </c>
    </row>
    <row r="88" spans="1:12" x14ac:dyDescent="0.3">
      <c r="A88" s="10">
        <v>2023</v>
      </c>
      <c r="B88" s="10" t="s">
        <v>146</v>
      </c>
      <c r="C88" s="79" t="s">
        <v>49</v>
      </c>
      <c r="D88" s="79" t="s">
        <v>267</v>
      </c>
      <c r="E88" s="79" t="s">
        <v>46</v>
      </c>
      <c r="F88" s="104">
        <v>43</v>
      </c>
      <c r="G88" s="140" t="s">
        <v>50</v>
      </c>
      <c r="H88" s="141">
        <v>0</v>
      </c>
      <c r="I88" s="136">
        <v>0</v>
      </c>
      <c r="J88" s="136">
        <v>0</v>
      </c>
      <c r="K88" s="147">
        <v>0</v>
      </c>
      <c r="L88" s="142">
        <v>7.4303999999999993E-3</v>
      </c>
    </row>
    <row r="89" spans="1:12" x14ac:dyDescent="0.3">
      <c r="A89" s="10">
        <v>2023</v>
      </c>
      <c r="B89" s="10" t="s">
        <v>146</v>
      </c>
      <c r="C89" s="79" t="s">
        <v>49</v>
      </c>
      <c r="D89" s="79" t="s">
        <v>268</v>
      </c>
      <c r="E89" s="79" t="s">
        <v>46</v>
      </c>
      <c r="F89" s="104">
        <v>40</v>
      </c>
      <c r="G89" s="140" t="s">
        <v>50</v>
      </c>
      <c r="H89" s="141">
        <v>0</v>
      </c>
      <c r="I89" s="136">
        <v>0</v>
      </c>
      <c r="J89" s="136">
        <v>0</v>
      </c>
      <c r="K89" s="147">
        <v>0</v>
      </c>
      <c r="L89" s="142">
        <v>6.9120000000000006E-3</v>
      </c>
    </row>
    <row r="90" spans="1:12" x14ac:dyDescent="0.3">
      <c r="A90" s="10">
        <v>2023</v>
      </c>
      <c r="B90" s="10" t="s">
        <v>146</v>
      </c>
      <c r="C90" s="79" t="s">
        <v>49</v>
      </c>
      <c r="D90" s="79" t="s">
        <v>269</v>
      </c>
      <c r="E90" s="79" t="s">
        <v>46</v>
      </c>
      <c r="F90" s="104">
        <v>47</v>
      </c>
      <c r="G90" s="140" t="s">
        <v>50</v>
      </c>
      <c r="H90" s="141">
        <v>0</v>
      </c>
      <c r="I90" s="136">
        <v>0</v>
      </c>
      <c r="J90" s="136">
        <v>0</v>
      </c>
      <c r="K90" s="147">
        <v>0</v>
      </c>
      <c r="L90" s="142">
        <v>8.1216000000000014E-3</v>
      </c>
    </row>
    <row r="91" spans="1:12" x14ac:dyDescent="0.3">
      <c r="A91" s="10">
        <v>2023</v>
      </c>
      <c r="B91" s="10" t="s">
        <v>146</v>
      </c>
      <c r="C91" s="79" t="s">
        <v>49</v>
      </c>
      <c r="D91" s="79" t="s">
        <v>270</v>
      </c>
      <c r="E91" s="79" t="s">
        <v>46</v>
      </c>
      <c r="F91" s="104">
        <v>11</v>
      </c>
      <c r="G91" s="140" t="s">
        <v>50</v>
      </c>
      <c r="H91" s="141">
        <v>0</v>
      </c>
      <c r="I91" s="136">
        <v>0</v>
      </c>
      <c r="J91" s="136">
        <v>0</v>
      </c>
      <c r="K91" s="147">
        <v>0</v>
      </c>
      <c r="L91" s="142">
        <v>1.9008E-3</v>
      </c>
    </row>
    <row r="92" spans="1:12" x14ac:dyDescent="0.3">
      <c r="A92" s="10">
        <v>2023</v>
      </c>
      <c r="B92" s="10" t="s">
        <v>146</v>
      </c>
      <c r="C92" s="79" t="s">
        <v>49</v>
      </c>
      <c r="D92" s="79" t="s">
        <v>271</v>
      </c>
      <c r="E92" s="79" t="s">
        <v>46</v>
      </c>
      <c r="F92" s="104">
        <v>46</v>
      </c>
      <c r="G92" s="140" t="s">
        <v>50</v>
      </c>
      <c r="H92" s="141">
        <v>0</v>
      </c>
      <c r="I92" s="136">
        <v>0</v>
      </c>
      <c r="J92" s="136">
        <v>0</v>
      </c>
      <c r="K92" s="147">
        <v>0</v>
      </c>
      <c r="L92" s="142">
        <v>7.9488000000000007E-3</v>
      </c>
    </row>
    <row r="93" spans="1:12" x14ac:dyDescent="0.3">
      <c r="A93" s="10">
        <v>2023</v>
      </c>
      <c r="B93" s="10" t="s">
        <v>146</v>
      </c>
      <c r="C93" s="79" t="s">
        <v>49</v>
      </c>
      <c r="D93" s="79" t="s">
        <v>272</v>
      </c>
      <c r="E93" s="79" t="s">
        <v>46</v>
      </c>
      <c r="F93" s="104">
        <v>49</v>
      </c>
      <c r="G93" s="140" t="s">
        <v>50</v>
      </c>
      <c r="H93" s="141">
        <v>0</v>
      </c>
      <c r="I93" s="136">
        <v>0</v>
      </c>
      <c r="J93" s="136">
        <v>0</v>
      </c>
      <c r="K93" s="147">
        <v>0</v>
      </c>
      <c r="L93" s="142">
        <v>8.4671999999999994E-3</v>
      </c>
    </row>
    <row r="94" spans="1:12" x14ac:dyDescent="0.3">
      <c r="A94" s="10">
        <v>2023</v>
      </c>
      <c r="B94" s="10" t="s">
        <v>146</v>
      </c>
      <c r="C94" s="79" t="s">
        <v>49</v>
      </c>
      <c r="D94" s="79" t="s">
        <v>273</v>
      </c>
      <c r="E94" s="79" t="s">
        <v>46</v>
      </c>
      <c r="F94" s="104">
        <v>556</v>
      </c>
      <c r="G94" s="140" t="s">
        <v>50</v>
      </c>
      <c r="H94" s="141">
        <v>0</v>
      </c>
      <c r="I94" s="136">
        <v>0</v>
      </c>
      <c r="J94" s="136">
        <v>0</v>
      </c>
      <c r="K94" s="147">
        <v>0</v>
      </c>
      <c r="L94" s="142">
        <v>9.6076800000000018E-2</v>
      </c>
    </row>
    <row r="95" spans="1:12" x14ac:dyDescent="0.3">
      <c r="A95" s="10">
        <v>2023</v>
      </c>
      <c r="B95" s="10" t="s">
        <v>146</v>
      </c>
      <c r="C95" s="79" t="s">
        <v>49</v>
      </c>
      <c r="D95" s="79" t="s">
        <v>274</v>
      </c>
      <c r="E95" s="79" t="s">
        <v>46</v>
      </c>
      <c r="F95" s="104">
        <v>488</v>
      </c>
      <c r="G95" s="140" t="s">
        <v>50</v>
      </c>
      <c r="H95" s="141">
        <v>0</v>
      </c>
      <c r="I95" s="136">
        <v>0</v>
      </c>
      <c r="J95" s="136">
        <v>0</v>
      </c>
      <c r="K95" s="147">
        <v>0</v>
      </c>
      <c r="L95" s="142">
        <v>8.432640000000001E-2</v>
      </c>
    </row>
    <row r="96" spans="1:12" x14ac:dyDescent="0.3">
      <c r="A96" s="10">
        <v>2023</v>
      </c>
      <c r="B96" s="10" t="s">
        <v>146</v>
      </c>
      <c r="C96" s="79" t="s">
        <v>49</v>
      </c>
      <c r="D96" s="79" t="s">
        <v>275</v>
      </c>
      <c r="E96" s="79" t="s">
        <v>46</v>
      </c>
      <c r="F96" s="104">
        <v>467</v>
      </c>
      <c r="G96" s="140" t="s">
        <v>50</v>
      </c>
      <c r="H96" s="141">
        <v>0</v>
      </c>
      <c r="I96" s="136">
        <v>0</v>
      </c>
      <c r="J96" s="136">
        <v>0</v>
      </c>
      <c r="K96" s="147">
        <v>0</v>
      </c>
      <c r="L96" s="142">
        <v>8.0697600000000008E-2</v>
      </c>
    </row>
    <row r="97" spans="1:12" x14ac:dyDescent="0.3">
      <c r="A97" s="10">
        <v>2023</v>
      </c>
      <c r="B97" s="10" t="s">
        <v>146</v>
      </c>
      <c r="C97" s="79" t="s">
        <v>49</v>
      </c>
      <c r="D97" s="79" t="s">
        <v>276</v>
      </c>
      <c r="E97" s="79" t="s">
        <v>46</v>
      </c>
      <c r="F97" s="104">
        <v>471</v>
      </c>
      <c r="G97" s="140" t="s">
        <v>50</v>
      </c>
      <c r="H97" s="141">
        <v>0</v>
      </c>
      <c r="I97" s="136">
        <v>0</v>
      </c>
      <c r="J97" s="136">
        <v>0</v>
      </c>
      <c r="K97" s="147">
        <v>0</v>
      </c>
      <c r="L97" s="142">
        <v>8.1388799999999997E-2</v>
      </c>
    </row>
    <row r="98" spans="1:12" x14ac:dyDescent="0.3">
      <c r="A98" s="10">
        <v>2023</v>
      </c>
      <c r="B98" s="10" t="s">
        <v>146</v>
      </c>
      <c r="C98" s="79" t="s">
        <v>49</v>
      </c>
      <c r="D98" s="79" t="s">
        <v>277</v>
      </c>
      <c r="E98" s="79" t="s">
        <v>46</v>
      </c>
      <c r="F98" s="104">
        <v>443</v>
      </c>
      <c r="G98" s="140" t="s">
        <v>50</v>
      </c>
      <c r="H98" s="141">
        <v>0</v>
      </c>
      <c r="I98" s="136">
        <v>0</v>
      </c>
      <c r="J98" s="136">
        <v>0</v>
      </c>
      <c r="K98" s="147">
        <v>0</v>
      </c>
      <c r="L98" s="142">
        <v>7.6550400000000005E-2</v>
      </c>
    </row>
    <row r="99" spans="1:12" x14ac:dyDescent="0.3">
      <c r="A99" s="10">
        <v>2023</v>
      </c>
      <c r="B99" s="10" t="s">
        <v>146</v>
      </c>
      <c r="C99" s="79" t="s">
        <v>49</v>
      </c>
      <c r="D99" s="79" t="s">
        <v>278</v>
      </c>
      <c r="E99" s="79" t="s">
        <v>46</v>
      </c>
      <c r="F99" s="104">
        <v>454</v>
      </c>
      <c r="G99" s="140" t="s">
        <v>50</v>
      </c>
      <c r="H99" s="141">
        <v>0</v>
      </c>
      <c r="I99" s="136">
        <v>0</v>
      </c>
      <c r="J99" s="136">
        <v>0</v>
      </c>
      <c r="K99" s="147">
        <v>0</v>
      </c>
      <c r="L99" s="142">
        <v>7.8451200000000013E-2</v>
      </c>
    </row>
    <row r="100" spans="1:12" x14ac:dyDescent="0.3">
      <c r="A100" s="10">
        <v>2023</v>
      </c>
      <c r="B100" s="10" t="s">
        <v>146</v>
      </c>
      <c r="C100" s="79" t="s">
        <v>49</v>
      </c>
      <c r="D100" s="79" t="s">
        <v>279</v>
      </c>
      <c r="E100" s="79" t="s">
        <v>46</v>
      </c>
      <c r="F100" s="104">
        <v>502</v>
      </c>
      <c r="G100" s="140" t="s">
        <v>50</v>
      </c>
      <c r="H100" s="141">
        <v>0</v>
      </c>
      <c r="I100" s="136">
        <v>0</v>
      </c>
      <c r="J100" s="136">
        <v>0</v>
      </c>
      <c r="K100" s="147">
        <v>0</v>
      </c>
      <c r="L100" s="142">
        <v>8.6745600000000006E-2</v>
      </c>
    </row>
    <row r="101" spans="1:12" x14ac:dyDescent="0.3">
      <c r="A101" s="10">
        <v>2023</v>
      </c>
      <c r="B101" s="10" t="s">
        <v>146</v>
      </c>
      <c r="C101" s="79" t="s">
        <v>49</v>
      </c>
      <c r="D101" s="79" t="s">
        <v>280</v>
      </c>
      <c r="E101" s="79" t="s">
        <v>46</v>
      </c>
      <c r="F101" s="104">
        <v>478</v>
      </c>
      <c r="G101" s="140" t="s">
        <v>50</v>
      </c>
      <c r="H101" s="141">
        <v>0</v>
      </c>
      <c r="I101" s="136">
        <v>0</v>
      </c>
      <c r="J101" s="136">
        <v>0</v>
      </c>
      <c r="K101" s="147">
        <v>0</v>
      </c>
      <c r="L101" s="142">
        <v>8.2598400000000002E-2</v>
      </c>
    </row>
    <row r="102" spans="1:12" x14ac:dyDescent="0.3">
      <c r="A102" s="10">
        <v>2023</v>
      </c>
      <c r="B102" s="10" t="s">
        <v>146</v>
      </c>
      <c r="C102" s="79" t="s">
        <v>49</v>
      </c>
      <c r="D102" s="79" t="s">
        <v>281</v>
      </c>
      <c r="E102" s="79" t="s">
        <v>46</v>
      </c>
      <c r="F102" s="104">
        <v>496</v>
      </c>
      <c r="G102" s="140" t="s">
        <v>50</v>
      </c>
      <c r="H102" s="141">
        <v>0</v>
      </c>
      <c r="I102" s="136">
        <v>0</v>
      </c>
      <c r="J102" s="136">
        <v>0</v>
      </c>
      <c r="K102" s="147">
        <v>0</v>
      </c>
      <c r="L102" s="142">
        <v>8.5708800000000016E-2</v>
      </c>
    </row>
    <row r="103" spans="1:12" x14ac:dyDescent="0.3">
      <c r="A103" s="10">
        <v>2023</v>
      </c>
      <c r="B103" s="10" t="s">
        <v>146</v>
      </c>
      <c r="C103" s="79" t="s">
        <v>49</v>
      </c>
      <c r="D103" s="79" t="s">
        <v>282</v>
      </c>
      <c r="E103" s="79" t="s">
        <v>46</v>
      </c>
      <c r="F103" s="104">
        <v>466</v>
      </c>
      <c r="G103" s="140" t="s">
        <v>50</v>
      </c>
      <c r="H103" s="141">
        <v>0</v>
      </c>
      <c r="I103" s="136">
        <v>0</v>
      </c>
      <c r="J103" s="136">
        <v>0</v>
      </c>
      <c r="K103" s="147">
        <v>0</v>
      </c>
      <c r="L103" s="142">
        <v>8.0524800000000007E-2</v>
      </c>
    </row>
    <row r="104" spans="1:12" x14ac:dyDescent="0.3">
      <c r="A104" s="10">
        <v>2023</v>
      </c>
      <c r="B104" s="10" t="s">
        <v>146</v>
      </c>
      <c r="C104" s="79" t="s">
        <v>49</v>
      </c>
      <c r="D104" s="79" t="s">
        <v>283</v>
      </c>
      <c r="E104" s="79" t="s">
        <v>46</v>
      </c>
      <c r="F104" s="104">
        <v>589</v>
      </c>
      <c r="G104" s="140" t="s">
        <v>50</v>
      </c>
      <c r="H104" s="141">
        <v>0</v>
      </c>
      <c r="I104" s="136">
        <v>0</v>
      </c>
      <c r="J104" s="136">
        <v>0</v>
      </c>
      <c r="K104" s="147">
        <v>0</v>
      </c>
      <c r="L104" s="142">
        <v>0.1017792</v>
      </c>
    </row>
    <row r="105" spans="1:12" x14ac:dyDescent="0.3">
      <c r="A105" s="10">
        <v>2023</v>
      </c>
      <c r="B105" s="10" t="s">
        <v>146</v>
      </c>
      <c r="C105" s="79" t="s">
        <v>49</v>
      </c>
      <c r="D105" s="79" t="s">
        <v>284</v>
      </c>
      <c r="E105" s="79" t="s">
        <v>46</v>
      </c>
      <c r="F105" s="104">
        <v>540</v>
      </c>
      <c r="G105" s="140" t="s">
        <v>50</v>
      </c>
      <c r="H105" s="141">
        <v>0</v>
      </c>
      <c r="I105" s="136">
        <v>0</v>
      </c>
      <c r="J105" s="136">
        <v>0</v>
      </c>
      <c r="K105" s="147">
        <v>0</v>
      </c>
      <c r="L105" s="142">
        <v>9.3312000000000006E-2</v>
      </c>
    </row>
    <row r="106" spans="1:12" x14ac:dyDescent="0.3">
      <c r="A106" s="10">
        <v>2023</v>
      </c>
      <c r="B106" s="10" t="s">
        <v>146</v>
      </c>
      <c r="C106" s="79" t="s">
        <v>49</v>
      </c>
      <c r="D106" s="79" t="s">
        <v>285</v>
      </c>
      <c r="E106" s="79" t="s">
        <v>46</v>
      </c>
      <c r="F106" s="104">
        <v>853</v>
      </c>
      <c r="G106" s="140" t="s">
        <v>50</v>
      </c>
      <c r="H106" s="141">
        <v>0</v>
      </c>
      <c r="I106" s="136">
        <v>0</v>
      </c>
      <c r="J106" s="136">
        <v>0</v>
      </c>
      <c r="K106" s="147">
        <v>0</v>
      </c>
      <c r="L106" s="142">
        <v>0.14739840000000001</v>
      </c>
    </row>
    <row r="107" spans="1:12" x14ac:dyDescent="0.3">
      <c r="A107" s="10">
        <v>2023</v>
      </c>
      <c r="B107" s="10" t="s">
        <v>146</v>
      </c>
      <c r="C107" s="79" t="s">
        <v>49</v>
      </c>
      <c r="D107" s="79" t="s">
        <v>286</v>
      </c>
      <c r="E107" s="79" t="s">
        <v>46</v>
      </c>
      <c r="F107" s="104">
        <v>714</v>
      </c>
      <c r="G107" s="140" t="s">
        <v>50</v>
      </c>
      <c r="H107" s="141">
        <v>0</v>
      </c>
      <c r="I107" s="136">
        <v>0</v>
      </c>
      <c r="J107" s="136">
        <v>0</v>
      </c>
      <c r="K107" s="147">
        <v>0</v>
      </c>
      <c r="L107" s="142">
        <v>0.12337919999999999</v>
      </c>
    </row>
    <row r="108" spans="1:12" x14ac:dyDescent="0.3">
      <c r="A108" s="10">
        <v>2023</v>
      </c>
      <c r="B108" s="10" t="s">
        <v>146</v>
      </c>
      <c r="C108" s="79" t="s">
        <v>49</v>
      </c>
      <c r="D108" s="79" t="s">
        <v>287</v>
      </c>
      <c r="E108" s="79" t="s">
        <v>46</v>
      </c>
      <c r="F108" s="104">
        <v>742</v>
      </c>
      <c r="G108" s="140" t="s">
        <v>50</v>
      </c>
      <c r="H108" s="141">
        <v>0</v>
      </c>
      <c r="I108" s="136">
        <v>0</v>
      </c>
      <c r="J108" s="136">
        <v>0</v>
      </c>
      <c r="K108" s="147">
        <v>0</v>
      </c>
      <c r="L108" s="142">
        <v>0.12821760000000001</v>
      </c>
    </row>
    <row r="109" spans="1:12" x14ac:dyDescent="0.3">
      <c r="A109" s="10">
        <v>2023</v>
      </c>
      <c r="B109" s="10" t="s">
        <v>146</v>
      </c>
      <c r="C109" s="79" t="s">
        <v>49</v>
      </c>
      <c r="D109" s="79" t="s">
        <v>288</v>
      </c>
      <c r="E109" s="79" t="s">
        <v>46</v>
      </c>
      <c r="F109" s="104">
        <v>733</v>
      </c>
      <c r="G109" s="140" t="s">
        <v>50</v>
      </c>
      <c r="H109" s="141">
        <v>0</v>
      </c>
      <c r="I109" s="136">
        <v>0</v>
      </c>
      <c r="J109" s="136">
        <v>0</v>
      </c>
      <c r="K109" s="147">
        <v>0</v>
      </c>
      <c r="L109" s="142">
        <v>0.12666240000000001</v>
      </c>
    </row>
    <row r="110" spans="1:12" x14ac:dyDescent="0.3">
      <c r="A110" s="10">
        <v>2023</v>
      </c>
      <c r="B110" s="10" t="s">
        <v>146</v>
      </c>
      <c r="C110" s="79" t="s">
        <v>49</v>
      </c>
      <c r="D110" s="79" t="s">
        <v>289</v>
      </c>
      <c r="E110" s="79" t="s">
        <v>46</v>
      </c>
      <c r="F110" s="104">
        <v>694</v>
      </c>
      <c r="G110" s="140" t="s">
        <v>50</v>
      </c>
      <c r="H110" s="141">
        <v>0</v>
      </c>
      <c r="I110" s="136">
        <v>0</v>
      </c>
      <c r="J110" s="136">
        <v>0</v>
      </c>
      <c r="K110" s="147">
        <v>0</v>
      </c>
      <c r="L110" s="142">
        <v>0.11992319999999999</v>
      </c>
    </row>
    <row r="111" spans="1:12" x14ac:dyDescent="0.3">
      <c r="A111" s="10">
        <v>2023</v>
      </c>
      <c r="B111" s="10" t="s">
        <v>146</v>
      </c>
      <c r="C111" s="79" t="s">
        <v>49</v>
      </c>
      <c r="D111" s="79" t="s">
        <v>290</v>
      </c>
      <c r="E111" s="79" t="s">
        <v>46</v>
      </c>
      <c r="F111" s="104">
        <v>729</v>
      </c>
      <c r="G111" s="140" t="s">
        <v>50</v>
      </c>
      <c r="H111" s="141">
        <v>0</v>
      </c>
      <c r="I111" s="136">
        <v>0</v>
      </c>
      <c r="J111" s="136">
        <v>0</v>
      </c>
      <c r="K111" s="147">
        <v>0</v>
      </c>
      <c r="L111" s="142">
        <v>0.12597120000000001</v>
      </c>
    </row>
    <row r="112" spans="1:12" x14ac:dyDescent="0.3">
      <c r="A112" s="10">
        <v>2023</v>
      </c>
      <c r="B112" s="10" t="s">
        <v>146</v>
      </c>
      <c r="C112" s="79" t="s">
        <v>49</v>
      </c>
      <c r="D112" s="79" t="s">
        <v>291</v>
      </c>
      <c r="E112" s="79" t="s">
        <v>46</v>
      </c>
      <c r="F112" s="104">
        <v>762</v>
      </c>
      <c r="G112" s="140" t="s">
        <v>50</v>
      </c>
      <c r="H112" s="141">
        <v>0</v>
      </c>
      <c r="I112" s="136">
        <v>0</v>
      </c>
      <c r="J112" s="136">
        <v>0</v>
      </c>
      <c r="K112" s="147">
        <v>0</v>
      </c>
      <c r="L112" s="142">
        <v>0.13167360000000003</v>
      </c>
    </row>
    <row r="113" spans="1:12" x14ac:dyDescent="0.3">
      <c r="A113" s="10">
        <v>2023</v>
      </c>
      <c r="B113" s="10" t="s">
        <v>146</v>
      </c>
      <c r="C113" s="79" t="s">
        <v>49</v>
      </c>
      <c r="D113" s="79" t="s">
        <v>292</v>
      </c>
      <c r="E113" s="79" t="s">
        <v>46</v>
      </c>
      <c r="F113" s="104">
        <v>722</v>
      </c>
      <c r="G113" s="140" t="s">
        <v>50</v>
      </c>
      <c r="H113" s="141">
        <v>0</v>
      </c>
      <c r="I113" s="136">
        <v>0</v>
      </c>
      <c r="J113" s="136">
        <v>0</v>
      </c>
      <c r="K113" s="147">
        <v>0</v>
      </c>
      <c r="L113" s="142">
        <v>0.1247616</v>
      </c>
    </row>
    <row r="114" spans="1:12" x14ac:dyDescent="0.3">
      <c r="A114" s="10">
        <v>2023</v>
      </c>
      <c r="B114" s="10" t="s">
        <v>146</v>
      </c>
      <c r="C114" s="79" t="s">
        <v>49</v>
      </c>
      <c r="D114" s="79" t="s">
        <v>293</v>
      </c>
      <c r="E114" s="79" t="s">
        <v>46</v>
      </c>
      <c r="F114" s="104">
        <v>826</v>
      </c>
      <c r="G114" s="140" t="s">
        <v>50</v>
      </c>
      <c r="H114" s="141">
        <v>0</v>
      </c>
      <c r="I114" s="136">
        <v>0</v>
      </c>
      <c r="J114" s="136">
        <v>0</v>
      </c>
      <c r="K114" s="147">
        <v>0</v>
      </c>
      <c r="L114" s="142">
        <v>0.14273279999999999</v>
      </c>
    </row>
    <row r="115" spans="1:12" x14ac:dyDescent="0.3">
      <c r="A115" s="10">
        <v>2023</v>
      </c>
      <c r="B115" s="10" t="s">
        <v>146</v>
      </c>
      <c r="C115" s="79" t="s">
        <v>49</v>
      </c>
      <c r="D115" s="79" t="s">
        <v>294</v>
      </c>
      <c r="E115" s="79" t="s">
        <v>46</v>
      </c>
      <c r="F115" s="104">
        <v>708</v>
      </c>
      <c r="G115" s="140" t="s">
        <v>50</v>
      </c>
      <c r="H115" s="141">
        <v>0</v>
      </c>
      <c r="I115" s="136">
        <v>0</v>
      </c>
      <c r="J115" s="136">
        <v>0</v>
      </c>
      <c r="K115" s="147">
        <v>0</v>
      </c>
      <c r="L115" s="142">
        <v>0.1223424</v>
      </c>
    </row>
    <row r="116" spans="1:12" x14ac:dyDescent="0.3">
      <c r="A116" s="10">
        <v>2023</v>
      </c>
      <c r="B116" s="10" t="s">
        <v>146</v>
      </c>
      <c r="C116" s="79" t="s">
        <v>49</v>
      </c>
      <c r="D116" s="79" t="s">
        <v>295</v>
      </c>
      <c r="E116" s="79" t="s">
        <v>46</v>
      </c>
      <c r="F116" s="104">
        <v>907</v>
      </c>
      <c r="G116" s="140" t="s">
        <v>50</v>
      </c>
      <c r="H116" s="141">
        <v>0</v>
      </c>
      <c r="I116" s="136">
        <v>0</v>
      </c>
      <c r="J116" s="136">
        <v>0</v>
      </c>
      <c r="K116" s="147">
        <v>0</v>
      </c>
      <c r="L116" s="142">
        <v>0.1567296</v>
      </c>
    </row>
    <row r="117" spans="1:12" x14ac:dyDescent="0.3">
      <c r="A117" s="10">
        <v>2023</v>
      </c>
      <c r="B117" s="10" t="s">
        <v>146</v>
      </c>
      <c r="C117" s="79" t="s">
        <v>49</v>
      </c>
      <c r="D117" s="79" t="s">
        <v>296</v>
      </c>
      <c r="E117" s="79" t="s">
        <v>46</v>
      </c>
      <c r="F117" s="104">
        <v>706</v>
      </c>
      <c r="G117" s="140" t="s">
        <v>50</v>
      </c>
      <c r="H117" s="141">
        <v>0</v>
      </c>
      <c r="I117" s="136">
        <v>0</v>
      </c>
      <c r="J117" s="136">
        <v>0</v>
      </c>
      <c r="K117" s="147">
        <v>0</v>
      </c>
      <c r="L117" s="142">
        <v>0.1219968</v>
      </c>
    </row>
    <row r="118" spans="1:12" x14ac:dyDescent="0.3">
      <c r="A118" s="10">
        <v>2023</v>
      </c>
      <c r="B118" s="10" t="s">
        <v>146</v>
      </c>
      <c r="C118" s="79" t="s">
        <v>49</v>
      </c>
      <c r="D118" s="79" t="s">
        <v>297</v>
      </c>
      <c r="E118" s="79" t="s">
        <v>46</v>
      </c>
      <c r="F118" s="104">
        <v>826</v>
      </c>
      <c r="G118" s="140" t="s">
        <v>50</v>
      </c>
      <c r="H118" s="141">
        <v>0</v>
      </c>
      <c r="I118" s="136">
        <v>0</v>
      </c>
      <c r="J118" s="136">
        <v>0</v>
      </c>
      <c r="K118" s="147">
        <v>0</v>
      </c>
      <c r="L118" s="142">
        <v>0.14273279999999999</v>
      </c>
    </row>
    <row r="119" spans="1:12" x14ac:dyDescent="0.3">
      <c r="A119" s="10">
        <v>2023</v>
      </c>
      <c r="B119" s="10" t="s">
        <v>146</v>
      </c>
      <c r="C119" s="79" t="s">
        <v>49</v>
      </c>
      <c r="D119" s="79" t="s">
        <v>298</v>
      </c>
      <c r="E119" s="79" t="s">
        <v>46</v>
      </c>
      <c r="F119" s="104">
        <v>436</v>
      </c>
      <c r="G119" s="140" t="s">
        <v>50</v>
      </c>
      <c r="H119" s="141">
        <v>0</v>
      </c>
      <c r="I119" s="136">
        <v>0</v>
      </c>
      <c r="J119" s="136">
        <v>0</v>
      </c>
      <c r="K119" s="147">
        <v>0</v>
      </c>
      <c r="L119" s="142">
        <v>7.5340799999999999E-2</v>
      </c>
    </row>
    <row r="120" spans="1:12" x14ac:dyDescent="0.3">
      <c r="A120" s="10">
        <v>2023</v>
      </c>
      <c r="B120" s="10" t="s">
        <v>146</v>
      </c>
      <c r="C120" s="79" t="s">
        <v>49</v>
      </c>
      <c r="D120" s="79" t="s">
        <v>299</v>
      </c>
      <c r="E120" s="79" t="s">
        <v>46</v>
      </c>
      <c r="F120" s="104">
        <v>333</v>
      </c>
      <c r="G120" s="140" t="s">
        <v>50</v>
      </c>
      <c r="H120" s="141">
        <v>0</v>
      </c>
      <c r="I120" s="136">
        <v>0</v>
      </c>
      <c r="J120" s="136">
        <v>0</v>
      </c>
      <c r="K120" s="147">
        <v>0</v>
      </c>
      <c r="L120" s="142">
        <v>5.7542400000000007E-2</v>
      </c>
    </row>
    <row r="121" spans="1:12" x14ac:dyDescent="0.3">
      <c r="A121" s="10">
        <v>2023</v>
      </c>
      <c r="B121" s="10" t="s">
        <v>146</v>
      </c>
      <c r="C121" s="79" t="s">
        <v>49</v>
      </c>
      <c r="D121" s="79" t="s">
        <v>300</v>
      </c>
      <c r="E121" s="79" t="s">
        <v>46</v>
      </c>
      <c r="F121" s="104">
        <v>206</v>
      </c>
      <c r="G121" s="140" t="s">
        <v>50</v>
      </c>
      <c r="H121" s="141">
        <v>0</v>
      </c>
      <c r="I121" s="136">
        <v>0</v>
      </c>
      <c r="J121" s="136">
        <v>0</v>
      </c>
      <c r="K121" s="147">
        <v>0</v>
      </c>
      <c r="L121" s="142">
        <v>3.5596800000000005E-2</v>
      </c>
    </row>
    <row r="122" spans="1:12" x14ac:dyDescent="0.3">
      <c r="A122" s="10">
        <v>2023</v>
      </c>
      <c r="B122" s="10" t="s">
        <v>146</v>
      </c>
      <c r="C122" s="79" t="s">
        <v>49</v>
      </c>
      <c r="D122" s="79" t="s">
        <v>301</v>
      </c>
      <c r="E122" s="79" t="s">
        <v>46</v>
      </c>
      <c r="F122" s="104">
        <v>190</v>
      </c>
      <c r="G122" s="140" t="s">
        <v>50</v>
      </c>
      <c r="H122" s="141">
        <v>0</v>
      </c>
      <c r="I122" s="136">
        <v>0</v>
      </c>
      <c r="J122" s="136">
        <v>0</v>
      </c>
      <c r="K122" s="147">
        <v>0</v>
      </c>
      <c r="L122" s="142">
        <v>3.2832E-2</v>
      </c>
    </row>
    <row r="123" spans="1:12" x14ac:dyDescent="0.3">
      <c r="A123" s="10">
        <v>2023</v>
      </c>
      <c r="B123" s="10" t="s">
        <v>146</v>
      </c>
      <c r="C123" s="79" t="s">
        <v>49</v>
      </c>
      <c r="D123" s="79" t="s">
        <v>302</v>
      </c>
      <c r="E123" s="79" t="s">
        <v>46</v>
      </c>
      <c r="F123" s="104">
        <v>186</v>
      </c>
      <c r="G123" s="140" t="s">
        <v>50</v>
      </c>
      <c r="H123" s="141">
        <v>0</v>
      </c>
      <c r="I123" s="136">
        <v>0</v>
      </c>
      <c r="J123" s="136">
        <v>0</v>
      </c>
      <c r="K123" s="147">
        <v>0</v>
      </c>
      <c r="L123" s="142">
        <v>3.2140799999999997E-2</v>
      </c>
    </row>
    <row r="124" spans="1:12" x14ac:dyDescent="0.3">
      <c r="A124" s="10">
        <v>2023</v>
      </c>
      <c r="B124" s="10" t="s">
        <v>146</v>
      </c>
      <c r="C124" s="79" t="s">
        <v>49</v>
      </c>
      <c r="D124" s="79" t="s">
        <v>303</v>
      </c>
      <c r="E124" s="79" t="s">
        <v>46</v>
      </c>
      <c r="F124" s="104">
        <v>205</v>
      </c>
      <c r="G124" s="140" t="s">
        <v>50</v>
      </c>
      <c r="H124" s="141">
        <v>0</v>
      </c>
      <c r="I124" s="136">
        <v>0</v>
      </c>
      <c r="J124" s="136">
        <v>0</v>
      </c>
      <c r="K124" s="147">
        <v>0</v>
      </c>
      <c r="L124" s="142">
        <v>3.5423999999999997E-2</v>
      </c>
    </row>
    <row r="125" spans="1:12" x14ac:dyDescent="0.3">
      <c r="A125" s="10">
        <v>2023</v>
      </c>
      <c r="B125" s="10" t="s">
        <v>146</v>
      </c>
      <c r="C125" s="79" t="s">
        <v>49</v>
      </c>
      <c r="D125" s="79" t="s">
        <v>304</v>
      </c>
      <c r="E125" s="79" t="s">
        <v>46</v>
      </c>
      <c r="F125" s="104">
        <v>187</v>
      </c>
      <c r="G125" s="140" t="s">
        <v>50</v>
      </c>
      <c r="H125" s="141">
        <v>0</v>
      </c>
      <c r="I125" s="136">
        <v>0</v>
      </c>
      <c r="J125" s="136">
        <v>0</v>
      </c>
      <c r="K125" s="147">
        <v>0</v>
      </c>
      <c r="L125" s="142">
        <v>3.2313599999999998E-2</v>
      </c>
    </row>
    <row r="126" spans="1:12" x14ac:dyDescent="0.3">
      <c r="A126" s="10">
        <v>2023</v>
      </c>
      <c r="B126" s="10" t="s">
        <v>146</v>
      </c>
      <c r="C126" s="79" t="s">
        <v>49</v>
      </c>
      <c r="D126" s="79" t="s">
        <v>305</v>
      </c>
      <c r="E126" s="79" t="s">
        <v>46</v>
      </c>
      <c r="F126" s="104">
        <v>209</v>
      </c>
      <c r="G126" s="140" t="s">
        <v>50</v>
      </c>
      <c r="H126" s="141">
        <v>0</v>
      </c>
      <c r="I126" s="136">
        <v>0</v>
      </c>
      <c r="J126" s="136">
        <v>0</v>
      </c>
      <c r="K126" s="147">
        <v>0</v>
      </c>
      <c r="L126" s="142">
        <v>3.61152E-2</v>
      </c>
    </row>
    <row r="127" spans="1:12" x14ac:dyDescent="0.3">
      <c r="A127" s="10">
        <v>2023</v>
      </c>
      <c r="B127" s="10" t="s">
        <v>146</v>
      </c>
      <c r="C127" s="79" t="s">
        <v>49</v>
      </c>
      <c r="D127" s="79" t="s">
        <v>306</v>
      </c>
      <c r="E127" s="79" t="s">
        <v>46</v>
      </c>
      <c r="F127" s="104">
        <v>187</v>
      </c>
      <c r="G127" s="140" t="s">
        <v>50</v>
      </c>
      <c r="H127" s="141">
        <v>0</v>
      </c>
      <c r="I127" s="136">
        <v>0</v>
      </c>
      <c r="J127" s="136">
        <v>0</v>
      </c>
      <c r="K127" s="147">
        <v>0</v>
      </c>
      <c r="L127" s="142">
        <v>3.2313599999999998E-2</v>
      </c>
    </row>
    <row r="128" spans="1:12" x14ac:dyDescent="0.3">
      <c r="A128" s="10">
        <v>2023</v>
      </c>
      <c r="B128" s="10" t="s">
        <v>146</v>
      </c>
      <c r="C128" s="79" t="s">
        <v>49</v>
      </c>
      <c r="D128" s="79" t="s">
        <v>307</v>
      </c>
      <c r="E128" s="79" t="s">
        <v>46</v>
      </c>
      <c r="F128" s="104">
        <v>218</v>
      </c>
      <c r="G128" s="140" t="s">
        <v>50</v>
      </c>
      <c r="H128" s="141">
        <v>0</v>
      </c>
      <c r="I128" s="136">
        <v>0</v>
      </c>
      <c r="J128" s="136">
        <v>0</v>
      </c>
      <c r="K128" s="147">
        <v>0</v>
      </c>
      <c r="L128" s="142">
        <v>3.76704E-2</v>
      </c>
    </row>
    <row r="129" spans="1:12" x14ac:dyDescent="0.3">
      <c r="A129" s="10">
        <v>2023</v>
      </c>
      <c r="B129" s="10" t="s">
        <v>146</v>
      </c>
      <c r="C129" s="79" t="s">
        <v>49</v>
      </c>
      <c r="D129" s="79" t="s">
        <v>308</v>
      </c>
      <c r="E129" s="79" t="s">
        <v>46</v>
      </c>
      <c r="F129" s="104">
        <v>198</v>
      </c>
      <c r="G129" s="140" t="s">
        <v>50</v>
      </c>
      <c r="H129" s="141">
        <v>0</v>
      </c>
      <c r="I129" s="136">
        <v>0</v>
      </c>
      <c r="J129" s="136">
        <v>0</v>
      </c>
      <c r="K129" s="147">
        <v>0</v>
      </c>
      <c r="L129" s="142">
        <v>3.4214400000000006E-2</v>
      </c>
    </row>
    <row r="130" spans="1:12" x14ac:dyDescent="0.3">
      <c r="A130" s="10">
        <v>2023</v>
      </c>
      <c r="B130" s="10" t="s">
        <v>146</v>
      </c>
      <c r="C130" s="79" t="s">
        <v>49</v>
      </c>
      <c r="D130" s="79" t="s">
        <v>309</v>
      </c>
      <c r="E130" s="79" t="s">
        <v>46</v>
      </c>
      <c r="F130" s="104">
        <v>149</v>
      </c>
      <c r="G130" s="140" t="s">
        <v>50</v>
      </c>
      <c r="H130" s="141">
        <v>0</v>
      </c>
      <c r="I130" s="136">
        <v>0</v>
      </c>
      <c r="J130" s="136">
        <v>0</v>
      </c>
      <c r="K130" s="147">
        <v>0</v>
      </c>
      <c r="L130" s="142">
        <v>2.5747199999999998E-2</v>
      </c>
    </row>
    <row r="131" spans="1:12" x14ac:dyDescent="0.3">
      <c r="A131" s="10">
        <v>2023</v>
      </c>
      <c r="B131" s="10" t="s">
        <v>146</v>
      </c>
      <c r="C131" s="79" t="s">
        <v>49</v>
      </c>
      <c r="D131" s="79" t="s">
        <v>310</v>
      </c>
      <c r="E131" s="79" t="s">
        <v>46</v>
      </c>
      <c r="F131" s="104">
        <v>139</v>
      </c>
      <c r="G131" s="140" t="s">
        <v>50</v>
      </c>
      <c r="H131" s="141">
        <v>0</v>
      </c>
      <c r="I131" s="136">
        <v>0</v>
      </c>
      <c r="J131" s="136">
        <v>0</v>
      </c>
      <c r="K131" s="147">
        <v>0</v>
      </c>
      <c r="L131" s="142">
        <v>2.4019200000000004E-2</v>
      </c>
    </row>
    <row r="132" spans="1:12" x14ac:dyDescent="0.3">
      <c r="A132" s="10">
        <v>2023</v>
      </c>
      <c r="B132" s="10" t="s">
        <v>146</v>
      </c>
      <c r="C132" s="79" t="s">
        <v>49</v>
      </c>
      <c r="D132" s="79" t="s">
        <v>311</v>
      </c>
      <c r="E132" s="79" t="s">
        <v>46</v>
      </c>
      <c r="F132" s="104">
        <v>143</v>
      </c>
      <c r="G132" s="140" t="s">
        <v>50</v>
      </c>
      <c r="H132" s="141">
        <v>0</v>
      </c>
      <c r="I132" s="136">
        <v>0</v>
      </c>
      <c r="J132" s="136">
        <v>0</v>
      </c>
      <c r="K132" s="147">
        <v>0</v>
      </c>
      <c r="L132" s="142">
        <v>2.47104E-2</v>
      </c>
    </row>
    <row r="133" spans="1:12" x14ac:dyDescent="0.3">
      <c r="A133" s="10">
        <v>2023</v>
      </c>
      <c r="B133" s="10" t="s">
        <v>146</v>
      </c>
      <c r="C133" s="79" t="s">
        <v>49</v>
      </c>
      <c r="D133" s="79" t="s">
        <v>312</v>
      </c>
      <c r="E133" s="79" t="s">
        <v>46</v>
      </c>
      <c r="F133" s="104">
        <v>135</v>
      </c>
      <c r="G133" s="140" t="s">
        <v>50</v>
      </c>
      <c r="H133" s="141">
        <v>0</v>
      </c>
      <c r="I133" s="136">
        <v>0</v>
      </c>
      <c r="J133" s="136">
        <v>0</v>
      </c>
      <c r="K133" s="147">
        <v>0</v>
      </c>
      <c r="L133" s="142">
        <v>2.3328000000000002E-2</v>
      </c>
    </row>
    <row r="134" spans="1:12" x14ac:dyDescent="0.3">
      <c r="A134" s="10">
        <v>2023</v>
      </c>
      <c r="B134" s="10" t="s">
        <v>146</v>
      </c>
      <c r="C134" s="79" t="s">
        <v>49</v>
      </c>
      <c r="D134" s="79" t="s">
        <v>313</v>
      </c>
      <c r="E134" s="79" t="s">
        <v>46</v>
      </c>
      <c r="F134" s="104">
        <v>141</v>
      </c>
      <c r="G134" s="140" t="s">
        <v>50</v>
      </c>
      <c r="H134" s="141">
        <v>0</v>
      </c>
      <c r="I134" s="136">
        <v>0</v>
      </c>
      <c r="J134" s="136">
        <v>0</v>
      </c>
      <c r="K134" s="147">
        <v>0</v>
      </c>
      <c r="L134" s="142">
        <v>2.4364799999999999E-2</v>
      </c>
    </row>
    <row r="135" spans="1:12" x14ac:dyDescent="0.3">
      <c r="A135" s="10">
        <v>2023</v>
      </c>
      <c r="B135" s="10" t="s">
        <v>146</v>
      </c>
      <c r="C135" s="79" t="s">
        <v>49</v>
      </c>
      <c r="D135" s="79" t="s">
        <v>314</v>
      </c>
      <c r="E135" s="79" t="s">
        <v>46</v>
      </c>
      <c r="F135" s="104">
        <v>132</v>
      </c>
      <c r="G135" s="140" t="s">
        <v>50</v>
      </c>
      <c r="H135" s="141">
        <v>0</v>
      </c>
      <c r="I135" s="136">
        <v>0</v>
      </c>
      <c r="J135" s="136">
        <v>0</v>
      </c>
      <c r="K135" s="147">
        <v>0</v>
      </c>
      <c r="L135" s="142">
        <v>2.2809600000000003E-2</v>
      </c>
    </row>
    <row r="136" spans="1:12" x14ac:dyDescent="0.3">
      <c r="A136" s="10">
        <v>2023</v>
      </c>
      <c r="B136" s="10" t="s">
        <v>146</v>
      </c>
      <c r="C136" s="79" t="s">
        <v>49</v>
      </c>
      <c r="D136" s="79" t="s">
        <v>315</v>
      </c>
      <c r="E136" s="79" t="s">
        <v>46</v>
      </c>
      <c r="F136" s="104">
        <v>131</v>
      </c>
      <c r="G136" s="140" t="s">
        <v>50</v>
      </c>
      <c r="H136" s="141">
        <v>0</v>
      </c>
      <c r="I136" s="136">
        <v>0</v>
      </c>
      <c r="J136" s="136">
        <v>0</v>
      </c>
      <c r="K136" s="147">
        <v>0</v>
      </c>
      <c r="L136" s="142">
        <v>2.2636800000000002E-2</v>
      </c>
    </row>
    <row r="137" spans="1:12" x14ac:dyDescent="0.3">
      <c r="A137" s="10">
        <v>2023</v>
      </c>
      <c r="B137" s="10" t="s">
        <v>146</v>
      </c>
      <c r="C137" s="79" t="s">
        <v>49</v>
      </c>
      <c r="D137" s="79" t="s">
        <v>316</v>
      </c>
      <c r="E137" s="79" t="s">
        <v>46</v>
      </c>
      <c r="F137" s="104">
        <v>119</v>
      </c>
      <c r="G137" s="140" t="s">
        <v>50</v>
      </c>
      <c r="H137" s="141">
        <v>0</v>
      </c>
      <c r="I137" s="136">
        <v>0</v>
      </c>
      <c r="J137" s="136">
        <v>0</v>
      </c>
      <c r="K137" s="147">
        <v>0</v>
      </c>
      <c r="L137" s="142">
        <v>2.05632E-2</v>
      </c>
    </row>
    <row r="138" spans="1:12" x14ac:dyDescent="0.3">
      <c r="A138" s="10">
        <v>2023</v>
      </c>
      <c r="B138" s="10" t="s">
        <v>146</v>
      </c>
      <c r="C138" s="79" t="s">
        <v>49</v>
      </c>
      <c r="D138" s="79" t="s">
        <v>317</v>
      </c>
      <c r="E138" s="79" t="s">
        <v>46</v>
      </c>
      <c r="F138" s="104">
        <v>121</v>
      </c>
      <c r="G138" s="140" t="s">
        <v>50</v>
      </c>
      <c r="H138" s="141">
        <v>0</v>
      </c>
      <c r="I138" s="136">
        <v>0</v>
      </c>
      <c r="J138" s="136">
        <v>0</v>
      </c>
      <c r="K138" s="147">
        <v>0</v>
      </c>
      <c r="L138" s="142">
        <v>2.0908799999999998E-2</v>
      </c>
    </row>
    <row r="139" spans="1:12" x14ac:dyDescent="0.3">
      <c r="A139" s="10">
        <v>2023</v>
      </c>
      <c r="B139" s="10" t="s">
        <v>146</v>
      </c>
      <c r="C139" s="79" t="s">
        <v>49</v>
      </c>
      <c r="D139" s="79" t="s">
        <v>318</v>
      </c>
      <c r="E139" s="79" t="s">
        <v>46</v>
      </c>
      <c r="F139" s="104">
        <v>112</v>
      </c>
      <c r="G139" s="140" t="s">
        <v>50</v>
      </c>
      <c r="H139" s="141">
        <v>0</v>
      </c>
      <c r="I139" s="136">
        <v>0</v>
      </c>
      <c r="J139" s="136">
        <v>0</v>
      </c>
      <c r="K139" s="147">
        <v>0</v>
      </c>
      <c r="L139" s="142">
        <v>1.9353599999999999E-2</v>
      </c>
    </row>
    <row r="140" spans="1:12" x14ac:dyDescent="0.3">
      <c r="A140" s="10">
        <v>2023</v>
      </c>
      <c r="B140" s="10" t="s">
        <v>146</v>
      </c>
      <c r="C140" s="79" t="s">
        <v>49</v>
      </c>
      <c r="D140" s="79" t="s">
        <v>319</v>
      </c>
      <c r="E140" s="79" t="s">
        <v>46</v>
      </c>
      <c r="F140" s="104">
        <v>121</v>
      </c>
      <c r="G140" s="140" t="s">
        <v>50</v>
      </c>
      <c r="H140" s="141">
        <v>0</v>
      </c>
      <c r="I140" s="136">
        <v>0</v>
      </c>
      <c r="J140" s="136">
        <v>0</v>
      </c>
      <c r="K140" s="147">
        <v>0</v>
      </c>
      <c r="L140" s="142">
        <v>2.0908799999999998E-2</v>
      </c>
    </row>
    <row r="141" spans="1:12" x14ac:dyDescent="0.3">
      <c r="A141" s="10">
        <v>2023</v>
      </c>
      <c r="B141" s="10" t="s">
        <v>146</v>
      </c>
      <c r="C141" s="79" t="s">
        <v>49</v>
      </c>
      <c r="D141" s="79" t="s">
        <v>320</v>
      </c>
      <c r="E141" s="79" t="s">
        <v>46</v>
      </c>
      <c r="F141" s="104">
        <v>119</v>
      </c>
      <c r="G141" s="140" t="s">
        <v>50</v>
      </c>
      <c r="H141" s="141">
        <v>0</v>
      </c>
      <c r="I141" s="136">
        <v>0</v>
      </c>
      <c r="J141" s="136">
        <v>0</v>
      </c>
      <c r="K141" s="147">
        <v>0</v>
      </c>
      <c r="L141" s="142">
        <v>2.05632E-2</v>
      </c>
    </row>
    <row r="142" spans="1:12" x14ac:dyDescent="0.3">
      <c r="A142" s="10">
        <v>2023</v>
      </c>
      <c r="B142" s="10" t="s">
        <v>146</v>
      </c>
      <c r="C142" s="79" t="s">
        <v>49</v>
      </c>
      <c r="D142" s="79" t="s">
        <v>237</v>
      </c>
      <c r="E142" s="79" t="s">
        <v>20</v>
      </c>
      <c r="F142" s="104">
        <v>1327</v>
      </c>
      <c r="G142" s="140" t="s">
        <v>50</v>
      </c>
      <c r="H142" s="141">
        <v>0</v>
      </c>
      <c r="I142" s="136">
        <v>0</v>
      </c>
      <c r="J142" s="136">
        <v>0</v>
      </c>
      <c r="K142" s="147">
        <v>0</v>
      </c>
      <c r="L142" s="142">
        <v>0.2293056</v>
      </c>
    </row>
    <row r="143" spans="1:12" x14ac:dyDescent="0.3">
      <c r="A143" s="10">
        <v>2023</v>
      </c>
      <c r="B143" s="10" t="s">
        <v>146</v>
      </c>
      <c r="C143" s="79" t="s">
        <v>49</v>
      </c>
      <c r="D143" s="79" t="s">
        <v>238</v>
      </c>
      <c r="E143" s="79" t="s">
        <v>20</v>
      </c>
      <c r="F143" s="104">
        <v>1310</v>
      </c>
      <c r="G143" s="140" t="s">
        <v>50</v>
      </c>
      <c r="H143" s="141">
        <v>0</v>
      </c>
      <c r="I143" s="136">
        <v>0</v>
      </c>
      <c r="J143" s="136">
        <v>0</v>
      </c>
      <c r="K143" s="147">
        <v>0</v>
      </c>
      <c r="L143" s="142">
        <v>0.22636800000000001</v>
      </c>
    </row>
    <row r="144" spans="1:12" x14ac:dyDescent="0.3">
      <c r="A144" s="10">
        <v>2023</v>
      </c>
      <c r="B144" s="10" t="s">
        <v>146</v>
      </c>
      <c r="C144" s="79" t="s">
        <v>49</v>
      </c>
      <c r="D144" s="79" t="s">
        <v>239</v>
      </c>
      <c r="E144" s="79" t="s">
        <v>20</v>
      </c>
      <c r="F144" s="104">
        <v>1501</v>
      </c>
      <c r="G144" s="140" t="s">
        <v>50</v>
      </c>
      <c r="H144" s="141">
        <v>0</v>
      </c>
      <c r="I144" s="136">
        <v>0</v>
      </c>
      <c r="J144" s="136">
        <v>0</v>
      </c>
      <c r="K144" s="147">
        <v>0</v>
      </c>
      <c r="L144" s="142">
        <v>0.25937279999999996</v>
      </c>
    </row>
    <row r="145" spans="1:12" x14ac:dyDescent="0.3">
      <c r="A145" s="10">
        <v>2023</v>
      </c>
      <c r="B145" s="10" t="s">
        <v>146</v>
      </c>
      <c r="C145" s="79" t="s">
        <v>49</v>
      </c>
      <c r="D145" s="79" t="s">
        <v>240</v>
      </c>
      <c r="E145" s="79" t="s">
        <v>20</v>
      </c>
      <c r="F145" s="104">
        <v>2129</v>
      </c>
      <c r="G145" s="140" t="s">
        <v>50</v>
      </c>
      <c r="H145" s="141">
        <v>0</v>
      </c>
      <c r="I145" s="136">
        <v>0</v>
      </c>
      <c r="J145" s="136">
        <v>0</v>
      </c>
      <c r="K145" s="147">
        <v>0</v>
      </c>
      <c r="L145" s="142">
        <v>0.36789120000000003</v>
      </c>
    </row>
    <row r="146" spans="1:12" x14ac:dyDescent="0.3">
      <c r="A146" s="10">
        <v>2023</v>
      </c>
      <c r="B146" s="10" t="s">
        <v>146</v>
      </c>
      <c r="C146" s="79" t="s">
        <v>49</v>
      </c>
      <c r="D146" s="79" t="s">
        <v>241</v>
      </c>
      <c r="E146" s="79" t="s">
        <v>20</v>
      </c>
      <c r="F146" s="104">
        <v>2327</v>
      </c>
      <c r="G146" s="140" t="s">
        <v>50</v>
      </c>
      <c r="H146" s="141">
        <v>0</v>
      </c>
      <c r="I146" s="136">
        <v>0</v>
      </c>
      <c r="J146" s="136">
        <v>0</v>
      </c>
      <c r="K146" s="147">
        <v>0</v>
      </c>
      <c r="L146" s="142">
        <v>0.40210560000000006</v>
      </c>
    </row>
    <row r="147" spans="1:12" x14ac:dyDescent="0.3">
      <c r="A147" s="10">
        <v>2023</v>
      </c>
      <c r="B147" s="10" t="s">
        <v>146</v>
      </c>
      <c r="C147" s="79" t="s">
        <v>49</v>
      </c>
      <c r="D147" s="79" t="s">
        <v>242</v>
      </c>
      <c r="E147" s="79" t="s">
        <v>20</v>
      </c>
      <c r="F147" s="104">
        <v>2142</v>
      </c>
      <c r="G147" s="140" t="s">
        <v>50</v>
      </c>
      <c r="H147" s="141">
        <v>0</v>
      </c>
      <c r="I147" s="136">
        <v>0</v>
      </c>
      <c r="J147" s="136">
        <v>0</v>
      </c>
      <c r="K147" s="147">
        <v>0</v>
      </c>
      <c r="L147" s="142">
        <v>0.37013760000000001</v>
      </c>
    </row>
    <row r="148" spans="1:12" x14ac:dyDescent="0.3">
      <c r="A148" s="10">
        <v>2023</v>
      </c>
      <c r="B148" s="10" t="s">
        <v>146</v>
      </c>
      <c r="C148" s="79" t="s">
        <v>49</v>
      </c>
      <c r="D148" s="79" t="s">
        <v>243</v>
      </c>
      <c r="E148" s="79" t="s">
        <v>20</v>
      </c>
      <c r="F148" s="104">
        <v>1994</v>
      </c>
      <c r="G148" s="140" t="s">
        <v>50</v>
      </c>
      <c r="H148" s="141">
        <v>0</v>
      </c>
      <c r="I148" s="136">
        <v>0</v>
      </c>
      <c r="J148" s="136">
        <v>0</v>
      </c>
      <c r="K148" s="147">
        <v>0</v>
      </c>
      <c r="L148" s="142">
        <v>0.34456320000000001</v>
      </c>
    </row>
    <row r="149" spans="1:12" x14ac:dyDescent="0.3">
      <c r="A149" s="10">
        <v>2023</v>
      </c>
      <c r="B149" s="10" t="s">
        <v>146</v>
      </c>
      <c r="C149" s="79" t="s">
        <v>49</v>
      </c>
      <c r="D149" s="79" t="s">
        <v>244</v>
      </c>
      <c r="E149" s="79" t="s">
        <v>20</v>
      </c>
      <c r="F149" s="104">
        <v>1946</v>
      </c>
      <c r="G149" s="140" t="s">
        <v>50</v>
      </c>
      <c r="H149" s="141">
        <v>0</v>
      </c>
      <c r="I149" s="136">
        <v>0</v>
      </c>
      <c r="J149" s="136">
        <v>0</v>
      </c>
      <c r="K149" s="147">
        <v>0</v>
      </c>
      <c r="L149" s="142">
        <v>0.33626879999999998</v>
      </c>
    </row>
    <row r="150" spans="1:12" x14ac:dyDescent="0.3">
      <c r="A150" s="10">
        <v>2023</v>
      </c>
      <c r="B150" s="10" t="s">
        <v>146</v>
      </c>
      <c r="C150" s="79" t="s">
        <v>49</v>
      </c>
      <c r="D150" s="79" t="s">
        <v>245</v>
      </c>
      <c r="E150" s="79" t="s">
        <v>20</v>
      </c>
      <c r="F150" s="104">
        <v>2229</v>
      </c>
      <c r="G150" s="140" t="s">
        <v>50</v>
      </c>
      <c r="H150" s="141">
        <v>0</v>
      </c>
      <c r="I150" s="136">
        <v>0</v>
      </c>
      <c r="J150" s="136">
        <v>0</v>
      </c>
      <c r="K150" s="147">
        <v>0</v>
      </c>
      <c r="L150" s="142">
        <v>0.38517120000000005</v>
      </c>
    </row>
    <row r="151" spans="1:12" x14ac:dyDescent="0.3">
      <c r="A151" s="10">
        <v>2023</v>
      </c>
      <c r="B151" s="10" t="s">
        <v>146</v>
      </c>
      <c r="C151" s="79" t="s">
        <v>49</v>
      </c>
      <c r="D151" s="79" t="s">
        <v>246</v>
      </c>
      <c r="E151" s="79" t="s">
        <v>20</v>
      </c>
      <c r="F151" s="104">
        <v>2251</v>
      </c>
      <c r="G151" s="140" t="s">
        <v>50</v>
      </c>
      <c r="H151" s="141">
        <v>0</v>
      </c>
      <c r="I151" s="136">
        <v>0</v>
      </c>
      <c r="J151" s="136">
        <v>0</v>
      </c>
      <c r="K151" s="147">
        <v>0</v>
      </c>
      <c r="L151" s="142">
        <v>0.38897280000000001</v>
      </c>
    </row>
    <row r="152" spans="1:12" x14ac:dyDescent="0.3">
      <c r="A152" s="10">
        <v>2023</v>
      </c>
      <c r="B152" s="10" t="s">
        <v>146</v>
      </c>
      <c r="C152" s="79" t="s">
        <v>49</v>
      </c>
      <c r="D152" s="79" t="s">
        <v>247</v>
      </c>
      <c r="E152" s="79" t="s">
        <v>20</v>
      </c>
      <c r="F152" s="104">
        <v>2432</v>
      </c>
      <c r="G152" s="140" t="s">
        <v>50</v>
      </c>
      <c r="H152" s="141">
        <v>0</v>
      </c>
      <c r="I152" s="136">
        <v>0</v>
      </c>
      <c r="J152" s="136">
        <v>0</v>
      </c>
      <c r="K152" s="147">
        <v>0</v>
      </c>
      <c r="L152" s="142">
        <v>0.42024960000000006</v>
      </c>
    </row>
    <row r="153" spans="1:12" x14ac:dyDescent="0.3">
      <c r="A153" s="10">
        <v>2023</v>
      </c>
      <c r="B153" s="10" t="s">
        <v>146</v>
      </c>
      <c r="C153" s="79" t="s">
        <v>49</v>
      </c>
      <c r="D153" s="79" t="s">
        <v>248</v>
      </c>
      <c r="E153" s="79" t="s">
        <v>20</v>
      </c>
      <c r="F153" s="104">
        <v>1701</v>
      </c>
      <c r="G153" s="140" t="s">
        <v>50</v>
      </c>
      <c r="H153" s="141">
        <v>0</v>
      </c>
      <c r="I153" s="136">
        <v>0</v>
      </c>
      <c r="J153" s="136">
        <v>0</v>
      </c>
      <c r="K153" s="147">
        <v>0</v>
      </c>
      <c r="L153" s="142">
        <v>0.29393280000000005</v>
      </c>
    </row>
    <row r="154" spans="1:12" ht="16" customHeight="1" x14ac:dyDescent="0.3">
      <c r="A154" s="10">
        <v>2023</v>
      </c>
      <c r="B154" s="10" t="s">
        <v>147</v>
      </c>
      <c r="C154" s="79" t="s">
        <v>54</v>
      </c>
      <c r="D154" s="79" t="s">
        <v>53</v>
      </c>
      <c r="E154" s="82"/>
      <c r="F154" s="104">
        <v>0.99419360000000001</v>
      </c>
      <c r="G154" s="109" t="s">
        <v>200</v>
      </c>
      <c r="H154" s="141">
        <v>7.3013577983999994E-3</v>
      </c>
      <c r="I154" s="136">
        <v>2.1474581760000001E-4</v>
      </c>
      <c r="J154" s="136">
        <v>1.4316387840000001E-4</v>
      </c>
      <c r="K154" s="147">
        <v>0</v>
      </c>
      <c r="L154" s="146">
        <v>5.2784521966079995E-2</v>
      </c>
    </row>
    <row r="155" spans="1:12" x14ac:dyDescent="0.3">
      <c r="A155" s="10">
        <v>2023</v>
      </c>
      <c r="B155" s="10" t="s">
        <v>147</v>
      </c>
      <c r="C155" s="79" t="s">
        <v>54</v>
      </c>
      <c r="D155" s="79" t="s">
        <v>55</v>
      </c>
      <c r="E155" s="82"/>
      <c r="F155" s="104">
        <v>7.2700407</v>
      </c>
      <c r="G155" s="109" t="s">
        <v>200</v>
      </c>
      <c r="H155" s="141">
        <v>3.5332397802000003E-2</v>
      </c>
      <c r="I155" s="136">
        <v>9.5964537240000002E-4</v>
      </c>
      <c r="J155" s="136">
        <v>8.7240488400000006E-4</v>
      </c>
      <c r="K155" s="147">
        <v>0</v>
      </c>
      <c r="L155" s="146">
        <v>0.30209636323152</v>
      </c>
    </row>
    <row r="156" spans="1:12" x14ac:dyDescent="0.3">
      <c r="A156" s="10">
        <v>2023</v>
      </c>
      <c r="B156" s="10" t="s">
        <v>147</v>
      </c>
      <c r="C156" s="79" t="s">
        <v>54</v>
      </c>
      <c r="D156" s="79" t="s">
        <v>53</v>
      </c>
      <c r="E156" s="82"/>
      <c r="F156" s="104">
        <v>13.235202300000001</v>
      </c>
      <c r="G156" s="109" t="s">
        <v>200</v>
      </c>
      <c r="H156" s="141">
        <v>4.8599662845600008E-2</v>
      </c>
      <c r="I156" s="136">
        <v>1.4294018484000003E-3</v>
      </c>
      <c r="J156" s="136">
        <v>9.5293456560000022E-4</v>
      </c>
      <c r="K156" s="147">
        <v>0</v>
      </c>
      <c r="L156" s="146">
        <v>0.35134697433672007</v>
      </c>
    </row>
    <row r="157" spans="1:12" x14ac:dyDescent="0.3">
      <c r="A157" s="10">
        <v>2023</v>
      </c>
      <c r="B157" s="10" t="s">
        <v>147</v>
      </c>
      <c r="C157" s="79" t="s">
        <v>54</v>
      </c>
      <c r="D157" s="79" t="s">
        <v>53</v>
      </c>
      <c r="E157" s="82"/>
      <c r="F157" s="104">
        <v>9.5069762999999998</v>
      </c>
      <c r="G157" s="109" t="s">
        <v>200</v>
      </c>
      <c r="H157" s="141">
        <v>4.0727886469199996E-2</v>
      </c>
      <c r="I157" s="136">
        <v>1.1978790137999998E-3</v>
      </c>
      <c r="J157" s="136">
        <v>7.9858600919999992E-4</v>
      </c>
      <c r="K157" s="147">
        <v>0</v>
      </c>
      <c r="L157" s="146">
        <v>0.29443866159203996</v>
      </c>
    </row>
    <row r="158" spans="1:12" x14ac:dyDescent="0.3">
      <c r="A158" s="10">
        <v>2023</v>
      </c>
      <c r="B158" s="10" t="s">
        <v>147</v>
      </c>
      <c r="C158" s="79" t="s">
        <v>54</v>
      </c>
      <c r="D158" s="79" t="s">
        <v>55</v>
      </c>
      <c r="E158" s="82"/>
      <c r="F158" s="104">
        <v>7.8914116999999999</v>
      </c>
      <c r="G158" s="109" t="s">
        <v>200</v>
      </c>
      <c r="H158" s="141">
        <v>5.1136347816000002E-2</v>
      </c>
      <c r="I158" s="136">
        <v>1.3888884591999999E-3</v>
      </c>
      <c r="J158" s="136">
        <v>1.2626258720000001E-3</v>
      </c>
      <c r="K158" s="147">
        <v>0</v>
      </c>
      <c r="L158" s="146">
        <v>0.43722208695615999</v>
      </c>
    </row>
    <row r="159" spans="1:12" x14ac:dyDescent="0.3">
      <c r="A159" s="10">
        <v>2023</v>
      </c>
      <c r="B159" s="10" t="s">
        <v>147</v>
      </c>
      <c r="C159" s="79" t="s">
        <v>54</v>
      </c>
      <c r="D159" s="79" t="s">
        <v>53</v>
      </c>
      <c r="E159" s="82"/>
      <c r="F159" s="104">
        <v>1.3048791</v>
      </c>
      <c r="G159" s="109" t="s">
        <v>200</v>
      </c>
      <c r="H159" s="141">
        <v>3.9929300460000001E-4</v>
      </c>
      <c r="I159" s="136">
        <v>1.1743911899999999E-5</v>
      </c>
      <c r="J159" s="136">
        <v>7.8292745999999999E-6</v>
      </c>
      <c r="K159" s="147">
        <v>0</v>
      </c>
      <c r="L159" s="146">
        <v>2.8866535450199999E-3</v>
      </c>
    </row>
    <row r="160" spans="1:12" x14ac:dyDescent="0.3">
      <c r="A160" s="10">
        <v>2023</v>
      </c>
      <c r="B160" s="10" t="s">
        <v>147</v>
      </c>
      <c r="C160" s="79" t="s">
        <v>56</v>
      </c>
      <c r="D160" s="79" t="s">
        <v>55</v>
      </c>
      <c r="E160" s="82"/>
      <c r="F160" s="104">
        <v>8.8856052999999999</v>
      </c>
      <c r="G160" s="109" t="s">
        <v>200</v>
      </c>
      <c r="H160" s="141">
        <v>8.6368083516000005E-2</v>
      </c>
      <c r="I160" s="136">
        <v>2.3457997991999996E-3</v>
      </c>
      <c r="J160" s="136">
        <v>2.1325452719999998E-3</v>
      </c>
      <c r="K160" s="147">
        <v>0</v>
      </c>
      <c r="L160" s="146">
        <v>0.73845777678815994</v>
      </c>
    </row>
    <row r="161" spans="1:12" x14ac:dyDescent="0.3">
      <c r="A161" s="10">
        <v>2023</v>
      </c>
      <c r="B161" s="10" t="s">
        <v>147</v>
      </c>
      <c r="C161" s="79" t="s">
        <v>56</v>
      </c>
      <c r="D161" s="79" t="s">
        <v>55</v>
      </c>
      <c r="E161" s="82"/>
      <c r="F161" s="104">
        <v>20.753791400000001</v>
      </c>
      <c r="G161" s="109" t="s">
        <v>200</v>
      </c>
      <c r="H161" s="141">
        <v>1.6810571034000001E-2</v>
      </c>
      <c r="I161" s="136">
        <v>4.5658341079999996E-4</v>
      </c>
      <c r="J161" s="136">
        <v>4.1507582800000005E-4</v>
      </c>
      <c r="K161" s="147">
        <v>0</v>
      </c>
      <c r="L161" s="146">
        <v>0.14373245771984</v>
      </c>
    </row>
    <row r="162" spans="1:12" x14ac:dyDescent="0.3">
      <c r="A162" s="10">
        <v>2023</v>
      </c>
      <c r="B162" s="10" t="s">
        <v>147</v>
      </c>
      <c r="C162" s="79" t="s">
        <v>56</v>
      </c>
      <c r="D162" s="79" t="s">
        <v>55</v>
      </c>
      <c r="E162" s="82"/>
      <c r="F162" s="104">
        <v>21.250888200000002</v>
      </c>
      <c r="G162" s="109" t="s">
        <v>200</v>
      </c>
      <c r="H162" s="141">
        <v>1.7213219442000004E-2</v>
      </c>
      <c r="I162" s="136">
        <v>4.6751954040000004E-4</v>
      </c>
      <c r="J162" s="136">
        <v>4.2501776400000006E-4</v>
      </c>
      <c r="K162" s="147">
        <v>0</v>
      </c>
      <c r="L162" s="146">
        <v>0.14717515131792003</v>
      </c>
    </row>
    <row r="163" spans="1:12" x14ac:dyDescent="0.3">
      <c r="A163" s="10">
        <v>2023</v>
      </c>
      <c r="B163" s="10" t="s">
        <v>147</v>
      </c>
      <c r="C163" s="79" t="s">
        <v>56</v>
      </c>
      <c r="D163" s="79" t="s">
        <v>55</v>
      </c>
      <c r="E163" s="82"/>
      <c r="F163" s="104">
        <v>10.4390328</v>
      </c>
      <c r="G163" s="109" t="s">
        <v>200</v>
      </c>
      <c r="H163" s="141">
        <v>2.5366849704000001E-2</v>
      </c>
      <c r="I163" s="136">
        <v>6.8897616479999993E-4</v>
      </c>
      <c r="J163" s="136">
        <v>6.2634196800000002E-4</v>
      </c>
      <c r="K163" s="147">
        <v>0</v>
      </c>
      <c r="L163" s="146">
        <v>0.21688969667904001</v>
      </c>
    </row>
    <row r="164" spans="1:12" x14ac:dyDescent="0.3">
      <c r="A164" s="10">
        <v>2023</v>
      </c>
      <c r="B164" s="10" t="s">
        <v>147</v>
      </c>
      <c r="C164" s="79" t="s">
        <v>95</v>
      </c>
      <c r="D164" s="79" t="s">
        <v>55</v>
      </c>
      <c r="E164" s="82"/>
      <c r="F164" s="104">
        <v>1420.6032350400001</v>
      </c>
      <c r="G164" s="109" t="s">
        <v>200</v>
      </c>
      <c r="H164" s="148">
        <v>3.3227715948962651</v>
      </c>
      <c r="I164" s="147">
        <v>0.2623240732812841</v>
      </c>
      <c r="J164" s="147">
        <v>6.4956437193460809E-2</v>
      </c>
      <c r="K164" s="147">
        <v>0</v>
      </c>
      <c r="L164" s="146">
        <v>28.873136332493331</v>
      </c>
    </row>
    <row r="165" spans="1:12" x14ac:dyDescent="0.3">
      <c r="A165" s="10">
        <v>2023</v>
      </c>
      <c r="B165" s="10" t="s">
        <v>147</v>
      </c>
      <c r="C165" s="79" t="s">
        <v>95</v>
      </c>
      <c r="D165" s="79" t="s">
        <v>55</v>
      </c>
      <c r="E165" s="82"/>
      <c r="F165" s="104">
        <v>516.58299455999997</v>
      </c>
      <c r="G165" s="109" t="s">
        <v>200</v>
      </c>
      <c r="H165" s="148">
        <v>1.9136881606349518</v>
      </c>
      <c r="I165" s="147">
        <v>5.6284945901027998E-2</v>
      </c>
      <c r="J165" s="147">
        <v>3.7523297267351999E-2</v>
      </c>
      <c r="K165" s="147">
        <v>0</v>
      </c>
      <c r="L165" s="146">
        <v>13.834839702472681</v>
      </c>
    </row>
    <row r="166" spans="1:12" x14ac:dyDescent="0.3">
      <c r="A166" s="10">
        <v>2023</v>
      </c>
      <c r="B166" s="10" t="s">
        <v>147</v>
      </c>
      <c r="C166" s="79" t="s">
        <v>95</v>
      </c>
      <c r="D166" s="119" t="s">
        <v>55</v>
      </c>
      <c r="E166" s="82"/>
      <c r="F166" s="104">
        <v>387.43724592000001</v>
      </c>
      <c r="G166" s="109" t="s">
        <v>200</v>
      </c>
      <c r="H166" s="148">
        <v>0.29185647735153597</v>
      </c>
      <c r="I166" s="147">
        <v>2.3536812689639999E-2</v>
      </c>
      <c r="J166" s="147">
        <v>3.1382416919519996E-3</v>
      </c>
      <c r="K166" s="147">
        <v>0</v>
      </c>
      <c r="L166" s="146">
        <v>1.8499934774057039</v>
      </c>
    </row>
    <row r="167" spans="1:12" x14ac:dyDescent="0.3">
      <c r="A167" s="10">
        <v>2023</v>
      </c>
      <c r="B167" s="10" t="s">
        <v>147</v>
      </c>
      <c r="C167" s="79" t="s">
        <v>95</v>
      </c>
      <c r="D167" s="79" t="s">
        <v>80</v>
      </c>
      <c r="E167" s="82"/>
      <c r="F167" s="104">
        <v>32.286437159999998</v>
      </c>
      <c r="G167" s="109" t="s">
        <v>200</v>
      </c>
      <c r="H167" s="148">
        <v>9.4689662902847999E-2</v>
      </c>
      <c r="I167" s="147">
        <v>2.2916913096167998E-2</v>
      </c>
      <c r="J167" s="147">
        <v>4.784849987112E-4</v>
      </c>
      <c r="K167" s="147">
        <v>0</v>
      </c>
      <c r="L167" s="146">
        <v>0.90824007781681204</v>
      </c>
    </row>
    <row r="168" spans="1:12" x14ac:dyDescent="0.3">
      <c r="A168" s="10">
        <v>2023</v>
      </c>
      <c r="B168" s="10" t="s">
        <v>147</v>
      </c>
      <c r="C168" s="79" t="s">
        <v>95</v>
      </c>
      <c r="D168" s="79" t="s">
        <v>82</v>
      </c>
      <c r="E168" s="82"/>
      <c r="F168" s="104">
        <v>96.859311480000002</v>
      </c>
      <c r="G168" s="109" t="s">
        <v>200</v>
      </c>
      <c r="H168" s="148">
        <v>2.1309048525600005E-2</v>
      </c>
      <c r="I168" s="147">
        <v>0</v>
      </c>
      <c r="J168" s="147">
        <v>0</v>
      </c>
      <c r="K168" s="147">
        <v>0</v>
      </c>
      <c r="L168" s="146">
        <v>2.1309048525600005E-2</v>
      </c>
    </row>
    <row r="169" spans="1:12" x14ac:dyDescent="0.3">
      <c r="A169" s="10">
        <v>2023</v>
      </c>
      <c r="B169" s="10" t="s">
        <v>147</v>
      </c>
      <c r="C169" s="79" t="s">
        <v>95</v>
      </c>
      <c r="D169" s="79" t="s">
        <v>81</v>
      </c>
      <c r="E169" s="82"/>
      <c r="F169" s="104">
        <v>387.43724592000001</v>
      </c>
      <c r="G169" s="109" t="s">
        <v>200</v>
      </c>
      <c r="H169" s="148">
        <v>0</v>
      </c>
      <c r="I169" s="147">
        <v>0</v>
      </c>
      <c r="J169" s="147">
        <v>0</v>
      </c>
      <c r="K169" s="147">
        <v>0</v>
      </c>
      <c r="L169" s="146">
        <v>0</v>
      </c>
    </row>
    <row r="170" spans="1:12" x14ac:dyDescent="0.3">
      <c r="A170" s="10">
        <v>2023</v>
      </c>
      <c r="B170" s="10" t="s">
        <v>147</v>
      </c>
      <c r="C170" s="79" t="s">
        <v>95</v>
      </c>
      <c r="D170" s="79" t="s">
        <v>102</v>
      </c>
      <c r="E170" s="82"/>
      <c r="F170" s="104">
        <v>0</v>
      </c>
      <c r="G170" s="109" t="s">
        <v>200</v>
      </c>
      <c r="H170" s="148">
        <v>0</v>
      </c>
      <c r="I170" s="147">
        <v>0</v>
      </c>
      <c r="J170" s="147">
        <v>0</v>
      </c>
      <c r="K170" s="147">
        <v>0</v>
      </c>
      <c r="L170" s="146">
        <v>0</v>
      </c>
    </row>
    <row r="171" spans="1:12" x14ac:dyDescent="0.3">
      <c r="A171" s="10">
        <v>2023</v>
      </c>
      <c r="B171" s="10" t="s">
        <v>147</v>
      </c>
      <c r="C171" s="79" t="s">
        <v>95</v>
      </c>
      <c r="D171" s="79" t="s">
        <v>103</v>
      </c>
      <c r="E171" s="82"/>
      <c r="F171" s="104">
        <v>129.14574863999999</v>
      </c>
      <c r="G171" s="109" t="s">
        <v>200</v>
      </c>
      <c r="H171" s="148">
        <v>0</v>
      </c>
      <c r="I171" s="147">
        <v>0</v>
      </c>
      <c r="J171" s="147">
        <v>0</v>
      </c>
      <c r="K171" s="147">
        <v>0</v>
      </c>
      <c r="L171" s="146">
        <v>0</v>
      </c>
    </row>
    <row r="172" spans="1:12" x14ac:dyDescent="0.3">
      <c r="A172" s="10">
        <v>2023</v>
      </c>
      <c r="B172" s="10" t="s">
        <v>148</v>
      </c>
      <c r="C172" s="79" t="s">
        <v>131</v>
      </c>
      <c r="D172" s="83" t="s">
        <v>191</v>
      </c>
      <c r="E172" s="82"/>
      <c r="F172" s="104">
        <v>4</v>
      </c>
      <c r="G172" s="109" t="s">
        <v>201</v>
      </c>
      <c r="H172" s="141">
        <v>0</v>
      </c>
      <c r="I172" s="136">
        <v>0</v>
      </c>
      <c r="J172" s="136">
        <v>0</v>
      </c>
      <c r="K172" s="147">
        <v>0</v>
      </c>
      <c r="L172" s="146">
        <v>3.4000000000000002E-2</v>
      </c>
    </row>
    <row r="173" spans="1:12" x14ac:dyDescent="0.3">
      <c r="A173" s="10">
        <v>2023</v>
      </c>
      <c r="B173" s="10" t="s">
        <v>148</v>
      </c>
      <c r="C173" s="79" t="s">
        <v>131</v>
      </c>
      <c r="D173" s="83" t="s">
        <v>192</v>
      </c>
      <c r="E173" s="82"/>
      <c r="F173" s="104">
        <v>89766</v>
      </c>
      <c r="G173" s="109" t="s">
        <v>201</v>
      </c>
      <c r="H173" s="141">
        <v>0</v>
      </c>
      <c r="I173" s="136">
        <v>0</v>
      </c>
      <c r="J173" s="136">
        <v>0</v>
      </c>
      <c r="K173" s="147">
        <v>0</v>
      </c>
      <c r="L173" s="146">
        <v>0.35906399999999999</v>
      </c>
    </row>
    <row r="174" spans="1:12" x14ac:dyDescent="0.3">
      <c r="A174" s="10">
        <v>2023</v>
      </c>
      <c r="B174" s="10" t="s">
        <v>148</v>
      </c>
      <c r="C174" s="79" t="s">
        <v>131</v>
      </c>
      <c r="D174" s="83" t="s">
        <v>193</v>
      </c>
      <c r="E174" s="82"/>
      <c r="F174" s="104">
        <v>3489</v>
      </c>
      <c r="G174" s="109" t="s">
        <v>201</v>
      </c>
      <c r="H174" s="141">
        <v>0</v>
      </c>
      <c r="I174" s="136">
        <v>0</v>
      </c>
      <c r="J174" s="136">
        <v>0</v>
      </c>
      <c r="K174" s="147">
        <v>0</v>
      </c>
      <c r="L174" s="146">
        <v>1.0467000000000001E-2</v>
      </c>
    </row>
    <row r="175" spans="1:12" x14ac:dyDescent="0.3">
      <c r="A175" s="10">
        <v>2023</v>
      </c>
      <c r="B175" s="10" t="s">
        <v>148</v>
      </c>
      <c r="C175" s="79" t="s">
        <v>131</v>
      </c>
      <c r="D175" s="83" t="s">
        <v>194</v>
      </c>
      <c r="E175" s="82"/>
      <c r="F175" s="104">
        <v>10</v>
      </c>
      <c r="G175" s="109" t="s">
        <v>201</v>
      </c>
      <c r="H175" s="141">
        <v>0</v>
      </c>
      <c r="I175" s="136">
        <v>0</v>
      </c>
      <c r="J175" s="136">
        <v>0</v>
      </c>
      <c r="K175" s="147">
        <v>0</v>
      </c>
      <c r="L175" s="146">
        <v>0.96</v>
      </c>
    </row>
    <row r="176" spans="1:12" x14ac:dyDescent="0.3">
      <c r="A176" s="10">
        <v>2023</v>
      </c>
      <c r="B176" s="10" t="s">
        <v>148</v>
      </c>
      <c r="C176" s="79" t="s">
        <v>131</v>
      </c>
      <c r="D176" s="83" t="s">
        <v>195</v>
      </c>
      <c r="E176" s="82"/>
      <c r="F176" s="104">
        <v>10</v>
      </c>
      <c r="G176" s="109" t="s">
        <v>132</v>
      </c>
      <c r="H176" s="141">
        <v>0</v>
      </c>
      <c r="I176" s="136">
        <v>0</v>
      </c>
      <c r="J176" s="136">
        <v>0</v>
      </c>
      <c r="K176" s="147">
        <v>0</v>
      </c>
      <c r="L176" s="146">
        <v>0.06</v>
      </c>
    </row>
    <row r="177" spans="1:12" x14ac:dyDescent="0.3">
      <c r="A177" s="10">
        <v>2023</v>
      </c>
      <c r="B177" s="10" t="s">
        <v>148</v>
      </c>
      <c r="C177" s="79" t="s">
        <v>131</v>
      </c>
      <c r="D177" s="83" t="s">
        <v>196</v>
      </c>
      <c r="E177" s="82"/>
      <c r="F177" s="104">
        <v>270</v>
      </c>
      <c r="G177" s="109" t="s">
        <v>135</v>
      </c>
      <c r="H177" s="141">
        <v>0</v>
      </c>
      <c r="I177" s="136">
        <v>0</v>
      </c>
      <c r="J177" s="136">
        <v>0</v>
      </c>
      <c r="K177" s="147">
        <v>0</v>
      </c>
      <c r="L177" s="146">
        <v>0.54</v>
      </c>
    </row>
    <row r="178" spans="1:12" x14ac:dyDescent="0.3">
      <c r="A178" s="10">
        <v>2023</v>
      </c>
      <c r="B178" s="10" t="s">
        <v>148</v>
      </c>
      <c r="C178" s="79" t="s">
        <v>133</v>
      </c>
      <c r="D178" s="83" t="s">
        <v>134</v>
      </c>
      <c r="E178" s="82"/>
      <c r="F178" s="104">
        <v>1964</v>
      </c>
      <c r="G178" s="109" t="s">
        <v>135</v>
      </c>
      <c r="H178" s="141">
        <v>1.7676000000000001</v>
      </c>
      <c r="I178" s="136">
        <v>0.23567999999999997</v>
      </c>
      <c r="J178" s="136">
        <v>1.9640000000000003E-4</v>
      </c>
      <c r="K178" s="147">
        <v>0</v>
      </c>
      <c r="L178" s="146">
        <v>8.1845771999999997</v>
      </c>
    </row>
    <row r="179" spans="1:12" x14ac:dyDescent="0.3">
      <c r="A179" s="10">
        <v>2023</v>
      </c>
      <c r="B179" s="10" t="s">
        <v>148</v>
      </c>
      <c r="C179" s="79" t="s">
        <v>133</v>
      </c>
      <c r="D179" s="83" t="s">
        <v>136</v>
      </c>
      <c r="E179" s="82"/>
      <c r="F179" s="104">
        <v>1284</v>
      </c>
      <c r="G179" s="109" t="s">
        <v>135</v>
      </c>
      <c r="H179" s="141">
        <v>0.38519999999999999</v>
      </c>
      <c r="I179" s="136">
        <v>0</v>
      </c>
      <c r="J179" s="136">
        <v>0</v>
      </c>
      <c r="K179" s="147">
        <v>0</v>
      </c>
      <c r="L179" s="146">
        <v>0.38519999999999999</v>
      </c>
    </row>
    <row r="180" spans="1:12" x14ac:dyDescent="0.3">
      <c r="A180" s="10">
        <v>2023</v>
      </c>
      <c r="B180" s="10" t="s">
        <v>148</v>
      </c>
      <c r="C180" s="79" t="s">
        <v>133</v>
      </c>
      <c r="D180" s="83" t="s">
        <v>137</v>
      </c>
      <c r="E180" s="82"/>
      <c r="F180" s="104">
        <v>52</v>
      </c>
      <c r="G180" s="109" t="s">
        <v>135</v>
      </c>
      <c r="H180" s="141">
        <v>6.2399999999999997E-2</v>
      </c>
      <c r="I180" s="136">
        <v>3.1199999999999999E-5</v>
      </c>
      <c r="J180" s="136">
        <v>1.0400000000000002E-5</v>
      </c>
      <c r="K180" s="147">
        <v>0</v>
      </c>
      <c r="L180" s="146">
        <v>6.324239999999999E-2</v>
      </c>
    </row>
    <row r="181" spans="1:12" x14ac:dyDescent="0.3">
      <c r="A181" s="10">
        <v>2023</v>
      </c>
      <c r="B181" s="10" t="s">
        <v>148</v>
      </c>
      <c r="C181" s="79" t="s">
        <v>133</v>
      </c>
      <c r="D181" s="83" t="s">
        <v>138</v>
      </c>
      <c r="E181" s="82"/>
      <c r="F181" s="104">
        <v>96</v>
      </c>
      <c r="G181" s="109" t="s">
        <v>135</v>
      </c>
      <c r="H181" s="141">
        <v>0.24</v>
      </c>
      <c r="I181" s="136">
        <v>9.6000000000000002E-5</v>
      </c>
      <c r="J181" s="136">
        <v>2.8799999999999999E-5</v>
      </c>
      <c r="K181" s="147">
        <v>0</v>
      </c>
      <c r="L181" s="146">
        <v>0.242592</v>
      </c>
    </row>
    <row r="182" spans="1:12" x14ac:dyDescent="0.3">
      <c r="A182" s="10">
        <v>2023</v>
      </c>
      <c r="B182" s="10" t="s">
        <v>148</v>
      </c>
      <c r="C182" s="79" t="s">
        <v>133</v>
      </c>
      <c r="D182" s="83" t="s">
        <v>139</v>
      </c>
      <c r="E182" s="82"/>
      <c r="F182" s="104">
        <v>112.4</v>
      </c>
      <c r="G182" s="109" t="s">
        <v>135</v>
      </c>
      <c r="H182" s="141">
        <v>0.33720000000000006</v>
      </c>
      <c r="I182" s="136">
        <v>2.2480000000000002E-4</v>
      </c>
      <c r="J182" s="136">
        <v>4.496000000000001E-5</v>
      </c>
      <c r="K182" s="147">
        <v>0</v>
      </c>
      <c r="L182" s="146">
        <v>0.34326960000000006</v>
      </c>
    </row>
    <row r="183" spans="1:12" x14ac:dyDescent="0.3">
      <c r="A183" s="118">
        <v>2023</v>
      </c>
      <c r="B183" s="10" t="s">
        <v>148</v>
      </c>
      <c r="C183" s="119" t="s">
        <v>133</v>
      </c>
      <c r="D183" s="120" t="s">
        <v>140</v>
      </c>
      <c r="E183" s="182"/>
      <c r="F183" s="122">
        <v>20.399999999999999</v>
      </c>
      <c r="G183" s="167" t="s">
        <v>135</v>
      </c>
      <c r="H183" s="149">
        <v>4.0800000000000003E-3</v>
      </c>
      <c r="I183" s="150">
        <v>2.04E-6</v>
      </c>
      <c r="J183" s="150">
        <v>0</v>
      </c>
      <c r="K183" s="151">
        <v>0</v>
      </c>
      <c r="L183" s="152">
        <v>4.1350800000000002E-3</v>
      </c>
    </row>
    <row r="184" spans="1:12" x14ac:dyDescent="0.3">
      <c r="A184" s="10">
        <v>2023</v>
      </c>
      <c r="B184" s="10" t="s">
        <v>147</v>
      </c>
      <c r="C184" s="98" t="s">
        <v>127</v>
      </c>
      <c r="D184" s="10" t="s">
        <v>128</v>
      </c>
      <c r="E184" s="98"/>
      <c r="F184" s="104">
        <v>423163.8</v>
      </c>
      <c r="G184" s="140" t="s">
        <v>203</v>
      </c>
      <c r="H184" s="141">
        <v>0</v>
      </c>
      <c r="I184" s="136">
        <v>0</v>
      </c>
      <c r="J184" s="136">
        <v>0</v>
      </c>
      <c r="K184" s="147">
        <v>0</v>
      </c>
      <c r="L184" s="146">
        <v>21.586470000000002</v>
      </c>
    </row>
    <row r="185" spans="1:12" ht="14.5" thickBot="1" x14ac:dyDescent="0.35">
      <c r="A185" s="10">
        <v>2023</v>
      </c>
      <c r="B185" s="10" t="s">
        <v>147</v>
      </c>
      <c r="C185" s="98" t="s">
        <v>127</v>
      </c>
      <c r="D185" s="10" t="s">
        <v>126</v>
      </c>
      <c r="E185" s="98"/>
      <c r="F185" s="104">
        <v>235574</v>
      </c>
      <c r="G185" s="140" t="s">
        <v>203</v>
      </c>
      <c r="H185" s="157">
        <v>0</v>
      </c>
      <c r="I185" s="158">
        <v>0</v>
      </c>
      <c r="J185" s="158">
        <v>0</v>
      </c>
      <c r="K185" s="159">
        <v>0</v>
      </c>
      <c r="L185" s="160">
        <v>32.467649999999999</v>
      </c>
    </row>
    <row r="186" spans="1:12" x14ac:dyDescent="0.3">
      <c r="A186" s="124">
        <v>2022</v>
      </c>
      <c r="B186" s="124" t="s">
        <v>145</v>
      </c>
      <c r="C186" s="79" t="s">
        <v>19</v>
      </c>
      <c r="D186" s="79" t="s">
        <v>199</v>
      </c>
      <c r="E186" s="125" t="s">
        <v>22</v>
      </c>
      <c r="F186" s="126">
        <v>1171.8675000000001</v>
      </c>
      <c r="G186" s="138" t="s">
        <v>21</v>
      </c>
      <c r="H186" s="153">
        <v>10.736650035</v>
      </c>
      <c r="I186" s="154">
        <v>1.0546807499999999E-5</v>
      </c>
      <c r="J186" s="154">
        <v>6.3280845000000006E-6</v>
      </c>
      <c r="K186" s="155">
        <v>0</v>
      </c>
      <c r="L186" s="156">
        <v>10.738691896932</v>
      </c>
    </row>
    <row r="187" spans="1:12" x14ac:dyDescent="0.3">
      <c r="A187" s="10">
        <v>2022</v>
      </c>
      <c r="B187" s="124" t="s">
        <v>145</v>
      </c>
      <c r="C187" s="79" t="s">
        <v>19</v>
      </c>
      <c r="D187" s="79" t="s">
        <v>23</v>
      </c>
      <c r="E187" s="15" t="s">
        <v>24</v>
      </c>
      <c r="F187" s="104">
        <v>508</v>
      </c>
      <c r="G187" s="9" t="s">
        <v>25</v>
      </c>
      <c r="H187" s="141">
        <v>7.1381818323200008E-2</v>
      </c>
      <c r="I187" s="136">
        <v>1.3931999999999998E-6</v>
      </c>
      <c r="J187" s="136">
        <v>1.3815900000000001E-7</v>
      </c>
      <c r="K187" s="136">
        <v>0</v>
      </c>
      <c r="L187" s="142">
        <v>1.2991490934822401E-2</v>
      </c>
    </row>
    <row r="188" spans="1:12" x14ac:dyDescent="0.3">
      <c r="A188" s="10">
        <v>2022</v>
      </c>
      <c r="B188" s="124" t="s">
        <v>145</v>
      </c>
      <c r="C188" s="98" t="s">
        <v>43</v>
      </c>
      <c r="D188" s="10" t="s">
        <v>168</v>
      </c>
      <c r="E188" s="10"/>
      <c r="F188" s="104">
        <v>35.32</v>
      </c>
      <c r="G188" s="9" t="s">
        <v>21</v>
      </c>
      <c r="H188" s="141">
        <v>0.27998870399999998</v>
      </c>
      <c r="I188" s="136">
        <v>9.3138840000000003E-6</v>
      </c>
      <c r="J188" s="136">
        <v>8.9006400000000013E-7</v>
      </c>
      <c r="K188" s="136">
        <v>0</v>
      </c>
      <c r="L188" s="142">
        <v>0.28050924521519993</v>
      </c>
    </row>
    <row r="189" spans="1:12" x14ac:dyDescent="0.3">
      <c r="A189" s="10">
        <v>2022</v>
      </c>
      <c r="B189" s="124" t="s">
        <v>145</v>
      </c>
      <c r="C189" s="98" t="s">
        <v>43</v>
      </c>
      <c r="D189" s="10" t="s">
        <v>169</v>
      </c>
      <c r="E189" s="10"/>
      <c r="F189" s="104">
        <v>35.32</v>
      </c>
      <c r="G189" s="9" t="s">
        <v>21</v>
      </c>
      <c r="H189" s="141">
        <v>0.27998870399999998</v>
      </c>
      <c r="I189" s="136">
        <v>9.3138840000000003E-6</v>
      </c>
      <c r="J189" s="136">
        <v>8.9006400000000013E-7</v>
      </c>
      <c r="K189" s="136">
        <v>0</v>
      </c>
      <c r="L189" s="142">
        <v>0.28050924521519993</v>
      </c>
    </row>
    <row r="190" spans="1:12" x14ac:dyDescent="0.3">
      <c r="A190" s="10">
        <v>2022</v>
      </c>
      <c r="B190" s="124" t="s">
        <v>145</v>
      </c>
      <c r="C190" s="98" t="s">
        <v>43</v>
      </c>
      <c r="D190" s="10" t="s">
        <v>170</v>
      </c>
      <c r="E190" s="10"/>
      <c r="F190" s="104">
        <v>35.32</v>
      </c>
      <c r="G190" s="9" t="s">
        <v>21</v>
      </c>
      <c r="H190" s="141">
        <v>0.27998870399999998</v>
      </c>
      <c r="I190" s="136">
        <v>9.3138840000000003E-6</v>
      </c>
      <c r="J190" s="136">
        <v>8.9006400000000013E-7</v>
      </c>
      <c r="K190" s="136">
        <v>0</v>
      </c>
      <c r="L190" s="142">
        <v>0.28050924521519993</v>
      </c>
    </row>
    <row r="191" spans="1:12" x14ac:dyDescent="0.3">
      <c r="A191" s="10">
        <v>2022</v>
      </c>
      <c r="B191" s="124" t="s">
        <v>145</v>
      </c>
      <c r="C191" s="98" t="s">
        <v>43</v>
      </c>
      <c r="D191" s="10" t="s">
        <v>171</v>
      </c>
      <c r="E191" s="10"/>
      <c r="F191" s="104">
        <v>35.32</v>
      </c>
      <c r="G191" s="9" t="s">
        <v>21</v>
      </c>
      <c r="H191" s="141">
        <v>0.27998870399999998</v>
      </c>
      <c r="I191" s="136">
        <v>9.3138840000000003E-6</v>
      </c>
      <c r="J191" s="136">
        <v>8.9006400000000013E-7</v>
      </c>
      <c r="K191" s="136">
        <v>0</v>
      </c>
      <c r="L191" s="142">
        <v>0.28050924521519993</v>
      </c>
    </row>
    <row r="192" spans="1:12" x14ac:dyDescent="0.3">
      <c r="A192" s="10">
        <v>2022</v>
      </c>
      <c r="B192" s="124" t="s">
        <v>145</v>
      </c>
      <c r="C192" s="98" t="s">
        <v>43</v>
      </c>
      <c r="D192" s="10" t="s">
        <v>172</v>
      </c>
      <c r="E192" s="10"/>
      <c r="F192" s="104">
        <v>35.32</v>
      </c>
      <c r="G192" s="9" t="s">
        <v>21</v>
      </c>
      <c r="H192" s="141">
        <v>0.27998870399999998</v>
      </c>
      <c r="I192" s="136">
        <v>9.3138840000000003E-6</v>
      </c>
      <c r="J192" s="136">
        <v>8.9006400000000013E-7</v>
      </c>
      <c r="K192" s="136">
        <v>0</v>
      </c>
      <c r="L192" s="142">
        <v>0.28050924521519993</v>
      </c>
    </row>
    <row r="193" spans="1:12" x14ac:dyDescent="0.3">
      <c r="A193" s="10">
        <v>2022</v>
      </c>
      <c r="B193" s="124" t="s">
        <v>145</v>
      </c>
      <c r="C193" s="98" t="s">
        <v>43</v>
      </c>
      <c r="D193" s="10" t="s">
        <v>173</v>
      </c>
      <c r="E193" s="10"/>
      <c r="F193" s="104">
        <v>35.32</v>
      </c>
      <c r="G193" s="9" t="s">
        <v>21</v>
      </c>
      <c r="H193" s="141">
        <v>0.27998870399999998</v>
      </c>
      <c r="I193" s="136">
        <v>9.3138840000000003E-6</v>
      </c>
      <c r="J193" s="136">
        <v>8.9006400000000013E-7</v>
      </c>
      <c r="K193" s="136">
        <v>0</v>
      </c>
      <c r="L193" s="142">
        <v>0.28050924521519993</v>
      </c>
    </row>
    <row r="194" spans="1:12" x14ac:dyDescent="0.3">
      <c r="A194" s="10">
        <v>2022</v>
      </c>
      <c r="B194" s="124" t="s">
        <v>145</v>
      </c>
      <c r="C194" s="98" t="s">
        <v>43</v>
      </c>
      <c r="D194" s="10" t="s">
        <v>174</v>
      </c>
      <c r="E194" s="10"/>
      <c r="F194" s="104">
        <v>32.479999999999997</v>
      </c>
      <c r="G194" s="9" t="s">
        <v>21</v>
      </c>
      <c r="H194" s="141">
        <v>0.25747545599999999</v>
      </c>
      <c r="I194" s="136">
        <v>8.5649759999999995E-6</v>
      </c>
      <c r="J194" s="136">
        <v>8.1849600000000008E-7</v>
      </c>
      <c r="K194" s="136">
        <v>0</v>
      </c>
      <c r="L194" s="142">
        <v>0.25795414169280001</v>
      </c>
    </row>
    <row r="195" spans="1:12" x14ac:dyDescent="0.3">
      <c r="A195" s="10">
        <v>2022</v>
      </c>
      <c r="B195" s="124" t="s">
        <v>145</v>
      </c>
      <c r="C195" s="98" t="s">
        <v>43</v>
      </c>
      <c r="D195" s="10" t="s">
        <v>175</v>
      </c>
      <c r="E195" s="10"/>
      <c r="F195" s="104">
        <v>30.34</v>
      </c>
      <c r="G195" s="9" t="s">
        <v>21</v>
      </c>
      <c r="H195" s="141">
        <v>0.24051124799999998</v>
      </c>
      <c r="I195" s="136">
        <v>8.0006579999999996E-6</v>
      </c>
      <c r="J195" s="136">
        <v>7.6456800000000002E-7</v>
      </c>
      <c r="K195" s="136">
        <v>0</v>
      </c>
      <c r="L195" s="142">
        <v>0.24095839467239999</v>
      </c>
    </row>
    <row r="196" spans="1:12" x14ac:dyDescent="0.3">
      <c r="A196" s="10">
        <v>2022</v>
      </c>
      <c r="B196" s="124" t="s">
        <v>145</v>
      </c>
      <c r="C196" s="98" t="s">
        <v>43</v>
      </c>
      <c r="D196" s="10" t="s">
        <v>176</v>
      </c>
      <c r="E196" s="10"/>
      <c r="F196" s="104">
        <v>40.92</v>
      </c>
      <c r="G196" s="9" t="s">
        <v>21</v>
      </c>
      <c r="H196" s="141">
        <v>0.32438102400000002</v>
      </c>
      <c r="I196" s="136">
        <v>1.0790604000000001E-5</v>
      </c>
      <c r="J196" s="136">
        <v>1.0311840000000002E-6</v>
      </c>
      <c r="K196" s="136">
        <v>0</v>
      </c>
      <c r="L196" s="142">
        <v>0.32498409723120003</v>
      </c>
    </row>
    <row r="197" spans="1:12" x14ac:dyDescent="0.3">
      <c r="A197" s="10">
        <v>2022</v>
      </c>
      <c r="B197" s="124" t="s">
        <v>145</v>
      </c>
      <c r="C197" s="98" t="s">
        <v>43</v>
      </c>
      <c r="D197" s="10" t="s">
        <v>177</v>
      </c>
      <c r="E197" s="10"/>
      <c r="F197" s="104">
        <v>34.21</v>
      </c>
      <c r="G197" s="9" t="s">
        <v>21</v>
      </c>
      <c r="H197" s="141">
        <v>0.27118951200000002</v>
      </c>
      <c r="I197" s="136">
        <v>9.0211769999999997E-6</v>
      </c>
      <c r="J197" s="136">
        <v>8.6209200000000007E-7</v>
      </c>
      <c r="K197" s="136">
        <v>0</v>
      </c>
      <c r="L197" s="142">
        <v>0.27169369419060002</v>
      </c>
    </row>
    <row r="198" spans="1:12" x14ac:dyDescent="0.3">
      <c r="A198" s="10">
        <v>2022</v>
      </c>
      <c r="B198" s="124" t="s">
        <v>145</v>
      </c>
      <c r="C198" s="98" t="s">
        <v>43</v>
      </c>
      <c r="D198" s="10" t="s">
        <v>178</v>
      </c>
      <c r="E198" s="10"/>
      <c r="F198" s="104">
        <v>38.65</v>
      </c>
      <c r="G198" s="9" t="s">
        <v>21</v>
      </c>
      <c r="H198" s="141">
        <v>0.30638627999999996</v>
      </c>
      <c r="I198" s="136">
        <v>1.0192004999999999E-5</v>
      </c>
      <c r="J198" s="136">
        <v>9.7397999999999999E-7</v>
      </c>
      <c r="K198" s="136">
        <v>0</v>
      </c>
      <c r="L198" s="142">
        <v>0.30695589828899994</v>
      </c>
    </row>
    <row r="199" spans="1:12" x14ac:dyDescent="0.3">
      <c r="A199" s="10">
        <v>2022</v>
      </c>
      <c r="B199" s="124" t="s">
        <v>145</v>
      </c>
      <c r="C199" s="98" t="s">
        <v>43</v>
      </c>
      <c r="D199" s="10" t="s">
        <v>179</v>
      </c>
      <c r="E199" s="10"/>
      <c r="F199" s="104">
        <v>35.32</v>
      </c>
      <c r="G199" s="9" t="s">
        <v>21</v>
      </c>
      <c r="H199" s="141">
        <v>0.27998870399999998</v>
      </c>
      <c r="I199" s="136">
        <v>9.3138840000000003E-6</v>
      </c>
      <c r="J199" s="136">
        <v>8.9006400000000013E-7</v>
      </c>
      <c r="K199" s="136">
        <v>0</v>
      </c>
      <c r="L199" s="142">
        <v>0.28050924521519993</v>
      </c>
    </row>
    <row r="200" spans="1:12" x14ac:dyDescent="0.3">
      <c r="A200" s="10">
        <v>2022</v>
      </c>
      <c r="B200" s="124" t="s">
        <v>146</v>
      </c>
      <c r="C200" s="79" t="s">
        <v>49</v>
      </c>
      <c r="D200" s="79" t="s">
        <v>205</v>
      </c>
      <c r="E200" s="15" t="s">
        <v>24</v>
      </c>
      <c r="F200" s="104">
        <v>74360</v>
      </c>
      <c r="G200" s="9" t="s">
        <v>50</v>
      </c>
      <c r="H200" s="141">
        <v>0</v>
      </c>
      <c r="I200" s="136">
        <v>0</v>
      </c>
      <c r="J200" s="136">
        <v>0</v>
      </c>
      <c r="K200" s="147">
        <v>0</v>
      </c>
      <c r="L200" s="142">
        <v>8.3283199999999997</v>
      </c>
    </row>
    <row r="201" spans="1:12" x14ac:dyDescent="0.3">
      <c r="A201" s="10">
        <v>2022</v>
      </c>
      <c r="B201" s="124" t="s">
        <v>146</v>
      </c>
      <c r="C201" s="79" t="s">
        <v>49</v>
      </c>
      <c r="D201" s="79" t="s">
        <v>206</v>
      </c>
      <c r="E201" s="15" t="s">
        <v>24</v>
      </c>
      <c r="F201" s="104">
        <v>97106</v>
      </c>
      <c r="G201" s="9" t="s">
        <v>50</v>
      </c>
      <c r="H201" s="141">
        <v>0</v>
      </c>
      <c r="I201" s="136">
        <v>0</v>
      </c>
      <c r="J201" s="136">
        <v>0</v>
      </c>
      <c r="K201" s="147">
        <v>0</v>
      </c>
      <c r="L201" s="142">
        <v>10.875871999999999</v>
      </c>
    </row>
    <row r="202" spans="1:12" x14ac:dyDescent="0.3">
      <c r="A202" s="10">
        <v>2022</v>
      </c>
      <c r="B202" s="124" t="s">
        <v>146</v>
      </c>
      <c r="C202" s="79" t="s">
        <v>49</v>
      </c>
      <c r="D202" s="79" t="s">
        <v>207</v>
      </c>
      <c r="E202" s="15" t="s">
        <v>24</v>
      </c>
      <c r="F202" s="104">
        <v>108786</v>
      </c>
      <c r="G202" s="9" t="s">
        <v>50</v>
      </c>
      <c r="H202" s="141">
        <v>0</v>
      </c>
      <c r="I202" s="136">
        <v>0</v>
      </c>
      <c r="J202" s="136">
        <v>0</v>
      </c>
      <c r="K202" s="147">
        <v>0</v>
      </c>
      <c r="L202" s="142">
        <v>12.184031999999998</v>
      </c>
    </row>
    <row r="203" spans="1:12" x14ac:dyDescent="0.3">
      <c r="A203" s="10">
        <v>2022</v>
      </c>
      <c r="B203" s="124" t="s">
        <v>146</v>
      </c>
      <c r="C203" s="79" t="s">
        <v>49</v>
      </c>
      <c r="D203" s="79" t="s">
        <v>208</v>
      </c>
      <c r="E203" s="15" t="s">
        <v>24</v>
      </c>
      <c r="F203" s="104">
        <v>88889</v>
      </c>
      <c r="G203" s="9" t="s">
        <v>50</v>
      </c>
      <c r="H203" s="141">
        <v>0</v>
      </c>
      <c r="I203" s="136">
        <v>0</v>
      </c>
      <c r="J203" s="136">
        <v>0</v>
      </c>
      <c r="K203" s="147">
        <v>0</v>
      </c>
      <c r="L203" s="142">
        <v>9.9555679999999995</v>
      </c>
    </row>
    <row r="204" spans="1:12" x14ac:dyDescent="0.3">
      <c r="A204" s="10">
        <v>2022</v>
      </c>
      <c r="B204" s="124" t="s">
        <v>146</v>
      </c>
      <c r="C204" s="79" t="s">
        <v>49</v>
      </c>
      <c r="D204" s="79" t="s">
        <v>209</v>
      </c>
      <c r="E204" s="15" t="s">
        <v>24</v>
      </c>
      <c r="F204" s="104">
        <v>103273</v>
      </c>
      <c r="G204" s="9" t="s">
        <v>50</v>
      </c>
      <c r="H204" s="141">
        <v>0</v>
      </c>
      <c r="I204" s="136">
        <v>0</v>
      </c>
      <c r="J204" s="136">
        <v>0</v>
      </c>
      <c r="K204" s="147">
        <v>0</v>
      </c>
      <c r="L204" s="142">
        <v>11.566576</v>
      </c>
    </row>
    <row r="205" spans="1:12" x14ac:dyDescent="0.3">
      <c r="A205" s="10">
        <v>2022</v>
      </c>
      <c r="B205" s="124" t="s">
        <v>146</v>
      </c>
      <c r="C205" s="79" t="s">
        <v>49</v>
      </c>
      <c r="D205" s="79" t="s">
        <v>210</v>
      </c>
      <c r="E205" s="15" t="s">
        <v>24</v>
      </c>
      <c r="F205" s="104">
        <v>85378</v>
      </c>
      <c r="G205" s="9" t="s">
        <v>50</v>
      </c>
      <c r="H205" s="141">
        <v>0</v>
      </c>
      <c r="I205" s="136">
        <v>0</v>
      </c>
      <c r="J205" s="136">
        <v>0</v>
      </c>
      <c r="K205" s="147">
        <v>0</v>
      </c>
      <c r="L205" s="142">
        <v>9.5623360000000002</v>
      </c>
    </row>
    <row r="206" spans="1:12" x14ac:dyDescent="0.3">
      <c r="A206" s="10">
        <v>2022</v>
      </c>
      <c r="B206" s="124" t="s">
        <v>146</v>
      </c>
      <c r="C206" s="79" t="s">
        <v>49</v>
      </c>
      <c r="D206" s="79" t="s">
        <v>211</v>
      </c>
      <c r="E206" s="15" t="s">
        <v>24</v>
      </c>
      <c r="F206" s="104">
        <v>84906</v>
      </c>
      <c r="G206" s="9" t="s">
        <v>50</v>
      </c>
      <c r="H206" s="141">
        <v>0</v>
      </c>
      <c r="I206" s="136">
        <v>0</v>
      </c>
      <c r="J206" s="136">
        <v>0</v>
      </c>
      <c r="K206" s="147">
        <v>0</v>
      </c>
      <c r="L206" s="142">
        <v>9.5094720000000024</v>
      </c>
    </row>
    <row r="207" spans="1:12" x14ac:dyDescent="0.3">
      <c r="A207" s="10">
        <v>2022</v>
      </c>
      <c r="B207" s="124" t="s">
        <v>146</v>
      </c>
      <c r="C207" s="79" t="s">
        <v>49</v>
      </c>
      <c r="D207" s="79" t="s">
        <v>212</v>
      </c>
      <c r="E207" s="15" t="s">
        <v>24</v>
      </c>
      <c r="F207" s="104">
        <v>106675</v>
      </c>
      <c r="G207" s="9" t="s">
        <v>50</v>
      </c>
      <c r="H207" s="141">
        <v>0</v>
      </c>
      <c r="I207" s="136">
        <v>0</v>
      </c>
      <c r="J207" s="136">
        <v>0</v>
      </c>
      <c r="K207" s="147">
        <v>0</v>
      </c>
      <c r="L207" s="142">
        <v>11.9476</v>
      </c>
    </row>
    <row r="208" spans="1:12" x14ac:dyDescent="0.3">
      <c r="A208" s="10">
        <v>2022</v>
      </c>
      <c r="B208" s="124" t="s">
        <v>146</v>
      </c>
      <c r="C208" s="79" t="s">
        <v>49</v>
      </c>
      <c r="D208" s="79" t="s">
        <v>213</v>
      </c>
      <c r="E208" s="15" t="s">
        <v>24</v>
      </c>
      <c r="F208" s="104">
        <v>106572</v>
      </c>
      <c r="G208" s="9" t="s">
        <v>50</v>
      </c>
      <c r="H208" s="141">
        <v>0</v>
      </c>
      <c r="I208" s="136">
        <v>0</v>
      </c>
      <c r="J208" s="136">
        <v>0</v>
      </c>
      <c r="K208" s="147">
        <v>0</v>
      </c>
      <c r="L208" s="142">
        <v>11.936064</v>
      </c>
    </row>
    <row r="209" spans="1:12" x14ac:dyDescent="0.3">
      <c r="A209" s="10">
        <v>2022</v>
      </c>
      <c r="B209" s="124" t="s">
        <v>146</v>
      </c>
      <c r="C209" s="79" t="s">
        <v>49</v>
      </c>
      <c r="D209" s="79" t="s">
        <v>214</v>
      </c>
      <c r="E209" s="15" t="s">
        <v>24</v>
      </c>
      <c r="F209" s="104">
        <v>105708</v>
      </c>
      <c r="G209" s="9" t="s">
        <v>50</v>
      </c>
      <c r="H209" s="141">
        <v>0</v>
      </c>
      <c r="I209" s="136">
        <v>0</v>
      </c>
      <c r="J209" s="136">
        <v>0</v>
      </c>
      <c r="K209" s="147">
        <v>0</v>
      </c>
      <c r="L209" s="142">
        <v>11.839296000000001</v>
      </c>
    </row>
    <row r="210" spans="1:12" x14ac:dyDescent="0.3">
      <c r="A210" s="10">
        <v>2022</v>
      </c>
      <c r="B210" s="124" t="s">
        <v>146</v>
      </c>
      <c r="C210" s="79" t="s">
        <v>49</v>
      </c>
      <c r="D210" s="79" t="s">
        <v>215</v>
      </c>
      <c r="E210" s="15" t="s">
        <v>24</v>
      </c>
      <c r="F210" s="104">
        <v>101787</v>
      </c>
      <c r="G210" s="9" t="s">
        <v>50</v>
      </c>
      <c r="H210" s="141">
        <v>0</v>
      </c>
      <c r="I210" s="136">
        <v>0</v>
      </c>
      <c r="J210" s="136">
        <v>0</v>
      </c>
      <c r="K210" s="147">
        <v>0</v>
      </c>
      <c r="L210" s="142">
        <v>11.400144000000001</v>
      </c>
    </row>
    <row r="211" spans="1:12" x14ac:dyDescent="0.3">
      <c r="A211" s="10">
        <v>2022</v>
      </c>
      <c r="B211" s="124" t="s">
        <v>146</v>
      </c>
      <c r="C211" s="79" t="s">
        <v>49</v>
      </c>
      <c r="D211" s="79" t="s">
        <v>216</v>
      </c>
      <c r="E211" s="15" t="s">
        <v>24</v>
      </c>
      <c r="F211" s="104">
        <v>82202</v>
      </c>
      <c r="G211" s="9" t="s">
        <v>50</v>
      </c>
      <c r="H211" s="141">
        <v>0</v>
      </c>
      <c r="I211" s="136">
        <v>0</v>
      </c>
      <c r="J211" s="136">
        <v>0</v>
      </c>
      <c r="K211" s="147">
        <v>0</v>
      </c>
      <c r="L211" s="142">
        <v>9.2066239999999997</v>
      </c>
    </row>
    <row r="212" spans="1:12" x14ac:dyDescent="0.3">
      <c r="A212" s="10">
        <v>2022</v>
      </c>
      <c r="B212" s="124" t="s">
        <v>146</v>
      </c>
      <c r="C212" s="79" t="s">
        <v>49</v>
      </c>
      <c r="D212" s="79" t="s">
        <v>217</v>
      </c>
      <c r="E212" s="79" t="s">
        <v>51</v>
      </c>
      <c r="F212" s="104">
        <v>11400</v>
      </c>
      <c r="G212" s="9" t="s">
        <v>50</v>
      </c>
      <c r="H212" s="141">
        <v>0</v>
      </c>
      <c r="I212" s="136">
        <v>0</v>
      </c>
      <c r="J212" s="136">
        <v>0</v>
      </c>
      <c r="K212" s="147">
        <v>0</v>
      </c>
      <c r="L212" s="142">
        <v>1.2767999999999999</v>
      </c>
    </row>
    <row r="213" spans="1:12" x14ac:dyDescent="0.3">
      <c r="A213" s="10">
        <v>2022</v>
      </c>
      <c r="B213" s="124" t="s">
        <v>146</v>
      </c>
      <c r="C213" s="79" t="s">
        <v>49</v>
      </c>
      <c r="D213" s="79" t="s">
        <v>218</v>
      </c>
      <c r="E213" s="79" t="s">
        <v>51</v>
      </c>
      <c r="F213" s="104">
        <v>15390</v>
      </c>
      <c r="G213" s="9" t="s">
        <v>50</v>
      </c>
      <c r="H213" s="141">
        <v>0</v>
      </c>
      <c r="I213" s="136">
        <v>0</v>
      </c>
      <c r="J213" s="136">
        <v>0</v>
      </c>
      <c r="K213" s="147">
        <v>0</v>
      </c>
      <c r="L213" s="142">
        <v>1.7236800000000001</v>
      </c>
    </row>
    <row r="214" spans="1:12" x14ac:dyDescent="0.3">
      <c r="A214" s="10">
        <v>2022</v>
      </c>
      <c r="B214" s="124" t="s">
        <v>146</v>
      </c>
      <c r="C214" s="79" t="s">
        <v>49</v>
      </c>
      <c r="D214" s="79" t="s">
        <v>219</v>
      </c>
      <c r="E214" s="79" t="s">
        <v>51</v>
      </c>
      <c r="F214" s="104">
        <v>14250</v>
      </c>
      <c r="G214" s="9" t="s">
        <v>50</v>
      </c>
      <c r="H214" s="141">
        <v>0</v>
      </c>
      <c r="I214" s="136">
        <v>0</v>
      </c>
      <c r="J214" s="136">
        <v>0</v>
      </c>
      <c r="K214" s="147">
        <v>0</v>
      </c>
      <c r="L214" s="142">
        <v>1.5960000000000001</v>
      </c>
    </row>
    <row r="215" spans="1:12" x14ac:dyDescent="0.3">
      <c r="A215" s="10">
        <v>2022</v>
      </c>
      <c r="B215" s="124" t="s">
        <v>146</v>
      </c>
      <c r="C215" s="79" t="s">
        <v>49</v>
      </c>
      <c r="D215" s="79" t="s">
        <v>220</v>
      </c>
      <c r="E215" s="79" t="s">
        <v>51</v>
      </c>
      <c r="F215" s="104">
        <v>14250</v>
      </c>
      <c r="G215" s="9" t="s">
        <v>50</v>
      </c>
      <c r="H215" s="141">
        <v>0</v>
      </c>
      <c r="I215" s="136">
        <v>0</v>
      </c>
      <c r="J215" s="136">
        <v>0</v>
      </c>
      <c r="K215" s="147">
        <v>0</v>
      </c>
      <c r="L215" s="142">
        <v>1.5960000000000001</v>
      </c>
    </row>
    <row r="216" spans="1:12" x14ac:dyDescent="0.3">
      <c r="A216" s="10">
        <v>2022</v>
      </c>
      <c r="B216" s="124" t="s">
        <v>146</v>
      </c>
      <c r="C216" s="79" t="s">
        <v>49</v>
      </c>
      <c r="D216" s="79" t="s">
        <v>221</v>
      </c>
      <c r="E216" s="79" t="s">
        <v>51</v>
      </c>
      <c r="F216" s="104">
        <v>13110</v>
      </c>
      <c r="G216" s="9" t="s">
        <v>50</v>
      </c>
      <c r="H216" s="141">
        <v>0</v>
      </c>
      <c r="I216" s="136">
        <v>0</v>
      </c>
      <c r="J216" s="136">
        <v>0</v>
      </c>
      <c r="K216" s="147">
        <v>0</v>
      </c>
      <c r="L216" s="142">
        <v>1.4683199999999998</v>
      </c>
    </row>
    <row r="217" spans="1:12" x14ac:dyDescent="0.3">
      <c r="A217" s="10">
        <v>2022</v>
      </c>
      <c r="B217" s="124" t="s">
        <v>146</v>
      </c>
      <c r="C217" s="79" t="s">
        <v>49</v>
      </c>
      <c r="D217" s="79" t="s">
        <v>222</v>
      </c>
      <c r="E217" s="79" t="s">
        <v>51</v>
      </c>
      <c r="F217" s="104">
        <v>15390</v>
      </c>
      <c r="G217" s="9" t="s">
        <v>50</v>
      </c>
      <c r="H217" s="141">
        <v>0</v>
      </c>
      <c r="I217" s="136">
        <v>0</v>
      </c>
      <c r="J217" s="136">
        <v>0</v>
      </c>
      <c r="K217" s="147">
        <v>0</v>
      </c>
      <c r="L217" s="142">
        <v>1.7236800000000001</v>
      </c>
    </row>
    <row r="218" spans="1:12" x14ac:dyDescent="0.3">
      <c r="A218" s="10">
        <v>2022</v>
      </c>
      <c r="B218" s="124" t="s">
        <v>146</v>
      </c>
      <c r="C218" s="79" t="s">
        <v>49</v>
      </c>
      <c r="D218" s="79" t="s">
        <v>223</v>
      </c>
      <c r="E218" s="79" t="s">
        <v>51</v>
      </c>
      <c r="F218" s="104">
        <v>14431</v>
      </c>
      <c r="G218" s="9" t="s">
        <v>50</v>
      </c>
      <c r="H218" s="141">
        <v>0</v>
      </c>
      <c r="I218" s="136">
        <v>0</v>
      </c>
      <c r="J218" s="136">
        <v>0</v>
      </c>
      <c r="K218" s="147">
        <v>0</v>
      </c>
      <c r="L218" s="142">
        <v>1.6162719999999999</v>
      </c>
    </row>
    <row r="219" spans="1:12" x14ac:dyDescent="0.3">
      <c r="A219" s="10">
        <v>2022</v>
      </c>
      <c r="B219" s="124" t="s">
        <v>146</v>
      </c>
      <c r="C219" s="79" t="s">
        <v>49</v>
      </c>
      <c r="D219" s="79" t="s">
        <v>224</v>
      </c>
      <c r="E219" s="79" t="s">
        <v>51</v>
      </c>
      <c r="F219" s="104">
        <v>16753</v>
      </c>
      <c r="G219" s="9" t="s">
        <v>50</v>
      </c>
      <c r="H219" s="141">
        <v>0</v>
      </c>
      <c r="I219" s="136">
        <v>0</v>
      </c>
      <c r="J219" s="136">
        <v>0</v>
      </c>
      <c r="K219" s="147">
        <v>0</v>
      </c>
      <c r="L219" s="142">
        <v>1.876336</v>
      </c>
    </row>
    <row r="220" spans="1:12" x14ac:dyDescent="0.3">
      <c r="A220" s="10">
        <v>2022</v>
      </c>
      <c r="B220" s="124" t="s">
        <v>146</v>
      </c>
      <c r="C220" s="79" t="s">
        <v>49</v>
      </c>
      <c r="D220" s="79" t="s">
        <v>225</v>
      </c>
      <c r="E220" s="79" t="s">
        <v>51</v>
      </c>
      <c r="F220" s="104">
        <v>14820</v>
      </c>
      <c r="G220" s="9" t="s">
        <v>50</v>
      </c>
      <c r="H220" s="141">
        <v>0</v>
      </c>
      <c r="I220" s="136">
        <v>0</v>
      </c>
      <c r="J220" s="136">
        <v>0</v>
      </c>
      <c r="K220" s="147">
        <v>0</v>
      </c>
      <c r="L220" s="142">
        <v>1.6598400000000002</v>
      </c>
    </row>
    <row r="221" spans="1:12" x14ac:dyDescent="0.3">
      <c r="A221" s="10">
        <v>2022</v>
      </c>
      <c r="B221" s="124" t="s">
        <v>146</v>
      </c>
      <c r="C221" s="79" t="s">
        <v>49</v>
      </c>
      <c r="D221" s="79" t="s">
        <v>226</v>
      </c>
      <c r="E221" s="79" t="s">
        <v>51</v>
      </c>
      <c r="F221" s="104">
        <v>18240</v>
      </c>
      <c r="G221" s="9" t="s">
        <v>50</v>
      </c>
      <c r="H221" s="141">
        <v>0</v>
      </c>
      <c r="I221" s="136">
        <v>0</v>
      </c>
      <c r="J221" s="136">
        <v>0</v>
      </c>
      <c r="K221" s="147">
        <v>0</v>
      </c>
      <c r="L221" s="142">
        <v>2.0428799999999998</v>
      </c>
    </row>
    <row r="222" spans="1:12" x14ac:dyDescent="0.3">
      <c r="A222" s="10">
        <v>2022</v>
      </c>
      <c r="B222" s="124" t="s">
        <v>146</v>
      </c>
      <c r="C222" s="79" t="s">
        <v>49</v>
      </c>
      <c r="D222" s="79" t="s">
        <v>227</v>
      </c>
      <c r="E222" s="79" t="s">
        <v>51</v>
      </c>
      <c r="F222" s="104">
        <v>15960</v>
      </c>
      <c r="G222" s="9" t="s">
        <v>50</v>
      </c>
      <c r="H222" s="141">
        <v>0</v>
      </c>
      <c r="I222" s="136">
        <v>0</v>
      </c>
      <c r="J222" s="136">
        <v>0</v>
      </c>
      <c r="K222" s="147">
        <v>0</v>
      </c>
      <c r="L222" s="142">
        <v>1.78752</v>
      </c>
    </row>
    <row r="223" spans="1:12" x14ac:dyDescent="0.3">
      <c r="A223" s="10">
        <v>2022</v>
      </c>
      <c r="B223" s="124" t="s">
        <v>146</v>
      </c>
      <c r="C223" s="79" t="s">
        <v>49</v>
      </c>
      <c r="D223" s="79" t="s">
        <v>228</v>
      </c>
      <c r="E223" s="79" t="s">
        <v>51</v>
      </c>
      <c r="F223" s="104">
        <v>14820</v>
      </c>
      <c r="G223" s="9" t="s">
        <v>50</v>
      </c>
      <c r="H223" s="141">
        <v>0</v>
      </c>
      <c r="I223" s="136">
        <v>0</v>
      </c>
      <c r="J223" s="136">
        <v>0</v>
      </c>
      <c r="K223" s="147">
        <v>0</v>
      </c>
      <c r="L223" s="142">
        <v>1.6598400000000002</v>
      </c>
    </row>
    <row r="224" spans="1:12" x14ac:dyDescent="0.3">
      <c r="A224" s="10">
        <v>2022</v>
      </c>
      <c r="B224" s="124" t="s">
        <v>146</v>
      </c>
      <c r="C224" s="79" t="s">
        <v>49</v>
      </c>
      <c r="D224" s="79" t="s">
        <v>249</v>
      </c>
      <c r="E224" s="79" t="s">
        <v>46</v>
      </c>
      <c r="F224" s="104">
        <v>250</v>
      </c>
      <c r="G224" s="9" t="s">
        <v>50</v>
      </c>
      <c r="H224" s="141">
        <v>0</v>
      </c>
      <c r="I224" s="136">
        <v>0</v>
      </c>
      <c r="J224" s="136">
        <v>0</v>
      </c>
      <c r="K224" s="147">
        <v>0</v>
      </c>
      <c r="L224" s="142">
        <v>2.8000000000000001E-2</v>
      </c>
    </row>
    <row r="225" spans="1:12" x14ac:dyDescent="0.3">
      <c r="A225" s="10">
        <v>2022</v>
      </c>
      <c r="B225" s="124" t="s">
        <v>146</v>
      </c>
      <c r="C225" s="79" t="s">
        <v>49</v>
      </c>
      <c r="D225" s="79" t="s">
        <v>250</v>
      </c>
      <c r="E225" s="79" t="s">
        <v>46</v>
      </c>
      <c r="F225" s="104">
        <v>225</v>
      </c>
      <c r="G225" s="9" t="s">
        <v>50</v>
      </c>
      <c r="H225" s="141">
        <v>0</v>
      </c>
      <c r="I225" s="136">
        <v>0</v>
      </c>
      <c r="J225" s="136">
        <v>0</v>
      </c>
      <c r="K225" s="147">
        <v>0</v>
      </c>
      <c r="L225" s="142">
        <v>2.52E-2</v>
      </c>
    </row>
    <row r="226" spans="1:12" x14ac:dyDescent="0.3">
      <c r="A226" s="10">
        <v>2022</v>
      </c>
      <c r="B226" s="124" t="s">
        <v>146</v>
      </c>
      <c r="C226" s="79" t="s">
        <v>49</v>
      </c>
      <c r="D226" s="79" t="s">
        <v>251</v>
      </c>
      <c r="E226" s="79" t="s">
        <v>46</v>
      </c>
      <c r="F226" s="104">
        <v>213</v>
      </c>
      <c r="G226" s="9" t="s">
        <v>50</v>
      </c>
      <c r="H226" s="141">
        <v>0</v>
      </c>
      <c r="I226" s="136">
        <v>0</v>
      </c>
      <c r="J226" s="136">
        <v>0</v>
      </c>
      <c r="K226" s="147">
        <v>0</v>
      </c>
      <c r="L226" s="142">
        <v>2.3855999999999999E-2</v>
      </c>
    </row>
    <row r="227" spans="1:12" x14ac:dyDescent="0.3">
      <c r="A227" s="10">
        <v>2022</v>
      </c>
      <c r="B227" s="124" t="s">
        <v>146</v>
      </c>
      <c r="C227" s="79" t="s">
        <v>49</v>
      </c>
      <c r="D227" s="79" t="s">
        <v>252</v>
      </c>
      <c r="E227" s="79" t="s">
        <v>46</v>
      </c>
      <c r="F227" s="104">
        <v>156</v>
      </c>
      <c r="G227" s="9" t="s">
        <v>50</v>
      </c>
      <c r="H227" s="141">
        <v>0</v>
      </c>
      <c r="I227" s="136">
        <v>0</v>
      </c>
      <c r="J227" s="136">
        <v>0</v>
      </c>
      <c r="K227" s="147">
        <v>0</v>
      </c>
      <c r="L227" s="142">
        <v>1.7472000000000001E-2</v>
      </c>
    </row>
    <row r="228" spans="1:12" x14ac:dyDescent="0.3">
      <c r="A228" s="10">
        <v>2022</v>
      </c>
      <c r="B228" s="124" t="s">
        <v>146</v>
      </c>
      <c r="C228" s="79" t="s">
        <v>49</v>
      </c>
      <c r="D228" s="79" t="s">
        <v>253</v>
      </c>
      <c r="E228" s="79" t="s">
        <v>46</v>
      </c>
      <c r="F228" s="104">
        <v>203</v>
      </c>
      <c r="G228" s="9" t="s">
        <v>50</v>
      </c>
      <c r="H228" s="141">
        <v>0</v>
      </c>
      <c r="I228" s="136">
        <v>0</v>
      </c>
      <c r="J228" s="136">
        <v>0</v>
      </c>
      <c r="K228" s="147">
        <v>0</v>
      </c>
      <c r="L228" s="142">
        <v>2.2735999999999999E-2</v>
      </c>
    </row>
    <row r="229" spans="1:12" x14ac:dyDescent="0.3">
      <c r="A229" s="10">
        <v>2022</v>
      </c>
      <c r="B229" s="124" t="s">
        <v>146</v>
      </c>
      <c r="C229" s="79" t="s">
        <v>49</v>
      </c>
      <c r="D229" s="79" t="s">
        <v>254</v>
      </c>
      <c r="E229" s="79" t="s">
        <v>46</v>
      </c>
      <c r="F229" s="104">
        <v>375</v>
      </c>
      <c r="G229" s="9" t="s">
        <v>50</v>
      </c>
      <c r="H229" s="141">
        <v>0</v>
      </c>
      <c r="I229" s="136">
        <v>0</v>
      </c>
      <c r="J229" s="136">
        <v>0</v>
      </c>
      <c r="K229" s="147">
        <v>0</v>
      </c>
      <c r="L229" s="142">
        <v>4.2000000000000003E-2</v>
      </c>
    </row>
    <row r="230" spans="1:12" x14ac:dyDescent="0.3">
      <c r="A230" s="10">
        <v>2022</v>
      </c>
      <c r="B230" s="124" t="s">
        <v>146</v>
      </c>
      <c r="C230" s="79" t="s">
        <v>49</v>
      </c>
      <c r="D230" s="79" t="s">
        <v>255</v>
      </c>
      <c r="E230" s="79" t="s">
        <v>46</v>
      </c>
      <c r="F230" s="104">
        <v>438</v>
      </c>
      <c r="G230" s="9" t="s">
        <v>50</v>
      </c>
      <c r="H230" s="141">
        <v>0</v>
      </c>
      <c r="I230" s="136">
        <v>0</v>
      </c>
      <c r="J230" s="136">
        <v>0</v>
      </c>
      <c r="K230" s="147">
        <v>0</v>
      </c>
      <c r="L230" s="142">
        <v>4.9055999999999995E-2</v>
      </c>
    </row>
    <row r="231" spans="1:12" x14ac:dyDescent="0.3">
      <c r="A231" s="10">
        <v>2022</v>
      </c>
      <c r="B231" s="124" t="s">
        <v>146</v>
      </c>
      <c r="C231" s="79" t="s">
        <v>49</v>
      </c>
      <c r="D231" s="79" t="s">
        <v>256</v>
      </c>
      <c r="E231" s="79" t="s">
        <v>46</v>
      </c>
      <c r="F231" s="104">
        <v>447</v>
      </c>
      <c r="G231" s="9" t="s">
        <v>50</v>
      </c>
      <c r="H231" s="141">
        <v>0</v>
      </c>
      <c r="I231" s="136">
        <v>0</v>
      </c>
      <c r="J231" s="136">
        <v>0</v>
      </c>
      <c r="K231" s="147">
        <v>0</v>
      </c>
      <c r="L231" s="142">
        <v>5.0063999999999997E-2</v>
      </c>
    </row>
    <row r="232" spans="1:12" x14ac:dyDescent="0.3">
      <c r="A232" s="10">
        <v>2022</v>
      </c>
      <c r="B232" s="124" t="s">
        <v>146</v>
      </c>
      <c r="C232" s="79" t="s">
        <v>49</v>
      </c>
      <c r="D232" s="79" t="s">
        <v>257</v>
      </c>
      <c r="E232" s="79" t="s">
        <v>46</v>
      </c>
      <c r="F232" s="104">
        <v>388</v>
      </c>
      <c r="G232" s="9" t="s">
        <v>50</v>
      </c>
      <c r="H232" s="141">
        <v>0</v>
      </c>
      <c r="I232" s="136">
        <v>0</v>
      </c>
      <c r="J232" s="136">
        <v>0</v>
      </c>
      <c r="K232" s="147">
        <v>0</v>
      </c>
      <c r="L232" s="142">
        <v>4.3456000000000002E-2</v>
      </c>
    </row>
    <row r="233" spans="1:12" x14ac:dyDescent="0.3">
      <c r="A233" s="10">
        <v>2022</v>
      </c>
      <c r="B233" s="124" t="s">
        <v>146</v>
      </c>
      <c r="C233" s="79" t="s">
        <v>49</v>
      </c>
      <c r="D233" s="79" t="s">
        <v>258</v>
      </c>
      <c r="E233" s="79" t="s">
        <v>46</v>
      </c>
      <c r="F233" s="104">
        <v>411</v>
      </c>
      <c r="G233" s="9" t="s">
        <v>50</v>
      </c>
      <c r="H233" s="141">
        <v>0</v>
      </c>
      <c r="I233" s="136">
        <v>0</v>
      </c>
      <c r="J233" s="136">
        <v>0</v>
      </c>
      <c r="K233" s="147">
        <v>0</v>
      </c>
      <c r="L233" s="142">
        <v>4.6031999999999997E-2</v>
      </c>
    </row>
    <row r="234" spans="1:12" x14ac:dyDescent="0.3">
      <c r="A234" s="10">
        <v>2022</v>
      </c>
      <c r="B234" s="124" t="s">
        <v>146</v>
      </c>
      <c r="C234" s="79" t="s">
        <v>49</v>
      </c>
      <c r="D234" s="79" t="s">
        <v>259</v>
      </c>
      <c r="E234" s="79" t="s">
        <v>46</v>
      </c>
      <c r="F234" s="104">
        <v>579</v>
      </c>
      <c r="G234" s="9" t="s">
        <v>50</v>
      </c>
      <c r="H234" s="141">
        <v>0</v>
      </c>
      <c r="I234" s="136">
        <v>0</v>
      </c>
      <c r="J234" s="136">
        <v>0</v>
      </c>
      <c r="K234" s="147">
        <v>0</v>
      </c>
      <c r="L234" s="142">
        <v>6.4848000000000003E-2</v>
      </c>
    </row>
    <row r="235" spans="1:12" x14ac:dyDescent="0.3">
      <c r="A235" s="10">
        <v>2022</v>
      </c>
      <c r="B235" s="124" t="s">
        <v>146</v>
      </c>
      <c r="C235" s="79" t="s">
        <v>49</v>
      </c>
      <c r="D235" s="79" t="s">
        <v>260</v>
      </c>
      <c r="E235" s="79" t="s">
        <v>46</v>
      </c>
      <c r="F235" s="104">
        <v>608</v>
      </c>
      <c r="G235" s="9" t="s">
        <v>50</v>
      </c>
      <c r="H235" s="141">
        <v>0</v>
      </c>
      <c r="I235" s="136">
        <v>0</v>
      </c>
      <c r="J235" s="136">
        <v>0</v>
      </c>
      <c r="K235" s="147">
        <v>0</v>
      </c>
      <c r="L235" s="142">
        <v>6.8096000000000004E-2</v>
      </c>
    </row>
    <row r="236" spans="1:12" x14ac:dyDescent="0.3">
      <c r="A236" s="10">
        <v>2022</v>
      </c>
      <c r="B236" s="124" t="s">
        <v>146</v>
      </c>
      <c r="C236" s="79" t="s">
        <v>49</v>
      </c>
      <c r="D236" s="79" t="s">
        <v>261</v>
      </c>
      <c r="E236" s="79" t="s">
        <v>46</v>
      </c>
      <c r="F236" s="104">
        <v>161</v>
      </c>
      <c r="G236" s="9" t="s">
        <v>50</v>
      </c>
      <c r="H236" s="141">
        <v>0</v>
      </c>
      <c r="I236" s="136">
        <v>0</v>
      </c>
      <c r="J236" s="136">
        <v>0</v>
      </c>
      <c r="K236" s="147">
        <v>0</v>
      </c>
      <c r="L236" s="142">
        <v>1.8031999999999999E-2</v>
      </c>
    </row>
    <row r="237" spans="1:12" x14ac:dyDescent="0.3">
      <c r="A237" s="10">
        <v>2022</v>
      </c>
      <c r="B237" s="124" t="s">
        <v>146</v>
      </c>
      <c r="C237" s="79" t="s">
        <v>49</v>
      </c>
      <c r="D237" s="79" t="s">
        <v>262</v>
      </c>
      <c r="E237" s="79" t="s">
        <v>46</v>
      </c>
      <c r="F237" s="104">
        <v>129</v>
      </c>
      <c r="G237" s="9" t="s">
        <v>50</v>
      </c>
      <c r="H237" s="141">
        <v>0</v>
      </c>
      <c r="I237" s="136">
        <v>0</v>
      </c>
      <c r="J237" s="136">
        <v>0</v>
      </c>
      <c r="K237" s="147">
        <v>0</v>
      </c>
      <c r="L237" s="142">
        <v>1.4448000000000001E-2</v>
      </c>
    </row>
    <row r="238" spans="1:12" x14ac:dyDescent="0.3">
      <c r="A238" s="10">
        <v>2022</v>
      </c>
      <c r="B238" s="124" t="s">
        <v>146</v>
      </c>
      <c r="C238" s="79" t="s">
        <v>49</v>
      </c>
      <c r="D238" s="79" t="s">
        <v>263</v>
      </c>
      <c r="E238" s="79" t="s">
        <v>46</v>
      </c>
      <c r="F238" s="104">
        <v>174</v>
      </c>
      <c r="G238" s="9" t="s">
        <v>50</v>
      </c>
      <c r="H238" s="141">
        <v>0</v>
      </c>
      <c r="I238" s="136">
        <v>0</v>
      </c>
      <c r="J238" s="136">
        <v>0</v>
      </c>
      <c r="K238" s="147">
        <v>0</v>
      </c>
      <c r="L238" s="142">
        <v>1.9487999999999998E-2</v>
      </c>
    </row>
    <row r="239" spans="1:12" x14ac:dyDescent="0.3">
      <c r="A239" s="10">
        <v>2022</v>
      </c>
      <c r="B239" s="124" t="s">
        <v>146</v>
      </c>
      <c r="C239" s="79" t="s">
        <v>49</v>
      </c>
      <c r="D239" s="79" t="s">
        <v>264</v>
      </c>
      <c r="E239" s="79" t="s">
        <v>46</v>
      </c>
      <c r="F239" s="104">
        <v>158</v>
      </c>
      <c r="G239" s="9" t="s">
        <v>50</v>
      </c>
      <c r="H239" s="141">
        <v>0</v>
      </c>
      <c r="I239" s="136">
        <v>0</v>
      </c>
      <c r="J239" s="136">
        <v>0</v>
      </c>
      <c r="K239" s="147">
        <v>0</v>
      </c>
      <c r="L239" s="142">
        <v>1.7696E-2</v>
      </c>
    </row>
    <row r="240" spans="1:12" x14ac:dyDescent="0.3">
      <c r="A240" s="10">
        <v>2022</v>
      </c>
      <c r="B240" s="124" t="s">
        <v>146</v>
      </c>
      <c r="C240" s="79" t="s">
        <v>49</v>
      </c>
      <c r="D240" s="79" t="s">
        <v>265</v>
      </c>
      <c r="E240" s="79" t="s">
        <v>46</v>
      </c>
      <c r="F240" s="104">
        <v>154</v>
      </c>
      <c r="G240" s="9" t="s">
        <v>50</v>
      </c>
      <c r="H240" s="141">
        <v>0</v>
      </c>
      <c r="I240" s="136">
        <v>0</v>
      </c>
      <c r="J240" s="136">
        <v>0</v>
      </c>
      <c r="K240" s="147">
        <v>0</v>
      </c>
      <c r="L240" s="142">
        <v>1.7247999999999999E-2</v>
      </c>
    </row>
    <row r="241" spans="1:12" x14ac:dyDescent="0.3">
      <c r="A241" s="10">
        <v>2022</v>
      </c>
      <c r="B241" s="124" t="s">
        <v>146</v>
      </c>
      <c r="C241" s="79" t="s">
        <v>49</v>
      </c>
      <c r="D241" s="79" t="s">
        <v>266</v>
      </c>
      <c r="E241" s="79" t="s">
        <v>46</v>
      </c>
      <c r="F241" s="104">
        <v>128</v>
      </c>
      <c r="G241" s="9" t="s">
        <v>50</v>
      </c>
      <c r="H241" s="141">
        <v>0</v>
      </c>
      <c r="I241" s="136">
        <v>0</v>
      </c>
      <c r="J241" s="136">
        <v>0</v>
      </c>
      <c r="K241" s="147">
        <v>0</v>
      </c>
      <c r="L241" s="142">
        <v>1.4336E-2</v>
      </c>
    </row>
    <row r="242" spans="1:12" x14ac:dyDescent="0.3">
      <c r="A242" s="10">
        <v>2022</v>
      </c>
      <c r="B242" s="124" t="s">
        <v>146</v>
      </c>
      <c r="C242" s="79" t="s">
        <v>49</v>
      </c>
      <c r="D242" s="79" t="s">
        <v>267</v>
      </c>
      <c r="E242" s="79" t="s">
        <v>46</v>
      </c>
      <c r="F242" s="104">
        <v>110</v>
      </c>
      <c r="G242" s="9" t="s">
        <v>50</v>
      </c>
      <c r="H242" s="141">
        <v>0</v>
      </c>
      <c r="I242" s="136">
        <v>0</v>
      </c>
      <c r="J242" s="136">
        <v>0</v>
      </c>
      <c r="K242" s="147">
        <v>0</v>
      </c>
      <c r="L242" s="142">
        <v>1.2320000000000001E-2</v>
      </c>
    </row>
    <row r="243" spans="1:12" x14ac:dyDescent="0.3">
      <c r="A243" s="10">
        <v>2022</v>
      </c>
      <c r="B243" s="124" t="s">
        <v>146</v>
      </c>
      <c r="C243" s="79" t="s">
        <v>49</v>
      </c>
      <c r="D243" s="79" t="s">
        <v>268</v>
      </c>
      <c r="E243" s="79" t="s">
        <v>46</v>
      </c>
      <c r="F243" s="104">
        <v>129</v>
      </c>
      <c r="G243" s="9" t="s">
        <v>50</v>
      </c>
      <c r="H243" s="141">
        <v>0</v>
      </c>
      <c r="I243" s="136">
        <v>0</v>
      </c>
      <c r="J243" s="136">
        <v>0</v>
      </c>
      <c r="K243" s="147">
        <v>0</v>
      </c>
      <c r="L243" s="142">
        <v>1.4448000000000001E-2</v>
      </c>
    </row>
    <row r="244" spans="1:12" x14ac:dyDescent="0.3">
      <c r="A244" s="10">
        <v>2022</v>
      </c>
      <c r="B244" s="124" t="s">
        <v>146</v>
      </c>
      <c r="C244" s="79" t="s">
        <v>49</v>
      </c>
      <c r="D244" s="79" t="s">
        <v>269</v>
      </c>
      <c r="E244" s="79" t="s">
        <v>46</v>
      </c>
      <c r="F244" s="104">
        <v>109</v>
      </c>
      <c r="G244" s="9" t="s">
        <v>50</v>
      </c>
      <c r="H244" s="141">
        <v>0</v>
      </c>
      <c r="I244" s="136">
        <v>0</v>
      </c>
      <c r="J244" s="136">
        <v>0</v>
      </c>
      <c r="K244" s="147">
        <v>0</v>
      </c>
      <c r="L244" s="142">
        <v>1.2208E-2</v>
      </c>
    </row>
    <row r="245" spans="1:12" x14ac:dyDescent="0.3">
      <c r="A245" s="10">
        <v>2022</v>
      </c>
      <c r="B245" s="124" t="s">
        <v>146</v>
      </c>
      <c r="C245" s="79" t="s">
        <v>49</v>
      </c>
      <c r="D245" s="79" t="s">
        <v>270</v>
      </c>
      <c r="E245" s="79" t="s">
        <v>46</v>
      </c>
      <c r="F245" s="104">
        <v>122</v>
      </c>
      <c r="G245" s="9" t="s">
        <v>50</v>
      </c>
      <c r="H245" s="141">
        <v>0</v>
      </c>
      <c r="I245" s="136">
        <v>0</v>
      </c>
      <c r="J245" s="136">
        <v>0</v>
      </c>
      <c r="K245" s="147">
        <v>0</v>
      </c>
      <c r="L245" s="142">
        <v>1.3663999999999999E-2</v>
      </c>
    </row>
    <row r="246" spans="1:12" x14ac:dyDescent="0.3">
      <c r="A246" s="10">
        <v>2022</v>
      </c>
      <c r="B246" s="124" t="s">
        <v>146</v>
      </c>
      <c r="C246" s="79" t="s">
        <v>49</v>
      </c>
      <c r="D246" s="79" t="s">
        <v>271</v>
      </c>
      <c r="E246" s="79" t="s">
        <v>46</v>
      </c>
      <c r="F246" s="104">
        <v>119</v>
      </c>
      <c r="G246" s="9" t="s">
        <v>50</v>
      </c>
      <c r="H246" s="141">
        <v>0</v>
      </c>
      <c r="I246" s="136">
        <v>0</v>
      </c>
      <c r="J246" s="136">
        <v>0</v>
      </c>
      <c r="K246" s="147">
        <v>0</v>
      </c>
      <c r="L246" s="142">
        <v>1.3328E-2</v>
      </c>
    </row>
    <row r="247" spans="1:12" x14ac:dyDescent="0.3">
      <c r="A247" s="10">
        <v>2022</v>
      </c>
      <c r="B247" s="124" t="s">
        <v>146</v>
      </c>
      <c r="C247" s="79" t="s">
        <v>49</v>
      </c>
      <c r="D247" s="79" t="s">
        <v>272</v>
      </c>
      <c r="E247" s="79" t="s">
        <v>46</v>
      </c>
      <c r="F247" s="104">
        <v>135</v>
      </c>
      <c r="G247" s="9" t="s">
        <v>50</v>
      </c>
      <c r="H247" s="141">
        <v>0</v>
      </c>
      <c r="I247" s="136">
        <v>0</v>
      </c>
      <c r="J247" s="136">
        <v>0</v>
      </c>
      <c r="K247" s="147">
        <v>0</v>
      </c>
      <c r="L247" s="142">
        <v>1.5120000000000001E-2</v>
      </c>
    </row>
    <row r="248" spans="1:12" x14ac:dyDescent="0.3">
      <c r="A248" s="10">
        <v>2022</v>
      </c>
      <c r="B248" s="124" t="s">
        <v>146</v>
      </c>
      <c r="C248" s="79" t="s">
        <v>49</v>
      </c>
      <c r="D248" s="79" t="s">
        <v>273</v>
      </c>
      <c r="E248" s="79" t="s">
        <v>46</v>
      </c>
      <c r="F248" s="104">
        <v>852</v>
      </c>
      <c r="G248" s="9" t="s">
        <v>50</v>
      </c>
      <c r="H248" s="141">
        <v>0</v>
      </c>
      <c r="I248" s="136">
        <v>0</v>
      </c>
      <c r="J248" s="136">
        <v>0</v>
      </c>
      <c r="K248" s="147">
        <v>0</v>
      </c>
      <c r="L248" s="142">
        <v>9.5423999999999995E-2</v>
      </c>
    </row>
    <row r="249" spans="1:12" x14ac:dyDescent="0.3">
      <c r="A249" s="10">
        <v>2022</v>
      </c>
      <c r="B249" s="124" t="s">
        <v>146</v>
      </c>
      <c r="C249" s="79" t="s">
        <v>49</v>
      </c>
      <c r="D249" s="79" t="s">
        <v>274</v>
      </c>
      <c r="E249" s="79" t="s">
        <v>46</v>
      </c>
      <c r="F249" s="104">
        <v>647</v>
      </c>
      <c r="G249" s="9" t="s">
        <v>50</v>
      </c>
      <c r="H249" s="141">
        <v>0</v>
      </c>
      <c r="I249" s="136">
        <v>0</v>
      </c>
      <c r="J249" s="136">
        <v>0</v>
      </c>
      <c r="K249" s="147">
        <v>0</v>
      </c>
      <c r="L249" s="142">
        <v>7.2464000000000001E-2</v>
      </c>
    </row>
    <row r="250" spans="1:12" x14ac:dyDescent="0.3">
      <c r="A250" s="10">
        <v>2022</v>
      </c>
      <c r="B250" s="124" t="s">
        <v>146</v>
      </c>
      <c r="C250" s="79" t="s">
        <v>49</v>
      </c>
      <c r="D250" s="79" t="s">
        <v>275</v>
      </c>
      <c r="E250" s="79" t="s">
        <v>46</v>
      </c>
      <c r="F250" s="104">
        <v>680</v>
      </c>
      <c r="G250" s="9" t="s">
        <v>50</v>
      </c>
      <c r="H250" s="141">
        <v>0</v>
      </c>
      <c r="I250" s="136">
        <v>0</v>
      </c>
      <c r="J250" s="136">
        <v>0</v>
      </c>
      <c r="K250" s="147">
        <v>0</v>
      </c>
      <c r="L250" s="142">
        <v>7.6160000000000005E-2</v>
      </c>
    </row>
    <row r="251" spans="1:12" x14ac:dyDescent="0.3">
      <c r="A251" s="10">
        <v>2022</v>
      </c>
      <c r="B251" s="124" t="s">
        <v>146</v>
      </c>
      <c r="C251" s="79" t="s">
        <v>49</v>
      </c>
      <c r="D251" s="79" t="s">
        <v>276</v>
      </c>
      <c r="E251" s="79" t="s">
        <v>46</v>
      </c>
      <c r="F251" s="104">
        <v>648</v>
      </c>
      <c r="G251" s="9" t="s">
        <v>50</v>
      </c>
      <c r="H251" s="141">
        <v>0</v>
      </c>
      <c r="I251" s="136">
        <v>0</v>
      </c>
      <c r="J251" s="136">
        <v>0</v>
      </c>
      <c r="K251" s="147">
        <v>0</v>
      </c>
      <c r="L251" s="142">
        <v>7.2576000000000002E-2</v>
      </c>
    </row>
    <row r="252" spans="1:12" x14ac:dyDescent="0.3">
      <c r="A252" s="10">
        <v>2022</v>
      </c>
      <c r="B252" s="124" t="s">
        <v>146</v>
      </c>
      <c r="C252" s="79" t="s">
        <v>49</v>
      </c>
      <c r="D252" s="79" t="s">
        <v>277</v>
      </c>
      <c r="E252" s="79" t="s">
        <v>46</v>
      </c>
      <c r="F252" s="104">
        <v>649</v>
      </c>
      <c r="G252" s="9" t="s">
        <v>50</v>
      </c>
      <c r="H252" s="141">
        <v>0</v>
      </c>
      <c r="I252" s="136">
        <v>0</v>
      </c>
      <c r="J252" s="136">
        <v>0</v>
      </c>
      <c r="K252" s="147">
        <v>0</v>
      </c>
      <c r="L252" s="142">
        <v>7.2688000000000003E-2</v>
      </c>
    </row>
    <row r="253" spans="1:12" x14ac:dyDescent="0.3">
      <c r="A253" s="10">
        <v>2022</v>
      </c>
      <c r="B253" s="124" t="s">
        <v>146</v>
      </c>
      <c r="C253" s="79" t="s">
        <v>49</v>
      </c>
      <c r="D253" s="79" t="s">
        <v>278</v>
      </c>
      <c r="E253" s="79" t="s">
        <v>46</v>
      </c>
      <c r="F253" s="104">
        <v>680</v>
      </c>
      <c r="G253" s="9" t="s">
        <v>50</v>
      </c>
      <c r="H253" s="141">
        <v>0</v>
      </c>
      <c r="I253" s="136">
        <v>0</v>
      </c>
      <c r="J253" s="136">
        <v>0</v>
      </c>
      <c r="K253" s="147">
        <v>0</v>
      </c>
      <c r="L253" s="142">
        <v>7.6160000000000005E-2</v>
      </c>
    </row>
    <row r="254" spans="1:12" x14ac:dyDescent="0.3">
      <c r="A254" s="10">
        <v>2022</v>
      </c>
      <c r="B254" s="124" t="s">
        <v>146</v>
      </c>
      <c r="C254" s="79" t="s">
        <v>49</v>
      </c>
      <c r="D254" s="79" t="s">
        <v>279</v>
      </c>
      <c r="E254" s="79" t="s">
        <v>46</v>
      </c>
      <c r="F254" s="104">
        <v>559</v>
      </c>
      <c r="G254" s="9" t="s">
        <v>50</v>
      </c>
      <c r="H254" s="141">
        <v>0</v>
      </c>
      <c r="I254" s="136">
        <v>0</v>
      </c>
      <c r="J254" s="136">
        <v>0</v>
      </c>
      <c r="K254" s="147">
        <v>0</v>
      </c>
      <c r="L254" s="142">
        <v>6.2608000000000011E-2</v>
      </c>
    </row>
    <row r="255" spans="1:12" x14ac:dyDescent="0.3">
      <c r="A255" s="10">
        <v>2022</v>
      </c>
      <c r="B255" s="124" t="s">
        <v>146</v>
      </c>
      <c r="C255" s="79" t="s">
        <v>49</v>
      </c>
      <c r="D255" s="79" t="s">
        <v>280</v>
      </c>
      <c r="E255" s="79" t="s">
        <v>46</v>
      </c>
      <c r="F255" s="104">
        <v>583</v>
      </c>
      <c r="G255" s="9" t="s">
        <v>50</v>
      </c>
      <c r="H255" s="141">
        <v>0</v>
      </c>
      <c r="I255" s="136">
        <v>0</v>
      </c>
      <c r="J255" s="136">
        <v>0</v>
      </c>
      <c r="K255" s="147">
        <v>0</v>
      </c>
      <c r="L255" s="142">
        <v>6.5295999999999993E-2</v>
      </c>
    </row>
    <row r="256" spans="1:12" x14ac:dyDescent="0.3">
      <c r="A256" s="10">
        <v>2022</v>
      </c>
      <c r="B256" s="124" t="s">
        <v>146</v>
      </c>
      <c r="C256" s="79" t="s">
        <v>49</v>
      </c>
      <c r="D256" s="79" t="s">
        <v>281</v>
      </c>
      <c r="E256" s="79" t="s">
        <v>46</v>
      </c>
      <c r="F256" s="104">
        <v>507</v>
      </c>
      <c r="G256" s="9" t="s">
        <v>50</v>
      </c>
      <c r="H256" s="141">
        <v>0</v>
      </c>
      <c r="I256" s="136">
        <v>0</v>
      </c>
      <c r="J256" s="136">
        <v>0</v>
      </c>
      <c r="K256" s="147">
        <v>0</v>
      </c>
      <c r="L256" s="142">
        <v>5.6784000000000001E-2</v>
      </c>
    </row>
    <row r="257" spans="1:12" x14ac:dyDescent="0.3">
      <c r="A257" s="10">
        <v>2022</v>
      </c>
      <c r="B257" s="124" t="s">
        <v>146</v>
      </c>
      <c r="C257" s="79" t="s">
        <v>49</v>
      </c>
      <c r="D257" s="79" t="s">
        <v>282</v>
      </c>
      <c r="E257" s="79" t="s">
        <v>46</v>
      </c>
      <c r="F257" s="104">
        <v>530</v>
      </c>
      <c r="G257" s="9" t="s">
        <v>50</v>
      </c>
      <c r="H257" s="141">
        <v>0</v>
      </c>
      <c r="I257" s="136">
        <v>0</v>
      </c>
      <c r="J257" s="136">
        <v>0</v>
      </c>
      <c r="K257" s="147">
        <v>0</v>
      </c>
      <c r="L257" s="142">
        <v>5.9359999999999996E-2</v>
      </c>
    </row>
    <row r="258" spans="1:12" x14ac:dyDescent="0.3">
      <c r="A258" s="10">
        <v>2022</v>
      </c>
      <c r="B258" s="124" t="s">
        <v>146</v>
      </c>
      <c r="C258" s="79" t="s">
        <v>49</v>
      </c>
      <c r="D258" s="79" t="s">
        <v>283</v>
      </c>
      <c r="E258" s="79" t="s">
        <v>46</v>
      </c>
      <c r="F258" s="104">
        <v>552</v>
      </c>
      <c r="G258" s="9" t="s">
        <v>50</v>
      </c>
      <c r="H258" s="141">
        <v>0</v>
      </c>
      <c r="I258" s="136">
        <v>0</v>
      </c>
      <c r="J258" s="136">
        <v>0</v>
      </c>
      <c r="K258" s="147">
        <v>0</v>
      </c>
      <c r="L258" s="142">
        <v>6.1824000000000004E-2</v>
      </c>
    </row>
    <row r="259" spans="1:12" x14ac:dyDescent="0.3">
      <c r="A259" s="10">
        <v>2022</v>
      </c>
      <c r="B259" s="124" t="s">
        <v>146</v>
      </c>
      <c r="C259" s="79" t="s">
        <v>49</v>
      </c>
      <c r="D259" s="79" t="s">
        <v>284</v>
      </c>
      <c r="E259" s="79" t="s">
        <v>46</v>
      </c>
      <c r="F259" s="104">
        <v>525</v>
      </c>
      <c r="G259" s="9" t="s">
        <v>50</v>
      </c>
      <c r="H259" s="141">
        <v>0</v>
      </c>
      <c r="I259" s="136">
        <v>0</v>
      </c>
      <c r="J259" s="136">
        <v>0</v>
      </c>
      <c r="K259" s="147">
        <v>0</v>
      </c>
      <c r="L259" s="142">
        <v>5.8800000000000005E-2</v>
      </c>
    </row>
    <row r="260" spans="1:12" x14ac:dyDescent="0.3">
      <c r="A260" s="10">
        <v>2022</v>
      </c>
      <c r="B260" s="124" t="s">
        <v>146</v>
      </c>
      <c r="C260" s="79" t="s">
        <v>49</v>
      </c>
      <c r="D260" s="79" t="s">
        <v>285</v>
      </c>
      <c r="E260" s="79" t="s">
        <v>46</v>
      </c>
      <c r="F260" s="104">
        <v>943</v>
      </c>
      <c r="G260" s="9" t="s">
        <v>50</v>
      </c>
      <c r="H260" s="141">
        <v>0</v>
      </c>
      <c r="I260" s="136">
        <v>0</v>
      </c>
      <c r="J260" s="136">
        <v>0</v>
      </c>
      <c r="K260" s="147">
        <v>0</v>
      </c>
      <c r="L260" s="142">
        <v>0.105616</v>
      </c>
    </row>
    <row r="261" spans="1:12" x14ac:dyDescent="0.3">
      <c r="A261" s="10">
        <v>2022</v>
      </c>
      <c r="B261" s="124" t="s">
        <v>146</v>
      </c>
      <c r="C261" s="79" t="s">
        <v>49</v>
      </c>
      <c r="D261" s="79" t="s">
        <v>286</v>
      </c>
      <c r="E261" s="79" t="s">
        <v>46</v>
      </c>
      <c r="F261" s="104">
        <v>851</v>
      </c>
      <c r="G261" s="9" t="s">
        <v>50</v>
      </c>
      <c r="H261" s="141">
        <v>0</v>
      </c>
      <c r="I261" s="136">
        <v>0</v>
      </c>
      <c r="J261" s="136">
        <v>0</v>
      </c>
      <c r="K261" s="147">
        <v>0</v>
      </c>
      <c r="L261" s="142">
        <v>9.5311999999999994E-2</v>
      </c>
    </row>
    <row r="262" spans="1:12" x14ac:dyDescent="0.3">
      <c r="A262" s="10">
        <v>2022</v>
      </c>
      <c r="B262" s="124" t="s">
        <v>146</v>
      </c>
      <c r="C262" s="79" t="s">
        <v>49</v>
      </c>
      <c r="D262" s="79" t="s">
        <v>287</v>
      </c>
      <c r="E262" s="79" t="s">
        <v>46</v>
      </c>
      <c r="F262" s="104">
        <v>952</v>
      </c>
      <c r="G262" s="9" t="s">
        <v>50</v>
      </c>
      <c r="H262" s="141">
        <v>0</v>
      </c>
      <c r="I262" s="136">
        <v>0</v>
      </c>
      <c r="J262" s="136">
        <v>0</v>
      </c>
      <c r="K262" s="147">
        <v>0</v>
      </c>
      <c r="L262" s="142">
        <v>0.106624</v>
      </c>
    </row>
    <row r="263" spans="1:12" x14ac:dyDescent="0.3">
      <c r="A263" s="10">
        <v>2022</v>
      </c>
      <c r="B263" s="124" t="s">
        <v>146</v>
      </c>
      <c r="C263" s="79" t="s">
        <v>49</v>
      </c>
      <c r="D263" s="79" t="s">
        <v>288</v>
      </c>
      <c r="E263" s="79" t="s">
        <v>46</v>
      </c>
      <c r="F263" s="104">
        <v>922</v>
      </c>
      <c r="G263" s="9" t="s">
        <v>50</v>
      </c>
      <c r="H263" s="141">
        <v>0</v>
      </c>
      <c r="I263" s="136">
        <v>0</v>
      </c>
      <c r="J263" s="136">
        <v>0</v>
      </c>
      <c r="K263" s="147">
        <v>0</v>
      </c>
      <c r="L263" s="142">
        <v>0.10326400000000001</v>
      </c>
    </row>
    <row r="264" spans="1:12" x14ac:dyDescent="0.3">
      <c r="A264" s="10">
        <v>2022</v>
      </c>
      <c r="B264" s="124" t="s">
        <v>146</v>
      </c>
      <c r="C264" s="79" t="s">
        <v>49</v>
      </c>
      <c r="D264" s="79" t="s">
        <v>289</v>
      </c>
      <c r="E264" s="79" t="s">
        <v>46</v>
      </c>
      <c r="F264" s="104">
        <v>948</v>
      </c>
      <c r="G264" s="9" t="s">
        <v>50</v>
      </c>
      <c r="H264" s="141">
        <v>0</v>
      </c>
      <c r="I264" s="136">
        <v>0</v>
      </c>
      <c r="J264" s="136">
        <v>0</v>
      </c>
      <c r="K264" s="147">
        <v>0</v>
      </c>
      <c r="L264" s="142">
        <v>0.10617599999999999</v>
      </c>
    </row>
    <row r="265" spans="1:12" x14ac:dyDescent="0.3">
      <c r="A265" s="10">
        <v>2022</v>
      </c>
      <c r="B265" s="124" t="s">
        <v>146</v>
      </c>
      <c r="C265" s="79" t="s">
        <v>49</v>
      </c>
      <c r="D265" s="79" t="s">
        <v>290</v>
      </c>
      <c r="E265" s="79" t="s">
        <v>46</v>
      </c>
      <c r="F265" s="104">
        <v>1122</v>
      </c>
      <c r="G265" s="9" t="s">
        <v>50</v>
      </c>
      <c r="H265" s="141">
        <v>0</v>
      </c>
      <c r="I265" s="136">
        <v>0</v>
      </c>
      <c r="J265" s="136">
        <v>0</v>
      </c>
      <c r="K265" s="147">
        <v>0</v>
      </c>
      <c r="L265" s="142">
        <v>0.12566400000000003</v>
      </c>
    </row>
    <row r="266" spans="1:12" x14ac:dyDescent="0.3">
      <c r="A266" s="10">
        <v>2022</v>
      </c>
      <c r="B266" s="124" t="s">
        <v>146</v>
      </c>
      <c r="C266" s="79" t="s">
        <v>49</v>
      </c>
      <c r="D266" s="79" t="s">
        <v>291</v>
      </c>
      <c r="E266" s="79" t="s">
        <v>46</v>
      </c>
      <c r="F266" s="104">
        <v>962</v>
      </c>
      <c r="G266" s="9" t="s">
        <v>50</v>
      </c>
      <c r="H266" s="141">
        <v>0</v>
      </c>
      <c r="I266" s="136">
        <v>0</v>
      </c>
      <c r="J266" s="136">
        <v>0</v>
      </c>
      <c r="K266" s="147">
        <v>0</v>
      </c>
      <c r="L266" s="142">
        <v>0.10774400000000001</v>
      </c>
    </row>
    <row r="267" spans="1:12" x14ac:dyDescent="0.3">
      <c r="A267" s="10">
        <v>2022</v>
      </c>
      <c r="B267" s="124" t="s">
        <v>146</v>
      </c>
      <c r="C267" s="79" t="s">
        <v>49</v>
      </c>
      <c r="D267" s="79" t="s">
        <v>292</v>
      </c>
      <c r="E267" s="79" t="s">
        <v>46</v>
      </c>
      <c r="F267" s="104">
        <v>983</v>
      </c>
      <c r="G267" s="9" t="s">
        <v>50</v>
      </c>
      <c r="H267" s="141">
        <v>0</v>
      </c>
      <c r="I267" s="136">
        <v>0</v>
      </c>
      <c r="J267" s="136">
        <v>0</v>
      </c>
      <c r="K267" s="147">
        <v>0</v>
      </c>
      <c r="L267" s="142">
        <v>0.110096</v>
      </c>
    </row>
    <row r="268" spans="1:12" x14ac:dyDescent="0.3">
      <c r="A268" s="10">
        <v>2022</v>
      </c>
      <c r="B268" s="124" t="s">
        <v>146</v>
      </c>
      <c r="C268" s="79" t="s">
        <v>49</v>
      </c>
      <c r="D268" s="79" t="s">
        <v>293</v>
      </c>
      <c r="E268" s="79" t="s">
        <v>46</v>
      </c>
      <c r="F268" s="104">
        <v>824</v>
      </c>
      <c r="G268" s="9" t="s">
        <v>50</v>
      </c>
      <c r="H268" s="141">
        <v>0</v>
      </c>
      <c r="I268" s="136">
        <v>0</v>
      </c>
      <c r="J268" s="136">
        <v>0</v>
      </c>
      <c r="K268" s="147">
        <v>0</v>
      </c>
      <c r="L268" s="142">
        <v>9.2287999999999995E-2</v>
      </c>
    </row>
    <row r="269" spans="1:12" x14ac:dyDescent="0.3">
      <c r="A269" s="10">
        <v>2022</v>
      </c>
      <c r="B269" s="124" t="s">
        <v>146</v>
      </c>
      <c r="C269" s="79" t="s">
        <v>49</v>
      </c>
      <c r="D269" s="79" t="s">
        <v>294</v>
      </c>
      <c r="E269" s="79" t="s">
        <v>46</v>
      </c>
      <c r="F269" s="104">
        <v>839</v>
      </c>
      <c r="G269" s="9" t="s">
        <v>50</v>
      </c>
      <c r="H269" s="141">
        <v>0</v>
      </c>
      <c r="I269" s="136">
        <v>0</v>
      </c>
      <c r="J269" s="136">
        <v>0</v>
      </c>
      <c r="K269" s="147">
        <v>0</v>
      </c>
      <c r="L269" s="142">
        <v>9.3967999999999996E-2</v>
      </c>
    </row>
    <row r="270" spans="1:12" x14ac:dyDescent="0.3">
      <c r="A270" s="10">
        <v>2022</v>
      </c>
      <c r="B270" s="124" t="s">
        <v>146</v>
      </c>
      <c r="C270" s="79" t="s">
        <v>49</v>
      </c>
      <c r="D270" s="79" t="s">
        <v>295</v>
      </c>
      <c r="E270" s="79" t="s">
        <v>46</v>
      </c>
      <c r="F270" s="104">
        <v>924</v>
      </c>
      <c r="G270" s="9" t="s">
        <v>50</v>
      </c>
      <c r="H270" s="141">
        <v>0</v>
      </c>
      <c r="I270" s="136">
        <v>0</v>
      </c>
      <c r="J270" s="136">
        <v>0</v>
      </c>
      <c r="K270" s="147">
        <v>0</v>
      </c>
      <c r="L270" s="142">
        <v>0.103488</v>
      </c>
    </row>
    <row r="271" spans="1:12" x14ac:dyDescent="0.3">
      <c r="A271" s="10">
        <v>2022</v>
      </c>
      <c r="B271" s="124" t="s">
        <v>146</v>
      </c>
      <c r="C271" s="79" t="s">
        <v>49</v>
      </c>
      <c r="D271" s="79" t="s">
        <v>296</v>
      </c>
      <c r="E271" s="79" t="s">
        <v>46</v>
      </c>
      <c r="F271" s="104">
        <v>782</v>
      </c>
      <c r="G271" s="9" t="s">
        <v>50</v>
      </c>
      <c r="H271" s="141">
        <v>0</v>
      </c>
      <c r="I271" s="136">
        <v>0</v>
      </c>
      <c r="J271" s="136">
        <v>0</v>
      </c>
      <c r="K271" s="147">
        <v>0</v>
      </c>
      <c r="L271" s="142">
        <v>8.7584000000000009E-2</v>
      </c>
    </row>
    <row r="272" spans="1:12" x14ac:dyDescent="0.3">
      <c r="A272" s="10">
        <v>2022</v>
      </c>
      <c r="B272" s="124" t="s">
        <v>146</v>
      </c>
      <c r="C272" s="79" t="s">
        <v>49</v>
      </c>
      <c r="D272" s="79" t="s">
        <v>297</v>
      </c>
      <c r="E272" s="79" t="s">
        <v>46</v>
      </c>
      <c r="F272" s="104">
        <v>1146</v>
      </c>
      <c r="G272" s="9" t="s">
        <v>50</v>
      </c>
      <c r="H272" s="141">
        <v>0</v>
      </c>
      <c r="I272" s="136">
        <v>0</v>
      </c>
      <c r="J272" s="136">
        <v>0</v>
      </c>
      <c r="K272" s="147">
        <v>0</v>
      </c>
      <c r="L272" s="142">
        <v>0.12835199999999997</v>
      </c>
    </row>
    <row r="273" spans="1:12" x14ac:dyDescent="0.3">
      <c r="A273" s="10">
        <v>2022</v>
      </c>
      <c r="B273" s="124" t="s">
        <v>146</v>
      </c>
      <c r="C273" s="79" t="s">
        <v>49</v>
      </c>
      <c r="D273" s="79" t="s">
        <v>298</v>
      </c>
      <c r="E273" s="79" t="s">
        <v>46</v>
      </c>
      <c r="F273" s="104">
        <v>973</v>
      </c>
      <c r="G273" s="9" t="s">
        <v>50</v>
      </c>
      <c r="H273" s="141">
        <v>0</v>
      </c>
      <c r="I273" s="136">
        <v>0</v>
      </c>
      <c r="J273" s="136">
        <v>0</v>
      </c>
      <c r="K273" s="147">
        <v>0</v>
      </c>
      <c r="L273" s="142">
        <v>0.108976</v>
      </c>
    </row>
    <row r="274" spans="1:12" x14ac:dyDescent="0.3">
      <c r="A274" s="10">
        <v>2022</v>
      </c>
      <c r="B274" s="124" t="s">
        <v>146</v>
      </c>
      <c r="C274" s="79" t="s">
        <v>49</v>
      </c>
      <c r="D274" s="79" t="s">
        <v>299</v>
      </c>
      <c r="E274" s="79" t="s">
        <v>46</v>
      </c>
      <c r="F274" s="104">
        <v>865</v>
      </c>
      <c r="G274" s="9" t="s">
        <v>50</v>
      </c>
      <c r="H274" s="141">
        <v>0</v>
      </c>
      <c r="I274" s="136">
        <v>0</v>
      </c>
      <c r="J274" s="136">
        <v>0</v>
      </c>
      <c r="K274" s="147">
        <v>0</v>
      </c>
      <c r="L274" s="142">
        <v>9.6879999999999994E-2</v>
      </c>
    </row>
    <row r="275" spans="1:12" x14ac:dyDescent="0.3">
      <c r="A275" s="10">
        <v>2022</v>
      </c>
      <c r="B275" s="124" t="s">
        <v>146</v>
      </c>
      <c r="C275" s="79" t="s">
        <v>49</v>
      </c>
      <c r="D275" s="79" t="s">
        <v>300</v>
      </c>
      <c r="E275" s="79" t="s">
        <v>46</v>
      </c>
      <c r="F275" s="104">
        <v>830</v>
      </c>
      <c r="G275" s="9" t="s">
        <v>50</v>
      </c>
      <c r="H275" s="141">
        <v>0</v>
      </c>
      <c r="I275" s="136">
        <v>0</v>
      </c>
      <c r="J275" s="136">
        <v>0</v>
      </c>
      <c r="K275" s="147">
        <v>0</v>
      </c>
      <c r="L275" s="142">
        <v>9.2959999999999987E-2</v>
      </c>
    </row>
    <row r="276" spans="1:12" x14ac:dyDescent="0.3">
      <c r="A276" s="10">
        <v>2022</v>
      </c>
      <c r="B276" s="124" t="s">
        <v>146</v>
      </c>
      <c r="C276" s="79" t="s">
        <v>49</v>
      </c>
      <c r="D276" s="79" t="s">
        <v>301</v>
      </c>
      <c r="E276" s="79" t="s">
        <v>46</v>
      </c>
      <c r="F276" s="104">
        <v>912</v>
      </c>
      <c r="G276" s="9" t="s">
        <v>50</v>
      </c>
      <c r="H276" s="141">
        <v>0</v>
      </c>
      <c r="I276" s="136">
        <v>0</v>
      </c>
      <c r="J276" s="136">
        <v>0</v>
      </c>
      <c r="K276" s="147">
        <v>0</v>
      </c>
      <c r="L276" s="142">
        <v>0.102144</v>
      </c>
    </row>
    <row r="277" spans="1:12" x14ac:dyDescent="0.3">
      <c r="A277" s="10">
        <v>2022</v>
      </c>
      <c r="B277" s="124" t="s">
        <v>146</v>
      </c>
      <c r="C277" s="79" t="s">
        <v>49</v>
      </c>
      <c r="D277" s="79" t="s">
        <v>302</v>
      </c>
      <c r="E277" s="79" t="s">
        <v>46</v>
      </c>
      <c r="F277" s="104">
        <v>889</v>
      </c>
      <c r="G277" s="9" t="s">
        <v>50</v>
      </c>
      <c r="H277" s="141">
        <v>0</v>
      </c>
      <c r="I277" s="136">
        <v>0</v>
      </c>
      <c r="J277" s="136">
        <v>0</v>
      </c>
      <c r="K277" s="147">
        <v>0</v>
      </c>
      <c r="L277" s="142">
        <v>9.9568000000000004E-2</v>
      </c>
    </row>
    <row r="278" spans="1:12" x14ac:dyDescent="0.3">
      <c r="A278" s="10">
        <v>2022</v>
      </c>
      <c r="B278" s="124" t="s">
        <v>146</v>
      </c>
      <c r="C278" s="79" t="s">
        <v>49</v>
      </c>
      <c r="D278" s="79" t="s">
        <v>303</v>
      </c>
      <c r="E278" s="79" t="s">
        <v>46</v>
      </c>
      <c r="F278" s="104">
        <v>857</v>
      </c>
      <c r="G278" s="9" t="s">
        <v>50</v>
      </c>
      <c r="H278" s="141">
        <v>0</v>
      </c>
      <c r="I278" s="136">
        <v>0</v>
      </c>
      <c r="J278" s="136">
        <v>0</v>
      </c>
      <c r="K278" s="147">
        <v>0</v>
      </c>
      <c r="L278" s="142">
        <v>9.5984E-2</v>
      </c>
    </row>
    <row r="279" spans="1:12" x14ac:dyDescent="0.3">
      <c r="A279" s="10">
        <v>2022</v>
      </c>
      <c r="B279" s="124" t="s">
        <v>146</v>
      </c>
      <c r="C279" s="79" t="s">
        <v>49</v>
      </c>
      <c r="D279" s="79" t="s">
        <v>304</v>
      </c>
      <c r="E279" s="79" t="s">
        <v>46</v>
      </c>
      <c r="F279" s="104">
        <v>913</v>
      </c>
      <c r="G279" s="9" t="s">
        <v>50</v>
      </c>
      <c r="H279" s="141">
        <v>0</v>
      </c>
      <c r="I279" s="136">
        <v>0</v>
      </c>
      <c r="J279" s="136">
        <v>0</v>
      </c>
      <c r="K279" s="147">
        <v>0</v>
      </c>
      <c r="L279" s="142">
        <v>0.102256</v>
      </c>
    </row>
    <row r="280" spans="1:12" x14ac:dyDescent="0.3">
      <c r="A280" s="10">
        <v>2022</v>
      </c>
      <c r="B280" s="124" t="s">
        <v>146</v>
      </c>
      <c r="C280" s="79" t="s">
        <v>49</v>
      </c>
      <c r="D280" s="79" t="s">
        <v>305</v>
      </c>
      <c r="E280" s="79" t="s">
        <v>46</v>
      </c>
      <c r="F280" s="104">
        <v>782</v>
      </c>
      <c r="G280" s="9" t="s">
        <v>50</v>
      </c>
      <c r="H280" s="141">
        <v>0</v>
      </c>
      <c r="I280" s="136">
        <v>0</v>
      </c>
      <c r="J280" s="136">
        <v>0</v>
      </c>
      <c r="K280" s="147">
        <v>0</v>
      </c>
      <c r="L280" s="142">
        <v>8.7584000000000009E-2</v>
      </c>
    </row>
    <row r="281" spans="1:12" x14ac:dyDescent="0.3">
      <c r="A281" s="10">
        <v>2022</v>
      </c>
      <c r="B281" s="124" t="s">
        <v>146</v>
      </c>
      <c r="C281" s="79" t="s">
        <v>49</v>
      </c>
      <c r="D281" s="79" t="s">
        <v>306</v>
      </c>
      <c r="E281" s="79" t="s">
        <v>46</v>
      </c>
      <c r="F281" s="104">
        <v>741</v>
      </c>
      <c r="G281" s="9" t="s">
        <v>50</v>
      </c>
      <c r="H281" s="141">
        <v>0</v>
      </c>
      <c r="I281" s="136">
        <v>0</v>
      </c>
      <c r="J281" s="136">
        <v>0</v>
      </c>
      <c r="K281" s="147">
        <v>0</v>
      </c>
      <c r="L281" s="142">
        <v>8.299200000000001E-2</v>
      </c>
    </row>
    <row r="282" spans="1:12" x14ac:dyDescent="0.3">
      <c r="A282" s="10">
        <v>2022</v>
      </c>
      <c r="B282" s="124" t="s">
        <v>146</v>
      </c>
      <c r="C282" s="79" t="s">
        <v>49</v>
      </c>
      <c r="D282" s="79" t="s">
        <v>307</v>
      </c>
      <c r="E282" s="79" t="s">
        <v>46</v>
      </c>
      <c r="F282" s="104">
        <v>868</v>
      </c>
      <c r="G282" s="9" t="s">
        <v>50</v>
      </c>
      <c r="H282" s="141">
        <v>0</v>
      </c>
      <c r="I282" s="136">
        <v>0</v>
      </c>
      <c r="J282" s="136">
        <v>0</v>
      </c>
      <c r="K282" s="147">
        <v>0</v>
      </c>
      <c r="L282" s="142">
        <v>9.7215999999999997E-2</v>
      </c>
    </row>
    <row r="283" spans="1:12" x14ac:dyDescent="0.3">
      <c r="A283" s="10">
        <v>2022</v>
      </c>
      <c r="B283" s="124" t="s">
        <v>146</v>
      </c>
      <c r="C283" s="79" t="s">
        <v>49</v>
      </c>
      <c r="D283" s="79" t="s">
        <v>308</v>
      </c>
      <c r="E283" s="79" t="s">
        <v>46</v>
      </c>
      <c r="F283" s="104">
        <v>796</v>
      </c>
      <c r="G283" s="9" t="s">
        <v>50</v>
      </c>
      <c r="H283" s="141">
        <v>0</v>
      </c>
      <c r="I283" s="136">
        <v>0</v>
      </c>
      <c r="J283" s="136">
        <v>0</v>
      </c>
      <c r="K283" s="147">
        <v>0</v>
      </c>
      <c r="L283" s="142">
        <v>8.9151999999999995E-2</v>
      </c>
    </row>
    <row r="284" spans="1:12" x14ac:dyDescent="0.3">
      <c r="A284" s="10">
        <v>2022</v>
      </c>
      <c r="B284" s="124" t="s">
        <v>146</v>
      </c>
      <c r="C284" s="79" t="s">
        <v>49</v>
      </c>
      <c r="D284" s="79" t="s">
        <v>309</v>
      </c>
      <c r="E284" s="79" t="s">
        <v>46</v>
      </c>
      <c r="F284" s="104">
        <v>148</v>
      </c>
      <c r="G284" s="9" t="s">
        <v>50</v>
      </c>
      <c r="H284" s="141">
        <v>0</v>
      </c>
      <c r="I284" s="136">
        <v>0</v>
      </c>
      <c r="J284" s="136">
        <v>0</v>
      </c>
      <c r="K284" s="147">
        <v>0</v>
      </c>
      <c r="L284" s="142">
        <v>1.6576E-2</v>
      </c>
    </row>
    <row r="285" spans="1:12" x14ac:dyDescent="0.3">
      <c r="A285" s="10">
        <v>2022</v>
      </c>
      <c r="B285" s="124" t="s">
        <v>146</v>
      </c>
      <c r="C285" s="79" t="s">
        <v>49</v>
      </c>
      <c r="D285" s="79" t="s">
        <v>310</v>
      </c>
      <c r="E285" s="79" t="s">
        <v>46</v>
      </c>
      <c r="F285" s="104">
        <v>169</v>
      </c>
      <c r="G285" s="9" t="s">
        <v>50</v>
      </c>
      <c r="H285" s="141">
        <v>0</v>
      </c>
      <c r="I285" s="136">
        <v>0</v>
      </c>
      <c r="J285" s="136">
        <v>0</v>
      </c>
      <c r="K285" s="147">
        <v>0</v>
      </c>
      <c r="L285" s="142">
        <v>1.8928E-2</v>
      </c>
    </row>
    <row r="286" spans="1:12" x14ac:dyDescent="0.3">
      <c r="A286" s="10">
        <v>2022</v>
      </c>
      <c r="B286" s="124" t="s">
        <v>146</v>
      </c>
      <c r="C286" s="79" t="s">
        <v>49</v>
      </c>
      <c r="D286" s="79" t="s">
        <v>311</v>
      </c>
      <c r="E286" s="79" t="s">
        <v>46</v>
      </c>
      <c r="F286" s="104">
        <v>177</v>
      </c>
      <c r="G286" s="9" t="s">
        <v>50</v>
      </c>
      <c r="H286" s="141">
        <v>0</v>
      </c>
      <c r="I286" s="136">
        <v>0</v>
      </c>
      <c r="J286" s="136">
        <v>0</v>
      </c>
      <c r="K286" s="147">
        <v>0</v>
      </c>
      <c r="L286" s="142">
        <v>1.9823999999999998E-2</v>
      </c>
    </row>
    <row r="287" spans="1:12" x14ac:dyDescent="0.3">
      <c r="A287" s="10">
        <v>2022</v>
      </c>
      <c r="B287" s="124" t="s">
        <v>146</v>
      </c>
      <c r="C287" s="79" t="s">
        <v>49</v>
      </c>
      <c r="D287" s="79" t="s">
        <v>312</v>
      </c>
      <c r="E287" s="79" t="s">
        <v>46</v>
      </c>
      <c r="F287" s="104">
        <v>138</v>
      </c>
      <c r="G287" s="9" t="s">
        <v>50</v>
      </c>
      <c r="H287" s="141">
        <v>0</v>
      </c>
      <c r="I287" s="136">
        <v>0</v>
      </c>
      <c r="J287" s="136">
        <v>0</v>
      </c>
      <c r="K287" s="147">
        <v>0</v>
      </c>
      <c r="L287" s="142">
        <v>1.5456000000000001E-2</v>
      </c>
    </row>
    <row r="288" spans="1:12" x14ac:dyDescent="0.3">
      <c r="A288" s="10">
        <v>2022</v>
      </c>
      <c r="B288" s="124" t="s">
        <v>146</v>
      </c>
      <c r="C288" s="79" t="s">
        <v>49</v>
      </c>
      <c r="D288" s="79" t="s">
        <v>313</v>
      </c>
      <c r="E288" s="79" t="s">
        <v>46</v>
      </c>
      <c r="F288" s="104">
        <v>136</v>
      </c>
      <c r="G288" s="9" t="s">
        <v>50</v>
      </c>
      <c r="H288" s="141">
        <v>0</v>
      </c>
      <c r="I288" s="136">
        <v>0</v>
      </c>
      <c r="J288" s="136">
        <v>0</v>
      </c>
      <c r="K288" s="147">
        <v>0</v>
      </c>
      <c r="L288" s="142">
        <v>1.5232000000000001E-2</v>
      </c>
    </row>
    <row r="289" spans="1:12" x14ac:dyDescent="0.3">
      <c r="A289" s="10">
        <v>2022</v>
      </c>
      <c r="B289" s="124" t="s">
        <v>146</v>
      </c>
      <c r="C289" s="79" t="s">
        <v>49</v>
      </c>
      <c r="D289" s="79" t="s">
        <v>314</v>
      </c>
      <c r="E289" s="79" t="s">
        <v>46</v>
      </c>
      <c r="F289" s="104">
        <v>141</v>
      </c>
      <c r="G289" s="9" t="s">
        <v>50</v>
      </c>
      <c r="H289" s="141">
        <v>0</v>
      </c>
      <c r="I289" s="136">
        <v>0</v>
      </c>
      <c r="J289" s="136">
        <v>0</v>
      </c>
      <c r="K289" s="147">
        <v>0</v>
      </c>
      <c r="L289" s="142">
        <v>1.5791999999999997E-2</v>
      </c>
    </row>
    <row r="290" spans="1:12" x14ac:dyDescent="0.3">
      <c r="A290" s="10">
        <v>2022</v>
      </c>
      <c r="B290" s="124" t="s">
        <v>146</v>
      </c>
      <c r="C290" s="79" t="s">
        <v>49</v>
      </c>
      <c r="D290" s="79" t="s">
        <v>315</v>
      </c>
      <c r="E290" s="79" t="s">
        <v>46</v>
      </c>
      <c r="F290" s="104">
        <v>135</v>
      </c>
      <c r="G290" s="9" t="s">
        <v>50</v>
      </c>
      <c r="H290" s="141">
        <v>0</v>
      </c>
      <c r="I290" s="136">
        <v>0</v>
      </c>
      <c r="J290" s="136">
        <v>0</v>
      </c>
      <c r="K290" s="147">
        <v>0</v>
      </c>
      <c r="L290" s="142">
        <v>1.5120000000000001E-2</v>
      </c>
    </row>
    <row r="291" spans="1:12" x14ac:dyDescent="0.3">
      <c r="A291" s="10">
        <v>2022</v>
      </c>
      <c r="B291" s="124" t="s">
        <v>146</v>
      </c>
      <c r="C291" s="79" t="s">
        <v>49</v>
      </c>
      <c r="D291" s="79" t="s">
        <v>316</v>
      </c>
      <c r="E291" s="79" t="s">
        <v>46</v>
      </c>
      <c r="F291" s="104">
        <v>133</v>
      </c>
      <c r="G291" s="9" t="s">
        <v>50</v>
      </c>
      <c r="H291" s="141">
        <v>0</v>
      </c>
      <c r="I291" s="136">
        <v>0</v>
      </c>
      <c r="J291" s="136">
        <v>0</v>
      </c>
      <c r="K291" s="147">
        <v>0</v>
      </c>
      <c r="L291" s="142">
        <v>1.4896000000000001E-2</v>
      </c>
    </row>
    <row r="292" spans="1:12" x14ac:dyDescent="0.3">
      <c r="A292" s="10">
        <v>2022</v>
      </c>
      <c r="B292" s="124" t="s">
        <v>146</v>
      </c>
      <c r="C292" s="79" t="s">
        <v>49</v>
      </c>
      <c r="D292" s="79" t="s">
        <v>317</v>
      </c>
      <c r="E292" s="79" t="s">
        <v>46</v>
      </c>
      <c r="F292" s="104">
        <v>136</v>
      </c>
      <c r="G292" s="9" t="s">
        <v>50</v>
      </c>
      <c r="H292" s="141">
        <v>0</v>
      </c>
      <c r="I292" s="136">
        <v>0</v>
      </c>
      <c r="J292" s="136">
        <v>0</v>
      </c>
      <c r="K292" s="147">
        <v>0</v>
      </c>
      <c r="L292" s="142">
        <v>1.5232000000000001E-2</v>
      </c>
    </row>
    <row r="293" spans="1:12" x14ac:dyDescent="0.3">
      <c r="A293" s="10">
        <v>2022</v>
      </c>
      <c r="B293" s="124" t="s">
        <v>146</v>
      </c>
      <c r="C293" s="79" t="s">
        <v>49</v>
      </c>
      <c r="D293" s="79" t="s">
        <v>318</v>
      </c>
      <c r="E293" s="79" t="s">
        <v>46</v>
      </c>
      <c r="F293" s="104">
        <v>165</v>
      </c>
      <c r="G293" s="9" t="s">
        <v>50</v>
      </c>
      <c r="H293" s="141">
        <v>0</v>
      </c>
      <c r="I293" s="136">
        <v>0</v>
      </c>
      <c r="J293" s="136">
        <v>0</v>
      </c>
      <c r="K293" s="147">
        <v>0</v>
      </c>
      <c r="L293" s="142">
        <v>1.848E-2</v>
      </c>
    </row>
    <row r="294" spans="1:12" x14ac:dyDescent="0.3">
      <c r="A294" s="10">
        <v>2022</v>
      </c>
      <c r="B294" s="124" t="s">
        <v>146</v>
      </c>
      <c r="C294" s="79" t="s">
        <v>49</v>
      </c>
      <c r="D294" s="79" t="s">
        <v>319</v>
      </c>
      <c r="E294" s="79" t="s">
        <v>46</v>
      </c>
      <c r="F294" s="104">
        <v>145</v>
      </c>
      <c r="G294" s="9" t="s">
        <v>50</v>
      </c>
      <c r="H294" s="141">
        <v>0</v>
      </c>
      <c r="I294" s="136">
        <v>0</v>
      </c>
      <c r="J294" s="136">
        <v>0</v>
      </c>
      <c r="K294" s="147">
        <v>0</v>
      </c>
      <c r="L294" s="142">
        <v>1.6239999999999997E-2</v>
      </c>
    </row>
    <row r="295" spans="1:12" x14ac:dyDescent="0.3">
      <c r="A295" s="10">
        <v>2022</v>
      </c>
      <c r="B295" s="124" t="s">
        <v>146</v>
      </c>
      <c r="C295" s="79" t="s">
        <v>49</v>
      </c>
      <c r="D295" s="79" t="s">
        <v>320</v>
      </c>
      <c r="E295" s="79" t="s">
        <v>46</v>
      </c>
      <c r="F295" s="104">
        <v>151</v>
      </c>
      <c r="G295" s="9" t="s">
        <v>50</v>
      </c>
      <c r="H295" s="141">
        <v>0</v>
      </c>
      <c r="I295" s="136">
        <v>0</v>
      </c>
      <c r="J295" s="136">
        <v>0</v>
      </c>
      <c r="K295" s="147">
        <v>0</v>
      </c>
      <c r="L295" s="142">
        <v>1.6912E-2</v>
      </c>
    </row>
    <row r="296" spans="1:12" x14ac:dyDescent="0.3">
      <c r="A296" s="10">
        <v>2022</v>
      </c>
      <c r="B296" s="124" t="s">
        <v>146</v>
      </c>
      <c r="C296" s="79" t="s">
        <v>49</v>
      </c>
      <c r="D296" s="79" t="s">
        <v>237</v>
      </c>
      <c r="E296" s="79" t="s">
        <v>20</v>
      </c>
      <c r="F296" s="104">
        <v>1613</v>
      </c>
      <c r="G296" s="9" t="s">
        <v>50</v>
      </c>
      <c r="H296" s="141">
        <v>0</v>
      </c>
      <c r="I296" s="136">
        <v>0</v>
      </c>
      <c r="J296" s="136">
        <v>0</v>
      </c>
      <c r="K296" s="147">
        <v>0</v>
      </c>
      <c r="L296" s="142">
        <v>0.18065600000000001</v>
      </c>
    </row>
    <row r="297" spans="1:12" x14ac:dyDescent="0.3">
      <c r="A297" s="10">
        <v>2022</v>
      </c>
      <c r="B297" s="124" t="s">
        <v>146</v>
      </c>
      <c r="C297" s="79" t="s">
        <v>49</v>
      </c>
      <c r="D297" s="79" t="s">
        <v>238</v>
      </c>
      <c r="E297" s="79" t="s">
        <v>20</v>
      </c>
      <c r="F297" s="104">
        <v>2010</v>
      </c>
      <c r="G297" s="9" t="s">
        <v>50</v>
      </c>
      <c r="H297" s="141">
        <v>0</v>
      </c>
      <c r="I297" s="136">
        <v>0</v>
      </c>
      <c r="J297" s="136">
        <v>0</v>
      </c>
      <c r="K297" s="147">
        <v>0</v>
      </c>
      <c r="L297" s="142">
        <v>0.22511999999999999</v>
      </c>
    </row>
    <row r="298" spans="1:12" x14ac:dyDescent="0.3">
      <c r="A298" s="10">
        <v>2022</v>
      </c>
      <c r="B298" s="124" t="s">
        <v>146</v>
      </c>
      <c r="C298" s="79" t="s">
        <v>49</v>
      </c>
      <c r="D298" s="79" t="s">
        <v>239</v>
      </c>
      <c r="E298" s="79" t="s">
        <v>20</v>
      </c>
      <c r="F298" s="104">
        <v>2329</v>
      </c>
      <c r="G298" s="9" t="s">
        <v>50</v>
      </c>
      <c r="H298" s="141">
        <v>0</v>
      </c>
      <c r="I298" s="136">
        <v>0</v>
      </c>
      <c r="J298" s="136">
        <v>0</v>
      </c>
      <c r="K298" s="147">
        <v>0</v>
      </c>
      <c r="L298" s="142">
        <v>0.26084800000000002</v>
      </c>
    </row>
    <row r="299" spans="1:12" x14ac:dyDescent="0.3">
      <c r="A299" s="10">
        <v>2022</v>
      </c>
      <c r="B299" s="124" t="s">
        <v>146</v>
      </c>
      <c r="C299" s="79" t="s">
        <v>49</v>
      </c>
      <c r="D299" s="79" t="s">
        <v>240</v>
      </c>
      <c r="E299" s="79" t="s">
        <v>20</v>
      </c>
      <c r="F299" s="104">
        <v>1783</v>
      </c>
      <c r="G299" s="9" t="s">
        <v>50</v>
      </c>
      <c r="H299" s="141">
        <v>0</v>
      </c>
      <c r="I299" s="136">
        <v>0</v>
      </c>
      <c r="J299" s="136">
        <v>0</v>
      </c>
      <c r="K299" s="147">
        <v>0</v>
      </c>
      <c r="L299" s="142">
        <v>0.19969599999999998</v>
      </c>
    </row>
    <row r="300" spans="1:12" x14ac:dyDescent="0.3">
      <c r="A300" s="10">
        <v>2022</v>
      </c>
      <c r="B300" s="124" t="s">
        <v>146</v>
      </c>
      <c r="C300" s="79" t="s">
        <v>49</v>
      </c>
      <c r="D300" s="79" t="s">
        <v>241</v>
      </c>
      <c r="E300" s="79" t="s">
        <v>20</v>
      </c>
      <c r="F300" s="104">
        <v>1623</v>
      </c>
      <c r="G300" s="9" t="s">
        <v>50</v>
      </c>
      <c r="H300" s="141">
        <v>0</v>
      </c>
      <c r="I300" s="136">
        <v>0</v>
      </c>
      <c r="J300" s="136">
        <v>0</v>
      </c>
      <c r="K300" s="147">
        <v>0</v>
      </c>
      <c r="L300" s="142">
        <v>0.18177600000000002</v>
      </c>
    </row>
    <row r="301" spans="1:12" x14ac:dyDescent="0.3">
      <c r="A301" s="10">
        <v>2022</v>
      </c>
      <c r="B301" s="124" t="s">
        <v>146</v>
      </c>
      <c r="C301" s="79" t="s">
        <v>49</v>
      </c>
      <c r="D301" s="79" t="s">
        <v>242</v>
      </c>
      <c r="E301" s="79" t="s">
        <v>20</v>
      </c>
      <c r="F301" s="104">
        <v>1930</v>
      </c>
      <c r="G301" s="9" t="s">
        <v>50</v>
      </c>
      <c r="H301" s="141">
        <v>0</v>
      </c>
      <c r="I301" s="136">
        <v>0</v>
      </c>
      <c r="J301" s="136">
        <v>0</v>
      </c>
      <c r="K301" s="147">
        <v>0</v>
      </c>
      <c r="L301" s="142">
        <v>0.21615999999999999</v>
      </c>
    </row>
    <row r="302" spans="1:12" x14ac:dyDescent="0.3">
      <c r="A302" s="10">
        <v>2022</v>
      </c>
      <c r="B302" s="124" t="s">
        <v>146</v>
      </c>
      <c r="C302" s="79" t="s">
        <v>49</v>
      </c>
      <c r="D302" s="79" t="s">
        <v>243</v>
      </c>
      <c r="E302" s="79" t="s">
        <v>20</v>
      </c>
      <c r="F302" s="104">
        <v>1352</v>
      </c>
      <c r="G302" s="9" t="s">
        <v>50</v>
      </c>
      <c r="H302" s="141">
        <v>0</v>
      </c>
      <c r="I302" s="136">
        <v>0</v>
      </c>
      <c r="J302" s="136">
        <v>0</v>
      </c>
      <c r="K302" s="147">
        <v>0</v>
      </c>
      <c r="L302" s="142">
        <v>0.151424</v>
      </c>
    </row>
    <row r="303" spans="1:12" x14ac:dyDescent="0.3">
      <c r="A303" s="10">
        <v>2022</v>
      </c>
      <c r="B303" s="124" t="s">
        <v>146</v>
      </c>
      <c r="C303" s="79" t="s">
        <v>49</v>
      </c>
      <c r="D303" s="79" t="s">
        <v>244</v>
      </c>
      <c r="E303" s="79" t="s">
        <v>20</v>
      </c>
      <c r="F303" s="104">
        <v>1504</v>
      </c>
      <c r="G303" s="9" t="s">
        <v>50</v>
      </c>
      <c r="H303" s="141">
        <v>0</v>
      </c>
      <c r="I303" s="136">
        <v>0</v>
      </c>
      <c r="J303" s="136">
        <v>0</v>
      </c>
      <c r="K303" s="147">
        <v>0</v>
      </c>
      <c r="L303" s="142">
        <v>0.16844800000000001</v>
      </c>
    </row>
    <row r="304" spans="1:12" x14ac:dyDescent="0.3">
      <c r="A304" s="10">
        <v>2022</v>
      </c>
      <c r="B304" s="124" t="s">
        <v>146</v>
      </c>
      <c r="C304" s="79" t="s">
        <v>49</v>
      </c>
      <c r="D304" s="79" t="s">
        <v>245</v>
      </c>
      <c r="E304" s="79" t="s">
        <v>20</v>
      </c>
      <c r="F304" s="104">
        <v>1885</v>
      </c>
      <c r="G304" s="9" t="s">
        <v>50</v>
      </c>
      <c r="H304" s="141">
        <v>0</v>
      </c>
      <c r="I304" s="136">
        <v>0</v>
      </c>
      <c r="J304" s="136">
        <v>0</v>
      </c>
      <c r="K304" s="147">
        <v>0</v>
      </c>
      <c r="L304" s="142">
        <v>0.21112</v>
      </c>
    </row>
    <row r="305" spans="1:12" x14ac:dyDescent="0.3">
      <c r="A305" s="10">
        <v>2022</v>
      </c>
      <c r="B305" s="124" t="s">
        <v>146</v>
      </c>
      <c r="C305" s="79" t="s">
        <v>49</v>
      </c>
      <c r="D305" s="79" t="s">
        <v>246</v>
      </c>
      <c r="E305" s="79" t="s">
        <v>20</v>
      </c>
      <c r="F305" s="104">
        <v>2012</v>
      </c>
      <c r="G305" s="9" t="s">
        <v>50</v>
      </c>
      <c r="H305" s="141">
        <v>0</v>
      </c>
      <c r="I305" s="136">
        <v>0</v>
      </c>
      <c r="J305" s="136">
        <v>0</v>
      </c>
      <c r="K305" s="147">
        <v>0</v>
      </c>
      <c r="L305" s="142">
        <v>0.22534399999999999</v>
      </c>
    </row>
    <row r="306" spans="1:12" x14ac:dyDescent="0.3">
      <c r="A306" s="10">
        <v>2022</v>
      </c>
      <c r="B306" s="124" t="s">
        <v>146</v>
      </c>
      <c r="C306" s="79" t="s">
        <v>49</v>
      </c>
      <c r="D306" s="79" t="s">
        <v>247</v>
      </c>
      <c r="E306" s="79" t="s">
        <v>20</v>
      </c>
      <c r="F306" s="104">
        <v>1837</v>
      </c>
      <c r="G306" s="9" t="s">
        <v>50</v>
      </c>
      <c r="H306" s="141">
        <v>0</v>
      </c>
      <c r="I306" s="136">
        <v>0</v>
      </c>
      <c r="J306" s="136">
        <v>0</v>
      </c>
      <c r="K306" s="147">
        <v>0</v>
      </c>
      <c r="L306" s="142">
        <v>0.20574400000000001</v>
      </c>
    </row>
    <row r="307" spans="1:12" x14ac:dyDescent="0.3">
      <c r="A307" s="10">
        <v>2022</v>
      </c>
      <c r="B307" s="124" t="s">
        <v>146</v>
      </c>
      <c r="C307" s="79" t="s">
        <v>49</v>
      </c>
      <c r="D307" s="79" t="s">
        <v>248</v>
      </c>
      <c r="E307" s="79" t="s">
        <v>20</v>
      </c>
      <c r="F307" s="104">
        <v>1328</v>
      </c>
      <c r="G307" s="9" t="s">
        <v>50</v>
      </c>
      <c r="H307" s="141">
        <v>0</v>
      </c>
      <c r="I307" s="136">
        <v>0</v>
      </c>
      <c r="J307" s="136">
        <v>0</v>
      </c>
      <c r="K307" s="147">
        <v>0</v>
      </c>
      <c r="L307" s="142">
        <v>0.14873600000000001</v>
      </c>
    </row>
    <row r="308" spans="1:12" x14ac:dyDescent="0.3">
      <c r="A308" s="10">
        <v>2022</v>
      </c>
      <c r="B308" s="10" t="s">
        <v>147</v>
      </c>
      <c r="C308" s="79" t="s">
        <v>54</v>
      </c>
      <c r="D308" s="79" t="s">
        <v>55</v>
      </c>
      <c r="E308" s="36"/>
      <c r="F308" s="104">
        <v>2.3612098000000001</v>
      </c>
      <c r="G308" s="4" t="s">
        <v>200</v>
      </c>
      <c r="H308" s="141">
        <v>2.2053699532000003E-3</v>
      </c>
      <c r="I308" s="136">
        <v>6.1391454799999997E-5</v>
      </c>
      <c r="J308" s="136">
        <v>5.6669035200000001E-5</v>
      </c>
      <c r="K308" s="147">
        <v>0</v>
      </c>
      <c r="L308" s="146">
        <v>1.9333585842400001E-2</v>
      </c>
    </row>
    <row r="309" spans="1:12" x14ac:dyDescent="0.3">
      <c r="A309" s="10">
        <v>2022</v>
      </c>
      <c r="B309" s="10" t="s">
        <v>147</v>
      </c>
      <c r="C309" s="79" t="s">
        <v>54</v>
      </c>
      <c r="D309" s="79" t="s">
        <v>55</v>
      </c>
      <c r="E309" s="36"/>
      <c r="F309" s="104">
        <v>0.86991940000000001</v>
      </c>
      <c r="G309" s="4" t="s">
        <v>200</v>
      </c>
      <c r="H309" s="141">
        <v>8.1250471960000006E-4</v>
      </c>
      <c r="I309" s="136">
        <v>2.26179044E-5</v>
      </c>
      <c r="J309" s="136">
        <v>2.0878065600000003E-5</v>
      </c>
      <c r="K309" s="147">
        <v>0</v>
      </c>
      <c r="L309" s="146">
        <v>7.1229000471999997E-3</v>
      </c>
    </row>
    <row r="310" spans="1:12" x14ac:dyDescent="0.3">
      <c r="A310" s="10">
        <v>2022</v>
      </c>
      <c r="B310" s="10" t="s">
        <v>147</v>
      </c>
      <c r="C310" s="79" t="s">
        <v>56</v>
      </c>
      <c r="D310" s="79" t="s">
        <v>55</v>
      </c>
      <c r="E310" s="36"/>
      <c r="F310" s="104">
        <v>8.8856052999999999</v>
      </c>
      <c r="G310" s="4" t="s">
        <v>200</v>
      </c>
      <c r="H310" s="141">
        <v>2.4897466050600007E-2</v>
      </c>
      <c r="I310" s="136">
        <v>6.930772134000001E-4</v>
      </c>
      <c r="J310" s="136">
        <v>6.3976358160000016E-4</v>
      </c>
      <c r="K310" s="147">
        <v>0</v>
      </c>
      <c r="L310" s="146">
        <v>0.21826600858920006</v>
      </c>
    </row>
    <row r="311" spans="1:12" x14ac:dyDescent="0.3">
      <c r="A311" s="10">
        <v>2022</v>
      </c>
      <c r="B311" s="10" t="s">
        <v>147</v>
      </c>
      <c r="C311" s="79" t="s">
        <v>56</v>
      </c>
      <c r="D311" s="79" t="s">
        <v>55</v>
      </c>
      <c r="E311" s="36"/>
      <c r="F311" s="104">
        <v>20.753791400000001</v>
      </c>
      <c r="G311" s="4" t="s">
        <v>200</v>
      </c>
      <c r="H311" s="141">
        <v>1.9384041167600004E-2</v>
      </c>
      <c r="I311" s="136">
        <v>5.3959857639999996E-4</v>
      </c>
      <c r="J311" s="136">
        <v>4.9809099359999999E-4</v>
      </c>
      <c r="K311" s="147">
        <v>0</v>
      </c>
      <c r="L311" s="146">
        <v>0.1699320439832</v>
      </c>
    </row>
    <row r="312" spans="1:12" x14ac:dyDescent="0.3">
      <c r="A312" s="118">
        <v>2022</v>
      </c>
      <c r="B312" s="10" t="s">
        <v>147</v>
      </c>
      <c r="C312" s="119" t="s">
        <v>56</v>
      </c>
      <c r="D312" s="119" t="s">
        <v>55</v>
      </c>
      <c r="E312" s="121"/>
      <c r="F312" s="122">
        <v>21.250888200000002</v>
      </c>
      <c r="G312" s="4" t="s">
        <v>200</v>
      </c>
      <c r="H312" s="149">
        <v>3.9696659157600005E-2</v>
      </c>
      <c r="I312" s="150">
        <v>1.1050461864E-3</v>
      </c>
      <c r="J312" s="150">
        <v>1.0200426336000002E-3</v>
      </c>
      <c r="K312" s="151">
        <v>0</v>
      </c>
      <c r="L312" s="152">
        <v>0.34800454516320006</v>
      </c>
    </row>
    <row r="313" spans="1:12" x14ac:dyDescent="0.3">
      <c r="A313" s="10">
        <v>2022</v>
      </c>
      <c r="B313" s="10" t="s">
        <v>147</v>
      </c>
      <c r="C313" s="98" t="s">
        <v>127</v>
      </c>
      <c r="D313" s="10" t="s">
        <v>128</v>
      </c>
      <c r="E313" s="10"/>
      <c r="F313" s="104">
        <v>3191265.3</v>
      </c>
      <c r="G313" s="9" t="s">
        <v>203</v>
      </c>
      <c r="H313" s="141">
        <v>0</v>
      </c>
      <c r="I313" s="136">
        <v>0</v>
      </c>
      <c r="J313" s="136">
        <v>0</v>
      </c>
      <c r="K313" s="147">
        <v>0</v>
      </c>
      <c r="L313" s="146">
        <v>34.028800000000004</v>
      </c>
    </row>
    <row r="314" spans="1:12" x14ac:dyDescent="0.3">
      <c r="A314" s="10">
        <v>2022</v>
      </c>
      <c r="B314" s="10" t="s">
        <v>147</v>
      </c>
      <c r="C314" s="98" t="s">
        <v>127</v>
      </c>
      <c r="D314" s="10" t="s">
        <v>126</v>
      </c>
      <c r="E314" s="10"/>
      <c r="F314" s="104">
        <v>1259605</v>
      </c>
      <c r="G314" s="9" t="s">
        <v>203</v>
      </c>
      <c r="H314" s="141">
        <v>0</v>
      </c>
      <c r="I314" s="136">
        <v>0</v>
      </c>
      <c r="J314" s="136">
        <v>0</v>
      </c>
      <c r="K314" s="147">
        <v>0</v>
      </c>
      <c r="L314" s="146">
        <v>27.843700000000002</v>
      </c>
    </row>
    <row r="315" spans="1:12" x14ac:dyDescent="0.3">
      <c r="A315" s="10">
        <v>2022</v>
      </c>
      <c r="B315" s="10" t="s">
        <v>148</v>
      </c>
      <c r="C315" s="79" t="s">
        <v>131</v>
      </c>
      <c r="D315" s="127" t="s">
        <v>197</v>
      </c>
      <c r="E315" s="128"/>
      <c r="F315" s="129">
        <v>2191.5665132057184</v>
      </c>
      <c r="G315" s="4" t="s">
        <v>141</v>
      </c>
      <c r="H315" s="141">
        <v>0.23499999999999999</v>
      </c>
      <c r="I315" s="136">
        <f>0.03/1000</f>
        <v>2.9999999999999997E-5</v>
      </c>
      <c r="J315" s="136">
        <f>0.00139/1000</f>
        <v>1.39E-6</v>
      </c>
      <c r="K315" s="147">
        <v>0</v>
      </c>
      <c r="L315" s="146">
        <f>236.09/1000</f>
        <v>0.23608999999999999</v>
      </c>
    </row>
    <row r="316" spans="1:12" x14ac:dyDescent="0.3">
      <c r="A316" s="10">
        <v>2022</v>
      </c>
      <c r="B316" s="10" t="s">
        <v>148</v>
      </c>
      <c r="C316" s="79" t="s">
        <v>131</v>
      </c>
      <c r="D316" s="127" t="s">
        <v>197</v>
      </c>
      <c r="E316" s="128"/>
      <c r="F316" s="129">
        <v>2191.5665132057184</v>
      </c>
      <c r="G316" s="4" t="s">
        <v>141</v>
      </c>
      <c r="H316" s="141">
        <v>0.23499999999999999</v>
      </c>
      <c r="I316" s="136">
        <f>0.03/1000</f>
        <v>2.9999999999999997E-5</v>
      </c>
      <c r="J316" s="136">
        <f>0.00139/1000</f>
        <v>1.39E-6</v>
      </c>
      <c r="K316" s="147">
        <v>0</v>
      </c>
      <c r="L316" s="146">
        <f>236.09/1000</f>
        <v>0.23608999999999999</v>
      </c>
    </row>
    <row r="317" spans="1:12" x14ac:dyDescent="0.3">
      <c r="A317" s="10">
        <v>2022</v>
      </c>
      <c r="B317" s="10" t="s">
        <v>148</v>
      </c>
      <c r="C317" s="79" t="s">
        <v>133</v>
      </c>
      <c r="D317" s="83" t="s">
        <v>134</v>
      </c>
      <c r="E317" s="36"/>
      <c r="F317" s="104">
        <v>2640</v>
      </c>
      <c r="G317" s="123" t="s">
        <v>135</v>
      </c>
      <c r="H317" s="141">
        <v>2.16</v>
      </c>
      <c r="I317" s="136">
        <v>0.14000000000000001</v>
      </c>
      <c r="J317" s="136">
        <v>0</v>
      </c>
      <c r="K317" s="151">
        <v>0</v>
      </c>
      <c r="L317" s="146">
        <v>2.2999999999999998</v>
      </c>
    </row>
    <row r="318" spans="1:12" x14ac:dyDescent="0.3">
      <c r="A318" s="10">
        <v>2022</v>
      </c>
      <c r="B318" s="10" t="s">
        <v>148</v>
      </c>
      <c r="C318" s="79" t="s">
        <v>133</v>
      </c>
      <c r="D318" s="83" t="s">
        <v>136</v>
      </c>
      <c r="E318" s="36"/>
      <c r="F318" s="104">
        <v>2638</v>
      </c>
      <c r="G318" s="123" t="s">
        <v>135</v>
      </c>
      <c r="H318" s="141">
        <v>0.34</v>
      </c>
      <c r="I318" s="136">
        <v>0</v>
      </c>
      <c r="J318" s="136">
        <v>0</v>
      </c>
      <c r="K318" s="151">
        <v>0</v>
      </c>
      <c r="L318" s="142">
        <v>0.34</v>
      </c>
    </row>
    <row r="319" spans="1:12" x14ac:dyDescent="0.3">
      <c r="A319" s="10">
        <v>2022</v>
      </c>
      <c r="B319" s="10" t="s">
        <v>148</v>
      </c>
      <c r="C319" s="79" t="s">
        <v>133</v>
      </c>
      <c r="D319" s="83" t="s">
        <v>137</v>
      </c>
      <c r="E319" s="36"/>
      <c r="F319" s="104">
        <v>112</v>
      </c>
      <c r="G319" s="123" t="s">
        <v>135</v>
      </c>
      <c r="H319" s="141">
        <v>0.02</v>
      </c>
      <c r="I319" s="136">
        <v>0</v>
      </c>
      <c r="J319" s="136">
        <v>0</v>
      </c>
      <c r="K319" s="151">
        <v>0</v>
      </c>
      <c r="L319" s="142">
        <v>0.02</v>
      </c>
    </row>
    <row r="320" spans="1:12" x14ac:dyDescent="0.3">
      <c r="A320" s="10">
        <v>2022</v>
      </c>
      <c r="B320" s="10" t="s">
        <v>148</v>
      </c>
      <c r="C320" s="79" t="s">
        <v>133</v>
      </c>
      <c r="D320" s="83" t="s">
        <v>138</v>
      </c>
      <c r="E320" s="36"/>
      <c r="F320" s="104">
        <v>89</v>
      </c>
      <c r="G320" s="123" t="s">
        <v>135</v>
      </c>
      <c r="H320" s="141">
        <v>0.17</v>
      </c>
      <c r="I320" s="136">
        <v>0</v>
      </c>
      <c r="J320" s="136">
        <v>0</v>
      </c>
      <c r="K320" s="151">
        <v>0</v>
      </c>
      <c r="L320" s="142">
        <v>0.17</v>
      </c>
    </row>
    <row r="321" spans="1:16" x14ac:dyDescent="0.3">
      <c r="A321" s="10">
        <v>2022</v>
      </c>
      <c r="B321" s="10" t="s">
        <v>148</v>
      </c>
      <c r="C321" s="79" t="s">
        <v>133</v>
      </c>
      <c r="D321" s="83" t="s">
        <v>139</v>
      </c>
      <c r="E321" s="36"/>
      <c r="F321" s="104">
        <v>86</v>
      </c>
      <c r="G321" s="123" t="s">
        <v>135</v>
      </c>
      <c r="H321" s="141">
        <v>0.05</v>
      </c>
      <c r="I321" s="136">
        <v>0</v>
      </c>
      <c r="J321" s="136">
        <v>0</v>
      </c>
      <c r="K321" s="151">
        <v>0</v>
      </c>
      <c r="L321" s="142">
        <v>0.05</v>
      </c>
    </row>
    <row r="322" spans="1:16" ht="14.5" x14ac:dyDescent="0.35">
      <c r="A322" s="10">
        <v>2022</v>
      </c>
      <c r="B322" s="10" t="s">
        <v>145</v>
      </c>
      <c r="C322" s="79" t="s">
        <v>45</v>
      </c>
      <c r="D322" s="97" t="s">
        <v>151</v>
      </c>
      <c r="E322" s="15" t="s">
        <v>24</v>
      </c>
      <c r="F322" s="96">
        <v>1000</v>
      </c>
      <c r="G322" s="9" t="s">
        <v>202</v>
      </c>
      <c r="H322" s="141">
        <v>0</v>
      </c>
      <c r="I322" s="136">
        <v>0</v>
      </c>
      <c r="J322" s="136">
        <v>0</v>
      </c>
      <c r="K322" s="136">
        <v>3.5E-4</v>
      </c>
      <c r="L322" s="142">
        <v>0.78959999999999986</v>
      </c>
      <c r="N322"/>
      <c r="O322"/>
      <c r="P322"/>
    </row>
    <row r="323" spans="1:16" ht="14.5" x14ac:dyDescent="0.35">
      <c r="A323" s="10">
        <v>2022</v>
      </c>
      <c r="B323" s="10" t="s">
        <v>145</v>
      </c>
      <c r="C323" s="79" t="s">
        <v>45</v>
      </c>
      <c r="D323" s="97" t="s">
        <v>152</v>
      </c>
      <c r="E323" s="15" t="s">
        <v>24</v>
      </c>
      <c r="F323" s="96">
        <v>720</v>
      </c>
      <c r="G323" s="9" t="s">
        <v>202</v>
      </c>
      <c r="H323" s="141">
        <v>0</v>
      </c>
      <c r="I323" s="136">
        <v>0</v>
      </c>
      <c r="J323" s="136">
        <v>0</v>
      </c>
      <c r="K323" s="136">
        <v>7.1999999999999988E-5</v>
      </c>
      <c r="L323" s="142">
        <v>0.16243199999999999</v>
      </c>
      <c r="N323"/>
      <c r="O323"/>
      <c r="P323"/>
    </row>
    <row r="324" spans="1:16" ht="14.5" x14ac:dyDescent="0.35">
      <c r="A324" s="10">
        <v>2022</v>
      </c>
      <c r="B324" s="10" t="s">
        <v>145</v>
      </c>
      <c r="C324" s="79" t="s">
        <v>45</v>
      </c>
      <c r="D324" s="97" t="s">
        <v>153</v>
      </c>
      <c r="E324" s="15" t="s">
        <v>24</v>
      </c>
      <c r="F324" s="96">
        <v>2400</v>
      </c>
      <c r="G324" s="9" t="s">
        <v>202</v>
      </c>
      <c r="H324" s="141">
        <v>0</v>
      </c>
      <c r="I324" s="136">
        <v>0</v>
      </c>
      <c r="J324" s="136">
        <v>0</v>
      </c>
      <c r="K324" s="136">
        <v>2.3999999999999998E-4</v>
      </c>
      <c r="L324" s="142">
        <v>0.54143999999999992</v>
      </c>
      <c r="N324"/>
      <c r="O324"/>
      <c r="P324"/>
    </row>
    <row r="325" spans="1:16" ht="14.5" x14ac:dyDescent="0.35">
      <c r="A325" s="10">
        <v>2022</v>
      </c>
      <c r="B325" s="10" t="s">
        <v>145</v>
      </c>
      <c r="C325" s="79" t="s">
        <v>45</v>
      </c>
      <c r="D325" s="97" t="s">
        <v>154</v>
      </c>
      <c r="E325" s="15" t="s">
        <v>24</v>
      </c>
      <c r="F325" s="96">
        <v>11000</v>
      </c>
      <c r="G325" s="9" t="s">
        <v>202</v>
      </c>
      <c r="H325" s="141">
        <v>0</v>
      </c>
      <c r="I325" s="136">
        <v>0</v>
      </c>
      <c r="J325" s="136">
        <v>0</v>
      </c>
      <c r="K325" s="136">
        <v>1.1000000000000001E-3</v>
      </c>
      <c r="L325" s="142">
        <v>2.4816000000000003</v>
      </c>
      <c r="N325"/>
      <c r="O325"/>
      <c r="P325"/>
    </row>
    <row r="326" spans="1:16" ht="14.5" x14ac:dyDescent="0.35">
      <c r="A326" s="10">
        <v>2022</v>
      </c>
      <c r="B326" s="10" t="s">
        <v>145</v>
      </c>
      <c r="C326" s="79" t="s">
        <v>45</v>
      </c>
      <c r="D326" s="97" t="s">
        <v>155</v>
      </c>
      <c r="E326" s="15" t="s">
        <v>24</v>
      </c>
      <c r="F326" s="96">
        <v>17600</v>
      </c>
      <c r="G326" s="9" t="s">
        <v>202</v>
      </c>
      <c r="H326" s="141">
        <v>0</v>
      </c>
      <c r="I326" s="136">
        <v>0</v>
      </c>
      <c r="J326" s="136">
        <v>0</v>
      </c>
      <c r="K326" s="136">
        <v>1.7600000000000001E-3</v>
      </c>
      <c r="L326" s="142">
        <v>3.9705599999999999</v>
      </c>
      <c r="N326"/>
      <c r="O326"/>
      <c r="P326"/>
    </row>
    <row r="327" spans="1:16" ht="14.5" x14ac:dyDescent="0.35">
      <c r="A327" s="10">
        <v>2022</v>
      </c>
      <c r="B327" s="10" t="s">
        <v>145</v>
      </c>
      <c r="C327" s="79" t="s">
        <v>45</v>
      </c>
      <c r="D327" s="98" t="s">
        <v>156</v>
      </c>
      <c r="E327" s="15" t="s">
        <v>24</v>
      </c>
      <c r="F327" s="96">
        <v>2130</v>
      </c>
      <c r="G327" s="9" t="s">
        <v>202</v>
      </c>
      <c r="H327" s="141">
        <v>0</v>
      </c>
      <c r="I327" s="136">
        <v>0</v>
      </c>
      <c r="J327" s="136">
        <v>0</v>
      </c>
      <c r="K327" s="136">
        <v>2.13E-4</v>
      </c>
      <c r="L327" s="142">
        <v>0.48052799999999996</v>
      </c>
      <c r="N327"/>
      <c r="O327"/>
      <c r="P327"/>
    </row>
    <row r="328" spans="1:16" ht="14.5" x14ac:dyDescent="0.35">
      <c r="A328" s="10">
        <v>2022</v>
      </c>
      <c r="B328" s="10" t="s">
        <v>145</v>
      </c>
      <c r="C328" s="79" t="s">
        <v>45</v>
      </c>
      <c r="D328" s="101" t="s">
        <v>157</v>
      </c>
      <c r="E328" s="15" t="s">
        <v>24</v>
      </c>
      <c r="F328" s="96">
        <v>11660</v>
      </c>
      <c r="G328" s="9" t="s">
        <v>202</v>
      </c>
      <c r="H328" s="141">
        <v>0</v>
      </c>
      <c r="I328" s="136">
        <v>0</v>
      </c>
      <c r="J328" s="136">
        <v>0</v>
      </c>
      <c r="K328" s="136">
        <v>1.1659999999999999E-3</v>
      </c>
      <c r="L328" s="142">
        <v>2.6304959999999995</v>
      </c>
      <c r="N328"/>
      <c r="O328"/>
      <c r="P328"/>
    </row>
    <row r="329" spans="1:16" ht="14.5" x14ac:dyDescent="0.35">
      <c r="A329" s="10">
        <v>2022</v>
      </c>
      <c r="B329" s="10" t="s">
        <v>145</v>
      </c>
      <c r="C329" s="79" t="s">
        <v>45</v>
      </c>
      <c r="D329" s="101" t="s">
        <v>158</v>
      </c>
      <c r="E329" s="15" t="s">
        <v>24</v>
      </c>
      <c r="F329" s="96">
        <v>5250</v>
      </c>
      <c r="G329" s="9" t="s">
        <v>202</v>
      </c>
      <c r="H329" s="141">
        <v>0</v>
      </c>
      <c r="I329" s="136">
        <v>0</v>
      </c>
      <c r="J329" s="136">
        <v>0</v>
      </c>
      <c r="K329" s="136">
        <v>5.2500000000000008E-4</v>
      </c>
      <c r="L329" s="142">
        <v>1.1844000000000001</v>
      </c>
      <c r="N329"/>
      <c r="O329"/>
      <c r="P329"/>
    </row>
    <row r="330" spans="1:16" ht="14.5" x14ac:dyDescent="0.35">
      <c r="A330" s="10">
        <v>2022</v>
      </c>
      <c r="B330" s="10" t="s">
        <v>145</v>
      </c>
      <c r="C330" s="79" t="s">
        <v>45</v>
      </c>
      <c r="D330" s="101" t="s">
        <v>159</v>
      </c>
      <c r="E330" s="15" t="s">
        <v>24</v>
      </c>
      <c r="F330" s="96">
        <v>41860</v>
      </c>
      <c r="G330" s="9" t="s">
        <v>202</v>
      </c>
      <c r="H330" s="141">
        <v>0</v>
      </c>
      <c r="I330" s="136">
        <v>0</v>
      </c>
      <c r="J330" s="136">
        <v>0</v>
      </c>
      <c r="K330" s="136">
        <v>4.1859999999999996E-3</v>
      </c>
      <c r="L330" s="142">
        <v>9.4436160000000005</v>
      </c>
      <c r="N330"/>
      <c r="O330"/>
      <c r="P330"/>
    </row>
    <row r="331" spans="1:16" ht="14.5" x14ac:dyDescent="0.35">
      <c r="A331" s="10">
        <v>2022</v>
      </c>
      <c r="B331" s="10" t="s">
        <v>145</v>
      </c>
      <c r="C331" s="79" t="s">
        <v>45</v>
      </c>
      <c r="D331" s="95" t="s">
        <v>160</v>
      </c>
      <c r="E331" s="15" t="s">
        <v>24</v>
      </c>
      <c r="F331" s="96">
        <v>22000</v>
      </c>
      <c r="G331" s="9" t="s">
        <v>202</v>
      </c>
      <c r="H331" s="141">
        <v>0</v>
      </c>
      <c r="I331" s="136">
        <v>0</v>
      </c>
      <c r="J331" s="136">
        <v>0</v>
      </c>
      <c r="K331" s="136">
        <v>2.2000000000000001E-3</v>
      </c>
      <c r="L331" s="142">
        <v>4.9632000000000005</v>
      </c>
      <c r="N331"/>
      <c r="O331"/>
      <c r="P331"/>
    </row>
    <row r="332" spans="1:16" ht="14.5" x14ac:dyDescent="0.35">
      <c r="A332" s="10">
        <v>2022</v>
      </c>
      <c r="B332" s="10" t="s">
        <v>145</v>
      </c>
      <c r="C332" s="79" t="s">
        <v>45</v>
      </c>
      <c r="D332" s="95" t="s">
        <v>161</v>
      </c>
      <c r="E332" s="15" t="s">
        <v>24</v>
      </c>
      <c r="F332" s="96">
        <v>24000</v>
      </c>
      <c r="G332" s="9" t="s">
        <v>202</v>
      </c>
      <c r="H332" s="141">
        <v>0</v>
      </c>
      <c r="I332" s="136">
        <v>0</v>
      </c>
      <c r="J332" s="136">
        <v>0</v>
      </c>
      <c r="K332" s="136">
        <v>2.3999999999999998E-3</v>
      </c>
      <c r="L332" s="142">
        <v>5.4143999999999997</v>
      </c>
      <c r="N332"/>
      <c r="O332"/>
      <c r="P332"/>
    </row>
    <row r="333" spans="1:16" ht="14.5" x14ac:dyDescent="0.35">
      <c r="A333" s="10">
        <v>2022</v>
      </c>
      <c r="B333" s="10" t="s">
        <v>145</v>
      </c>
      <c r="C333" s="79" t="s">
        <v>45</v>
      </c>
      <c r="D333" s="95" t="s">
        <v>162</v>
      </c>
      <c r="E333" s="15" t="s">
        <v>24</v>
      </c>
      <c r="F333" s="96">
        <v>94.710009599999992</v>
      </c>
      <c r="G333" s="9" t="s">
        <v>202</v>
      </c>
      <c r="H333" s="141">
        <v>0</v>
      </c>
      <c r="I333" s="136">
        <v>0</v>
      </c>
      <c r="J333" s="136">
        <v>0</v>
      </c>
      <c r="K333" s="136">
        <v>1.8942001919999999E-5</v>
      </c>
      <c r="L333" s="142">
        <v>4.273315633152E-2</v>
      </c>
      <c r="N333"/>
      <c r="O333"/>
      <c r="P333"/>
    </row>
    <row r="334" spans="1:16" ht="14.5" x14ac:dyDescent="0.35">
      <c r="A334" s="10">
        <v>2022</v>
      </c>
      <c r="B334" s="10" t="s">
        <v>145</v>
      </c>
      <c r="C334" s="79" t="s">
        <v>45</v>
      </c>
      <c r="D334" s="95" t="s">
        <v>163</v>
      </c>
      <c r="E334" s="15" t="s">
        <v>24</v>
      </c>
      <c r="F334" s="96">
        <v>21.046668799999999</v>
      </c>
      <c r="G334" s="9" t="s">
        <v>202</v>
      </c>
      <c r="H334" s="141">
        <v>0</v>
      </c>
      <c r="I334" s="136">
        <v>0</v>
      </c>
      <c r="J334" s="136">
        <v>0</v>
      </c>
      <c r="K334" s="136">
        <v>4.2093337599999993E-6</v>
      </c>
      <c r="L334" s="142">
        <v>9.4962569625599985E-3</v>
      </c>
      <c r="N334"/>
      <c r="O334"/>
      <c r="P334"/>
    </row>
    <row r="335" spans="1:16" ht="14.5" x14ac:dyDescent="0.35">
      <c r="A335" s="10">
        <v>2022</v>
      </c>
      <c r="B335" s="10" t="s">
        <v>145</v>
      </c>
      <c r="C335" s="79" t="s">
        <v>45</v>
      </c>
      <c r="D335" s="95" t="s">
        <v>164</v>
      </c>
      <c r="E335" s="15" t="s">
        <v>24</v>
      </c>
      <c r="F335" s="96">
        <v>48.080751999999997</v>
      </c>
      <c r="G335" s="9" t="s">
        <v>202</v>
      </c>
      <c r="H335" s="141">
        <v>0</v>
      </c>
      <c r="I335" s="136">
        <v>0</v>
      </c>
      <c r="J335" s="136">
        <v>0</v>
      </c>
      <c r="K335" s="136">
        <v>9.6161504000000009E-6</v>
      </c>
      <c r="L335" s="142">
        <v>2.1694035302400001E-2</v>
      </c>
      <c r="N335"/>
      <c r="O335"/>
      <c r="P335"/>
    </row>
    <row r="336" spans="1:16" ht="14.5" x14ac:dyDescent="0.35">
      <c r="A336" s="10">
        <v>2022</v>
      </c>
      <c r="B336" s="10" t="s">
        <v>145</v>
      </c>
      <c r="C336" s="79" t="s">
        <v>45</v>
      </c>
      <c r="D336" s="95" t="s">
        <v>166</v>
      </c>
      <c r="E336" s="15" t="s">
        <v>24</v>
      </c>
      <c r="F336" s="96">
        <v>70.07996399999999</v>
      </c>
      <c r="G336" s="9" t="s">
        <v>202</v>
      </c>
      <c r="H336" s="141">
        <v>0</v>
      </c>
      <c r="I336" s="136">
        <v>0</v>
      </c>
      <c r="J336" s="136">
        <v>0</v>
      </c>
      <c r="K336" s="136">
        <v>1.40159928E-5</v>
      </c>
      <c r="L336" s="142">
        <v>3.16200797568E-2</v>
      </c>
      <c r="N336"/>
      <c r="O336"/>
      <c r="P336"/>
    </row>
    <row r="337" spans="1:16" ht="14.5" x14ac:dyDescent="0.35">
      <c r="A337" s="10">
        <v>2022</v>
      </c>
      <c r="B337" s="10" t="s">
        <v>145</v>
      </c>
      <c r="C337" s="79" t="s">
        <v>45</v>
      </c>
      <c r="D337" s="95" t="s">
        <v>165</v>
      </c>
      <c r="E337" s="15" t="s">
        <v>24</v>
      </c>
      <c r="F337" s="96">
        <v>85.04849999999999</v>
      </c>
      <c r="G337" s="9" t="s">
        <v>202</v>
      </c>
      <c r="H337" s="141">
        <v>0</v>
      </c>
      <c r="I337" s="136">
        <v>0</v>
      </c>
      <c r="J337" s="136">
        <v>0</v>
      </c>
      <c r="K337" s="136">
        <v>1.7009700000000001E-5</v>
      </c>
      <c r="L337" s="142">
        <v>3.8373883199999993E-2</v>
      </c>
      <c r="N337"/>
      <c r="O337"/>
      <c r="P337"/>
    </row>
    <row r="338" spans="1:16" ht="14.5" x14ac:dyDescent="0.35">
      <c r="A338" s="10">
        <v>2022</v>
      </c>
      <c r="B338" s="10" t="s">
        <v>145</v>
      </c>
      <c r="C338" s="79" t="s">
        <v>45</v>
      </c>
      <c r="D338" s="95" t="s">
        <v>167</v>
      </c>
      <c r="E338" s="15" t="s">
        <v>24</v>
      </c>
      <c r="F338" s="133">
        <v>42.034370640000006</v>
      </c>
      <c r="G338" s="9" t="s">
        <v>202</v>
      </c>
      <c r="H338" s="141">
        <v>0</v>
      </c>
      <c r="I338" s="136">
        <v>0</v>
      </c>
      <c r="J338" s="136">
        <v>0</v>
      </c>
      <c r="K338" s="136">
        <v>8.4068741280000018E-6</v>
      </c>
      <c r="L338" s="142">
        <v>1.8965908032768004E-2</v>
      </c>
      <c r="N338"/>
      <c r="O338"/>
      <c r="P338"/>
    </row>
    <row r="339" spans="1:16" ht="14.5" x14ac:dyDescent="0.35">
      <c r="A339" s="10">
        <v>2022</v>
      </c>
      <c r="B339" s="10" t="s">
        <v>145</v>
      </c>
      <c r="C339" s="79" t="s">
        <v>45</v>
      </c>
      <c r="D339" s="79" t="s">
        <v>180</v>
      </c>
      <c r="E339" s="4" t="s">
        <v>20</v>
      </c>
      <c r="F339" s="134">
        <v>340</v>
      </c>
      <c r="G339" s="9" t="s">
        <v>202</v>
      </c>
      <c r="H339" s="141">
        <v>0</v>
      </c>
      <c r="I339" s="136">
        <v>0</v>
      </c>
      <c r="J339" s="136">
        <v>0</v>
      </c>
      <c r="K339" s="136">
        <v>1.1899999999999998E-4</v>
      </c>
      <c r="L339" s="142">
        <v>0.141984</v>
      </c>
      <c r="N339"/>
      <c r="O339"/>
      <c r="P339"/>
    </row>
    <row r="340" spans="1:16" ht="14.5" x14ac:dyDescent="0.35">
      <c r="A340" s="10">
        <v>2022</v>
      </c>
      <c r="B340" s="10" t="s">
        <v>145</v>
      </c>
      <c r="C340" s="79" t="s">
        <v>45</v>
      </c>
      <c r="D340" s="79" t="s">
        <v>180</v>
      </c>
      <c r="E340" s="4" t="s">
        <v>20</v>
      </c>
      <c r="F340" s="134">
        <v>180</v>
      </c>
      <c r="G340" s="9" t="s">
        <v>202</v>
      </c>
      <c r="H340" s="141">
        <v>0</v>
      </c>
      <c r="I340" s="136">
        <v>0</v>
      </c>
      <c r="J340" s="136">
        <v>0</v>
      </c>
      <c r="K340" s="136">
        <v>6.2999999999999986E-5</v>
      </c>
      <c r="L340" s="142">
        <v>7.5167999999999985E-2</v>
      </c>
      <c r="N340"/>
      <c r="O340"/>
      <c r="P340"/>
    </row>
    <row r="341" spans="1:16" ht="14.5" x14ac:dyDescent="0.35">
      <c r="A341" s="10">
        <v>2022</v>
      </c>
      <c r="B341" s="10" t="s">
        <v>145</v>
      </c>
      <c r="C341" s="79" t="s">
        <v>45</v>
      </c>
      <c r="D341" s="79" t="s">
        <v>181</v>
      </c>
      <c r="E341" s="4" t="s">
        <v>20</v>
      </c>
      <c r="F341" s="134">
        <v>180</v>
      </c>
      <c r="G341" s="9" t="s">
        <v>202</v>
      </c>
      <c r="H341" s="141">
        <v>0</v>
      </c>
      <c r="I341" s="136">
        <v>0</v>
      </c>
      <c r="J341" s="136">
        <v>0</v>
      </c>
      <c r="K341" s="136">
        <v>1.7999999999999999E-6</v>
      </c>
      <c r="L341" s="142">
        <v>3.7583999999999992E-2</v>
      </c>
      <c r="N341"/>
      <c r="O341"/>
      <c r="P341"/>
    </row>
    <row r="342" spans="1:16" ht="14.5" x14ac:dyDescent="0.35">
      <c r="A342" s="10">
        <v>2022</v>
      </c>
      <c r="B342" s="10" t="s">
        <v>145</v>
      </c>
      <c r="C342" s="79" t="s">
        <v>45</v>
      </c>
      <c r="D342" s="79" t="s">
        <v>182</v>
      </c>
      <c r="E342" s="9" t="s">
        <v>46</v>
      </c>
      <c r="F342" s="134">
        <v>600</v>
      </c>
      <c r="G342" s="9" t="s">
        <v>202</v>
      </c>
      <c r="H342" s="141">
        <v>0</v>
      </c>
      <c r="I342" s="136">
        <v>0</v>
      </c>
      <c r="J342" s="136">
        <v>0</v>
      </c>
      <c r="K342" s="136">
        <v>0.13733999999999999</v>
      </c>
      <c r="L342" s="142">
        <v>8.9999999999999992E-5</v>
      </c>
      <c r="N342"/>
      <c r="O342"/>
      <c r="P342"/>
    </row>
    <row r="343" spans="1:16" ht="14.5" x14ac:dyDescent="0.35">
      <c r="A343" s="10">
        <v>2022</v>
      </c>
      <c r="B343" s="10" t="s">
        <v>145</v>
      </c>
      <c r="C343" s="79" t="s">
        <v>45</v>
      </c>
      <c r="D343" s="99" t="s">
        <v>183</v>
      </c>
      <c r="E343" s="9" t="s">
        <v>24</v>
      </c>
      <c r="F343" s="134">
        <v>80</v>
      </c>
      <c r="G343" s="9" t="s">
        <v>202</v>
      </c>
      <c r="H343" s="141">
        <v>0</v>
      </c>
      <c r="I343" s="136">
        <v>0</v>
      </c>
      <c r="J343" s="136">
        <v>0</v>
      </c>
      <c r="K343" s="136">
        <v>1.8312000000000002E-2</v>
      </c>
      <c r="L343" s="142">
        <v>1.2E-5</v>
      </c>
      <c r="N343"/>
      <c r="O343"/>
      <c r="P343"/>
    </row>
    <row r="344" spans="1:16" ht="14.5" x14ac:dyDescent="0.35">
      <c r="A344" s="10">
        <v>2022</v>
      </c>
      <c r="B344" s="10" t="s">
        <v>145</v>
      </c>
      <c r="C344" s="79" t="s">
        <v>45</v>
      </c>
      <c r="D344" s="79" t="s">
        <v>184</v>
      </c>
      <c r="E344" s="4" t="s">
        <v>20</v>
      </c>
      <c r="F344" s="134">
        <v>180</v>
      </c>
      <c r="G344" s="9" t="s">
        <v>202</v>
      </c>
      <c r="H344" s="141">
        <v>0</v>
      </c>
      <c r="I344" s="136">
        <v>0</v>
      </c>
      <c r="J344" s="136">
        <v>0</v>
      </c>
      <c r="K344" s="136">
        <v>4.1201999999999996E-2</v>
      </c>
      <c r="L344" s="142">
        <v>2.6999999999999999E-5</v>
      </c>
      <c r="N344"/>
      <c r="O344"/>
      <c r="P344"/>
    </row>
    <row r="345" spans="1:16" x14ac:dyDescent="0.3">
      <c r="A345" s="10">
        <v>2022</v>
      </c>
      <c r="B345" s="10" t="s">
        <v>145</v>
      </c>
      <c r="C345" s="79" t="s">
        <v>45</v>
      </c>
      <c r="D345" s="98" t="s">
        <v>185</v>
      </c>
      <c r="E345" s="9"/>
      <c r="F345" s="135">
        <v>40.799999999999997</v>
      </c>
      <c r="G345" s="123" t="s">
        <v>135</v>
      </c>
      <c r="H345" s="141">
        <v>4.1000000000000002E-2</v>
      </c>
      <c r="I345" s="136">
        <v>0</v>
      </c>
      <c r="J345" s="136">
        <v>0</v>
      </c>
      <c r="K345" s="136">
        <v>0</v>
      </c>
      <c r="L345" s="142">
        <v>4.1000000000000002E-2</v>
      </c>
    </row>
    <row r="346" spans="1:16" x14ac:dyDescent="0.3">
      <c r="A346" s="10">
        <v>2022</v>
      </c>
      <c r="B346" s="10" t="s">
        <v>145</v>
      </c>
      <c r="C346" s="79" t="s">
        <v>45</v>
      </c>
      <c r="D346" s="98" t="s">
        <v>186</v>
      </c>
      <c r="E346" s="9"/>
      <c r="F346" s="135">
        <v>13.5</v>
      </c>
      <c r="G346" s="123" t="s">
        <v>135</v>
      </c>
      <c r="H346" s="141">
        <v>1.4E-2</v>
      </c>
      <c r="I346" s="136">
        <v>0</v>
      </c>
      <c r="J346" s="136">
        <v>0</v>
      </c>
      <c r="K346" s="136">
        <v>0</v>
      </c>
      <c r="L346" s="142">
        <v>1.4E-2</v>
      </c>
    </row>
    <row r="347" spans="1:16" x14ac:dyDescent="0.3">
      <c r="A347" s="10">
        <v>2022</v>
      </c>
      <c r="B347" s="10" t="s">
        <v>145</v>
      </c>
      <c r="C347" s="79" t="s">
        <v>45</v>
      </c>
      <c r="D347" s="98" t="s">
        <v>187</v>
      </c>
      <c r="E347" s="9"/>
      <c r="F347" s="135">
        <v>157.5</v>
      </c>
      <c r="G347" s="123" t="s">
        <v>135</v>
      </c>
      <c r="H347" s="141">
        <v>0</v>
      </c>
      <c r="I347" s="136">
        <v>0</v>
      </c>
      <c r="J347" s="136">
        <v>0</v>
      </c>
      <c r="K347" s="136">
        <v>14.238</v>
      </c>
      <c r="L347" s="142">
        <v>14.238</v>
      </c>
    </row>
    <row r="348" spans="1:16" x14ac:dyDescent="0.3">
      <c r="A348" s="10">
        <v>2022</v>
      </c>
      <c r="B348" s="10" t="s">
        <v>145</v>
      </c>
      <c r="C348" s="79" t="s">
        <v>45</v>
      </c>
      <c r="D348" s="98" t="s">
        <v>188</v>
      </c>
      <c r="E348" s="9"/>
      <c r="F348" s="135">
        <v>148</v>
      </c>
      <c r="G348" s="123" t="s">
        <v>135</v>
      </c>
      <c r="H348" s="141">
        <v>0</v>
      </c>
      <c r="I348" s="136">
        <v>0</v>
      </c>
      <c r="J348" s="136">
        <v>0</v>
      </c>
      <c r="K348" s="136">
        <v>13.379</v>
      </c>
      <c r="L348" s="142">
        <v>13.379</v>
      </c>
    </row>
    <row r="349" spans="1:16" x14ac:dyDescent="0.3">
      <c r="A349" s="10">
        <v>2022</v>
      </c>
      <c r="B349" s="10" t="s">
        <v>145</v>
      </c>
      <c r="C349" s="79" t="s">
        <v>45</v>
      </c>
      <c r="D349" s="98" t="s">
        <v>189</v>
      </c>
      <c r="E349" s="9"/>
      <c r="F349" s="9">
        <v>21</v>
      </c>
      <c r="G349" s="123" t="s">
        <v>135</v>
      </c>
      <c r="H349" s="141">
        <v>0</v>
      </c>
      <c r="I349" s="136">
        <v>0</v>
      </c>
      <c r="J349" s="136">
        <v>0</v>
      </c>
      <c r="K349" s="136">
        <v>1.8979999999999999</v>
      </c>
      <c r="L349" s="142">
        <v>1.8979999999999999</v>
      </c>
    </row>
    <row r="350" spans="1:16" x14ac:dyDescent="0.3">
      <c r="A350" s="10">
        <v>2022</v>
      </c>
      <c r="B350" s="10" t="s">
        <v>145</v>
      </c>
      <c r="C350" s="79" t="s">
        <v>45</v>
      </c>
      <c r="D350" s="98" t="s">
        <v>190</v>
      </c>
      <c r="E350" s="4" t="s">
        <v>20</v>
      </c>
      <c r="F350" s="9">
        <v>111</v>
      </c>
      <c r="G350" s="9" t="s">
        <v>25</v>
      </c>
      <c r="H350" s="141">
        <v>3.0329999999999999</v>
      </c>
      <c r="I350" s="136">
        <v>0</v>
      </c>
      <c r="J350" s="136">
        <v>3.0329999999999999</v>
      </c>
      <c r="K350" s="136">
        <v>0</v>
      </c>
      <c r="L350" s="142">
        <v>3.04</v>
      </c>
    </row>
    <row r="351" spans="1:16" x14ac:dyDescent="0.3">
      <c r="A351" s="10">
        <v>2021</v>
      </c>
      <c r="B351" s="10" t="s">
        <v>145</v>
      </c>
      <c r="C351" s="79" t="s">
        <v>19</v>
      </c>
      <c r="D351" s="79" t="s">
        <v>198</v>
      </c>
      <c r="E351" s="79" t="s">
        <v>20</v>
      </c>
      <c r="F351" s="117">
        <v>6.4</v>
      </c>
      <c r="G351" s="9" t="s">
        <v>21</v>
      </c>
      <c r="H351" s="141">
        <v>5.7600000000000004E-5</v>
      </c>
      <c r="I351" s="136">
        <v>3.4560000000000008E-5</v>
      </c>
      <c r="J351" s="136">
        <v>5.8647951360000006E-2</v>
      </c>
      <c r="K351" s="136">
        <v>0</v>
      </c>
      <c r="L351" s="146">
        <v>4.4044800000000005E-3</v>
      </c>
    </row>
    <row r="352" spans="1:16" x14ac:dyDescent="0.3">
      <c r="A352" s="10">
        <v>2021</v>
      </c>
      <c r="B352" s="10" t="s">
        <v>145</v>
      </c>
      <c r="C352" s="79" t="s">
        <v>19</v>
      </c>
      <c r="D352" s="79" t="s">
        <v>199</v>
      </c>
      <c r="E352" s="79" t="s">
        <v>22</v>
      </c>
      <c r="F352" s="117">
        <v>0.24</v>
      </c>
      <c r="G352" s="9" t="s">
        <v>21</v>
      </c>
      <c r="H352" s="141">
        <v>2.1239999999999999E-6</v>
      </c>
      <c r="I352" s="136">
        <v>1.2744E-6</v>
      </c>
      <c r="J352" s="136">
        <v>2.1626432063999996E-3</v>
      </c>
      <c r="K352" s="136">
        <v>0</v>
      </c>
      <c r="L352" s="142">
        <v>1.624152E-4</v>
      </c>
    </row>
    <row r="353" spans="1:12" x14ac:dyDescent="0.3">
      <c r="A353" s="10">
        <v>2021</v>
      </c>
      <c r="B353" s="10" t="s">
        <v>145</v>
      </c>
      <c r="C353" s="79" t="s">
        <v>19</v>
      </c>
      <c r="D353" s="79" t="s">
        <v>23</v>
      </c>
      <c r="E353" s="15" t="s">
        <v>24</v>
      </c>
      <c r="F353" s="15">
        <v>0</v>
      </c>
      <c r="G353" s="9" t="s">
        <v>25</v>
      </c>
      <c r="H353" s="141">
        <v>0</v>
      </c>
      <c r="I353" s="136">
        <v>0</v>
      </c>
      <c r="J353" s="136">
        <v>0</v>
      </c>
      <c r="K353" s="136">
        <v>0</v>
      </c>
      <c r="L353" s="142">
        <v>0</v>
      </c>
    </row>
    <row r="354" spans="1:12" x14ac:dyDescent="0.3">
      <c r="A354" s="10">
        <v>2021</v>
      </c>
      <c r="B354" s="10" t="s">
        <v>145</v>
      </c>
      <c r="C354" s="98" t="s">
        <v>43</v>
      </c>
      <c r="D354" s="10" t="s">
        <v>168</v>
      </c>
      <c r="E354" s="10"/>
      <c r="F354" s="137">
        <v>61.304561059342817</v>
      </c>
      <c r="G354" s="9" t="s">
        <v>21</v>
      </c>
      <c r="H354" s="141">
        <v>0.48597351642962239</v>
      </c>
      <c r="I354" s="136">
        <v>1.6166012751348699E-2</v>
      </c>
      <c r="J354" s="136">
        <v>1.544874938695439E-3</v>
      </c>
      <c r="K354" s="147">
        <v>0</v>
      </c>
      <c r="L354" s="142">
        <v>0.48687701446787646</v>
      </c>
    </row>
    <row r="355" spans="1:12" x14ac:dyDescent="0.3">
      <c r="A355" s="10">
        <v>2021</v>
      </c>
      <c r="B355" s="10" t="s">
        <v>145</v>
      </c>
      <c r="C355" s="98" t="s">
        <v>43</v>
      </c>
      <c r="D355" s="10" t="s">
        <v>169</v>
      </c>
      <c r="E355" s="10"/>
      <c r="F355" s="137">
        <v>36.027380809415156</v>
      </c>
      <c r="G355" s="9" t="s">
        <v>21</v>
      </c>
      <c r="H355" s="141">
        <v>0.28559625315239584</v>
      </c>
      <c r="I355" s="136">
        <v>9.5004203194427768E-3</v>
      </c>
      <c r="J355" s="136">
        <v>9.0788999639726195E-4</v>
      </c>
      <c r="K355" s="147">
        <v>0</v>
      </c>
      <c r="L355" s="142">
        <v>0.28612721964693166</v>
      </c>
    </row>
    <row r="356" spans="1:12" x14ac:dyDescent="0.3">
      <c r="A356" s="10">
        <v>2021</v>
      </c>
      <c r="B356" s="10" t="s">
        <v>145</v>
      </c>
      <c r="C356" s="98" t="s">
        <v>43</v>
      </c>
      <c r="D356" s="10" t="s">
        <v>170</v>
      </c>
      <c r="E356" s="10"/>
      <c r="F356" s="137">
        <v>35.532393698922185</v>
      </c>
      <c r="G356" s="9" t="s">
        <v>21</v>
      </c>
      <c r="H356" s="141">
        <v>0.28167239133009592</v>
      </c>
      <c r="I356" s="136">
        <v>9.3698922184057808E-3</v>
      </c>
      <c r="J356" s="136">
        <v>8.954163212128391E-4</v>
      </c>
      <c r="K356" s="147">
        <v>0</v>
      </c>
      <c r="L356" s="142">
        <v>0.28219606277389553</v>
      </c>
    </row>
    <row r="357" spans="1:12" x14ac:dyDescent="0.3">
      <c r="A357" s="10">
        <v>2021</v>
      </c>
      <c r="B357" s="10" t="s">
        <v>145</v>
      </c>
      <c r="C357" s="98" t="s">
        <v>43</v>
      </c>
      <c r="D357" s="10" t="s">
        <v>171</v>
      </c>
      <c r="E357" s="10"/>
      <c r="F357" s="137">
        <v>35.190615835777123</v>
      </c>
      <c r="G357" s="9" t="s">
        <v>21</v>
      </c>
      <c r="H357" s="141">
        <v>0.27896304985337239</v>
      </c>
      <c r="I357" s="136">
        <v>9.2797653958944255E-3</v>
      </c>
      <c r="J357" s="136">
        <v>8.8680351906158346E-4</v>
      </c>
      <c r="K357" s="147">
        <v>0</v>
      </c>
      <c r="L357" s="142">
        <v>0.27948168422287395</v>
      </c>
    </row>
    <row r="358" spans="1:12" x14ac:dyDescent="0.3">
      <c r="A358" s="10">
        <v>2021</v>
      </c>
      <c r="B358" s="10" t="s">
        <v>145</v>
      </c>
      <c r="C358" s="98" t="s">
        <v>43</v>
      </c>
      <c r="D358" s="10" t="s">
        <v>172</v>
      </c>
      <c r="E358" s="10"/>
      <c r="F358" s="137">
        <v>33.909799932180398</v>
      </c>
      <c r="G358" s="9" t="s">
        <v>21</v>
      </c>
      <c r="H358" s="141">
        <v>0.26880976602238049</v>
      </c>
      <c r="I358" s="136">
        <v>8.9420142421159695E-3</v>
      </c>
      <c r="J358" s="136">
        <v>8.5452695829094604E-4</v>
      </c>
      <c r="K358" s="147">
        <v>0</v>
      </c>
      <c r="L358" s="142">
        <v>0.26930952390640894</v>
      </c>
    </row>
    <row r="359" spans="1:12" x14ac:dyDescent="0.3">
      <c r="A359" s="10">
        <v>2021</v>
      </c>
      <c r="B359" s="10" t="s">
        <v>145</v>
      </c>
      <c r="C359" s="98" t="s">
        <v>43</v>
      </c>
      <c r="D359" s="10" t="s">
        <v>173</v>
      </c>
      <c r="E359" s="10"/>
      <c r="F359" s="137">
        <v>33.909799932180398</v>
      </c>
      <c r="G359" s="9" t="s">
        <v>21</v>
      </c>
      <c r="H359" s="141">
        <v>0.26880976602238049</v>
      </c>
      <c r="I359" s="136">
        <v>8.9420142421159695E-3</v>
      </c>
      <c r="J359" s="136">
        <v>8.5452695829094604E-4</v>
      </c>
      <c r="K359" s="147">
        <v>0</v>
      </c>
      <c r="L359" s="142">
        <v>0.26930952390640894</v>
      </c>
    </row>
    <row r="360" spans="1:12" x14ac:dyDescent="0.3">
      <c r="A360" s="10">
        <v>2021</v>
      </c>
      <c r="B360" s="10" t="s">
        <v>145</v>
      </c>
      <c r="C360" s="98" t="s">
        <v>43</v>
      </c>
      <c r="D360" s="10" t="s">
        <v>174</v>
      </c>
      <c r="E360" s="10"/>
      <c r="F360" s="137">
        <v>33.982782057091072</v>
      </c>
      <c r="G360" s="9" t="s">
        <v>21</v>
      </c>
      <c r="H360" s="141">
        <v>0.2693883099229723</v>
      </c>
      <c r="I360" s="136">
        <v>8.961259628454914E-3</v>
      </c>
      <c r="J360" s="136">
        <v>8.5636610783869501E-4</v>
      </c>
      <c r="K360" s="147">
        <v>0</v>
      </c>
      <c r="L360" s="142">
        <v>0.26988914340734027</v>
      </c>
    </row>
    <row r="361" spans="1:12" x14ac:dyDescent="0.3">
      <c r="A361" s="10">
        <v>2021</v>
      </c>
      <c r="B361" s="10" t="s">
        <v>145</v>
      </c>
      <c r="C361" s="98" t="s">
        <v>43</v>
      </c>
      <c r="D361" s="10" t="s">
        <v>175</v>
      </c>
      <c r="E361" s="10"/>
      <c r="F361" s="137">
        <v>0</v>
      </c>
      <c r="G361" s="9" t="s">
        <v>21</v>
      </c>
      <c r="H361" s="141">
        <v>0</v>
      </c>
      <c r="I361" s="136">
        <v>0</v>
      </c>
      <c r="J361" s="136">
        <v>0</v>
      </c>
      <c r="K361" s="147">
        <v>0</v>
      </c>
      <c r="L361" s="142">
        <v>0</v>
      </c>
    </row>
    <row r="362" spans="1:12" x14ac:dyDescent="0.3">
      <c r="A362" s="10">
        <v>2021</v>
      </c>
      <c r="B362" s="10" t="s">
        <v>145</v>
      </c>
      <c r="C362" s="98" t="s">
        <v>43</v>
      </c>
      <c r="D362" s="10" t="s">
        <v>176</v>
      </c>
      <c r="E362" s="10"/>
      <c r="F362" s="137">
        <v>44.488933377822264</v>
      </c>
      <c r="G362" s="9" t="s">
        <v>21</v>
      </c>
      <c r="H362" s="141">
        <v>0.35267267267267266</v>
      </c>
      <c r="I362" s="136">
        <v>1.1731731731731731E-2</v>
      </c>
      <c r="J362" s="136">
        <v>1.1211211211211213E-3</v>
      </c>
      <c r="K362" s="147">
        <v>0</v>
      </c>
      <c r="L362" s="142">
        <v>0.35332834434434435</v>
      </c>
    </row>
    <row r="363" spans="1:12" x14ac:dyDescent="0.3">
      <c r="A363" s="10">
        <v>2021</v>
      </c>
      <c r="B363" s="10" t="s">
        <v>145</v>
      </c>
      <c r="C363" s="98" t="s">
        <v>43</v>
      </c>
      <c r="D363" s="10" t="s">
        <v>177</v>
      </c>
      <c r="E363" s="10"/>
      <c r="F363" s="137">
        <v>42.831138237498664</v>
      </c>
      <c r="G363" s="9" t="s">
        <v>21</v>
      </c>
      <c r="H363" s="141">
        <v>0.33953099903629941</v>
      </c>
      <c r="I363" s="136">
        <v>1.1294571153228397E-2</v>
      </c>
      <c r="J363" s="136">
        <v>1.0793446835849665E-3</v>
      </c>
      <c r="K363" s="147">
        <v>0</v>
      </c>
      <c r="L363" s="142">
        <v>0.34016223835528431</v>
      </c>
    </row>
    <row r="364" spans="1:12" x14ac:dyDescent="0.3">
      <c r="A364" s="10">
        <v>2021</v>
      </c>
      <c r="B364" s="10" t="s">
        <v>145</v>
      </c>
      <c r="C364" s="98" t="s">
        <v>43</v>
      </c>
      <c r="D364" s="10" t="s">
        <v>178</v>
      </c>
      <c r="E364" s="10"/>
      <c r="F364" s="137">
        <v>0</v>
      </c>
      <c r="G364" s="9" t="s">
        <v>21</v>
      </c>
      <c r="H364" s="141">
        <v>0</v>
      </c>
      <c r="I364" s="136">
        <v>0</v>
      </c>
      <c r="J364" s="136">
        <v>0</v>
      </c>
      <c r="K364" s="147">
        <v>0</v>
      </c>
      <c r="L364" s="142">
        <v>0</v>
      </c>
    </row>
    <row r="365" spans="1:12" x14ac:dyDescent="0.3">
      <c r="A365" s="10">
        <v>2021</v>
      </c>
      <c r="B365" s="10" t="s">
        <v>145</v>
      </c>
      <c r="C365" s="98" t="s">
        <v>43</v>
      </c>
      <c r="D365" s="10" t="s">
        <v>179</v>
      </c>
      <c r="E365" s="10"/>
      <c r="F365" s="137">
        <v>43.516100957354219</v>
      </c>
      <c r="G365" s="9" t="s">
        <v>21</v>
      </c>
      <c r="H365" s="141">
        <v>0.34496083550913836</v>
      </c>
      <c r="I365" s="136">
        <v>1.1475195822454307E-2</v>
      </c>
      <c r="J365" s="136">
        <v>1.0966057441253263E-3</v>
      </c>
      <c r="K365" s="147">
        <v>0</v>
      </c>
      <c r="L365" s="142">
        <v>0.34560216971279373</v>
      </c>
    </row>
    <row r="366" spans="1:12" x14ac:dyDescent="0.3">
      <c r="A366" s="10">
        <v>2021</v>
      </c>
      <c r="B366" s="10" t="s">
        <v>145</v>
      </c>
      <c r="C366" s="79" t="s">
        <v>45</v>
      </c>
      <c r="D366" s="98" t="s">
        <v>190</v>
      </c>
      <c r="E366" s="4" t="s">
        <v>20</v>
      </c>
      <c r="F366" s="9">
        <v>0</v>
      </c>
      <c r="G366" s="9" t="s">
        <v>25</v>
      </c>
      <c r="H366" s="141">
        <v>0</v>
      </c>
      <c r="I366" s="136">
        <v>0</v>
      </c>
      <c r="J366" s="136">
        <v>0</v>
      </c>
      <c r="K366" s="147">
        <v>0</v>
      </c>
      <c r="L366" s="142">
        <v>0</v>
      </c>
    </row>
    <row r="367" spans="1:12" x14ac:dyDescent="0.3">
      <c r="A367" s="10">
        <v>2021</v>
      </c>
      <c r="B367" s="10" t="s">
        <v>145</v>
      </c>
      <c r="C367" s="79" t="s">
        <v>45</v>
      </c>
      <c r="D367" s="98" t="s">
        <v>185</v>
      </c>
      <c r="E367" s="9"/>
      <c r="F367" s="9">
        <v>40.799999999999997</v>
      </c>
      <c r="G367" s="123" t="s">
        <v>135</v>
      </c>
      <c r="H367" s="141">
        <v>4.1000000000000002E-2</v>
      </c>
      <c r="I367" s="136">
        <v>0</v>
      </c>
      <c r="J367" s="136">
        <v>0</v>
      </c>
      <c r="K367" s="136">
        <v>0</v>
      </c>
      <c r="L367" s="142">
        <f>+H367</f>
        <v>4.1000000000000002E-2</v>
      </c>
    </row>
    <row r="368" spans="1:12" x14ac:dyDescent="0.3">
      <c r="A368" s="10">
        <v>2021</v>
      </c>
      <c r="B368" s="10" t="s">
        <v>145</v>
      </c>
      <c r="C368" s="79" t="s">
        <v>45</v>
      </c>
      <c r="D368" s="98" t="s">
        <v>186</v>
      </c>
      <c r="E368" s="9"/>
      <c r="F368" s="9">
        <v>13.5</v>
      </c>
      <c r="G368" s="123" t="s">
        <v>135</v>
      </c>
      <c r="H368" s="141">
        <v>1.4E-2</v>
      </c>
      <c r="I368" s="136">
        <v>0</v>
      </c>
      <c r="J368" s="136">
        <v>0</v>
      </c>
      <c r="K368" s="136">
        <v>0</v>
      </c>
      <c r="L368" s="142">
        <f>+H368</f>
        <v>1.4E-2</v>
      </c>
    </row>
    <row r="369" spans="1:12" x14ac:dyDescent="0.3">
      <c r="A369" s="10">
        <v>2021</v>
      </c>
      <c r="B369" s="10" t="s">
        <v>145</v>
      </c>
      <c r="C369" s="79" t="s">
        <v>45</v>
      </c>
      <c r="D369" s="98" t="s">
        <v>187</v>
      </c>
      <c r="E369" s="9"/>
      <c r="F369" s="9">
        <v>157.5</v>
      </c>
      <c r="G369" s="123" t="s">
        <v>135</v>
      </c>
      <c r="H369" s="141">
        <v>0</v>
      </c>
      <c r="I369" s="136">
        <v>0</v>
      </c>
      <c r="J369" s="136">
        <v>0</v>
      </c>
      <c r="K369" s="136">
        <v>0.1575</v>
      </c>
      <c r="L369" s="142">
        <v>12.71</v>
      </c>
    </row>
    <row r="370" spans="1:12" x14ac:dyDescent="0.3">
      <c r="A370" s="10">
        <v>2021</v>
      </c>
      <c r="B370" s="10" t="s">
        <v>145</v>
      </c>
      <c r="C370" s="79" t="s">
        <v>45</v>
      </c>
      <c r="D370" s="98" t="s">
        <v>188</v>
      </c>
      <c r="E370" s="9"/>
      <c r="F370" s="9">
        <v>148</v>
      </c>
      <c r="G370" s="123" t="s">
        <v>135</v>
      </c>
      <c r="H370" s="141">
        <v>0</v>
      </c>
      <c r="I370" s="136">
        <v>0</v>
      </c>
      <c r="J370" s="136">
        <v>0</v>
      </c>
      <c r="K370" s="136">
        <v>0.14799999999999999</v>
      </c>
      <c r="L370" s="142">
        <v>11.2</v>
      </c>
    </row>
    <row r="371" spans="1:12" x14ac:dyDescent="0.3">
      <c r="A371" s="10">
        <v>2021</v>
      </c>
      <c r="B371" s="10" t="s">
        <v>145</v>
      </c>
      <c r="C371" s="79" t="s">
        <v>45</v>
      </c>
      <c r="D371" s="98" t="s">
        <v>189</v>
      </c>
      <c r="E371" s="9"/>
      <c r="F371" s="9">
        <v>21</v>
      </c>
      <c r="G371" s="123" t="s">
        <v>135</v>
      </c>
      <c r="H371" s="141">
        <v>0</v>
      </c>
      <c r="I371" s="136">
        <v>0</v>
      </c>
      <c r="J371" s="136">
        <v>0</v>
      </c>
      <c r="K371" s="136">
        <v>2.1000000000000001E-2</v>
      </c>
      <c r="L371" s="142">
        <v>1.85</v>
      </c>
    </row>
    <row r="372" spans="1:12" x14ac:dyDescent="0.3">
      <c r="A372" s="10">
        <v>2021</v>
      </c>
      <c r="B372" s="10" t="s">
        <v>145</v>
      </c>
      <c r="C372" s="79" t="s">
        <v>45</v>
      </c>
      <c r="D372" s="98" t="s">
        <v>152</v>
      </c>
      <c r="E372" s="15" t="s">
        <v>24</v>
      </c>
      <c r="F372" s="9">
        <v>3</v>
      </c>
      <c r="G372" s="123" t="s">
        <v>135</v>
      </c>
      <c r="H372" s="141">
        <v>0</v>
      </c>
      <c r="I372" s="136">
        <v>0</v>
      </c>
      <c r="J372" s="136">
        <v>0</v>
      </c>
      <c r="K372" s="136">
        <v>0</v>
      </c>
      <c r="L372" s="142">
        <v>3.85</v>
      </c>
    </row>
    <row r="373" spans="1:12" x14ac:dyDescent="0.3">
      <c r="A373" s="10">
        <v>2021</v>
      </c>
      <c r="B373" s="10" t="s">
        <v>145</v>
      </c>
      <c r="C373" s="79" t="s">
        <v>45</v>
      </c>
      <c r="D373" s="98" t="s">
        <v>158</v>
      </c>
      <c r="E373" s="15" t="s">
        <v>24</v>
      </c>
      <c r="F373" s="9">
        <v>15</v>
      </c>
      <c r="G373" s="123" t="s">
        <v>135</v>
      </c>
      <c r="H373" s="141">
        <v>0</v>
      </c>
      <c r="I373" s="136">
        <v>0</v>
      </c>
      <c r="J373" s="136">
        <v>0</v>
      </c>
      <c r="K373" s="136">
        <v>0</v>
      </c>
      <c r="L373" s="142">
        <v>3.55</v>
      </c>
    </row>
    <row r="374" spans="1:12" x14ac:dyDescent="0.3">
      <c r="A374" s="10">
        <v>2021</v>
      </c>
      <c r="B374" s="10" t="s">
        <v>145</v>
      </c>
      <c r="C374" s="79" t="s">
        <v>45</v>
      </c>
      <c r="D374" s="98" t="s">
        <v>160</v>
      </c>
      <c r="E374" s="15" t="s">
        <v>24</v>
      </c>
      <c r="F374" s="9">
        <v>23</v>
      </c>
      <c r="G374" s="123" t="s">
        <v>135</v>
      </c>
      <c r="H374" s="141">
        <v>0</v>
      </c>
      <c r="I374" s="136">
        <v>0</v>
      </c>
      <c r="J374" s="136">
        <v>0</v>
      </c>
      <c r="K374" s="136">
        <v>0</v>
      </c>
      <c r="L374" s="142">
        <v>4.8023999999999996</v>
      </c>
    </row>
    <row r="375" spans="1:12" x14ac:dyDescent="0.3">
      <c r="A375" s="10">
        <v>2021</v>
      </c>
      <c r="B375" s="10" t="s">
        <v>145</v>
      </c>
      <c r="C375" s="79" t="s">
        <v>45</v>
      </c>
      <c r="D375" s="98" t="s">
        <v>161</v>
      </c>
      <c r="E375" s="15" t="s">
        <v>24</v>
      </c>
      <c r="F375" s="9">
        <v>23</v>
      </c>
      <c r="G375" s="123" t="s">
        <v>135</v>
      </c>
      <c r="H375" s="141">
        <v>0</v>
      </c>
      <c r="I375" s="136">
        <v>0</v>
      </c>
      <c r="J375" s="136">
        <v>0</v>
      </c>
      <c r="K375" s="136">
        <v>0</v>
      </c>
      <c r="L375" s="142">
        <v>4.8023999999999996</v>
      </c>
    </row>
    <row r="376" spans="1:12" x14ac:dyDescent="0.3">
      <c r="A376" s="10">
        <v>2021</v>
      </c>
      <c r="B376" s="10" t="s">
        <v>145</v>
      </c>
      <c r="C376" s="79" t="s">
        <v>45</v>
      </c>
      <c r="D376" s="98" t="s">
        <v>151</v>
      </c>
      <c r="E376" s="15" t="s">
        <v>24</v>
      </c>
      <c r="F376" s="9">
        <v>2</v>
      </c>
      <c r="G376" s="123" t="s">
        <v>135</v>
      </c>
      <c r="H376" s="141">
        <v>0</v>
      </c>
      <c r="I376" s="136">
        <v>0</v>
      </c>
      <c r="J376" s="136">
        <v>0</v>
      </c>
      <c r="K376" s="136">
        <v>0</v>
      </c>
      <c r="L376" s="142">
        <v>2</v>
      </c>
    </row>
    <row r="377" spans="1:12" x14ac:dyDescent="0.3">
      <c r="A377" s="10">
        <v>2021</v>
      </c>
      <c r="B377" s="10" t="s">
        <v>145</v>
      </c>
      <c r="C377" s="79" t="s">
        <v>45</v>
      </c>
      <c r="D377" s="98" t="s">
        <v>153</v>
      </c>
      <c r="E377" s="15" t="s">
        <v>24</v>
      </c>
      <c r="F377" s="9">
        <v>4</v>
      </c>
      <c r="G377" s="123" t="s">
        <v>135</v>
      </c>
      <c r="H377" s="141">
        <v>0</v>
      </c>
      <c r="I377" s="136">
        <v>0</v>
      </c>
      <c r="J377" s="136">
        <v>0</v>
      </c>
      <c r="K377" s="136">
        <v>0</v>
      </c>
      <c r="L377" s="142">
        <v>1.6704000000000001</v>
      </c>
    </row>
    <row r="378" spans="1:12" x14ac:dyDescent="0.3">
      <c r="A378" s="10">
        <v>2021</v>
      </c>
      <c r="B378" s="10" t="s">
        <v>145</v>
      </c>
      <c r="C378" s="79" t="s">
        <v>45</v>
      </c>
      <c r="D378" s="98" t="s">
        <v>154</v>
      </c>
      <c r="E378" s="15" t="s">
        <v>24</v>
      </c>
      <c r="F378" s="9">
        <v>10</v>
      </c>
      <c r="G378" s="123" t="s">
        <v>135</v>
      </c>
      <c r="H378" s="141">
        <v>0</v>
      </c>
      <c r="I378" s="136">
        <v>0</v>
      </c>
      <c r="J378" s="136">
        <v>0</v>
      </c>
      <c r="K378" s="136">
        <v>0</v>
      </c>
      <c r="L378" s="142">
        <v>4.1760000000000002</v>
      </c>
    </row>
    <row r="379" spans="1:12" x14ac:dyDescent="0.3">
      <c r="A379" s="10">
        <v>2021</v>
      </c>
      <c r="B379" s="10" t="s">
        <v>145</v>
      </c>
      <c r="C379" s="79" t="s">
        <v>45</v>
      </c>
      <c r="D379" s="98" t="s">
        <v>156</v>
      </c>
      <c r="E379" s="15" t="s">
        <v>24</v>
      </c>
      <c r="F379" s="9">
        <v>3</v>
      </c>
      <c r="G379" s="123" t="s">
        <v>135</v>
      </c>
      <c r="H379" s="141">
        <v>0</v>
      </c>
      <c r="I379" s="136">
        <v>0</v>
      </c>
      <c r="J379" s="136">
        <v>0</v>
      </c>
      <c r="K379" s="136">
        <v>0</v>
      </c>
      <c r="L379" s="142">
        <v>2.2528000000000001</v>
      </c>
    </row>
    <row r="380" spans="1:12" x14ac:dyDescent="0.3">
      <c r="A380" s="10">
        <v>2021</v>
      </c>
      <c r="B380" s="10" t="s">
        <v>145</v>
      </c>
      <c r="C380" s="79" t="s">
        <v>45</v>
      </c>
      <c r="D380" s="98" t="s">
        <v>157</v>
      </c>
      <c r="E380" s="15" t="s">
        <v>24</v>
      </c>
      <c r="F380" s="9">
        <v>11</v>
      </c>
      <c r="G380" s="123" t="s">
        <v>135</v>
      </c>
      <c r="H380" s="141">
        <v>0</v>
      </c>
      <c r="I380" s="136">
        <v>0</v>
      </c>
      <c r="J380" s="136">
        <v>0</v>
      </c>
      <c r="K380" s="136">
        <v>0</v>
      </c>
      <c r="L380" s="142">
        <v>4.5936000000000003</v>
      </c>
    </row>
    <row r="381" spans="1:12" x14ac:dyDescent="0.3">
      <c r="A381" s="10">
        <v>2021</v>
      </c>
      <c r="B381" s="10" t="s">
        <v>145</v>
      </c>
      <c r="C381" s="79" t="s">
        <v>45</v>
      </c>
      <c r="D381" s="98" t="s">
        <v>159</v>
      </c>
      <c r="E381" s="15" t="s">
        <v>24</v>
      </c>
      <c r="F381" s="9">
        <v>26</v>
      </c>
      <c r="G381" s="123" t="s">
        <v>135</v>
      </c>
      <c r="H381" s="141">
        <v>0</v>
      </c>
      <c r="I381" s="136">
        <v>0</v>
      </c>
      <c r="J381" s="136">
        <v>0</v>
      </c>
      <c r="K381" s="136">
        <v>0</v>
      </c>
      <c r="L381" s="142">
        <v>10.8576</v>
      </c>
    </row>
    <row r="382" spans="1:12" x14ac:dyDescent="0.3">
      <c r="A382" s="10">
        <v>2021</v>
      </c>
      <c r="B382" s="10" t="s">
        <v>145</v>
      </c>
      <c r="C382" s="79" t="s">
        <v>45</v>
      </c>
      <c r="D382" s="98" t="s">
        <v>162</v>
      </c>
      <c r="E382" s="15" t="s">
        <v>24</v>
      </c>
      <c r="F382" s="9">
        <v>9</v>
      </c>
      <c r="G382" s="123" t="s">
        <v>135</v>
      </c>
      <c r="H382" s="141">
        <v>0</v>
      </c>
      <c r="I382" s="136">
        <v>0</v>
      </c>
      <c r="J382" s="136">
        <v>0</v>
      </c>
      <c r="K382" s="136">
        <v>0</v>
      </c>
      <c r="L382" s="142">
        <v>3.7584</v>
      </c>
    </row>
    <row r="383" spans="1:12" x14ac:dyDescent="0.3">
      <c r="A383" s="10">
        <v>2021</v>
      </c>
      <c r="B383" s="10" t="s">
        <v>145</v>
      </c>
      <c r="C383" s="79" t="s">
        <v>45</v>
      </c>
      <c r="D383" s="98" t="s">
        <v>163</v>
      </c>
      <c r="E383" s="15" t="s">
        <v>24</v>
      </c>
      <c r="F383" s="9">
        <v>2</v>
      </c>
      <c r="G383" s="123" t="s">
        <v>135</v>
      </c>
      <c r="H383" s="141">
        <v>0</v>
      </c>
      <c r="I383" s="136">
        <v>0</v>
      </c>
      <c r="J383" s="136">
        <v>0</v>
      </c>
      <c r="K383" s="136">
        <v>0</v>
      </c>
      <c r="L383" s="142">
        <v>2</v>
      </c>
    </row>
    <row r="384" spans="1:12" x14ac:dyDescent="0.3">
      <c r="A384" s="10">
        <v>2021</v>
      </c>
      <c r="B384" s="10" t="s">
        <v>145</v>
      </c>
      <c r="C384" s="79" t="s">
        <v>45</v>
      </c>
      <c r="D384" s="98" t="s">
        <v>155</v>
      </c>
      <c r="E384" s="15" t="s">
        <v>24</v>
      </c>
      <c r="F384" s="9">
        <v>11</v>
      </c>
      <c r="G384" s="123" t="s">
        <v>135</v>
      </c>
      <c r="H384" s="141">
        <v>0</v>
      </c>
      <c r="I384" s="136">
        <v>0</v>
      </c>
      <c r="J384" s="136">
        <v>0</v>
      </c>
      <c r="K384" s="136">
        <v>0</v>
      </c>
      <c r="L384" s="142">
        <v>24.169915439999997</v>
      </c>
    </row>
    <row r="385" spans="1:12" x14ac:dyDescent="0.3">
      <c r="A385" s="10">
        <v>2021</v>
      </c>
      <c r="B385" s="10" t="s">
        <v>145</v>
      </c>
      <c r="C385" s="79" t="s">
        <v>45</v>
      </c>
      <c r="D385" s="98" t="s">
        <v>164</v>
      </c>
      <c r="E385" s="15" t="s">
        <v>24</v>
      </c>
      <c r="F385" s="9">
        <v>4</v>
      </c>
      <c r="G385" s="123" t="s">
        <v>135</v>
      </c>
      <c r="H385" s="141">
        <v>0</v>
      </c>
      <c r="I385" s="136">
        <v>0</v>
      </c>
      <c r="J385" s="136">
        <v>0</v>
      </c>
      <c r="K385" s="136">
        <v>0</v>
      </c>
      <c r="L385" s="142">
        <v>11.039271039999999</v>
      </c>
    </row>
    <row r="386" spans="1:12" x14ac:dyDescent="0.3">
      <c r="A386" s="10">
        <v>2021</v>
      </c>
      <c r="B386" s="10" t="s">
        <v>145</v>
      </c>
      <c r="C386" s="79" t="s">
        <v>45</v>
      </c>
      <c r="D386" s="98" t="s">
        <v>166</v>
      </c>
      <c r="E386" s="15" t="s">
        <v>24</v>
      </c>
      <c r="F386" s="9">
        <v>5</v>
      </c>
      <c r="G386" s="123" t="s">
        <v>135</v>
      </c>
      <c r="H386" s="141">
        <v>0</v>
      </c>
      <c r="I386" s="136">
        <v>0</v>
      </c>
      <c r="J386" s="136">
        <v>0</v>
      </c>
      <c r="K386" s="136">
        <v>0</v>
      </c>
      <c r="L386" s="142">
        <v>14.6246525</v>
      </c>
    </row>
    <row r="387" spans="1:12" x14ac:dyDescent="0.3">
      <c r="A387" s="10">
        <v>2021</v>
      </c>
      <c r="B387" s="10" t="s">
        <v>145</v>
      </c>
      <c r="C387" s="79" t="s">
        <v>45</v>
      </c>
      <c r="D387" s="98" t="s">
        <v>167</v>
      </c>
      <c r="E387" s="15" t="s">
        <v>24</v>
      </c>
      <c r="F387" s="9">
        <v>3</v>
      </c>
      <c r="G387" s="123" t="s">
        <v>135</v>
      </c>
      <c r="H387" s="141">
        <v>0</v>
      </c>
      <c r="I387" s="136">
        <v>0</v>
      </c>
      <c r="J387" s="136">
        <v>0</v>
      </c>
      <c r="K387" s="136">
        <v>0</v>
      </c>
      <c r="L387" s="142">
        <v>8.7796224000000009</v>
      </c>
    </row>
    <row r="388" spans="1:12" x14ac:dyDescent="0.3">
      <c r="A388" s="10">
        <v>2021</v>
      </c>
      <c r="B388" s="10" t="s">
        <v>145</v>
      </c>
      <c r="C388" s="79" t="s">
        <v>45</v>
      </c>
      <c r="D388" s="98" t="s">
        <v>165</v>
      </c>
      <c r="E388" s="15" t="s">
        <v>24</v>
      </c>
      <c r="F388" s="9">
        <v>5</v>
      </c>
      <c r="G388" s="123" t="s">
        <v>135</v>
      </c>
      <c r="H388" s="141">
        <v>0</v>
      </c>
      <c r="I388" s="136">
        <v>0</v>
      </c>
      <c r="J388" s="136">
        <v>0</v>
      </c>
      <c r="K388" s="136">
        <v>0</v>
      </c>
      <c r="L388" s="142">
        <v>17.75813724</v>
      </c>
    </row>
    <row r="389" spans="1:12" x14ac:dyDescent="0.3">
      <c r="A389" s="10">
        <v>2021</v>
      </c>
      <c r="B389" s="10" t="s">
        <v>145</v>
      </c>
      <c r="C389" s="79" t="s">
        <v>45</v>
      </c>
      <c r="D389" s="79" t="s">
        <v>180</v>
      </c>
      <c r="E389" s="4" t="s">
        <v>20</v>
      </c>
      <c r="F389" s="41">
        <v>340</v>
      </c>
      <c r="G389" s="9" t="s">
        <v>202</v>
      </c>
      <c r="H389" s="141">
        <v>0</v>
      </c>
      <c r="I389" s="136">
        <v>0</v>
      </c>
      <c r="J389" s="136">
        <v>0</v>
      </c>
      <c r="K389" s="136">
        <v>0</v>
      </c>
      <c r="L389" s="142">
        <v>0.17016999999999996</v>
      </c>
    </row>
    <row r="390" spans="1:12" x14ac:dyDescent="0.3">
      <c r="A390" s="10">
        <v>2021</v>
      </c>
      <c r="B390" s="10" t="s">
        <v>145</v>
      </c>
      <c r="C390" s="79" t="s">
        <v>45</v>
      </c>
      <c r="D390" s="79" t="s">
        <v>180</v>
      </c>
      <c r="E390" s="4" t="s">
        <v>20</v>
      </c>
      <c r="F390" s="41">
        <v>180</v>
      </c>
      <c r="G390" s="9" t="s">
        <v>202</v>
      </c>
      <c r="H390" s="141">
        <v>0</v>
      </c>
      <c r="I390" s="136">
        <v>0</v>
      </c>
      <c r="J390" s="136">
        <v>0</v>
      </c>
      <c r="K390" s="136">
        <v>0</v>
      </c>
      <c r="L390" s="142">
        <v>9.008999999999999E-2</v>
      </c>
    </row>
    <row r="391" spans="1:12" x14ac:dyDescent="0.3">
      <c r="A391" s="10">
        <v>2021</v>
      </c>
      <c r="B391" s="10" t="s">
        <v>145</v>
      </c>
      <c r="C391" s="79" t="s">
        <v>45</v>
      </c>
      <c r="D391" s="79" t="s">
        <v>181</v>
      </c>
      <c r="E391" s="4" t="s">
        <v>20</v>
      </c>
      <c r="F391" s="41">
        <v>180</v>
      </c>
      <c r="G391" s="9" t="s">
        <v>202</v>
      </c>
      <c r="H391" s="141">
        <v>0</v>
      </c>
      <c r="I391" s="136">
        <v>0</v>
      </c>
      <c r="J391" s="136">
        <v>0</v>
      </c>
      <c r="K391" s="136">
        <v>0</v>
      </c>
      <c r="L391" s="142">
        <v>2.5739999999999999E-3</v>
      </c>
    </row>
    <row r="392" spans="1:12" x14ac:dyDescent="0.3">
      <c r="A392" s="10">
        <v>2021</v>
      </c>
      <c r="B392" s="10" t="s">
        <v>145</v>
      </c>
      <c r="C392" s="79" t="s">
        <v>45</v>
      </c>
      <c r="D392" s="79" t="s">
        <v>184</v>
      </c>
      <c r="E392" s="4" t="s">
        <v>20</v>
      </c>
      <c r="F392" s="41">
        <v>180</v>
      </c>
      <c r="G392" s="9" t="s">
        <v>202</v>
      </c>
      <c r="H392" s="141">
        <v>0</v>
      </c>
      <c r="I392" s="136">
        <v>0</v>
      </c>
      <c r="J392" s="136">
        <v>0</v>
      </c>
      <c r="K392" s="136">
        <v>0</v>
      </c>
      <c r="L392" s="142">
        <v>2.5739999999999999E-3</v>
      </c>
    </row>
    <row r="393" spans="1:12" x14ac:dyDescent="0.3">
      <c r="A393" s="10">
        <v>2021</v>
      </c>
      <c r="B393" s="10" t="s">
        <v>145</v>
      </c>
      <c r="C393" s="79" t="s">
        <v>45</v>
      </c>
      <c r="D393" s="79" t="s">
        <v>182</v>
      </c>
      <c r="E393" s="9" t="s">
        <v>46</v>
      </c>
      <c r="F393" s="41">
        <v>600</v>
      </c>
      <c r="G393" s="9" t="s">
        <v>202</v>
      </c>
      <c r="H393" s="141">
        <v>0</v>
      </c>
      <c r="I393" s="136">
        <v>0</v>
      </c>
      <c r="J393" s="136">
        <v>0</v>
      </c>
      <c r="K393" s="136">
        <v>0</v>
      </c>
      <c r="L393" s="142">
        <v>5.679E-2</v>
      </c>
    </row>
    <row r="394" spans="1:12" x14ac:dyDescent="0.3">
      <c r="A394" s="10">
        <v>2021</v>
      </c>
      <c r="B394" s="10" t="s">
        <v>146</v>
      </c>
      <c r="C394" s="79" t="s">
        <v>49</v>
      </c>
      <c r="D394" s="79" t="s">
        <v>205</v>
      </c>
      <c r="E394" s="15" t="s">
        <v>24</v>
      </c>
      <c r="F394" s="104">
        <v>5812</v>
      </c>
      <c r="G394" s="9" t="s">
        <v>50</v>
      </c>
      <c r="H394" s="141">
        <v>0</v>
      </c>
      <c r="I394" s="136">
        <v>0</v>
      </c>
      <c r="J394" s="136">
        <v>0</v>
      </c>
      <c r="K394" s="147">
        <v>0</v>
      </c>
      <c r="L394" s="142" t="e">
        <f>+(#REF!*126)/1000</f>
        <v>#REF!</v>
      </c>
    </row>
    <row r="395" spans="1:12" x14ac:dyDescent="0.3">
      <c r="A395" s="10">
        <v>2021</v>
      </c>
      <c r="B395" s="10" t="s">
        <v>146</v>
      </c>
      <c r="C395" s="79" t="s">
        <v>49</v>
      </c>
      <c r="D395" s="79" t="s">
        <v>206</v>
      </c>
      <c r="E395" s="15" t="s">
        <v>24</v>
      </c>
      <c r="F395" s="104">
        <v>36288</v>
      </c>
      <c r="G395" s="9" t="s">
        <v>50</v>
      </c>
      <c r="H395" s="141">
        <v>0</v>
      </c>
      <c r="I395" s="136">
        <v>0</v>
      </c>
      <c r="J395" s="136">
        <v>0</v>
      </c>
      <c r="K395" s="147">
        <v>0</v>
      </c>
      <c r="L395" s="142" t="e">
        <f>+(#REF!*126)/1000</f>
        <v>#REF!</v>
      </c>
    </row>
    <row r="396" spans="1:12" x14ac:dyDescent="0.3">
      <c r="A396" s="10">
        <v>2021</v>
      </c>
      <c r="B396" s="10" t="s">
        <v>146</v>
      </c>
      <c r="C396" s="79" t="s">
        <v>49</v>
      </c>
      <c r="D396" s="79" t="s">
        <v>207</v>
      </c>
      <c r="E396" s="15" t="s">
        <v>24</v>
      </c>
      <c r="F396" s="104">
        <v>14570</v>
      </c>
      <c r="G396" s="9" t="s">
        <v>50</v>
      </c>
      <c r="H396" s="141">
        <v>0</v>
      </c>
      <c r="I396" s="136">
        <v>0</v>
      </c>
      <c r="J396" s="136">
        <v>0</v>
      </c>
      <c r="K396" s="147">
        <v>0</v>
      </c>
      <c r="L396" s="142" t="e">
        <f>+(#REF!*126)/1000</f>
        <v>#REF!</v>
      </c>
    </row>
    <row r="397" spans="1:12" x14ac:dyDescent="0.3">
      <c r="A397" s="10">
        <v>2021</v>
      </c>
      <c r="B397" s="10" t="s">
        <v>146</v>
      </c>
      <c r="C397" s="79" t="s">
        <v>49</v>
      </c>
      <c r="D397" s="79" t="s">
        <v>208</v>
      </c>
      <c r="E397" s="15" t="s">
        <v>24</v>
      </c>
      <c r="F397" s="104">
        <v>15574</v>
      </c>
      <c r="G397" s="9" t="s">
        <v>50</v>
      </c>
      <c r="H397" s="141">
        <v>0</v>
      </c>
      <c r="I397" s="136">
        <v>0</v>
      </c>
      <c r="J397" s="136">
        <v>0</v>
      </c>
      <c r="K397" s="147">
        <v>0</v>
      </c>
      <c r="L397" s="142" t="e">
        <f>+(#REF!*126)/1000</f>
        <v>#REF!</v>
      </c>
    </row>
    <row r="398" spans="1:12" x14ac:dyDescent="0.3">
      <c r="A398" s="10">
        <v>2021</v>
      </c>
      <c r="B398" s="10" t="s">
        <v>146</v>
      </c>
      <c r="C398" s="79" t="s">
        <v>49</v>
      </c>
      <c r="D398" s="79" t="s">
        <v>209</v>
      </c>
      <c r="E398" s="15" t="s">
        <v>24</v>
      </c>
      <c r="F398" s="104">
        <v>14067</v>
      </c>
      <c r="G398" s="9" t="s">
        <v>50</v>
      </c>
      <c r="H398" s="141">
        <v>0</v>
      </c>
      <c r="I398" s="136">
        <v>0</v>
      </c>
      <c r="J398" s="136">
        <v>0</v>
      </c>
      <c r="K398" s="147">
        <v>0</v>
      </c>
      <c r="L398" s="142" t="e">
        <f>+(#REF!*126)/1000</f>
        <v>#REF!</v>
      </c>
    </row>
    <row r="399" spans="1:12" x14ac:dyDescent="0.3">
      <c r="A399" s="10">
        <v>2021</v>
      </c>
      <c r="B399" s="10" t="s">
        <v>146</v>
      </c>
      <c r="C399" s="79" t="s">
        <v>49</v>
      </c>
      <c r="D399" s="79" t="s">
        <v>210</v>
      </c>
      <c r="E399" s="15" t="s">
        <v>24</v>
      </c>
      <c r="F399" s="104">
        <v>17844</v>
      </c>
      <c r="G399" s="9" t="s">
        <v>50</v>
      </c>
      <c r="H399" s="141">
        <v>0</v>
      </c>
      <c r="I399" s="136">
        <v>0</v>
      </c>
      <c r="J399" s="136">
        <v>0</v>
      </c>
      <c r="K399" s="147">
        <v>0</v>
      </c>
      <c r="L399" s="142" t="e">
        <f>+(#REF!*126)/1000</f>
        <v>#REF!</v>
      </c>
    </row>
    <row r="400" spans="1:12" x14ac:dyDescent="0.3">
      <c r="A400" s="10">
        <v>2021</v>
      </c>
      <c r="B400" s="10" t="s">
        <v>146</v>
      </c>
      <c r="C400" s="79" t="s">
        <v>49</v>
      </c>
      <c r="D400" s="79" t="s">
        <v>211</v>
      </c>
      <c r="E400" s="15" t="s">
        <v>24</v>
      </c>
      <c r="F400" s="104">
        <v>24510</v>
      </c>
      <c r="G400" s="9" t="s">
        <v>50</v>
      </c>
      <c r="H400" s="141">
        <v>0</v>
      </c>
      <c r="I400" s="136">
        <v>0</v>
      </c>
      <c r="J400" s="136">
        <v>0</v>
      </c>
      <c r="K400" s="147">
        <v>0</v>
      </c>
      <c r="L400" s="142" t="e">
        <f>+(#REF!*126)/1000</f>
        <v>#REF!</v>
      </c>
    </row>
    <row r="401" spans="1:12" x14ac:dyDescent="0.3">
      <c r="A401" s="10">
        <v>2021</v>
      </c>
      <c r="B401" s="10" t="s">
        <v>146</v>
      </c>
      <c r="C401" s="79" t="s">
        <v>49</v>
      </c>
      <c r="D401" s="79" t="s">
        <v>212</v>
      </c>
      <c r="E401" s="15" t="s">
        <v>24</v>
      </c>
      <c r="F401" s="104">
        <v>26220</v>
      </c>
      <c r="G401" s="9" t="s">
        <v>50</v>
      </c>
      <c r="H401" s="141">
        <v>0</v>
      </c>
      <c r="I401" s="136">
        <v>0</v>
      </c>
      <c r="J401" s="136">
        <v>0</v>
      </c>
      <c r="K401" s="147">
        <v>0</v>
      </c>
      <c r="L401" s="142" t="e">
        <f>+(#REF!*126)/1000</f>
        <v>#REF!</v>
      </c>
    </row>
    <row r="402" spans="1:12" x14ac:dyDescent="0.3">
      <c r="A402" s="10">
        <v>2021</v>
      </c>
      <c r="B402" s="10" t="s">
        <v>146</v>
      </c>
      <c r="C402" s="79" t="s">
        <v>49</v>
      </c>
      <c r="D402" s="79" t="s">
        <v>213</v>
      </c>
      <c r="E402" s="15" t="s">
        <v>24</v>
      </c>
      <c r="F402" s="104">
        <v>18240</v>
      </c>
      <c r="G402" s="9" t="s">
        <v>50</v>
      </c>
      <c r="H402" s="141">
        <v>0</v>
      </c>
      <c r="I402" s="136">
        <v>0</v>
      </c>
      <c r="J402" s="136">
        <v>0</v>
      </c>
      <c r="K402" s="147">
        <v>0</v>
      </c>
      <c r="L402" s="142" t="e">
        <f>+(#REF!*126)/1000</f>
        <v>#REF!</v>
      </c>
    </row>
    <row r="403" spans="1:12" x14ac:dyDescent="0.3">
      <c r="A403" s="10">
        <v>2021</v>
      </c>
      <c r="B403" s="10" t="s">
        <v>146</v>
      </c>
      <c r="C403" s="79" t="s">
        <v>49</v>
      </c>
      <c r="D403" s="79" t="s">
        <v>214</v>
      </c>
      <c r="E403" s="15" t="s">
        <v>24</v>
      </c>
      <c r="F403" s="104">
        <v>19477</v>
      </c>
      <c r="G403" s="9" t="s">
        <v>50</v>
      </c>
      <c r="H403" s="141">
        <v>0</v>
      </c>
      <c r="I403" s="136">
        <v>0</v>
      </c>
      <c r="J403" s="136">
        <v>0</v>
      </c>
      <c r="K403" s="147">
        <v>0</v>
      </c>
      <c r="L403" s="142" t="e">
        <f>+(#REF!*126)/1000</f>
        <v>#REF!</v>
      </c>
    </row>
    <row r="404" spans="1:12" x14ac:dyDescent="0.3">
      <c r="A404" s="10">
        <v>2021</v>
      </c>
      <c r="B404" s="10" t="s">
        <v>146</v>
      </c>
      <c r="C404" s="79" t="s">
        <v>49</v>
      </c>
      <c r="D404" s="79" t="s">
        <v>215</v>
      </c>
      <c r="E404" s="15" t="s">
        <v>24</v>
      </c>
      <c r="F404" s="104">
        <v>20004</v>
      </c>
      <c r="G404" s="9" t="s">
        <v>50</v>
      </c>
      <c r="H404" s="141">
        <v>0</v>
      </c>
      <c r="I404" s="136">
        <v>0</v>
      </c>
      <c r="J404" s="136">
        <v>0</v>
      </c>
      <c r="K404" s="147">
        <v>0</v>
      </c>
      <c r="L404" s="142" t="e">
        <f>+(#REF!*126)/1000</f>
        <v>#REF!</v>
      </c>
    </row>
    <row r="405" spans="1:12" x14ac:dyDescent="0.3">
      <c r="A405" s="10">
        <v>2021</v>
      </c>
      <c r="B405" s="10" t="s">
        <v>146</v>
      </c>
      <c r="C405" s="79" t="s">
        <v>49</v>
      </c>
      <c r="D405" s="79" t="s">
        <v>216</v>
      </c>
      <c r="E405" s="15" t="s">
        <v>24</v>
      </c>
      <c r="F405" s="104">
        <v>14250</v>
      </c>
      <c r="G405" s="9" t="s">
        <v>50</v>
      </c>
      <c r="H405" s="141">
        <v>0</v>
      </c>
      <c r="I405" s="136">
        <v>0</v>
      </c>
      <c r="J405" s="136">
        <v>0</v>
      </c>
      <c r="K405" s="147">
        <v>0</v>
      </c>
      <c r="L405" s="142" t="e">
        <f>+(#REF!*126)/1000</f>
        <v>#REF!</v>
      </c>
    </row>
    <row r="406" spans="1:12" x14ac:dyDescent="0.3">
      <c r="A406" s="10">
        <v>2021</v>
      </c>
      <c r="B406" s="10" t="s">
        <v>146</v>
      </c>
      <c r="C406" s="79" t="s">
        <v>49</v>
      </c>
      <c r="D406" s="79" t="s">
        <v>217</v>
      </c>
      <c r="E406" s="79" t="s">
        <v>51</v>
      </c>
      <c r="F406" s="104">
        <v>80465</v>
      </c>
      <c r="G406" s="9" t="s">
        <v>50</v>
      </c>
      <c r="H406" s="141">
        <v>0</v>
      </c>
      <c r="I406" s="136">
        <v>0</v>
      </c>
      <c r="J406" s="136">
        <v>0</v>
      </c>
      <c r="K406" s="147">
        <v>0</v>
      </c>
      <c r="L406" s="142" t="e">
        <f>+(#REF!*126)/1000</f>
        <v>#REF!</v>
      </c>
    </row>
    <row r="407" spans="1:12" x14ac:dyDescent="0.3">
      <c r="A407" s="10">
        <v>2021</v>
      </c>
      <c r="B407" s="10" t="s">
        <v>146</v>
      </c>
      <c r="C407" s="79" t="s">
        <v>49</v>
      </c>
      <c r="D407" s="79" t="s">
        <v>218</v>
      </c>
      <c r="E407" s="79" t="s">
        <v>51</v>
      </c>
      <c r="F407" s="104">
        <v>77336</v>
      </c>
      <c r="G407" s="9" t="s">
        <v>50</v>
      </c>
      <c r="H407" s="141">
        <v>0</v>
      </c>
      <c r="I407" s="136">
        <v>0</v>
      </c>
      <c r="J407" s="136">
        <v>0</v>
      </c>
      <c r="K407" s="147">
        <v>0</v>
      </c>
      <c r="L407" s="142" t="e">
        <f>+(#REF!*126)/1000</f>
        <v>#REF!</v>
      </c>
    </row>
    <row r="408" spans="1:12" x14ac:dyDescent="0.3">
      <c r="A408" s="10">
        <v>2021</v>
      </c>
      <c r="B408" s="10" t="s">
        <v>146</v>
      </c>
      <c r="C408" s="79" t="s">
        <v>49</v>
      </c>
      <c r="D408" s="79" t="s">
        <v>219</v>
      </c>
      <c r="E408" s="79" t="s">
        <v>51</v>
      </c>
      <c r="F408" s="104">
        <v>93364</v>
      </c>
      <c r="G408" s="9" t="s">
        <v>50</v>
      </c>
      <c r="H408" s="141">
        <v>0</v>
      </c>
      <c r="I408" s="136">
        <v>0</v>
      </c>
      <c r="J408" s="136">
        <v>0</v>
      </c>
      <c r="K408" s="147">
        <v>0</v>
      </c>
      <c r="L408" s="142" t="e">
        <f>+(#REF!*126)/1000</f>
        <v>#REF!</v>
      </c>
    </row>
    <row r="409" spans="1:12" x14ac:dyDescent="0.3">
      <c r="A409" s="10">
        <v>2021</v>
      </c>
      <c r="B409" s="10" t="s">
        <v>146</v>
      </c>
      <c r="C409" s="79" t="s">
        <v>49</v>
      </c>
      <c r="D409" s="79" t="s">
        <v>220</v>
      </c>
      <c r="E409" s="79" t="s">
        <v>51</v>
      </c>
      <c r="F409" s="104">
        <v>63034</v>
      </c>
      <c r="G409" s="9" t="s">
        <v>50</v>
      </c>
      <c r="H409" s="141">
        <v>0</v>
      </c>
      <c r="I409" s="136">
        <v>0</v>
      </c>
      <c r="J409" s="136">
        <v>0</v>
      </c>
      <c r="K409" s="147">
        <v>0</v>
      </c>
      <c r="L409" s="142" t="e">
        <f>+(#REF!*126)/1000</f>
        <v>#REF!</v>
      </c>
    </row>
    <row r="410" spans="1:12" x14ac:dyDescent="0.3">
      <c r="A410" s="10">
        <v>2021</v>
      </c>
      <c r="B410" s="10" t="s">
        <v>146</v>
      </c>
      <c r="C410" s="79" t="s">
        <v>49</v>
      </c>
      <c r="D410" s="79" t="s">
        <v>221</v>
      </c>
      <c r="E410" s="79" t="s">
        <v>51</v>
      </c>
      <c r="F410" s="104">
        <v>57237</v>
      </c>
      <c r="G410" s="9" t="s">
        <v>50</v>
      </c>
      <c r="H410" s="141">
        <v>0</v>
      </c>
      <c r="I410" s="136">
        <v>0</v>
      </c>
      <c r="J410" s="136">
        <v>0</v>
      </c>
      <c r="K410" s="147">
        <v>0</v>
      </c>
      <c r="L410" s="142" t="e">
        <f>+(#REF!*126)/1000</f>
        <v>#REF!</v>
      </c>
    </row>
    <row r="411" spans="1:12" x14ac:dyDescent="0.3">
      <c r="A411" s="10">
        <v>2021</v>
      </c>
      <c r="B411" s="10" t="s">
        <v>146</v>
      </c>
      <c r="C411" s="79" t="s">
        <v>49</v>
      </c>
      <c r="D411" s="79" t="s">
        <v>222</v>
      </c>
      <c r="E411" s="79" t="s">
        <v>51</v>
      </c>
      <c r="F411" s="104">
        <v>60254</v>
      </c>
      <c r="G411" s="9" t="s">
        <v>50</v>
      </c>
      <c r="H411" s="141">
        <v>0</v>
      </c>
      <c r="I411" s="136">
        <v>0</v>
      </c>
      <c r="J411" s="136">
        <v>0</v>
      </c>
      <c r="K411" s="147">
        <v>0</v>
      </c>
      <c r="L411" s="142" t="e">
        <f>+(#REF!*126)/1000</f>
        <v>#REF!</v>
      </c>
    </row>
    <row r="412" spans="1:12" x14ac:dyDescent="0.3">
      <c r="A412" s="10">
        <v>2021</v>
      </c>
      <c r="B412" s="10" t="s">
        <v>146</v>
      </c>
      <c r="C412" s="79" t="s">
        <v>49</v>
      </c>
      <c r="D412" s="79" t="s">
        <v>223</v>
      </c>
      <c r="E412" s="79" t="s">
        <v>51</v>
      </c>
      <c r="F412" s="104">
        <v>69779</v>
      </c>
      <c r="G412" s="9" t="s">
        <v>50</v>
      </c>
      <c r="H412" s="141">
        <v>0</v>
      </c>
      <c r="I412" s="136">
        <v>0</v>
      </c>
      <c r="J412" s="136">
        <v>0</v>
      </c>
      <c r="K412" s="147">
        <v>0</v>
      </c>
      <c r="L412" s="142" t="e">
        <f>+(#REF!*126)/1000</f>
        <v>#REF!</v>
      </c>
    </row>
    <row r="413" spans="1:12" x14ac:dyDescent="0.3">
      <c r="A413" s="10">
        <v>2021</v>
      </c>
      <c r="B413" s="10" t="s">
        <v>146</v>
      </c>
      <c r="C413" s="79" t="s">
        <v>49</v>
      </c>
      <c r="D413" s="79" t="s">
        <v>224</v>
      </c>
      <c r="E413" s="79" t="s">
        <v>51</v>
      </c>
      <c r="F413" s="104">
        <v>82251</v>
      </c>
      <c r="G413" s="9" t="s">
        <v>50</v>
      </c>
      <c r="H413" s="141">
        <v>0</v>
      </c>
      <c r="I413" s="136">
        <v>0</v>
      </c>
      <c r="J413" s="136">
        <v>0</v>
      </c>
      <c r="K413" s="147">
        <v>0</v>
      </c>
      <c r="L413" s="142" t="e">
        <f>+(#REF!*126)/1000</f>
        <v>#REF!</v>
      </c>
    </row>
    <row r="414" spans="1:12" x14ac:dyDescent="0.3">
      <c r="A414" s="10">
        <v>2021</v>
      </c>
      <c r="B414" s="10" t="s">
        <v>146</v>
      </c>
      <c r="C414" s="79" t="s">
        <v>49</v>
      </c>
      <c r="D414" s="79" t="s">
        <v>225</v>
      </c>
      <c r="E414" s="79" t="s">
        <v>51</v>
      </c>
      <c r="F414" s="104">
        <v>86379</v>
      </c>
      <c r="G414" s="9" t="s">
        <v>50</v>
      </c>
      <c r="H414" s="141">
        <v>0</v>
      </c>
      <c r="I414" s="136">
        <v>0</v>
      </c>
      <c r="J414" s="136">
        <v>0</v>
      </c>
      <c r="K414" s="147">
        <v>0</v>
      </c>
      <c r="L414" s="142" t="e">
        <f>+(#REF!*126)/1000</f>
        <v>#REF!</v>
      </c>
    </row>
    <row r="415" spans="1:12" x14ac:dyDescent="0.3">
      <c r="A415" s="10">
        <v>2021</v>
      </c>
      <c r="B415" s="10" t="s">
        <v>146</v>
      </c>
      <c r="C415" s="79" t="s">
        <v>49</v>
      </c>
      <c r="D415" s="79" t="s">
        <v>226</v>
      </c>
      <c r="E415" s="79" t="s">
        <v>51</v>
      </c>
      <c r="F415" s="104">
        <v>84306</v>
      </c>
      <c r="G415" s="9" t="s">
        <v>50</v>
      </c>
      <c r="H415" s="141">
        <v>0</v>
      </c>
      <c r="I415" s="136">
        <v>0</v>
      </c>
      <c r="J415" s="136">
        <v>0</v>
      </c>
      <c r="K415" s="147">
        <v>0</v>
      </c>
      <c r="L415" s="142" t="e">
        <f>+(#REF!*126)/1000</f>
        <v>#REF!</v>
      </c>
    </row>
    <row r="416" spans="1:12" x14ac:dyDescent="0.3">
      <c r="A416" s="10">
        <v>2021</v>
      </c>
      <c r="B416" s="10" t="s">
        <v>146</v>
      </c>
      <c r="C416" s="79" t="s">
        <v>49</v>
      </c>
      <c r="D416" s="79" t="s">
        <v>227</v>
      </c>
      <c r="E416" s="79" t="s">
        <v>51</v>
      </c>
      <c r="F416" s="104">
        <v>82355</v>
      </c>
      <c r="G416" s="9" t="s">
        <v>50</v>
      </c>
      <c r="H416" s="141">
        <v>0</v>
      </c>
      <c r="I416" s="136">
        <v>0</v>
      </c>
      <c r="J416" s="136">
        <v>0</v>
      </c>
      <c r="K416" s="147">
        <v>0</v>
      </c>
      <c r="L416" s="142" t="e">
        <f>+(#REF!*126)/1000</f>
        <v>#REF!</v>
      </c>
    </row>
    <row r="417" spans="1:12" x14ac:dyDescent="0.3">
      <c r="A417" s="10">
        <v>2021</v>
      </c>
      <c r="B417" s="10" t="s">
        <v>146</v>
      </c>
      <c r="C417" s="79" t="s">
        <v>49</v>
      </c>
      <c r="D417" s="79" t="s">
        <v>228</v>
      </c>
      <c r="E417" s="79" t="s">
        <v>51</v>
      </c>
      <c r="F417" s="104">
        <v>64169</v>
      </c>
      <c r="G417" s="9" t="s">
        <v>50</v>
      </c>
      <c r="H417" s="141">
        <v>0</v>
      </c>
      <c r="I417" s="136">
        <v>0</v>
      </c>
      <c r="J417" s="136">
        <v>0</v>
      </c>
      <c r="K417" s="147">
        <v>0</v>
      </c>
      <c r="L417" s="142" t="e">
        <f>+(#REF!*126)/1000</f>
        <v>#REF!</v>
      </c>
    </row>
    <row r="418" spans="1:12" x14ac:dyDescent="0.3">
      <c r="A418" s="10">
        <v>2021</v>
      </c>
      <c r="B418" s="10" t="s">
        <v>146</v>
      </c>
      <c r="C418" s="79" t="s">
        <v>49</v>
      </c>
      <c r="D418" s="79" t="s">
        <v>249</v>
      </c>
      <c r="E418" s="79" t="s">
        <v>46</v>
      </c>
      <c r="F418" s="104">
        <v>808.66666666666663</v>
      </c>
      <c r="G418" s="9" t="s">
        <v>50</v>
      </c>
      <c r="H418" s="141">
        <v>0</v>
      </c>
      <c r="I418" s="136">
        <v>0</v>
      </c>
      <c r="J418" s="136">
        <v>0</v>
      </c>
      <c r="K418" s="147">
        <v>0</v>
      </c>
      <c r="L418" s="142" t="e">
        <f>+(#REF!*126)/1000</f>
        <v>#REF!</v>
      </c>
    </row>
    <row r="419" spans="1:12" x14ac:dyDescent="0.3">
      <c r="A419" s="10">
        <v>2021</v>
      </c>
      <c r="B419" s="10" t="s">
        <v>146</v>
      </c>
      <c r="C419" s="79" t="s">
        <v>49</v>
      </c>
      <c r="D419" s="79" t="s">
        <v>250</v>
      </c>
      <c r="E419" s="79" t="s">
        <v>46</v>
      </c>
      <c r="F419" s="104">
        <v>688.66666666666663</v>
      </c>
      <c r="G419" s="9" t="s">
        <v>50</v>
      </c>
      <c r="H419" s="141">
        <v>0</v>
      </c>
      <c r="I419" s="136">
        <v>0</v>
      </c>
      <c r="J419" s="136">
        <v>0</v>
      </c>
      <c r="K419" s="147">
        <v>0</v>
      </c>
      <c r="L419" s="142" t="e">
        <f>+(#REF!*126)/1000</f>
        <v>#REF!</v>
      </c>
    </row>
    <row r="420" spans="1:12" x14ac:dyDescent="0.3">
      <c r="A420" s="10">
        <v>2021</v>
      </c>
      <c r="B420" s="10" t="s">
        <v>146</v>
      </c>
      <c r="C420" s="79" t="s">
        <v>49</v>
      </c>
      <c r="D420" s="79" t="s">
        <v>251</v>
      </c>
      <c r="E420" s="79" t="s">
        <v>46</v>
      </c>
      <c r="F420" s="104">
        <v>709.83333333333337</v>
      </c>
      <c r="G420" s="9" t="s">
        <v>50</v>
      </c>
      <c r="H420" s="141">
        <v>0</v>
      </c>
      <c r="I420" s="136">
        <v>0</v>
      </c>
      <c r="J420" s="136">
        <v>0</v>
      </c>
      <c r="K420" s="147">
        <v>0</v>
      </c>
      <c r="L420" s="142" t="e">
        <f>+(#REF!*126)/1000</f>
        <v>#REF!</v>
      </c>
    </row>
    <row r="421" spans="1:12" x14ac:dyDescent="0.3">
      <c r="A421" s="10">
        <v>2021</v>
      </c>
      <c r="B421" s="10" t="s">
        <v>146</v>
      </c>
      <c r="C421" s="79" t="s">
        <v>49</v>
      </c>
      <c r="D421" s="79" t="s">
        <v>252</v>
      </c>
      <c r="E421" s="79" t="s">
        <v>46</v>
      </c>
      <c r="F421" s="104">
        <v>713.33333333333337</v>
      </c>
      <c r="G421" s="9" t="s">
        <v>50</v>
      </c>
      <c r="H421" s="141">
        <v>0</v>
      </c>
      <c r="I421" s="136">
        <v>0</v>
      </c>
      <c r="J421" s="136">
        <v>0</v>
      </c>
      <c r="K421" s="147">
        <v>0</v>
      </c>
      <c r="L421" s="142" t="e">
        <f>+(#REF!*126)/1000</f>
        <v>#REF!</v>
      </c>
    </row>
    <row r="422" spans="1:12" x14ac:dyDescent="0.3">
      <c r="A422" s="10">
        <v>2021</v>
      </c>
      <c r="B422" s="10" t="s">
        <v>146</v>
      </c>
      <c r="C422" s="79" t="s">
        <v>49</v>
      </c>
      <c r="D422" s="79" t="s">
        <v>253</v>
      </c>
      <c r="E422" s="79" t="s">
        <v>46</v>
      </c>
      <c r="F422" s="104">
        <v>620.83333333333337</v>
      </c>
      <c r="G422" s="9" t="s">
        <v>50</v>
      </c>
      <c r="H422" s="141">
        <v>0</v>
      </c>
      <c r="I422" s="136">
        <v>0</v>
      </c>
      <c r="J422" s="136">
        <v>0</v>
      </c>
      <c r="K422" s="147">
        <v>0</v>
      </c>
      <c r="L422" s="142" t="e">
        <f>+(#REF!*126)/1000</f>
        <v>#REF!</v>
      </c>
    </row>
    <row r="423" spans="1:12" x14ac:dyDescent="0.3">
      <c r="A423" s="10">
        <v>2021</v>
      </c>
      <c r="B423" s="10" t="s">
        <v>146</v>
      </c>
      <c r="C423" s="79" t="s">
        <v>49</v>
      </c>
      <c r="D423" s="79" t="s">
        <v>254</v>
      </c>
      <c r="E423" s="79" t="s">
        <v>46</v>
      </c>
      <c r="F423" s="104">
        <v>707.16666666666663</v>
      </c>
      <c r="G423" s="9" t="s">
        <v>50</v>
      </c>
      <c r="H423" s="141">
        <v>0</v>
      </c>
      <c r="I423" s="136">
        <v>0</v>
      </c>
      <c r="J423" s="136">
        <v>0</v>
      </c>
      <c r="K423" s="147">
        <v>0</v>
      </c>
      <c r="L423" s="142" t="e">
        <f>+(#REF!*126)/1000</f>
        <v>#REF!</v>
      </c>
    </row>
    <row r="424" spans="1:12" x14ac:dyDescent="0.3">
      <c r="A424" s="10">
        <v>2021</v>
      </c>
      <c r="B424" s="10" t="s">
        <v>146</v>
      </c>
      <c r="C424" s="79" t="s">
        <v>49</v>
      </c>
      <c r="D424" s="79" t="s">
        <v>255</v>
      </c>
      <c r="E424" s="79" t="s">
        <v>46</v>
      </c>
      <c r="F424" s="104">
        <v>598.33333333333337</v>
      </c>
      <c r="G424" s="9" t="s">
        <v>50</v>
      </c>
      <c r="H424" s="141">
        <v>0</v>
      </c>
      <c r="I424" s="136">
        <v>0</v>
      </c>
      <c r="J424" s="136">
        <v>0</v>
      </c>
      <c r="K424" s="147">
        <v>0</v>
      </c>
      <c r="L424" s="142" t="e">
        <f>+(#REF!*126)/1000</f>
        <v>#REF!</v>
      </c>
    </row>
    <row r="425" spans="1:12" x14ac:dyDescent="0.3">
      <c r="A425" s="10">
        <v>2021</v>
      </c>
      <c r="B425" s="10" t="s">
        <v>146</v>
      </c>
      <c r="C425" s="79" t="s">
        <v>49</v>
      </c>
      <c r="D425" s="79" t="s">
        <v>256</v>
      </c>
      <c r="E425" s="79" t="s">
        <v>46</v>
      </c>
      <c r="F425" s="104">
        <v>606.66666666666663</v>
      </c>
      <c r="G425" s="9" t="s">
        <v>50</v>
      </c>
      <c r="H425" s="141">
        <v>0</v>
      </c>
      <c r="I425" s="136">
        <v>0</v>
      </c>
      <c r="J425" s="136">
        <v>0</v>
      </c>
      <c r="K425" s="147">
        <v>0</v>
      </c>
      <c r="L425" s="142" t="e">
        <f>+(#REF!*126)/1000</f>
        <v>#REF!</v>
      </c>
    </row>
    <row r="426" spans="1:12" x14ac:dyDescent="0.3">
      <c r="A426" s="10">
        <v>2021</v>
      </c>
      <c r="B426" s="10" t="s">
        <v>146</v>
      </c>
      <c r="C426" s="79" t="s">
        <v>49</v>
      </c>
      <c r="D426" s="79" t="s">
        <v>257</v>
      </c>
      <c r="E426" s="79" t="s">
        <v>46</v>
      </c>
      <c r="F426" s="104">
        <v>515.16666666666663</v>
      </c>
      <c r="G426" s="9" t="s">
        <v>50</v>
      </c>
      <c r="H426" s="141">
        <v>0</v>
      </c>
      <c r="I426" s="136">
        <v>0</v>
      </c>
      <c r="J426" s="136">
        <v>0</v>
      </c>
      <c r="K426" s="147">
        <v>0</v>
      </c>
      <c r="L426" s="142" t="e">
        <f>+(#REF!*126)/1000</f>
        <v>#REF!</v>
      </c>
    </row>
    <row r="427" spans="1:12" x14ac:dyDescent="0.3">
      <c r="A427" s="10">
        <v>2021</v>
      </c>
      <c r="B427" s="10" t="s">
        <v>146</v>
      </c>
      <c r="C427" s="79" t="s">
        <v>49</v>
      </c>
      <c r="D427" s="79" t="s">
        <v>258</v>
      </c>
      <c r="E427" s="79" t="s">
        <v>46</v>
      </c>
      <c r="F427" s="104">
        <v>547.33333333333337</v>
      </c>
      <c r="G427" s="9" t="s">
        <v>50</v>
      </c>
      <c r="H427" s="141">
        <v>0</v>
      </c>
      <c r="I427" s="136">
        <v>0</v>
      </c>
      <c r="J427" s="136">
        <v>0</v>
      </c>
      <c r="K427" s="147">
        <v>0</v>
      </c>
      <c r="L427" s="142" t="e">
        <f>+(#REF!*126)/1000</f>
        <v>#REF!</v>
      </c>
    </row>
    <row r="428" spans="1:12" x14ac:dyDescent="0.3">
      <c r="A428" s="10">
        <v>2021</v>
      </c>
      <c r="B428" s="10" t="s">
        <v>146</v>
      </c>
      <c r="C428" s="79" t="s">
        <v>49</v>
      </c>
      <c r="D428" s="79" t="s">
        <v>259</v>
      </c>
      <c r="E428" s="79" t="s">
        <v>46</v>
      </c>
      <c r="F428" s="104">
        <v>617.33333333333337</v>
      </c>
      <c r="G428" s="9" t="s">
        <v>50</v>
      </c>
      <c r="H428" s="141">
        <v>0</v>
      </c>
      <c r="I428" s="136">
        <v>0</v>
      </c>
      <c r="J428" s="136">
        <v>0</v>
      </c>
      <c r="K428" s="147">
        <v>0</v>
      </c>
      <c r="L428" s="142" t="e">
        <f>+(#REF!*126)/1000</f>
        <v>#REF!</v>
      </c>
    </row>
    <row r="429" spans="1:12" x14ac:dyDescent="0.3">
      <c r="A429" s="10">
        <v>2021</v>
      </c>
      <c r="B429" s="10" t="s">
        <v>146</v>
      </c>
      <c r="C429" s="79" t="s">
        <v>49</v>
      </c>
      <c r="D429" s="79" t="s">
        <v>260</v>
      </c>
      <c r="E429" s="79" t="s">
        <v>46</v>
      </c>
      <c r="F429" s="104">
        <v>610.5</v>
      </c>
      <c r="G429" s="9" t="s">
        <v>50</v>
      </c>
      <c r="H429" s="141">
        <v>0</v>
      </c>
      <c r="I429" s="136">
        <v>0</v>
      </c>
      <c r="J429" s="136">
        <v>0</v>
      </c>
      <c r="K429" s="147">
        <v>0</v>
      </c>
      <c r="L429" s="142" t="e">
        <f>+(#REF!*126)/1000</f>
        <v>#REF!</v>
      </c>
    </row>
    <row r="430" spans="1:12" x14ac:dyDescent="0.3">
      <c r="A430" s="10">
        <v>2021</v>
      </c>
      <c r="B430" s="10" t="s">
        <v>146</v>
      </c>
      <c r="C430" s="79" t="s">
        <v>49</v>
      </c>
      <c r="D430" s="79" t="s">
        <v>261</v>
      </c>
      <c r="E430" s="79" t="s">
        <v>46</v>
      </c>
      <c r="F430" s="104">
        <v>808.66666666666663</v>
      </c>
      <c r="G430" s="9" t="s">
        <v>50</v>
      </c>
      <c r="H430" s="141">
        <v>0</v>
      </c>
      <c r="I430" s="136">
        <v>0</v>
      </c>
      <c r="J430" s="136">
        <v>0</v>
      </c>
      <c r="K430" s="147">
        <v>0</v>
      </c>
      <c r="L430" s="142" t="e">
        <f>+(#REF!*126)/1000</f>
        <v>#REF!</v>
      </c>
    </row>
    <row r="431" spans="1:12" x14ac:dyDescent="0.3">
      <c r="A431" s="10">
        <v>2021</v>
      </c>
      <c r="B431" s="10" t="s">
        <v>146</v>
      </c>
      <c r="C431" s="79" t="s">
        <v>49</v>
      </c>
      <c r="D431" s="79" t="s">
        <v>262</v>
      </c>
      <c r="E431" s="79" t="s">
        <v>46</v>
      </c>
      <c r="F431" s="104">
        <v>688.66666666666663</v>
      </c>
      <c r="G431" s="9" t="s">
        <v>50</v>
      </c>
      <c r="H431" s="141">
        <v>0</v>
      </c>
      <c r="I431" s="136">
        <v>0</v>
      </c>
      <c r="J431" s="136">
        <v>0</v>
      </c>
      <c r="K431" s="147">
        <v>0</v>
      </c>
      <c r="L431" s="142" t="e">
        <f>+(#REF!*126)/1000</f>
        <v>#REF!</v>
      </c>
    </row>
    <row r="432" spans="1:12" x14ac:dyDescent="0.3">
      <c r="A432" s="10">
        <v>2021</v>
      </c>
      <c r="B432" s="10" t="s">
        <v>146</v>
      </c>
      <c r="C432" s="79" t="s">
        <v>49</v>
      </c>
      <c r="D432" s="79" t="s">
        <v>263</v>
      </c>
      <c r="E432" s="79" t="s">
        <v>46</v>
      </c>
      <c r="F432" s="104">
        <v>709.83333333333337</v>
      </c>
      <c r="G432" s="9" t="s">
        <v>50</v>
      </c>
      <c r="H432" s="141">
        <v>0</v>
      </c>
      <c r="I432" s="136">
        <v>0</v>
      </c>
      <c r="J432" s="136">
        <v>0</v>
      </c>
      <c r="K432" s="147">
        <v>0</v>
      </c>
      <c r="L432" s="142" t="e">
        <f>+(#REF!*126)/1000</f>
        <v>#REF!</v>
      </c>
    </row>
    <row r="433" spans="1:12" x14ac:dyDescent="0.3">
      <c r="A433" s="10">
        <v>2021</v>
      </c>
      <c r="B433" s="10" t="s">
        <v>146</v>
      </c>
      <c r="C433" s="79" t="s">
        <v>49</v>
      </c>
      <c r="D433" s="79" t="s">
        <v>264</v>
      </c>
      <c r="E433" s="79" t="s">
        <v>46</v>
      </c>
      <c r="F433" s="104">
        <v>713.33333333333337</v>
      </c>
      <c r="G433" s="9" t="s">
        <v>50</v>
      </c>
      <c r="H433" s="141">
        <v>0</v>
      </c>
      <c r="I433" s="136">
        <v>0</v>
      </c>
      <c r="J433" s="136">
        <v>0</v>
      </c>
      <c r="K433" s="147">
        <v>0</v>
      </c>
      <c r="L433" s="142" t="e">
        <f>+(#REF!*126)/1000</f>
        <v>#REF!</v>
      </c>
    </row>
    <row r="434" spans="1:12" x14ac:dyDescent="0.3">
      <c r="A434" s="10">
        <v>2021</v>
      </c>
      <c r="B434" s="10" t="s">
        <v>146</v>
      </c>
      <c r="C434" s="79" t="s">
        <v>49</v>
      </c>
      <c r="D434" s="79" t="s">
        <v>265</v>
      </c>
      <c r="E434" s="79" t="s">
        <v>46</v>
      </c>
      <c r="F434" s="104">
        <v>620.83333333333337</v>
      </c>
      <c r="G434" s="9" t="s">
        <v>50</v>
      </c>
      <c r="H434" s="141">
        <v>0</v>
      </c>
      <c r="I434" s="136">
        <v>0</v>
      </c>
      <c r="J434" s="136">
        <v>0</v>
      </c>
      <c r="K434" s="147">
        <v>0</v>
      </c>
      <c r="L434" s="142" t="e">
        <f>+(#REF!*126)/1000</f>
        <v>#REF!</v>
      </c>
    </row>
    <row r="435" spans="1:12" x14ac:dyDescent="0.3">
      <c r="A435" s="10">
        <v>2021</v>
      </c>
      <c r="B435" s="10" t="s">
        <v>146</v>
      </c>
      <c r="C435" s="79" t="s">
        <v>49</v>
      </c>
      <c r="D435" s="79" t="s">
        <v>266</v>
      </c>
      <c r="E435" s="79" t="s">
        <v>46</v>
      </c>
      <c r="F435" s="104">
        <v>707.16666666666663</v>
      </c>
      <c r="G435" s="9" t="s">
        <v>50</v>
      </c>
      <c r="H435" s="141">
        <v>0</v>
      </c>
      <c r="I435" s="136">
        <v>0</v>
      </c>
      <c r="J435" s="136">
        <v>0</v>
      </c>
      <c r="K435" s="147">
        <v>0</v>
      </c>
      <c r="L435" s="142" t="e">
        <f>+(#REF!*126)/1000</f>
        <v>#REF!</v>
      </c>
    </row>
    <row r="436" spans="1:12" x14ac:dyDescent="0.3">
      <c r="A436" s="10">
        <v>2021</v>
      </c>
      <c r="B436" s="10" t="s">
        <v>146</v>
      </c>
      <c r="C436" s="79" t="s">
        <v>49</v>
      </c>
      <c r="D436" s="79" t="s">
        <v>267</v>
      </c>
      <c r="E436" s="79" t="s">
        <v>46</v>
      </c>
      <c r="F436" s="104">
        <v>598.33333333333337</v>
      </c>
      <c r="G436" s="9" t="s">
        <v>50</v>
      </c>
      <c r="H436" s="141">
        <v>0</v>
      </c>
      <c r="I436" s="136">
        <v>0</v>
      </c>
      <c r="J436" s="136">
        <v>0</v>
      </c>
      <c r="K436" s="147">
        <v>0</v>
      </c>
      <c r="L436" s="142" t="e">
        <f>+(#REF!*126)/1000</f>
        <v>#REF!</v>
      </c>
    </row>
    <row r="437" spans="1:12" x14ac:dyDescent="0.3">
      <c r="A437" s="10">
        <v>2021</v>
      </c>
      <c r="B437" s="10" t="s">
        <v>146</v>
      </c>
      <c r="C437" s="79" t="s">
        <v>49</v>
      </c>
      <c r="D437" s="79" t="s">
        <v>268</v>
      </c>
      <c r="E437" s="79" t="s">
        <v>46</v>
      </c>
      <c r="F437" s="104">
        <v>606.66666666666663</v>
      </c>
      <c r="G437" s="9" t="s">
        <v>50</v>
      </c>
      <c r="H437" s="141">
        <v>0</v>
      </c>
      <c r="I437" s="136">
        <v>0</v>
      </c>
      <c r="J437" s="136">
        <v>0</v>
      </c>
      <c r="K437" s="147">
        <v>0</v>
      </c>
      <c r="L437" s="142" t="e">
        <f>+(#REF!*126)/1000</f>
        <v>#REF!</v>
      </c>
    </row>
    <row r="438" spans="1:12" x14ac:dyDescent="0.3">
      <c r="A438" s="10">
        <v>2021</v>
      </c>
      <c r="B438" s="10" t="s">
        <v>146</v>
      </c>
      <c r="C438" s="79" t="s">
        <v>49</v>
      </c>
      <c r="D438" s="79" t="s">
        <v>269</v>
      </c>
      <c r="E438" s="79" t="s">
        <v>46</v>
      </c>
      <c r="F438" s="104">
        <v>515.16666666666663</v>
      </c>
      <c r="G438" s="9" t="s">
        <v>50</v>
      </c>
      <c r="H438" s="141">
        <v>0</v>
      </c>
      <c r="I438" s="136">
        <v>0</v>
      </c>
      <c r="J438" s="136">
        <v>0</v>
      </c>
      <c r="K438" s="147">
        <v>0</v>
      </c>
      <c r="L438" s="142" t="e">
        <f>+(#REF!*126)/1000</f>
        <v>#REF!</v>
      </c>
    </row>
    <row r="439" spans="1:12" x14ac:dyDescent="0.3">
      <c r="A439" s="10">
        <v>2021</v>
      </c>
      <c r="B439" s="10" t="s">
        <v>146</v>
      </c>
      <c r="C439" s="79" t="s">
        <v>49</v>
      </c>
      <c r="D439" s="79" t="s">
        <v>270</v>
      </c>
      <c r="E439" s="79" t="s">
        <v>46</v>
      </c>
      <c r="F439" s="104">
        <v>547.33333333333337</v>
      </c>
      <c r="G439" s="9" t="s">
        <v>50</v>
      </c>
      <c r="H439" s="141">
        <v>0</v>
      </c>
      <c r="I439" s="136">
        <v>0</v>
      </c>
      <c r="J439" s="136">
        <v>0</v>
      </c>
      <c r="K439" s="147">
        <v>0</v>
      </c>
      <c r="L439" s="142" t="e">
        <f>+(#REF!*126)/1000</f>
        <v>#REF!</v>
      </c>
    </row>
    <row r="440" spans="1:12" x14ac:dyDescent="0.3">
      <c r="A440" s="10">
        <v>2021</v>
      </c>
      <c r="B440" s="10" t="s">
        <v>146</v>
      </c>
      <c r="C440" s="79" t="s">
        <v>49</v>
      </c>
      <c r="D440" s="79" t="s">
        <v>271</v>
      </c>
      <c r="E440" s="79" t="s">
        <v>46</v>
      </c>
      <c r="F440" s="104">
        <v>617.33333333333337</v>
      </c>
      <c r="G440" s="9" t="s">
        <v>50</v>
      </c>
      <c r="H440" s="141">
        <v>0</v>
      </c>
      <c r="I440" s="136">
        <v>0</v>
      </c>
      <c r="J440" s="136">
        <v>0</v>
      </c>
      <c r="K440" s="147">
        <v>0</v>
      </c>
      <c r="L440" s="142" t="e">
        <f>+(#REF!*126)/1000</f>
        <v>#REF!</v>
      </c>
    </row>
    <row r="441" spans="1:12" x14ac:dyDescent="0.3">
      <c r="A441" s="10">
        <v>2021</v>
      </c>
      <c r="B441" s="10" t="s">
        <v>146</v>
      </c>
      <c r="C441" s="79" t="s">
        <v>49</v>
      </c>
      <c r="D441" s="79" t="s">
        <v>272</v>
      </c>
      <c r="E441" s="79" t="s">
        <v>46</v>
      </c>
      <c r="F441" s="104">
        <v>610.5</v>
      </c>
      <c r="G441" s="9" t="s">
        <v>50</v>
      </c>
      <c r="H441" s="141">
        <v>0</v>
      </c>
      <c r="I441" s="136">
        <v>0</v>
      </c>
      <c r="J441" s="136">
        <v>0</v>
      </c>
      <c r="K441" s="147">
        <v>0</v>
      </c>
      <c r="L441" s="142" t="e">
        <f>+(#REF!*126)/1000</f>
        <v>#REF!</v>
      </c>
    </row>
    <row r="442" spans="1:12" x14ac:dyDescent="0.3">
      <c r="A442" s="10">
        <v>2021</v>
      </c>
      <c r="B442" s="10" t="s">
        <v>146</v>
      </c>
      <c r="C442" s="79" t="s">
        <v>49</v>
      </c>
      <c r="D442" s="79" t="s">
        <v>273</v>
      </c>
      <c r="E442" s="79" t="s">
        <v>46</v>
      </c>
      <c r="F442" s="104">
        <v>808.66666666666663</v>
      </c>
      <c r="G442" s="9" t="s">
        <v>50</v>
      </c>
      <c r="H442" s="141">
        <v>0</v>
      </c>
      <c r="I442" s="136">
        <v>0</v>
      </c>
      <c r="J442" s="136">
        <v>0</v>
      </c>
      <c r="K442" s="147">
        <v>0</v>
      </c>
      <c r="L442" s="142" t="e">
        <f>+(#REF!*126)/1000</f>
        <v>#REF!</v>
      </c>
    </row>
    <row r="443" spans="1:12" x14ac:dyDescent="0.3">
      <c r="A443" s="10">
        <v>2021</v>
      </c>
      <c r="B443" s="10" t="s">
        <v>146</v>
      </c>
      <c r="C443" s="79" t="s">
        <v>49</v>
      </c>
      <c r="D443" s="79" t="s">
        <v>274</v>
      </c>
      <c r="E443" s="79" t="s">
        <v>46</v>
      </c>
      <c r="F443" s="104">
        <v>688.66666666666663</v>
      </c>
      <c r="G443" s="9" t="s">
        <v>50</v>
      </c>
      <c r="H443" s="141">
        <v>0</v>
      </c>
      <c r="I443" s="136">
        <v>0</v>
      </c>
      <c r="J443" s="136">
        <v>0</v>
      </c>
      <c r="K443" s="147">
        <v>0</v>
      </c>
      <c r="L443" s="142" t="e">
        <f>+(#REF!*126)/1000</f>
        <v>#REF!</v>
      </c>
    </row>
    <row r="444" spans="1:12" x14ac:dyDescent="0.3">
      <c r="A444" s="10">
        <v>2021</v>
      </c>
      <c r="B444" s="10" t="s">
        <v>146</v>
      </c>
      <c r="C444" s="79" t="s">
        <v>49</v>
      </c>
      <c r="D444" s="79" t="s">
        <v>275</v>
      </c>
      <c r="E444" s="79" t="s">
        <v>46</v>
      </c>
      <c r="F444" s="104">
        <v>709.83333333333337</v>
      </c>
      <c r="G444" s="9" t="s">
        <v>50</v>
      </c>
      <c r="H444" s="141">
        <v>0</v>
      </c>
      <c r="I444" s="136">
        <v>0</v>
      </c>
      <c r="J444" s="136">
        <v>0</v>
      </c>
      <c r="K444" s="147">
        <v>0</v>
      </c>
      <c r="L444" s="142" t="e">
        <f>+(#REF!*126)/1000</f>
        <v>#REF!</v>
      </c>
    </row>
    <row r="445" spans="1:12" x14ac:dyDescent="0.3">
      <c r="A445" s="10">
        <v>2021</v>
      </c>
      <c r="B445" s="10" t="s">
        <v>146</v>
      </c>
      <c r="C445" s="79" t="s">
        <v>49</v>
      </c>
      <c r="D445" s="79" t="s">
        <v>276</v>
      </c>
      <c r="E445" s="79" t="s">
        <v>46</v>
      </c>
      <c r="F445" s="104">
        <v>713.33333333333337</v>
      </c>
      <c r="G445" s="9" t="s">
        <v>50</v>
      </c>
      <c r="H445" s="141">
        <v>0</v>
      </c>
      <c r="I445" s="136">
        <v>0</v>
      </c>
      <c r="J445" s="136">
        <v>0</v>
      </c>
      <c r="K445" s="147">
        <v>0</v>
      </c>
      <c r="L445" s="142" t="e">
        <f>+(#REF!*126)/1000</f>
        <v>#REF!</v>
      </c>
    </row>
    <row r="446" spans="1:12" x14ac:dyDescent="0.3">
      <c r="A446" s="10">
        <v>2021</v>
      </c>
      <c r="B446" s="10" t="s">
        <v>146</v>
      </c>
      <c r="C446" s="79" t="s">
        <v>49</v>
      </c>
      <c r="D446" s="79" t="s">
        <v>277</v>
      </c>
      <c r="E446" s="79" t="s">
        <v>46</v>
      </c>
      <c r="F446" s="104">
        <v>620.83333333333337</v>
      </c>
      <c r="G446" s="9" t="s">
        <v>50</v>
      </c>
      <c r="H446" s="141">
        <v>0</v>
      </c>
      <c r="I446" s="136">
        <v>0</v>
      </c>
      <c r="J446" s="136">
        <v>0</v>
      </c>
      <c r="K446" s="147">
        <v>0</v>
      </c>
      <c r="L446" s="142" t="e">
        <f>+(#REF!*126)/1000</f>
        <v>#REF!</v>
      </c>
    </row>
    <row r="447" spans="1:12" x14ac:dyDescent="0.3">
      <c r="A447" s="10">
        <v>2021</v>
      </c>
      <c r="B447" s="10" t="s">
        <v>146</v>
      </c>
      <c r="C447" s="79" t="s">
        <v>49</v>
      </c>
      <c r="D447" s="79" t="s">
        <v>278</v>
      </c>
      <c r="E447" s="79" t="s">
        <v>46</v>
      </c>
      <c r="F447" s="104">
        <v>707.16666666666663</v>
      </c>
      <c r="G447" s="9" t="s">
        <v>50</v>
      </c>
      <c r="H447" s="141">
        <v>0</v>
      </c>
      <c r="I447" s="136">
        <v>0</v>
      </c>
      <c r="J447" s="136">
        <v>0</v>
      </c>
      <c r="K447" s="147">
        <v>0</v>
      </c>
      <c r="L447" s="142" t="e">
        <f>+(#REF!*126)/1000</f>
        <v>#REF!</v>
      </c>
    </row>
    <row r="448" spans="1:12" x14ac:dyDescent="0.3">
      <c r="A448" s="10">
        <v>2021</v>
      </c>
      <c r="B448" s="10" t="s">
        <v>146</v>
      </c>
      <c r="C448" s="79" t="s">
        <v>49</v>
      </c>
      <c r="D448" s="79" t="s">
        <v>279</v>
      </c>
      <c r="E448" s="79" t="s">
        <v>46</v>
      </c>
      <c r="F448" s="104">
        <v>598.33333333333337</v>
      </c>
      <c r="G448" s="9" t="s">
        <v>50</v>
      </c>
      <c r="H448" s="141">
        <v>0</v>
      </c>
      <c r="I448" s="136">
        <v>0</v>
      </c>
      <c r="J448" s="136">
        <v>0</v>
      </c>
      <c r="K448" s="147">
        <v>0</v>
      </c>
      <c r="L448" s="142" t="e">
        <f>+(#REF!*126)/1000</f>
        <v>#REF!</v>
      </c>
    </row>
    <row r="449" spans="1:12" x14ac:dyDescent="0.3">
      <c r="A449" s="10">
        <v>2021</v>
      </c>
      <c r="B449" s="10" t="s">
        <v>146</v>
      </c>
      <c r="C449" s="79" t="s">
        <v>49</v>
      </c>
      <c r="D449" s="79" t="s">
        <v>280</v>
      </c>
      <c r="E449" s="79" t="s">
        <v>46</v>
      </c>
      <c r="F449" s="104">
        <v>606.66666666666663</v>
      </c>
      <c r="G449" s="9" t="s">
        <v>50</v>
      </c>
      <c r="H449" s="141">
        <v>0</v>
      </c>
      <c r="I449" s="136">
        <v>0</v>
      </c>
      <c r="J449" s="136">
        <v>0</v>
      </c>
      <c r="K449" s="147">
        <v>0</v>
      </c>
      <c r="L449" s="142" t="e">
        <f>+(#REF!*126)/1000</f>
        <v>#REF!</v>
      </c>
    </row>
    <row r="450" spans="1:12" x14ac:dyDescent="0.3">
      <c r="A450" s="10">
        <v>2021</v>
      </c>
      <c r="B450" s="10" t="s">
        <v>146</v>
      </c>
      <c r="C450" s="79" t="s">
        <v>49</v>
      </c>
      <c r="D450" s="79" t="s">
        <v>281</v>
      </c>
      <c r="E450" s="79" t="s">
        <v>46</v>
      </c>
      <c r="F450" s="104">
        <v>515.16666666666663</v>
      </c>
      <c r="G450" s="9" t="s">
        <v>50</v>
      </c>
      <c r="H450" s="141">
        <v>0</v>
      </c>
      <c r="I450" s="136">
        <v>0</v>
      </c>
      <c r="J450" s="136">
        <v>0</v>
      </c>
      <c r="K450" s="147">
        <v>0</v>
      </c>
      <c r="L450" s="142" t="e">
        <f>+(#REF!*126)/1000</f>
        <v>#REF!</v>
      </c>
    </row>
    <row r="451" spans="1:12" x14ac:dyDescent="0.3">
      <c r="A451" s="10">
        <v>2021</v>
      </c>
      <c r="B451" s="10" t="s">
        <v>146</v>
      </c>
      <c r="C451" s="79" t="s">
        <v>49</v>
      </c>
      <c r="D451" s="79" t="s">
        <v>282</v>
      </c>
      <c r="E451" s="79" t="s">
        <v>46</v>
      </c>
      <c r="F451" s="104">
        <v>547.33333333333337</v>
      </c>
      <c r="G451" s="9" t="s">
        <v>50</v>
      </c>
      <c r="H451" s="141">
        <v>0</v>
      </c>
      <c r="I451" s="136">
        <v>0</v>
      </c>
      <c r="J451" s="136">
        <v>0</v>
      </c>
      <c r="K451" s="147">
        <v>0</v>
      </c>
      <c r="L451" s="142" t="e">
        <f>+(#REF!*126)/1000</f>
        <v>#REF!</v>
      </c>
    </row>
    <row r="452" spans="1:12" x14ac:dyDescent="0.3">
      <c r="A452" s="10">
        <v>2021</v>
      </c>
      <c r="B452" s="10" t="s">
        <v>146</v>
      </c>
      <c r="C452" s="79" t="s">
        <v>49</v>
      </c>
      <c r="D452" s="79" t="s">
        <v>283</v>
      </c>
      <c r="E452" s="79" t="s">
        <v>46</v>
      </c>
      <c r="F452" s="104">
        <v>617.33333333333337</v>
      </c>
      <c r="G452" s="9" t="s">
        <v>50</v>
      </c>
      <c r="H452" s="141">
        <v>0</v>
      </c>
      <c r="I452" s="136">
        <v>0</v>
      </c>
      <c r="J452" s="136">
        <v>0</v>
      </c>
      <c r="K452" s="147">
        <v>0</v>
      </c>
      <c r="L452" s="142" t="e">
        <f>+(#REF!*126)/1000</f>
        <v>#REF!</v>
      </c>
    </row>
    <row r="453" spans="1:12" x14ac:dyDescent="0.3">
      <c r="A453" s="10">
        <v>2021</v>
      </c>
      <c r="B453" s="10" t="s">
        <v>146</v>
      </c>
      <c r="C453" s="79" t="s">
        <v>49</v>
      </c>
      <c r="D453" s="79" t="s">
        <v>284</v>
      </c>
      <c r="E453" s="79" t="s">
        <v>46</v>
      </c>
      <c r="F453" s="104">
        <v>610.5</v>
      </c>
      <c r="G453" s="9" t="s">
        <v>50</v>
      </c>
      <c r="H453" s="141">
        <v>0</v>
      </c>
      <c r="I453" s="136">
        <v>0</v>
      </c>
      <c r="J453" s="136">
        <v>0</v>
      </c>
      <c r="K453" s="147">
        <v>0</v>
      </c>
      <c r="L453" s="142" t="e">
        <f>+(#REF!*126)/1000</f>
        <v>#REF!</v>
      </c>
    </row>
    <row r="454" spans="1:12" x14ac:dyDescent="0.3">
      <c r="A454" s="10">
        <v>2021</v>
      </c>
      <c r="B454" s="10" t="s">
        <v>146</v>
      </c>
      <c r="C454" s="79" t="s">
        <v>49</v>
      </c>
      <c r="D454" s="79" t="s">
        <v>285</v>
      </c>
      <c r="E454" s="79" t="s">
        <v>46</v>
      </c>
      <c r="F454" s="104">
        <v>808.66666666666663</v>
      </c>
      <c r="G454" s="9" t="s">
        <v>50</v>
      </c>
      <c r="H454" s="141">
        <v>0</v>
      </c>
      <c r="I454" s="136">
        <v>0</v>
      </c>
      <c r="J454" s="136">
        <v>0</v>
      </c>
      <c r="K454" s="147">
        <v>0</v>
      </c>
      <c r="L454" s="142" t="e">
        <f>+(#REF!*126)/1000</f>
        <v>#REF!</v>
      </c>
    </row>
    <row r="455" spans="1:12" x14ac:dyDescent="0.3">
      <c r="A455" s="10">
        <v>2021</v>
      </c>
      <c r="B455" s="10" t="s">
        <v>146</v>
      </c>
      <c r="C455" s="79" t="s">
        <v>49</v>
      </c>
      <c r="D455" s="79" t="s">
        <v>286</v>
      </c>
      <c r="E455" s="79" t="s">
        <v>46</v>
      </c>
      <c r="F455" s="104">
        <v>688.66666666666663</v>
      </c>
      <c r="G455" s="9" t="s">
        <v>50</v>
      </c>
      <c r="H455" s="141">
        <v>0</v>
      </c>
      <c r="I455" s="136">
        <v>0</v>
      </c>
      <c r="J455" s="136">
        <v>0</v>
      </c>
      <c r="K455" s="147">
        <v>0</v>
      </c>
      <c r="L455" s="142" t="e">
        <f>+(#REF!*126)/1000</f>
        <v>#REF!</v>
      </c>
    </row>
    <row r="456" spans="1:12" x14ac:dyDescent="0.3">
      <c r="A456" s="10">
        <v>2021</v>
      </c>
      <c r="B456" s="10" t="s">
        <v>146</v>
      </c>
      <c r="C456" s="79" t="s">
        <v>49</v>
      </c>
      <c r="D456" s="79" t="s">
        <v>287</v>
      </c>
      <c r="E456" s="79" t="s">
        <v>46</v>
      </c>
      <c r="F456" s="104">
        <v>709.83333333333337</v>
      </c>
      <c r="G456" s="9" t="s">
        <v>50</v>
      </c>
      <c r="H456" s="141">
        <v>0</v>
      </c>
      <c r="I456" s="136">
        <v>0</v>
      </c>
      <c r="J456" s="136">
        <v>0</v>
      </c>
      <c r="K456" s="147">
        <v>0</v>
      </c>
      <c r="L456" s="142" t="e">
        <f>+(#REF!*126)/1000</f>
        <v>#REF!</v>
      </c>
    </row>
    <row r="457" spans="1:12" x14ac:dyDescent="0.3">
      <c r="A457" s="10">
        <v>2021</v>
      </c>
      <c r="B457" s="10" t="s">
        <v>146</v>
      </c>
      <c r="C457" s="79" t="s">
        <v>49</v>
      </c>
      <c r="D457" s="79" t="s">
        <v>288</v>
      </c>
      <c r="E457" s="79" t="s">
        <v>46</v>
      </c>
      <c r="F457" s="104">
        <v>713.33333333333337</v>
      </c>
      <c r="G457" s="9" t="s">
        <v>50</v>
      </c>
      <c r="H457" s="141">
        <v>0</v>
      </c>
      <c r="I457" s="136">
        <v>0</v>
      </c>
      <c r="J457" s="136">
        <v>0</v>
      </c>
      <c r="K457" s="147">
        <v>0</v>
      </c>
      <c r="L457" s="142" t="e">
        <f>+(#REF!*126)/1000</f>
        <v>#REF!</v>
      </c>
    </row>
    <row r="458" spans="1:12" x14ac:dyDescent="0.3">
      <c r="A458" s="10">
        <v>2021</v>
      </c>
      <c r="B458" s="10" t="s">
        <v>146</v>
      </c>
      <c r="C458" s="79" t="s">
        <v>49</v>
      </c>
      <c r="D458" s="79" t="s">
        <v>289</v>
      </c>
      <c r="E458" s="79" t="s">
        <v>46</v>
      </c>
      <c r="F458" s="104">
        <v>620.83333333333337</v>
      </c>
      <c r="G458" s="9" t="s">
        <v>50</v>
      </c>
      <c r="H458" s="141">
        <v>0</v>
      </c>
      <c r="I458" s="136">
        <v>0</v>
      </c>
      <c r="J458" s="136">
        <v>0</v>
      </c>
      <c r="K458" s="147">
        <v>0</v>
      </c>
      <c r="L458" s="142" t="e">
        <f>+(#REF!*126)/1000</f>
        <v>#REF!</v>
      </c>
    </row>
    <row r="459" spans="1:12" x14ac:dyDescent="0.3">
      <c r="A459" s="10">
        <v>2021</v>
      </c>
      <c r="B459" s="10" t="s">
        <v>146</v>
      </c>
      <c r="C459" s="79" t="s">
        <v>49</v>
      </c>
      <c r="D459" s="79" t="s">
        <v>290</v>
      </c>
      <c r="E459" s="79" t="s">
        <v>46</v>
      </c>
      <c r="F459" s="104">
        <v>707.16666666666663</v>
      </c>
      <c r="G459" s="9" t="s">
        <v>50</v>
      </c>
      <c r="H459" s="141">
        <v>0</v>
      </c>
      <c r="I459" s="136">
        <v>0</v>
      </c>
      <c r="J459" s="136">
        <v>0</v>
      </c>
      <c r="K459" s="147">
        <v>0</v>
      </c>
      <c r="L459" s="142" t="e">
        <f>+(#REF!*126)/1000</f>
        <v>#REF!</v>
      </c>
    </row>
    <row r="460" spans="1:12" x14ac:dyDescent="0.3">
      <c r="A460" s="10">
        <v>2021</v>
      </c>
      <c r="B460" s="10" t="s">
        <v>146</v>
      </c>
      <c r="C460" s="79" t="s">
        <v>49</v>
      </c>
      <c r="D460" s="79" t="s">
        <v>291</v>
      </c>
      <c r="E460" s="79" t="s">
        <v>46</v>
      </c>
      <c r="F460" s="104">
        <v>598.33333333333337</v>
      </c>
      <c r="G460" s="9" t="s">
        <v>50</v>
      </c>
      <c r="H460" s="141">
        <v>0</v>
      </c>
      <c r="I460" s="136">
        <v>0</v>
      </c>
      <c r="J460" s="136">
        <v>0</v>
      </c>
      <c r="K460" s="147">
        <v>0</v>
      </c>
      <c r="L460" s="142" t="e">
        <f>+(#REF!*126)/1000</f>
        <v>#REF!</v>
      </c>
    </row>
    <row r="461" spans="1:12" x14ac:dyDescent="0.3">
      <c r="A461" s="10">
        <v>2021</v>
      </c>
      <c r="B461" s="10" t="s">
        <v>146</v>
      </c>
      <c r="C461" s="79" t="s">
        <v>49</v>
      </c>
      <c r="D461" s="79" t="s">
        <v>292</v>
      </c>
      <c r="E461" s="79" t="s">
        <v>46</v>
      </c>
      <c r="F461" s="104">
        <v>606.66666666666663</v>
      </c>
      <c r="G461" s="9" t="s">
        <v>50</v>
      </c>
      <c r="H461" s="141">
        <v>0</v>
      </c>
      <c r="I461" s="136">
        <v>0</v>
      </c>
      <c r="J461" s="136">
        <v>0</v>
      </c>
      <c r="K461" s="147">
        <v>0</v>
      </c>
      <c r="L461" s="142" t="e">
        <f>+(#REF!*126)/1000</f>
        <v>#REF!</v>
      </c>
    </row>
    <row r="462" spans="1:12" x14ac:dyDescent="0.3">
      <c r="A462" s="10">
        <v>2021</v>
      </c>
      <c r="B462" s="10" t="s">
        <v>146</v>
      </c>
      <c r="C462" s="79" t="s">
        <v>49</v>
      </c>
      <c r="D462" s="79" t="s">
        <v>293</v>
      </c>
      <c r="E462" s="79" t="s">
        <v>46</v>
      </c>
      <c r="F462" s="104">
        <v>515.16666666666663</v>
      </c>
      <c r="G462" s="9" t="s">
        <v>50</v>
      </c>
      <c r="H462" s="141">
        <v>0</v>
      </c>
      <c r="I462" s="136">
        <v>0</v>
      </c>
      <c r="J462" s="136">
        <v>0</v>
      </c>
      <c r="K462" s="147">
        <v>0</v>
      </c>
      <c r="L462" s="142" t="e">
        <f>+(#REF!*126)/1000</f>
        <v>#REF!</v>
      </c>
    </row>
    <row r="463" spans="1:12" x14ac:dyDescent="0.3">
      <c r="A463" s="10">
        <v>2021</v>
      </c>
      <c r="B463" s="10" t="s">
        <v>146</v>
      </c>
      <c r="C463" s="79" t="s">
        <v>49</v>
      </c>
      <c r="D463" s="79" t="s">
        <v>294</v>
      </c>
      <c r="E463" s="79" t="s">
        <v>46</v>
      </c>
      <c r="F463" s="104">
        <v>547.33333333333337</v>
      </c>
      <c r="G463" s="9" t="s">
        <v>50</v>
      </c>
      <c r="H463" s="141">
        <v>0</v>
      </c>
      <c r="I463" s="136">
        <v>0</v>
      </c>
      <c r="J463" s="136">
        <v>0</v>
      </c>
      <c r="K463" s="147">
        <v>0</v>
      </c>
      <c r="L463" s="142" t="e">
        <f>+(#REF!*126)/1000</f>
        <v>#REF!</v>
      </c>
    </row>
    <row r="464" spans="1:12" x14ac:dyDescent="0.3">
      <c r="A464" s="10">
        <v>2021</v>
      </c>
      <c r="B464" s="10" t="s">
        <v>146</v>
      </c>
      <c r="C464" s="79" t="s">
        <v>49</v>
      </c>
      <c r="D464" s="79" t="s">
        <v>295</v>
      </c>
      <c r="E464" s="79" t="s">
        <v>46</v>
      </c>
      <c r="F464" s="104">
        <v>617.33333333333337</v>
      </c>
      <c r="G464" s="9" t="s">
        <v>50</v>
      </c>
      <c r="H464" s="141">
        <v>0</v>
      </c>
      <c r="I464" s="136">
        <v>0</v>
      </c>
      <c r="J464" s="136">
        <v>0</v>
      </c>
      <c r="K464" s="147">
        <v>0</v>
      </c>
      <c r="L464" s="142" t="e">
        <f>+(#REF!*126)/1000</f>
        <v>#REF!</v>
      </c>
    </row>
    <row r="465" spans="1:12" x14ac:dyDescent="0.3">
      <c r="A465" s="10">
        <v>2021</v>
      </c>
      <c r="B465" s="10" t="s">
        <v>146</v>
      </c>
      <c r="C465" s="79" t="s">
        <v>49</v>
      </c>
      <c r="D465" s="79" t="s">
        <v>296</v>
      </c>
      <c r="E465" s="79" t="s">
        <v>46</v>
      </c>
      <c r="F465" s="104">
        <v>610.5</v>
      </c>
      <c r="G465" s="9" t="s">
        <v>50</v>
      </c>
      <c r="H465" s="141">
        <v>0</v>
      </c>
      <c r="I465" s="136">
        <v>0</v>
      </c>
      <c r="J465" s="136">
        <v>0</v>
      </c>
      <c r="K465" s="147">
        <v>0</v>
      </c>
      <c r="L465" s="142" t="e">
        <f>+(#REF!*126)/1000</f>
        <v>#REF!</v>
      </c>
    </row>
    <row r="466" spans="1:12" x14ac:dyDescent="0.3">
      <c r="A466" s="10">
        <v>2021</v>
      </c>
      <c r="B466" s="10" t="s">
        <v>146</v>
      </c>
      <c r="C466" s="79" t="s">
        <v>49</v>
      </c>
      <c r="D466" s="79" t="s">
        <v>297</v>
      </c>
      <c r="E466" s="79" t="s">
        <v>46</v>
      </c>
      <c r="F466" s="104">
        <v>808.66666666666663</v>
      </c>
      <c r="G466" s="9" t="s">
        <v>50</v>
      </c>
      <c r="H466" s="141">
        <v>0</v>
      </c>
      <c r="I466" s="136">
        <v>0</v>
      </c>
      <c r="J466" s="136">
        <v>0</v>
      </c>
      <c r="K466" s="147">
        <v>0</v>
      </c>
      <c r="L466" s="142" t="e">
        <f>+(#REF!*126)/1000</f>
        <v>#REF!</v>
      </c>
    </row>
    <row r="467" spans="1:12" x14ac:dyDescent="0.3">
      <c r="A467" s="10">
        <v>2021</v>
      </c>
      <c r="B467" s="10" t="s">
        <v>146</v>
      </c>
      <c r="C467" s="79" t="s">
        <v>49</v>
      </c>
      <c r="D467" s="79" t="s">
        <v>298</v>
      </c>
      <c r="E467" s="79" t="s">
        <v>46</v>
      </c>
      <c r="F467" s="104">
        <v>688.66666666666663</v>
      </c>
      <c r="G467" s="9" t="s">
        <v>50</v>
      </c>
      <c r="H467" s="141">
        <v>0</v>
      </c>
      <c r="I467" s="136">
        <v>0</v>
      </c>
      <c r="J467" s="136">
        <v>0</v>
      </c>
      <c r="K467" s="147">
        <v>0</v>
      </c>
      <c r="L467" s="142" t="e">
        <f>+(#REF!*126)/1000</f>
        <v>#REF!</v>
      </c>
    </row>
    <row r="468" spans="1:12" x14ac:dyDescent="0.3">
      <c r="A468" s="10">
        <v>2021</v>
      </c>
      <c r="B468" s="10" t="s">
        <v>146</v>
      </c>
      <c r="C468" s="79" t="s">
        <v>49</v>
      </c>
      <c r="D468" s="79" t="s">
        <v>299</v>
      </c>
      <c r="E468" s="79" t="s">
        <v>46</v>
      </c>
      <c r="F468" s="104">
        <v>709.83333333333337</v>
      </c>
      <c r="G468" s="9" t="s">
        <v>50</v>
      </c>
      <c r="H468" s="141">
        <v>0</v>
      </c>
      <c r="I468" s="136">
        <v>0</v>
      </c>
      <c r="J468" s="136">
        <v>0</v>
      </c>
      <c r="K468" s="147">
        <v>0</v>
      </c>
      <c r="L468" s="142" t="e">
        <f>+(#REF!*126)/1000</f>
        <v>#REF!</v>
      </c>
    </row>
    <row r="469" spans="1:12" x14ac:dyDescent="0.3">
      <c r="A469" s="10">
        <v>2021</v>
      </c>
      <c r="B469" s="10" t="s">
        <v>146</v>
      </c>
      <c r="C469" s="79" t="s">
        <v>49</v>
      </c>
      <c r="D469" s="79" t="s">
        <v>300</v>
      </c>
      <c r="E469" s="79" t="s">
        <v>46</v>
      </c>
      <c r="F469" s="104">
        <v>713.33333333333337</v>
      </c>
      <c r="G469" s="9" t="s">
        <v>50</v>
      </c>
      <c r="H469" s="141">
        <v>0</v>
      </c>
      <c r="I469" s="136">
        <v>0</v>
      </c>
      <c r="J469" s="136">
        <v>0</v>
      </c>
      <c r="K469" s="147">
        <v>0</v>
      </c>
      <c r="L469" s="142" t="e">
        <f>+(#REF!*126)/1000</f>
        <v>#REF!</v>
      </c>
    </row>
    <row r="470" spans="1:12" x14ac:dyDescent="0.3">
      <c r="A470" s="10">
        <v>2021</v>
      </c>
      <c r="B470" s="10" t="s">
        <v>146</v>
      </c>
      <c r="C470" s="79" t="s">
        <v>49</v>
      </c>
      <c r="D470" s="79" t="s">
        <v>301</v>
      </c>
      <c r="E470" s="79" t="s">
        <v>46</v>
      </c>
      <c r="F470" s="104">
        <v>620.83333333333337</v>
      </c>
      <c r="G470" s="9" t="s">
        <v>50</v>
      </c>
      <c r="H470" s="141">
        <v>0</v>
      </c>
      <c r="I470" s="136">
        <v>0</v>
      </c>
      <c r="J470" s="136">
        <v>0</v>
      </c>
      <c r="K470" s="147">
        <v>0</v>
      </c>
      <c r="L470" s="142" t="e">
        <f>+(#REF!*126)/1000</f>
        <v>#REF!</v>
      </c>
    </row>
    <row r="471" spans="1:12" x14ac:dyDescent="0.3">
      <c r="A471" s="10">
        <v>2021</v>
      </c>
      <c r="B471" s="10" t="s">
        <v>146</v>
      </c>
      <c r="C471" s="79" t="s">
        <v>49</v>
      </c>
      <c r="D471" s="79" t="s">
        <v>302</v>
      </c>
      <c r="E471" s="79" t="s">
        <v>46</v>
      </c>
      <c r="F471" s="104">
        <v>707.16666666666663</v>
      </c>
      <c r="G471" s="9" t="s">
        <v>50</v>
      </c>
      <c r="H471" s="141">
        <v>0</v>
      </c>
      <c r="I471" s="136">
        <v>0</v>
      </c>
      <c r="J471" s="136">
        <v>0</v>
      </c>
      <c r="K471" s="147">
        <v>0</v>
      </c>
      <c r="L471" s="142" t="e">
        <f>+(#REF!*126)/1000</f>
        <v>#REF!</v>
      </c>
    </row>
    <row r="472" spans="1:12" x14ac:dyDescent="0.3">
      <c r="A472" s="10">
        <v>2021</v>
      </c>
      <c r="B472" s="10" t="s">
        <v>146</v>
      </c>
      <c r="C472" s="79" t="s">
        <v>49</v>
      </c>
      <c r="D472" s="79" t="s">
        <v>303</v>
      </c>
      <c r="E472" s="79" t="s">
        <v>46</v>
      </c>
      <c r="F472" s="104">
        <v>598.33333333333337</v>
      </c>
      <c r="G472" s="9" t="s">
        <v>50</v>
      </c>
      <c r="H472" s="141">
        <v>0</v>
      </c>
      <c r="I472" s="136">
        <v>0</v>
      </c>
      <c r="J472" s="136">
        <v>0</v>
      </c>
      <c r="K472" s="147">
        <v>0</v>
      </c>
      <c r="L472" s="142" t="e">
        <f>+(#REF!*126)/1000</f>
        <v>#REF!</v>
      </c>
    </row>
    <row r="473" spans="1:12" x14ac:dyDescent="0.3">
      <c r="A473" s="10">
        <v>2021</v>
      </c>
      <c r="B473" s="10" t="s">
        <v>146</v>
      </c>
      <c r="C473" s="79" t="s">
        <v>49</v>
      </c>
      <c r="D473" s="79" t="s">
        <v>304</v>
      </c>
      <c r="E473" s="79" t="s">
        <v>46</v>
      </c>
      <c r="F473" s="104">
        <v>606.66666666666663</v>
      </c>
      <c r="G473" s="9" t="s">
        <v>50</v>
      </c>
      <c r="H473" s="141">
        <v>0</v>
      </c>
      <c r="I473" s="136">
        <v>0</v>
      </c>
      <c r="J473" s="136">
        <v>0</v>
      </c>
      <c r="K473" s="147">
        <v>0</v>
      </c>
      <c r="L473" s="142" t="e">
        <f>+(#REF!*126)/1000</f>
        <v>#REF!</v>
      </c>
    </row>
    <row r="474" spans="1:12" x14ac:dyDescent="0.3">
      <c r="A474" s="10">
        <v>2021</v>
      </c>
      <c r="B474" s="10" t="s">
        <v>146</v>
      </c>
      <c r="C474" s="79" t="s">
        <v>49</v>
      </c>
      <c r="D474" s="79" t="s">
        <v>305</v>
      </c>
      <c r="E474" s="79" t="s">
        <v>46</v>
      </c>
      <c r="F474" s="104">
        <v>515.16666666666663</v>
      </c>
      <c r="G474" s="9" t="s">
        <v>50</v>
      </c>
      <c r="H474" s="141">
        <v>0</v>
      </c>
      <c r="I474" s="136">
        <v>0</v>
      </c>
      <c r="J474" s="136">
        <v>0</v>
      </c>
      <c r="K474" s="147">
        <v>0</v>
      </c>
      <c r="L474" s="142" t="e">
        <f>+(#REF!*126)/1000</f>
        <v>#REF!</v>
      </c>
    </row>
    <row r="475" spans="1:12" x14ac:dyDescent="0.3">
      <c r="A475" s="10">
        <v>2021</v>
      </c>
      <c r="B475" s="10" t="s">
        <v>146</v>
      </c>
      <c r="C475" s="79" t="s">
        <v>49</v>
      </c>
      <c r="D475" s="79" t="s">
        <v>306</v>
      </c>
      <c r="E475" s="79" t="s">
        <v>46</v>
      </c>
      <c r="F475" s="104">
        <v>547.33333333333337</v>
      </c>
      <c r="G475" s="9" t="s">
        <v>50</v>
      </c>
      <c r="H475" s="141">
        <v>0</v>
      </c>
      <c r="I475" s="136">
        <v>0</v>
      </c>
      <c r="J475" s="136">
        <v>0</v>
      </c>
      <c r="K475" s="147">
        <v>0</v>
      </c>
      <c r="L475" s="142" t="e">
        <f>+(#REF!*126)/1000</f>
        <v>#REF!</v>
      </c>
    </row>
    <row r="476" spans="1:12" x14ac:dyDescent="0.3">
      <c r="A476" s="10">
        <v>2021</v>
      </c>
      <c r="B476" s="10" t="s">
        <v>146</v>
      </c>
      <c r="C476" s="79" t="s">
        <v>49</v>
      </c>
      <c r="D476" s="79" t="s">
        <v>307</v>
      </c>
      <c r="E476" s="79" t="s">
        <v>46</v>
      </c>
      <c r="F476" s="104">
        <v>617.33333333333337</v>
      </c>
      <c r="G476" s="9" t="s">
        <v>50</v>
      </c>
      <c r="H476" s="141">
        <v>0</v>
      </c>
      <c r="I476" s="136">
        <v>0</v>
      </c>
      <c r="J476" s="136">
        <v>0</v>
      </c>
      <c r="K476" s="147">
        <v>0</v>
      </c>
      <c r="L476" s="142" t="e">
        <f>+(#REF!*126)/1000</f>
        <v>#REF!</v>
      </c>
    </row>
    <row r="477" spans="1:12" x14ac:dyDescent="0.3">
      <c r="A477" s="10">
        <v>2021</v>
      </c>
      <c r="B477" s="10" t="s">
        <v>146</v>
      </c>
      <c r="C477" s="79" t="s">
        <v>49</v>
      </c>
      <c r="D477" s="79" t="s">
        <v>308</v>
      </c>
      <c r="E477" s="79" t="s">
        <v>46</v>
      </c>
      <c r="F477" s="104">
        <v>610.5</v>
      </c>
      <c r="G477" s="9" t="s">
        <v>50</v>
      </c>
      <c r="H477" s="141">
        <v>0</v>
      </c>
      <c r="I477" s="136">
        <v>0</v>
      </c>
      <c r="J477" s="136">
        <v>0</v>
      </c>
      <c r="K477" s="147">
        <v>0</v>
      </c>
      <c r="L477" s="142" t="e">
        <f>+(#REF!*126)/1000</f>
        <v>#REF!</v>
      </c>
    </row>
    <row r="478" spans="1:12" x14ac:dyDescent="0.3">
      <c r="A478" s="10">
        <v>2021</v>
      </c>
      <c r="B478" s="10" t="s">
        <v>146</v>
      </c>
      <c r="C478" s="79" t="s">
        <v>49</v>
      </c>
      <c r="D478" s="79" t="s">
        <v>309</v>
      </c>
      <c r="E478" s="79" t="s">
        <v>46</v>
      </c>
      <c r="F478" s="104">
        <v>808.66666666666663</v>
      </c>
      <c r="G478" s="9" t="s">
        <v>50</v>
      </c>
      <c r="H478" s="141">
        <v>0</v>
      </c>
      <c r="I478" s="136">
        <v>0</v>
      </c>
      <c r="J478" s="136">
        <v>0</v>
      </c>
      <c r="K478" s="147">
        <v>0</v>
      </c>
      <c r="L478" s="142" t="e">
        <f>+(#REF!*126)/1000</f>
        <v>#REF!</v>
      </c>
    </row>
    <row r="479" spans="1:12" x14ac:dyDescent="0.3">
      <c r="A479" s="10">
        <v>2021</v>
      </c>
      <c r="B479" s="10" t="s">
        <v>146</v>
      </c>
      <c r="C479" s="79" t="s">
        <v>49</v>
      </c>
      <c r="D479" s="79" t="s">
        <v>310</v>
      </c>
      <c r="E479" s="79" t="s">
        <v>46</v>
      </c>
      <c r="F479" s="104">
        <v>688.66666666666663</v>
      </c>
      <c r="G479" s="9" t="s">
        <v>50</v>
      </c>
      <c r="H479" s="141">
        <v>0</v>
      </c>
      <c r="I479" s="136">
        <v>0</v>
      </c>
      <c r="J479" s="136">
        <v>0</v>
      </c>
      <c r="K479" s="147">
        <v>0</v>
      </c>
      <c r="L479" s="142" t="e">
        <f>+(#REF!*126)/1000</f>
        <v>#REF!</v>
      </c>
    </row>
    <row r="480" spans="1:12" x14ac:dyDescent="0.3">
      <c r="A480" s="10">
        <v>2021</v>
      </c>
      <c r="B480" s="10" t="s">
        <v>146</v>
      </c>
      <c r="C480" s="79" t="s">
        <v>49</v>
      </c>
      <c r="D480" s="79" t="s">
        <v>311</v>
      </c>
      <c r="E480" s="79" t="s">
        <v>46</v>
      </c>
      <c r="F480" s="104">
        <v>709.83333333333337</v>
      </c>
      <c r="G480" s="9" t="s">
        <v>50</v>
      </c>
      <c r="H480" s="141">
        <v>0</v>
      </c>
      <c r="I480" s="136">
        <v>0</v>
      </c>
      <c r="J480" s="136">
        <v>0</v>
      </c>
      <c r="K480" s="147">
        <v>0</v>
      </c>
      <c r="L480" s="142" t="e">
        <f>+(#REF!*126)/1000</f>
        <v>#REF!</v>
      </c>
    </row>
    <row r="481" spans="1:12" x14ac:dyDescent="0.3">
      <c r="A481" s="10">
        <v>2021</v>
      </c>
      <c r="B481" s="10" t="s">
        <v>146</v>
      </c>
      <c r="C481" s="79" t="s">
        <v>49</v>
      </c>
      <c r="D481" s="79" t="s">
        <v>312</v>
      </c>
      <c r="E481" s="79" t="s">
        <v>46</v>
      </c>
      <c r="F481" s="104">
        <v>713.33333333333337</v>
      </c>
      <c r="G481" s="9" t="s">
        <v>50</v>
      </c>
      <c r="H481" s="141">
        <v>0</v>
      </c>
      <c r="I481" s="136">
        <v>0</v>
      </c>
      <c r="J481" s="136">
        <v>0</v>
      </c>
      <c r="K481" s="147">
        <v>0</v>
      </c>
      <c r="L481" s="142" t="e">
        <f>+(#REF!*126)/1000</f>
        <v>#REF!</v>
      </c>
    </row>
    <row r="482" spans="1:12" x14ac:dyDescent="0.3">
      <c r="A482" s="10">
        <v>2021</v>
      </c>
      <c r="B482" s="10" t="s">
        <v>146</v>
      </c>
      <c r="C482" s="79" t="s">
        <v>49</v>
      </c>
      <c r="D482" s="79" t="s">
        <v>313</v>
      </c>
      <c r="E482" s="79" t="s">
        <v>46</v>
      </c>
      <c r="F482" s="104">
        <v>620.83333333333337</v>
      </c>
      <c r="G482" s="9" t="s">
        <v>50</v>
      </c>
      <c r="H482" s="141">
        <v>0</v>
      </c>
      <c r="I482" s="136">
        <v>0</v>
      </c>
      <c r="J482" s="136">
        <v>0</v>
      </c>
      <c r="K482" s="147">
        <v>0</v>
      </c>
      <c r="L482" s="142" t="e">
        <f>+(#REF!*126)/1000</f>
        <v>#REF!</v>
      </c>
    </row>
    <row r="483" spans="1:12" x14ac:dyDescent="0.3">
      <c r="A483" s="10">
        <v>2021</v>
      </c>
      <c r="B483" s="10" t="s">
        <v>146</v>
      </c>
      <c r="C483" s="79" t="s">
        <v>49</v>
      </c>
      <c r="D483" s="79" t="s">
        <v>314</v>
      </c>
      <c r="E483" s="79" t="s">
        <v>46</v>
      </c>
      <c r="F483" s="104">
        <v>707.16666666666663</v>
      </c>
      <c r="G483" s="9" t="s">
        <v>50</v>
      </c>
      <c r="H483" s="141">
        <v>0</v>
      </c>
      <c r="I483" s="136">
        <v>0</v>
      </c>
      <c r="J483" s="136">
        <v>0</v>
      </c>
      <c r="K483" s="147">
        <v>0</v>
      </c>
      <c r="L483" s="142" t="e">
        <f>+(#REF!*126)/1000</f>
        <v>#REF!</v>
      </c>
    </row>
    <row r="484" spans="1:12" x14ac:dyDescent="0.3">
      <c r="A484" s="10">
        <v>2021</v>
      </c>
      <c r="B484" s="10" t="s">
        <v>146</v>
      </c>
      <c r="C484" s="79" t="s">
        <v>49</v>
      </c>
      <c r="D484" s="79" t="s">
        <v>315</v>
      </c>
      <c r="E484" s="79" t="s">
        <v>46</v>
      </c>
      <c r="F484" s="104">
        <v>598.33333333333337</v>
      </c>
      <c r="G484" s="9" t="s">
        <v>50</v>
      </c>
      <c r="H484" s="141">
        <v>0</v>
      </c>
      <c r="I484" s="136">
        <v>0</v>
      </c>
      <c r="J484" s="136">
        <v>0</v>
      </c>
      <c r="K484" s="147">
        <v>0</v>
      </c>
      <c r="L484" s="142" t="e">
        <f>+(#REF!*126)/1000</f>
        <v>#REF!</v>
      </c>
    </row>
    <row r="485" spans="1:12" x14ac:dyDescent="0.3">
      <c r="A485" s="10">
        <v>2021</v>
      </c>
      <c r="B485" s="10" t="s">
        <v>146</v>
      </c>
      <c r="C485" s="79" t="s">
        <v>49</v>
      </c>
      <c r="D485" s="79" t="s">
        <v>316</v>
      </c>
      <c r="E485" s="79" t="s">
        <v>46</v>
      </c>
      <c r="F485" s="104">
        <v>606.66666666666663</v>
      </c>
      <c r="G485" s="9" t="s">
        <v>50</v>
      </c>
      <c r="H485" s="141">
        <v>0</v>
      </c>
      <c r="I485" s="136">
        <v>0</v>
      </c>
      <c r="J485" s="136">
        <v>0</v>
      </c>
      <c r="K485" s="147">
        <v>0</v>
      </c>
      <c r="L485" s="142" t="e">
        <f>+(#REF!*126)/1000</f>
        <v>#REF!</v>
      </c>
    </row>
    <row r="486" spans="1:12" x14ac:dyDescent="0.3">
      <c r="A486" s="10">
        <v>2021</v>
      </c>
      <c r="B486" s="10" t="s">
        <v>146</v>
      </c>
      <c r="C486" s="79" t="s">
        <v>49</v>
      </c>
      <c r="D486" s="79" t="s">
        <v>317</v>
      </c>
      <c r="E486" s="79" t="s">
        <v>46</v>
      </c>
      <c r="F486" s="104">
        <v>515.16666666666663</v>
      </c>
      <c r="G486" s="9" t="s">
        <v>50</v>
      </c>
      <c r="H486" s="141">
        <v>0</v>
      </c>
      <c r="I486" s="136">
        <v>0</v>
      </c>
      <c r="J486" s="136">
        <v>0</v>
      </c>
      <c r="K486" s="147">
        <v>0</v>
      </c>
      <c r="L486" s="142" t="e">
        <f>+(#REF!*126)/1000</f>
        <v>#REF!</v>
      </c>
    </row>
    <row r="487" spans="1:12" x14ac:dyDescent="0.3">
      <c r="A487" s="10">
        <v>2021</v>
      </c>
      <c r="B487" s="10" t="s">
        <v>146</v>
      </c>
      <c r="C487" s="79" t="s">
        <v>49</v>
      </c>
      <c r="D487" s="79" t="s">
        <v>318</v>
      </c>
      <c r="E487" s="79" t="s">
        <v>46</v>
      </c>
      <c r="F487" s="104">
        <v>547.33333333333337</v>
      </c>
      <c r="G487" s="9" t="s">
        <v>50</v>
      </c>
      <c r="H487" s="141">
        <v>0</v>
      </c>
      <c r="I487" s="136">
        <v>0</v>
      </c>
      <c r="J487" s="136">
        <v>0</v>
      </c>
      <c r="K487" s="147">
        <v>0</v>
      </c>
      <c r="L487" s="142" t="e">
        <f>+(#REF!*126)/1000</f>
        <v>#REF!</v>
      </c>
    </row>
    <row r="488" spans="1:12" x14ac:dyDescent="0.3">
      <c r="A488" s="10">
        <v>2021</v>
      </c>
      <c r="B488" s="10" t="s">
        <v>146</v>
      </c>
      <c r="C488" s="79" t="s">
        <v>49</v>
      </c>
      <c r="D488" s="79" t="s">
        <v>319</v>
      </c>
      <c r="E488" s="79" t="s">
        <v>46</v>
      </c>
      <c r="F488" s="104">
        <v>617.33333333333337</v>
      </c>
      <c r="G488" s="9" t="s">
        <v>50</v>
      </c>
      <c r="H488" s="141">
        <v>0</v>
      </c>
      <c r="I488" s="136">
        <v>0</v>
      </c>
      <c r="J488" s="136">
        <v>0</v>
      </c>
      <c r="K488" s="147">
        <v>0</v>
      </c>
      <c r="L488" s="142" t="e">
        <f>+(#REF!*126)/1000</f>
        <v>#REF!</v>
      </c>
    </row>
    <row r="489" spans="1:12" x14ac:dyDescent="0.3">
      <c r="A489" s="10">
        <v>2021</v>
      </c>
      <c r="B489" s="10" t="s">
        <v>146</v>
      </c>
      <c r="C489" s="79" t="s">
        <v>49</v>
      </c>
      <c r="D489" s="79" t="s">
        <v>320</v>
      </c>
      <c r="E489" s="79" t="s">
        <v>46</v>
      </c>
      <c r="F489" s="104">
        <v>610.5</v>
      </c>
      <c r="G489" s="9" t="s">
        <v>50</v>
      </c>
      <c r="H489" s="141">
        <v>0</v>
      </c>
      <c r="I489" s="136">
        <v>0</v>
      </c>
      <c r="J489" s="136">
        <v>0</v>
      </c>
      <c r="K489" s="147">
        <v>0</v>
      </c>
      <c r="L489" s="142" t="e">
        <f>+(#REF!*126)/1000</f>
        <v>#REF!</v>
      </c>
    </row>
    <row r="490" spans="1:12" x14ac:dyDescent="0.3">
      <c r="A490" s="10">
        <v>2021</v>
      </c>
      <c r="B490" s="10" t="s">
        <v>146</v>
      </c>
      <c r="C490" s="79" t="s">
        <v>49</v>
      </c>
      <c r="D490" s="79" t="s">
        <v>237</v>
      </c>
      <c r="E490" s="79" t="s">
        <v>20</v>
      </c>
      <c r="F490" s="104">
        <v>0</v>
      </c>
      <c r="G490" s="9" t="s">
        <v>50</v>
      </c>
      <c r="H490" s="141">
        <v>0</v>
      </c>
      <c r="I490" s="136">
        <v>0</v>
      </c>
      <c r="J490" s="136">
        <v>0</v>
      </c>
      <c r="K490" s="147">
        <v>0</v>
      </c>
      <c r="L490" s="142" t="e">
        <f>+(#REF!*126)/1000</f>
        <v>#REF!</v>
      </c>
    </row>
    <row r="491" spans="1:12" x14ac:dyDescent="0.3">
      <c r="A491" s="10">
        <v>2021</v>
      </c>
      <c r="B491" s="10" t="s">
        <v>146</v>
      </c>
      <c r="C491" s="79" t="s">
        <v>49</v>
      </c>
      <c r="D491" s="79" t="s">
        <v>238</v>
      </c>
      <c r="E491" s="79" t="s">
        <v>20</v>
      </c>
      <c r="F491" s="104">
        <v>2700</v>
      </c>
      <c r="G491" s="9" t="s">
        <v>50</v>
      </c>
      <c r="H491" s="141">
        <v>0</v>
      </c>
      <c r="I491" s="136">
        <v>0</v>
      </c>
      <c r="J491" s="136">
        <v>0</v>
      </c>
      <c r="K491" s="147">
        <v>0</v>
      </c>
      <c r="L491" s="142" t="e">
        <f>+(#REF!*126)/1000</f>
        <v>#REF!</v>
      </c>
    </row>
    <row r="492" spans="1:12" x14ac:dyDescent="0.3">
      <c r="A492" s="10">
        <v>2021</v>
      </c>
      <c r="B492" s="10" t="s">
        <v>146</v>
      </c>
      <c r="C492" s="79" t="s">
        <v>49</v>
      </c>
      <c r="D492" s="79" t="s">
        <v>239</v>
      </c>
      <c r="E492" s="79" t="s">
        <v>20</v>
      </c>
      <c r="F492" s="104">
        <v>1372</v>
      </c>
      <c r="G492" s="9" t="s">
        <v>50</v>
      </c>
      <c r="H492" s="141">
        <v>0</v>
      </c>
      <c r="I492" s="136">
        <v>0</v>
      </c>
      <c r="J492" s="136">
        <v>0</v>
      </c>
      <c r="K492" s="147">
        <v>0</v>
      </c>
      <c r="L492" s="142" t="e">
        <f>+(#REF!*126)/1000</f>
        <v>#REF!</v>
      </c>
    </row>
    <row r="493" spans="1:12" x14ac:dyDescent="0.3">
      <c r="A493" s="10">
        <v>2021</v>
      </c>
      <c r="B493" s="10" t="s">
        <v>146</v>
      </c>
      <c r="C493" s="79" t="s">
        <v>49</v>
      </c>
      <c r="D493" s="79" t="s">
        <v>240</v>
      </c>
      <c r="E493" s="79" t="s">
        <v>20</v>
      </c>
      <c r="F493" s="104">
        <v>1590</v>
      </c>
      <c r="G493" s="9" t="s">
        <v>50</v>
      </c>
      <c r="H493" s="141">
        <v>0</v>
      </c>
      <c r="I493" s="136">
        <v>0</v>
      </c>
      <c r="J493" s="136">
        <v>0</v>
      </c>
      <c r="K493" s="147">
        <v>0</v>
      </c>
      <c r="L493" s="142" t="e">
        <f>+(#REF!*126)/1000</f>
        <v>#REF!</v>
      </c>
    </row>
    <row r="494" spans="1:12" x14ac:dyDescent="0.3">
      <c r="A494" s="10">
        <v>2021</v>
      </c>
      <c r="B494" s="10" t="s">
        <v>146</v>
      </c>
      <c r="C494" s="79" t="s">
        <v>49</v>
      </c>
      <c r="D494" s="79" t="s">
        <v>241</v>
      </c>
      <c r="E494" s="79" t="s">
        <v>20</v>
      </c>
      <c r="F494" s="104">
        <v>1323</v>
      </c>
      <c r="G494" s="9" t="s">
        <v>50</v>
      </c>
      <c r="H494" s="141">
        <v>0</v>
      </c>
      <c r="I494" s="136">
        <v>0</v>
      </c>
      <c r="J494" s="136">
        <v>0</v>
      </c>
      <c r="K494" s="147">
        <v>0</v>
      </c>
      <c r="L494" s="142" t="e">
        <f>+(#REF!*126)/1000</f>
        <v>#REF!</v>
      </c>
    </row>
    <row r="495" spans="1:12" x14ac:dyDescent="0.3">
      <c r="A495" s="10">
        <v>2021</v>
      </c>
      <c r="B495" s="10" t="s">
        <v>146</v>
      </c>
      <c r="C495" s="79" t="s">
        <v>49</v>
      </c>
      <c r="D495" s="79" t="s">
        <v>242</v>
      </c>
      <c r="E495" s="79" t="s">
        <v>20</v>
      </c>
      <c r="F495" s="104">
        <v>1446</v>
      </c>
      <c r="G495" s="9" t="s">
        <v>50</v>
      </c>
      <c r="H495" s="141">
        <v>0</v>
      </c>
      <c r="I495" s="136">
        <v>0</v>
      </c>
      <c r="J495" s="136">
        <v>0</v>
      </c>
      <c r="K495" s="147">
        <v>0</v>
      </c>
      <c r="L495" s="142" t="e">
        <f>+(#REF!*126)/1000</f>
        <v>#REF!</v>
      </c>
    </row>
    <row r="496" spans="1:12" x14ac:dyDescent="0.3">
      <c r="A496" s="10">
        <v>2021</v>
      </c>
      <c r="B496" s="10" t="s">
        <v>146</v>
      </c>
      <c r="C496" s="79" t="s">
        <v>49</v>
      </c>
      <c r="D496" s="79" t="s">
        <v>243</v>
      </c>
      <c r="E496" s="79" t="s">
        <v>20</v>
      </c>
      <c r="F496" s="104">
        <v>1739</v>
      </c>
      <c r="G496" s="9" t="s">
        <v>50</v>
      </c>
      <c r="H496" s="141">
        <v>0</v>
      </c>
      <c r="I496" s="136">
        <v>0</v>
      </c>
      <c r="J496" s="136">
        <v>0</v>
      </c>
      <c r="K496" s="147">
        <v>0</v>
      </c>
      <c r="L496" s="142" t="e">
        <f>+(#REF!*126)/1000</f>
        <v>#REF!</v>
      </c>
    </row>
    <row r="497" spans="1:12" x14ac:dyDescent="0.3">
      <c r="A497" s="10">
        <v>2021</v>
      </c>
      <c r="B497" s="10" t="s">
        <v>146</v>
      </c>
      <c r="C497" s="79" t="s">
        <v>49</v>
      </c>
      <c r="D497" s="79" t="s">
        <v>244</v>
      </c>
      <c r="E497" s="79" t="s">
        <v>20</v>
      </c>
      <c r="F497" s="104">
        <v>2316</v>
      </c>
      <c r="G497" s="9" t="s">
        <v>50</v>
      </c>
      <c r="H497" s="141">
        <v>0</v>
      </c>
      <c r="I497" s="136">
        <v>0</v>
      </c>
      <c r="J497" s="136">
        <v>0</v>
      </c>
      <c r="K497" s="147">
        <v>0</v>
      </c>
      <c r="L497" s="142" t="e">
        <f>+(#REF!*126)/1000</f>
        <v>#REF!</v>
      </c>
    </row>
    <row r="498" spans="1:12" x14ac:dyDescent="0.3">
      <c r="A498" s="10">
        <v>2021</v>
      </c>
      <c r="B498" s="10" t="s">
        <v>146</v>
      </c>
      <c r="C498" s="79" t="s">
        <v>49</v>
      </c>
      <c r="D498" s="79" t="s">
        <v>245</v>
      </c>
      <c r="E498" s="79" t="s">
        <v>20</v>
      </c>
      <c r="F498" s="104">
        <v>2237</v>
      </c>
      <c r="G498" s="9" t="s">
        <v>50</v>
      </c>
      <c r="H498" s="141">
        <v>0</v>
      </c>
      <c r="I498" s="136">
        <v>0</v>
      </c>
      <c r="J498" s="136">
        <v>0</v>
      </c>
      <c r="K498" s="147">
        <v>0</v>
      </c>
      <c r="L498" s="142" t="e">
        <f>+(#REF!*126)/1000</f>
        <v>#REF!</v>
      </c>
    </row>
    <row r="499" spans="1:12" x14ac:dyDescent="0.3">
      <c r="A499" s="10">
        <v>2021</v>
      </c>
      <c r="B499" s="10" t="s">
        <v>146</v>
      </c>
      <c r="C499" s="79" t="s">
        <v>49</v>
      </c>
      <c r="D499" s="79" t="s">
        <v>246</v>
      </c>
      <c r="E499" s="79" t="s">
        <v>20</v>
      </c>
      <c r="F499" s="104">
        <v>2476</v>
      </c>
      <c r="G499" s="9" t="s">
        <v>50</v>
      </c>
      <c r="H499" s="141">
        <v>0</v>
      </c>
      <c r="I499" s="136">
        <v>0</v>
      </c>
      <c r="J499" s="136">
        <v>0</v>
      </c>
      <c r="K499" s="147">
        <v>0</v>
      </c>
      <c r="L499" s="142" t="e">
        <f>+(#REF!*126)/1000</f>
        <v>#REF!</v>
      </c>
    </row>
    <row r="500" spans="1:12" x14ac:dyDescent="0.3">
      <c r="A500" s="10">
        <v>2021</v>
      </c>
      <c r="B500" s="10" t="s">
        <v>146</v>
      </c>
      <c r="C500" s="79" t="s">
        <v>49</v>
      </c>
      <c r="D500" s="79" t="s">
        <v>247</v>
      </c>
      <c r="E500" s="79" t="s">
        <v>20</v>
      </c>
      <c r="F500" s="104">
        <v>2582</v>
      </c>
      <c r="G500" s="9" t="s">
        <v>50</v>
      </c>
      <c r="H500" s="141">
        <v>0</v>
      </c>
      <c r="I500" s="136">
        <v>0</v>
      </c>
      <c r="J500" s="136">
        <v>0</v>
      </c>
      <c r="K500" s="147">
        <v>0</v>
      </c>
      <c r="L500" s="142" t="e">
        <f>+(#REF!*126)/1000</f>
        <v>#REF!</v>
      </c>
    </row>
    <row r="501" spans="1:12" x14ac:dyDescent="0.3">
      <c r="A501" s="10">
        <v>2021</v>
      </c>
      <c r="B501" s="10" t="s">
        <v>146</v>
      </c>
      <c r="C501" s="79" t="s">
        <v>49</v>
      </c>
      <c r="D501" s="79" t="s">
        <v>248</v>
      </c>
      <c r="E501" s="79" t="s">
        <v>20</v>
      </c>
      <c r="F501" s="104">
        <v>2190</v>
      </c>
      <c r="G501" s="9" t="s">
        <v>50</v>
      </c>
      <c r="H501" s="141">
        <v>0</v>
      </c>
      <c r="I501" s="136">
        <v>0</v>
      </c>
      <c r="J501" s="136">
        <v>0</v>
      </c>
      <c r="K501" s="147">
        <v>0</v>
      </c>
      <c r="L501" s="142" t="e">
        <f>+(#REF!*126)/1000</f>
        <v>#REF!</v>
      </c>
    </row>
    <row r="502" spans="1:12" ht="14.5" thickBot="1" x14ac:dyDescent="0.35">
      <c r="A502" s="10">
        <v>2021</v>
      </c>
      <c r="B502" s="10" t="s">
        <v>147</v>
      </c>
      <c r="C502" s="98" t="s">
        <v>127</v>
      </c>
      <c r="D502" s="10" t="s">
        <v>126</v>
      </c>
      <c r="E502" s="10"/>
      <c r="F502" s="104">
        <v>34650</v>
      </c>
      <c r="G502" s="9" t="s">
        <v>203</v>
      </c>
      <c r="H502" s="157">
        <v>0</v>
      </c>
      <c r="I502" s="158">
        <v>0</v>
      </c>
      <c r="J502" s="158">
        <v>0</v>
      </c>
      <c r="K502" s="159">
        <v>0</v>
      </c>
      <c r="L502" s="160">
        <v>4.3</v>
      </c>
    </row>
    <row r="503" spans="1:12" x14ac:dyDescent="0.3">
      <c r="A503" s="10">
        <v>2024</v>
      </c>
      <c r="B503" s="10" t="s">
        <v>145</v>
      </c>
      <c r="C503" s="79" t="s">
        <v>19</v>
      </c>
      <c r="D503" s="79" t="s">
        <v>198</v>
      </c>
      <c r="E503" s="79" t="s">
        <v>20</v>
      </c>
      <c r="F503" s="14">
        <v>4</v>
      </c>
      <c r="G503" s="10" t="s">
        <v>21</v>
      </c>
      <c r="H503" s="3">
        <v>3.6648E-2</v>
      </c>
      <c r="I503" s="13">
        <v>3.5999999999999998E-8</v>
      </c>
      <c r="J503" s="13">
        <v>2.1600000000000002E-8</v>
      </c>
      <c r="K503" s="147">
        <v>0</v>
      </c>
      <c r="L503" s="40">
        <v>3.6654969600000004E-2</v>
      </c>
    </row>
    <row r="504" spans="1:12" ht="14.5" thickBot="1" x14ac:dyDescent="0.35">
      <c r="A504" s="10">
        <v>2024</v>
      </c>
      <c r="B504" s="10" t="s">
        <v>145</v>
      </c>
      <c r="C504" s="79" t="s">
        <v>19</v>
      </c>
      <c r="D504" s="79" t="s">
        <v>199</v>
      </c>
      <c r="E504" s="79" t="s">
        <v>22</v>
      </c>
      <c r="F504" s="14">
        <v>12</v>
      </c>
      <c r="G504" s="10" t="s">
        <v>21</v>
      </c>
      <c r="H504" s="168">
        <v>0.109944</v>
      </c>
      <c r="I504" s="169">
        <v>1.0799999999999999E-7</v>
      </c>
      <c r="J504" s="169">
        <v>6.4799999999999998E-8</v>
      </c>
      <c r="K504" s="151">
        <v>0</v>
      </c>
      <c r="L504" s="73">
        <v>0.10996490880000001</v>
      </c>
    </row>
    <row r="505" spans="1:12" ht="14.5" thickBot="1" x14ac:dyDescent="0.35">
      <c r="A505" s="10">
        <v>2023</v>
      </c>
      <c r="B505" s="10" t="s">
        <v>145</v>
      </c>
      <c r="C505" s="79" t="s">
        <v>19</v>
      </c>
      <c r="D505" s="79" t="s">
        <v>23</v>
      </c>
      <c r="E505" s="79"/>
      <c r="F505" s="15">
        <v>2024</v>
      </c>
      <c r="G505" s="140" t="s">
        <v>25</v>
      </c>
      <c r="H505" s="174">
        <v>3.3524503069505784</v>
      </c>
      <c r="I505" s="175">
        <v>6.55776E-5</v>
      </c>
      <c r="J505" s="175">
        <v>6.5031119999999991E-6</v>
      </c>
      <c r="K505" s="176">
        <v>0</v>
      </c>
      <c r="L505" s="177">
        <v>0.61014595586500531</v>
      </c>
    </row>
    <row r="506" spans="1:12" x14ac:dyDescent="0.3">
      <c r="A506" s="10">
        <v>2024</v>
      </c>
      <c r="B506" s="10" t="s">
        <v>145</v>
      </c>
      <c r="C506" s="98" t="s">
        <v>43</v>
      </c>
      <c r="D506" s="10" t="s">
        <v>168</v>
      </c>
      <c r="E506" s="79"/>
      <c r="F506" s="14">
        <v>17.46</v>
      </c>
      <c r="G506" s="90" t="s">
        <v>21</v>
      </c>
      <c r="H506" s="170"/>
      <c r="I506" s="171">
        <v>0.13840891200000002</v>
      </c>
      <c r="J506" s="172">
        <v>4.6042019999999995E-6</v>
      </c>
      <c r="K506" s="172">
        <v>4.3999200000000001E-7</v>
      </c>
      <c r="L506" s="173">
        <v>0.13866623503560002</v>
      </c>
    </row>
    <row r="507" spans="1:12" x14ac:dyDescent="0.3">
      <c r="A507" s="10">
        <v>2024</v>
      </c>
      <c r="B507" s="10" t="s">
        <v>145</v>
      </c>
      <c r="C507" s="98" t="s">
        <v>43</v>
      </c>
      <c r="D507" s="10" t="s">
        <v>169</v>
      </c>
      <c r="E507" s="79"/>
      <c r="F507" s="14">
        <v>16.68</v>
      </c>
      <c r="G507" s="10" t="s">
        <v>21</v>
      </c>
      <c r="H507" s="3"/>
      <c r="I507" s="94">
        <v>0.132225696</v>
      </c>
      <c r="J507" s="33">
        <v>4.3985159999999999E-6</v>
      </c>
      <c r="K507" s="33">
        <v>4.2033600000000007E-7</v>
      </c>
      <c r="L507" s="40">
        <v>0.13247152350479999</v>
      </c>
    </row>
    <row r="508" spans="1:12" x14ac:dyDescent="0.3">
      <c r="A508" s="10">
        <v>2024</v>
      </c>
      <c r="B508" s="10" t="s">
        <v>145</v>
      </c>
      <c r="C508" s="98" t="s">
        <v>43</v>
      </c>
      <c r="D508" s="10" t="s">
        <v>170</v>
      </c>
      <c r="E508" s="79"/>
      <c r="F508" s="14">
        <v>18</v>
      </c>
      <c r="G508" s="10" t="s">
        <v>21</v>
      </c>
      <c r="H508" s="3"/>
      <c r="I508" s="94">
        <v>0.14268959999999997</v>
      </c>
      <c r="J508" s="33">
        <v>4.7466000000000004E-6</v>
      </c>
      <c r="K508" s="33">
        <v>4.5360000000000004E-7</v>
      </c>
      <c r="L508" s="40">
        <v>0.14295488147999996</v>
      </c>
    </row>
    <row r="509" spans="1:12" x14ac:dyDescent="0.3">
      <c r="A509" s="10">
        <v>2024</v>
      </c>
      <c r="B509" s="10" t="s">
        <v>145</v>
      </c>
      <c r="C509" s="98" t="s">
        <v>43</v>
      </c>
      <c r="D509" s="10" t="s">
        <v>171</v>
      </c>
      <c r="E509" s="79"/>
      <c r="F509" s="14">
        <v>17</v>
      </c>
      <c r="G509" s="10" t="s">
        <v>21</v>
      </c>
      <c r="H509" s="3"/>
      <c r="I509" s="94">
        <v>0.1347624</v>
      </c>
      <c r="J509" s="33">
        <v>4.4828999999999999E-6</v>
      </c>
      <c r="K509" s="33">
        <v>4.284E-7</v>
      </c>
      <c r="L509" s="40">
        <v>0.13501294361999999</v>
      </c>
    </row>
    <row r="510" spans="1:12" x14ac:dyDescent="0.3">
      <c r="A510" s="10">
        <v>2024</v>
      </c>
      <c r="B510" s="10" t="s">
        <v>145</v>
      </c>
      <c r="C510" s="98" t="s">
        <v>43</v>
      </c>
      <c r="D510" s="10" t="s">
        <v>172</v>
      </c>
      <c r="E510" s="79"/>
      <c r="F510" s="14">
        <v>9</v>
      </c>
      <c r="G510" s="10" t="s">
        <v>21</v>
      </c>
      <c r="H510" s="3"/>
      <c r="I510" s="94">
        <v>7.1344799999999986E-2</v>
      </c>
      <c r="J510" s="33">
        <v>2.3733000000000002E-6</v>
      </c>
      <c r="K510" s="33">
        <v>2.2680000000000002E-7</v>
      </c>
      <c r="L510" s="40">
        <v>7.1477440739999981E-2</v>
      </c>
    </row>
    <row r="511" spans="1:12" x14ac:dyDescent="0.3">
      <c r="A511" s="10">
        <v>2024</v>
      </c>
      <c r="B511" s="10" t="s">
        <v>145</v>
      </c>
      <c r="C511" s="98" t="s">
        <v>43</v>
      </c>
      <c r="D511" s="10" t="s">
        <v>173</v>
      </c>
      <c r="E511" s="79"/>
      <c r="F511" s="14">
        <v>17</v>
      </c>
      <c r="G511" s="10" t="s">
        <v>21</v>
      </c>
      <c r="H511" s="3"/>
      <c r="I511" s="94">
        <v>0.1347624</v>
      </c>
      <c r="J511" s="33">
        <v>4.4828999999999999E-6</v>
      </c>
      <c r="K511" s="33">
        <v>4.284E-7</v>
      </c>
      <c r="L511" s="40">
        <v>0.13501294361999999</v>
      </c>
    </row>
    <row r="512" spans="1:12" x14ac:dyDescent="0.3">
      <c r="A512" s="10">
        <v>2024</v>
      </c>
      <c r="B512" s="10" t="s">
        <v>145</v>
      </c>
      <c r="C512" s="98" t="s">
        <v>43</v>
      </c>
      <c r="D512" s="10" t="s">
        <v>174</v>
      </c>
      <c r="E512" s="79"/>
      <c r="F512" s="14">
        <v>18</v>
      </c>
      <c r="G512" s="10" t="s">
        <v>21</v>
      </c>
      <c r="H512" s="3"/>
      <c r="I512" s="94">
        <v>0.14268959999999997</v>
      </c>
      <c r="J512" s="33">
        <v>4.7466000000000004E-6</v>
      </c>
      <c r="K512" s="33">
        <v>4.5360000000000004E-7</v>
      </c>
      <c r="L512" s="40">
        <v>0.14295488147999996</v>
      </c>
    </row>
    <row r="513" spans="1:12" x14ac:dyDescent="0.3">
      <c r="A513" s="10">
        <v>2024</v>
      </c>
      <c r="B513" s="10" t="s">
        <v>145</v>
      </c>
      <c r="C513" s="98" t="s">
        <v>43</v>
      </c>
      <c r="D513" s="10" t="s">
        <v>175</v>
      </c>
      <c r="E513" s="79"/>
      <c r="F513" s="14">
        <v>18</v>
      </c>
      <c r="G513" s="10" t="s">
        <v>21</v>
      </c>
      <c r="H513" s="3"/>
      <c r="I513" s="94">
        <v>0.14268959999999997</v>
      </c>
      <c r="J513" s="33">
        <v>4.7466000000000004E-6</v>
      </c>
      <c r="K513" s="33">
        <v>4.5360000000000004E-7</v>
      </c>
      <c r="L513" s="40">
        <v>0.14295488147999996</v>
      </c>
    </row>
    <row r="514" spans="1:12" x14ac:dyDescent="0.3">
      <c r="A514" s="10">
        <v>2024</v>
      </c>
      <c r="B514" s="10" t="s">
        <v>145</v>
      </c>
      <c r="C514" s="98" t="s">
        <v>43</v>
      </c>
      <c r="D514" s="10" t="s">
        <v>176</v>
      </c>
      <c r="E514" s="79"/>
      <c r="F514" s="115">
        <v>18</v>
      </c>
      <c r="G514" s="10" t="s">
        <v>21</v>
      </c>
      <c r="H514" s="3"/>
      <c r="I514" s="94">
        <v>0.14268959999999997</v>
      </c>
      <c r="J514" s="33">
        <v>4.7466000000000004E-6</v>
      </c>
      <c r="K514" s="33">
        <v>4.5360000000000004E-7</v>
      </c>
      <c r="L514" s="40">
        <v>0.14295488147999996</v>
      </c>
    </row>
    <row r="515" spans="1:12" x14ac:dyDescent="0.3">
      <c r="A515" s="10">
        <v>2024</v>
      </c>
      <c r="B515" s="10" t="s">
        <v>145</v>
      </c>
      <c r="C515" s="98" t="s">
        <v>43</v>
      </c>
      <c r="D515" s="10" t="s">
        <v>177</v>
      </c>
      <c r="E515" s="79"/>
      <c r="F515" s="115">
        <v>7</v>
      </c>
      <c r="G515" s="10" t="s">
        <v>21</v>
      </c>
      <c r="H515" s="3"/>
      <c r="I515" s="94">
        <v>5.5490399999999995E-2</v>
      </c>
      <c r="J515" s="33">
        <v>1.8459E-6</v>
      </c>
      <c r="K515" s="33">
        <v>1.7640000000000002E-7</v>
      </c>
      <c r="L515" s="40">
        <v>5.5593565019999999E-2</v>
      </c>
    </row>
    <row r="516" spans="1:12" x14ac:dyDescent="0.3">
      <c r="A516" s="10">
        <v>2024</v>
      </c>
      <c r="B516" s="10" t="s">
        <v>145</v>
      </c>
      <c r="C516" s="98" t="s">
        <v>43</v>
      </c>
      <c r="D516" s="10" t="s">
        <v>178</v>
      </c>
      <c r="E516" s="79"/>
      <c r="F516" s="115">
        <v>18</v>
      </c>
      <c r="G516" s="10" t="s">
        <v>21</v>
      </c>
      <c r="H516" s="3"/>
      <c r="I516" s="94">
        <v>0.14268959999999997</v>
      </c>
      <c r="J516" s="33">
        <v>4.7466000000000004E-6</v>
      </c>
      <c r="K516" s="33">
        <v>4.5360000000000004E-7</v>
      </c>
      <c r="L516" s="40">
        <v>0.14295488147999996</v>
      </c>
    </row>
    <row r="517" spans="1:12" x14ac:dyDescent="0.3">
      <c r="A517" s="10">
        <v>2024</v>
      </c>
      <c r="B517" s="10" t="s">
        <v>145</v>
      </c>
      <c r="C517" s="79" t="s">
        <v>45</v>
      </c>
      <c r="D517" s="97" t="s">
        <v>151</v>
      </c>
      <c r="E517" s="15" t="s">
        <v>24</v>
      </c>
      <c r="F517" s="96">
        <v>1000</v>
      </c>
      <c r="G517" s="9" t="s">
        <v>202</v>
      </c>
      <c r="H517" s="9" t="s">
        <v>4</v>
      </c>
      <c r="I517" s="3">
        <v>0</v>
      </c>
      <c r="J517" s="3">
        <v>0</v>
      </c>
      <c r="K517" s="33">
        <v>2.0000000000000001E-4</v>
      </c>
      <c r="L517" s="78">
        <v>0.38480000000000003</v>
      </c>
    </row>
    <row r="518" spans="1:12" x14ac:dyDescent="0.3">
      <c r="A518" s="10">
        <v>2024</v>
      </c>
      <c r="B518" s="10" t="s">
        <v>145</v>
      </c>
      <c r="C518" s="79" t="s">
        <v>45</v>
      </c>
      <c r="D518" s="97" t="s">
        <v>152</v>
      </c>
      <c r="E518" s="15" t="s">
        <v>24</v>
      </c>
      <c r="F518" s="96">
        <v>720</v>
      </c>
      <c r="G518" s="9" t="s">
        <v>202</v>
      </c>
      <c r="H518" s="9" t="s">
        <v>4</v>
      </c>
      <c r="I518" s="3">
        <v>0</v>
      </c>
      <c r="J518" s="3">
        <v>0</v>
      </c>
      <c r="K518" s="33">
        <v>7.1999999999999988E-5</v>
      </c>
      <c r="L518" s="78">
        <v>0.13852799999999998</v>
      </c>
    </row>
    <row r="519" spans="1:12" x14ac:dyDescent="0.3">
      <c r="A519" s="10">
        <v>2024</v>
      </c>
      <c r="B519" s="10" t="s">
        <v>145</v>
      </c>
      <c r="C519" s="79" t="s">
        <v>45</v>
      </c>
      <c r="D519" s="97" t="s">
        <v>153</v>
      </c>
      <c r="E519" s="15" t="s">
        <v>24</v>
      </c>
      <c r="F519" s="96">
        <v>2400</v>
      </c>
      <c r="G519" s="9" t="s">
        <v>202</v>
      </c>
      <c r="H519" s="9" t="s">
        <v>4</v>
      </c>
      <c r="I519" s="3">
        <v>0</v>
      </c>
      <c r="J519" s="3">
        <v>0</v>
      </c>
      <c r="K519" s="33">
        <v>2.3999999999999998E-4</v>
      </c>
      <c r="L519" s="78">
        <v>0.46175999999999995</v>
      </c>
    </row>
    <row r="520" spans="1:12" x14ac:dyDescent="0.3">
      <c r="A520" s="10">
        <v>2024</v>
      </c>
      <c r="B520" s="10" t="s">
        <v>145</v>
      </c>
      <c r="C520" s="79" t="s">
        <v>45</v>
      </c>
      <c r="D520" s="97" t="s">
        <v>154</v>
      </c>
      <c r="E520" s="15" t="s">
        <v>24</v>
      </c>
      <c r="F520" s="96">
        <v>11000</v>
      </c>
      <c r="G520" s="9" t="s">
        <v>202</v>
      </c>
      <c r="H520" s="9" t="s">
        <v>4</v>
      </c>
      <c r="I520" s="3">
        <v>0</v>
      </c>
      <c r="J520" s="3">
        <v>0</v>
      </c>
      <c r="K520" s="33">
        <v>1.1000000000000001E-3</v>
      </c>
      <c r="L520" s="78">
        <v>2.1164000000000001</v>
      </c>
    </row>
    <row r="521" spans="1:12" x14ac:dyDescent="0.3">
      <c r="A521" s="10">
        <v>2024</v>
      </c>
      <c r="B521" s="10" t="s">
        <v>145</v>
      </c>
      <c r="C521" s="79" t="s">
        <v>45</v>
      </c>
      <c r="D521" s="97" t="s">
        <v>155</v>
      </c>
      <c r="E521" s="15" t="s">
        <v>24</v>
      </c>
      <c r="F521" s="96">
        <v>17600</v>
      </c>
      <c r="G521" s="9" t="s">
        <v>202</v>
      </c>
      <c r="H521" s="9" t="s">
        <v>4</v>
      </c>
      <c r="I521" s="3">
        <v>0</v>
      </c>
      <c r="J521" s="3">
        <v>0</v>
      </c>
      <c r="K521" s="33">
        <v>1.7600000000000001E-3</v>
      </c>
      <c r="L521" s="78">
        <v>3.3862399999999999</v>
      </c>
    </row>
    <row r="522" spans="1:12" x14ac:dyDescent="0.3">
      <c r="A522" s="10">
        <v>2024</v>
      </c>
      <c r="B522" s="10" t="s">
        <v>145</v>
      </c>
      <c r="C522" s="79" t="s">
        <v>45</v>
      </c>
      <c r="D522" s="98" t="s">
        <v>156</v>
      </c>
      <c r="E522" s="15" t="s">
        <v>24</v>
      </c>
      <c r="F522" s="96">
        <v>2130</v>
      </c>
      <c r="G522" s="9" t="s">
        <v>202</v>
      </c>
      <c r="H522" s="9" t="s">
        <v>4</v>
      </c>
      <c r="I522" s="3">
        <v>0</v>
      </c>
      <c r="J522" s="3">
        <v>0</v>
      </c>
      <c r="K522" s="33">
        <v>2.13E-4</v>
      </c>
      <c r="L522" s="78">
        <v>0.40981200000000001</v>
      </c>
    </row>
    <row r="523" spans="1:12" x14ac:dyDescent="0.3">
      <c r="A523" s="10">
        <v>2024</v>
      </c>
      <c r="B523" s="10" t="s">
        <v>145</v>
      </c>
      <c r="C523" s="79" t="s">
        <v>45</v>
      </c>
      <c r="D523" s="101" t="s">
        <v>157</v>
      </c>
      <c r="E523" s="15" t="s">
        <v>24</v>
      </c>
      <c r="F523" s="96">
        <v>11660</v>
      </c>
      <c r="G523" s="9" t="s">
        <v>202</v>
      </c>
      <c r="H523" s="9" t="s">
        <v>4</v>
      </c>
      <c r="I523" s="3">
        <v>0</v>
      </c>
      <c r="J523" s="3">
        <v>0</v>
      </c>
      <c r="K523" s="33">
        <v>1.1659999999999999E-3</v>
      </c>
      <c r="L523" s="78">
        <v>2.2433839999999998</v>
      </c>
    </row>
    <row r="524" spans="1:12" x14ac:dyDescent="0.3">
      <c r="A524" s="10">
        <v>2024</v>
      </c>
      <c r="B524" s="10" t="s">
        <v>145</v>
      </c>
      <c r="C524" s="79" t="s">
        <v>45</v>
      </c>
      <c r="D524" s="101" t="s">
        <v>158</v>
      </c>
      <c r="E524" s="15" t="s">
        <v>24</v>
      </c>
      <c r="F524" s="96">
        <v>5250</v>
      </c>
      <c r="G524" s="9" t="s">
        <v>202</v>
      </c>
      <c r="H524" s="9" t="s">
        <v>4</v>
      </c>
      <c r="I524" s="3">
        <v>0</v>
      </c>
      <c r="J524" s="3">
        <v>0</v>
      </c>
      <c r="K524" s="33">
        <v>5.2500000000000008E-4</v>
      </c>
      <c r="L524" s="78">
        <v>1.0101000000000002</v>
      </c>
    </row>
    <row r="525" spans="1:12" x14ac:dyDescent="0.3">
      <c r="A525" s="10">
        <v>2024</v>
      </c>
      <c r="B525" s="10" t="s">
        <v>145</v>
      </c>
      <c r="C525" s="79" t="s">
        <v>45</v>
      </c>
      <c r="D525" s="101" t="s">
        <v>159</v>
      </c>
      <c r="E525" s="15" t="s">
        <v>24</v>
      </c>
      <c r="F525" s="96">
        <v>41860</v>
      </c>
      <c r="G525" s="9" t="s">
        <v>202</v>
      </c>
      <c r="H525" s="9" t="s">
        <v>4</v>
      </c>
      <c r="I525" s="3">
        <v>0</v>
      </c>
      <c r="J525" s="3">
        <v>0</v>
      </c>
      <c r="K525" s="33">
        <v>4.1859999999999996E-3</v>
      </c>
      <c r="L525" s="78">
        <v>8.053863999999999</v>
      </c>
    </row>
    <row r="526" spans="1:12" x14ac:dyDescent="0.3">
      <c r="A526" s="10">
        <v>2024</v>
      </c>
      <c r="B526" s="10" t="s">
        <v>145</v>
      </c>
      <c r="C526" s="79" t="s">
        <v>45</v>
      </c>
      <c r="D526" s="95" t="s">
        <v>160</v>
      </c>
      <c r="E526" s="15" t="s">
        <v>24</v>
      </c>
      <c r="F526" s="96">
        <v>22000</v>
      </c>
      <c r="G526" s="9" t="s">
        <v>202</v>
      </c>
      <c r="H526" s="9" t="s">
        <v>4</v>
      </c>
      <c r="I526" s="3">
        <v>0</v>
      </c>
      <c r="J526" s="3">
        <v>0</v>
      </c>
      <c r="K526" s="33">
        <v>2.2000000000000001E-3</v>
      </c>
      <c r="L526" s="78">
        <v>4.2328000000000001</v>
      </c>
    </row>
    <row r="527" spans="1:12" x14ac:dyDescent="0.3">
      <c r="A527" s="10">
        <v>2024</v>
      </c>
      <c r="B527" s="10" t="s">
        <v>145</v>
      </c>
      <c r="C527" s="79" t="s">
        <v>45</v>
      </c>
      <c r="D527" s="95" t="s">
        <v>161</v>
      </c>
      <c r="E527" s="15" t="s">
        <v>24</v>
      </c>
      <c r="F527" s="96">
        <v>24000</v>
      </c>
      <c r="G527" s="9" t="s">
        <v>202</v>
      </c>
      <c r="H527" s="9" t="s">
        <v>4</v>
      </c>
      <c r="I527" s="3">
        <v>0</v>
      </c>
      <c r="J527" s="3">
        <v>0</v>
      </c>
      <c r="K527" s="33">
        <v>2.3999999999999998E-3</v>
      </c>
      <c r="L527" s="78">
        <v>4.6175999999999995</v>
      </c>
    </row>
    <row r="528" spans="1:12" x14ac:dyDescent="0.3">
      <c r="A528" s="10">
        <v>2024</v>
      </c>
      <c r="B528" s="10" t="s">
        <v>145</v>
      </c>
      <c r="C528" s="79" t="s">
        <v>45</v>
      </c>
      <c r="D528" s="95" t="s">
        <v>162</v>
      </c>
      <c r="E528" s="15" t="s">
        <v>24</v>
      </c>
      <c r="F528" s="96">
        <v>99</v>
      </c>
      <c r="G528" s="9" t="s">
        <v>202</v>
      </c>
      <c r="H528" s="9" t="s">
        <v>4</v>
      </c>
      <c r="I528" s="3">
        <v>0</v>
      </c>
      <c r="J528" s="3">
        <v>0</v>
      </c>
      <c r="K528" s="33">
        <v>9.9000000000000001E-6</v>
      </c>
      <c r="L528" s="78">
        <v>1.9047600000000001E-2</v>
      </c>
    </row>
    <row r="529" spans="1:12" x14ac:dyDescent="0.3">
      <c r="A529" s="10">
        <v>2024</v>
      </c>
      <c r="B529" s="10" t="s">
        <v>145</v>
      </c>
      <c r="C529" s="79" t="s">
        <v>45</v>
      </c>
      <c r="D529" s="95" t="s">
        <v>163</v>
      </c>
      <c r="E529" s="15" t="s">
        <v>24</v>
      </c>
      <c r="F529" s="96">
        <v>22</v>
      </c>
      <c r="G529" s="9" t="s">
        <v>202</v>
      </c>
      <c r="H529" s="9" t="s">
        <v>4</v>
      </c>
      <c r="I529" s="3">
        <v>0</v>
      </c>
      <c r="J529" s="3">
        <v>0</v>
      </c>
      <c r="K529" s="33">
        <v>2.2000000000000001E-6</v>
      </c>
      <c r="L529" s="78">
        <v>4.2328000000000001E-3</v>
      </c>
    </row>
    <row r="530" spans="1:12" x14ac:dyDescent="0.3">
      <c r="A530" s="10">
        <v>2024</v>
      </c>
      <c r="B530" s="10" t="s">
        <v>145</v>
      </c>
      <c r="C530" s="79" t="s">
        <v>45</v>
      </c>
      <c r="D530" s="95" t="s">
        <v>164</v>
      </c>
      <c r="E530" s="15" t="s">
        <v>24</v>
      </c>
      <c r="F530" s="96">
        <v>48</v>
      </c>
      <c r="G530" s="9" t="s">
        <v>202</v>
      </c>
      <c r="H530" s="9" t="s">
        <v>4</v>
      </c>
      <c r="I530" s="3">
        <v>0</v>
      </c>
      <c r="J530" s="3">
        <v>0</v>
      </c>
      <c r="K530" s="33">
        <v>4.8000000000000006E-6</v>
      </c>
      <c r="L530" s="78">
        <v>9.2352000000000007E-3</v>
      </c>
    </row>
    <row r="531" spans="1:12" x14ac:dyDescent="0.3">
      <c r="A531" s="10">
        <v>2024</v>
      </c>
      <c r="B531" s="10" t="s">
        <v>145</v>
      </c>
      <c r="C531" s="79" t="s">
        <v>45</v>
      </c>
      <c r="D531" s="95" t="s">
        <v>166</v>
      </c>
      <c r="E531" s="15" t="s">
        <v>24</v>
      </c>
      <c r="F531" s="96">
        <v>55</v>
      </c>
      <c r="G531" s="9" t="s">
        <v>202</v>
      </c>
      <c r="H531" s="9" t="s">
        <v>4</v>
      </c>
      <c r="I531" s="3">
        <v>0</v>
      </c>
      <c r="J531" s="3">
        <v>0</v>
      </c>
      <c r="K531" s="33">
        <v>5.4999999999999999E-6</v>
      </c>
      <c r="L531" s="78">
        <v>1.0581999999999999E-2</v>
      </c>
    </row>
    <row r="532" spans="1:12" x14ac:dyDescent="0.3">
      <c r="A532" s="10">
        <v>2024</v>
      </c>
      <c r="B532" s="10" t="s">
        <v>145</v>
      </c>
      <c r="C532" s="79" t="s">
        <v>45</v>
      </c>
      <c r="D532" s="95" t="s">
        <v>165</v>
      </c>
      <c r="E532" s="15" t="s">
        <v>24</v>
      </c>
      <c r="F532" s="96">
        <v>60</v>
      </c>
      <c r="G532" s="9" t="s">
        <v>202</v>
      </c>
      <c r="H532" s="9" t="s">
        <v>4</v>
      </c>
      <c r="I532" s="3">
        <v>0</v>
      </c>
      <c r="J532" s="3">
        <v>0</v>
      </c>
      <c r="K532" s="33">
        <v>6.0000000000000002E-6</v>
      </c>
      <c r="L532" s="78">
        <v>1.1544E-2</v>
      </c>
    </row>
    <row r="533" spans="1:12" x14ac:dyDescent="0.3">
      <c r="A533" s="10">
        <v>2024</v>
      </c>
      <c r="B533" s="10" t="s">
        <v>145</v>
      </c>
      <c r="C533" s="79" t="s">
        <v>45</v>
      </c>
      <c r="D533" s="95" t="s">
        <v>167</v>
      </c>
      <c r="E533" s="15" t="s">
        <v>24</v>
      </c>
      <c r="F533" s="96">
        <v>36</v>
      </c>
      <c r="G533" s="9" t="s">
        <v>202</v>
      </c>
      <c r="H533" s="9" t="s">
        <v>4</v>
      </c>
      <c r="I533" s="3">
        <v>0</v>
      </c>
      <c r="J533" s="3">
        <v>0</v>
      </c>
      <c r="K533" s="33">
        <v>3.5999999999999998E-6</v>
      </c>
      <c r="L533" s="78">
        <v>6.9264000000000001E-3</v>
      </c>
    </row>
    <row r="534" spans="1:12" x14ac:dyDescent="0.3">
      <c r="A534" s="10">
        <v>2024</v>
      </c>
      <c r="B534" s="10" t="s">
        <v>145</v>
      </c>
      <c r="C534" s="79" t="s">
        <v>45</v>
      </c>
      <c r="D534" s="79" t="s">
        <v>180</v>
      </c>
      <c r="E534" s="4" t="s">
        <v>20</v>
      </c>
      <c r="F534" s="41">
        <v>340</v>
      </c>
      <c r="G534" s="9" t="s">
        <v>202</v>
      </c>
      <c r="H534" s="9" t="s">
        <v>4</v>
      </c>
      <c r="I534" s="3">
        <v>0</v>
      </c>
      <c r="J534" s="3">
        <v>0</v>
      </c>
      <c r="K534" s="33">
        <v>6.7999999999999999E-5</v>
      </c>
      <c r="L534" s="78">
        <v>0.130832</v>
      </c>
    </row>
    <row r="535" spans="1:12" x14ac:dyDescent="0.3">
      <c r="A535" s="10">
        <v>2024</v>
      </c>
      <c r="B535" s="10" t="s">
        <v>145</v>
      </c>
      <c r="C535" s="79" t="s">
        <v>45</v>
      </c>
      <c r="D535" s="79" t="s">
        <v>180</v>
      </c>
      <c r="E535" s="4" t="s">
        <v>20</v>
      </c>
      <c r="F535" s="41">
        <v>180</v>
      </c>
      <c r="G535" s="9" t="s">
        <v>202</v>
      </c>
      <c r="H535" s="9" t="s">
        <v>4</v>
      </c>
      <c r="I535" s="3">
        <v>0</v>
      </c>
      <c r="J535" s="3">
        <v>0</v>
      </c>
      <c r="K535" s="33">
        <v>3.5999999999999994E-5</v>
      </c>
      <c r="L535" s="78">
        <v>6.9263999999999992E-2</v>
      </c>
    </row>
    <row r="536" spans="1:12" x14ac:dyDescent="0.3">
      <c r="A536" s="10">
        <v>2024</v>
      </c>
      <c r="B536" s="10" t="s">
        <v>145</v>
      </c>
      <c r="C536" s="79" t="s">
        <v>45</v>
      </c>
      <c r="D536" s="79" t="s">
        <v>181</v>
      </c>
      <c r="E536" s="4" t="s">
        <v>20</v>
      </c>
      <c r="F536" s="41">
        <v>180</v>
      </c>
      <c r="G536" s="9" t="s">
        <v>202</v>
      </c>
      <c r="H536" s="9" t="s">
        <v>4</v>
      </c>
      <c r="I536" s="3">
        <v>0</v>
      </c>
      <c r="J536" s="3">
        <v>0</v>
      </c>
      <c r="K536" s="33">
        <v>1.7999999999999997E-5</v>
      </c>
      <c r="L536" s="78">
        <v>3.4631999999999996E-2</v>
      </c>
    </row>
    <row r="537" spans="1:12" x14ac:dyDescent="0.3">
      <c r="A537" s="10">
        <v>2024</v>
      </c>
      <c r="B537" s="10" t="s">
        <v>145</v>
      </c>
      <c r="C537" s="79" t="s">
        <v>45</v>
      </c>
      <c r="D537" s="79" t="s">
        <v>182</v>
      </c>
      <c r="E537" s="9" t="s">
        <v>46</v>
      </c>
      <c r="F537" s="41">
        <v>600</v>
      </c>
      <c r="G537" s="9" t="s">
        <v>202</v>
      </c>
      <c r="H537" s="9" t="s">
        <v>4</v>
      </c>
      <c r="I537" s="3">
        <v>0</v>
      </c>
      <c r="J537" s="3">
        <v>0</v>
      </c>
      <c r="K537" s="33">
        <v>8.9999999999999992E-5</v>
      </c>
      <c r="L537" s="78">
        <v>0.17315999999999998</v>
      </c>
    </row>
    <row r="538" spans="1:12" x14ac:dyDescent="0.3">
      <c r="A538" s="10">
        <v>2024</v>
      </c>
      <c r="B538" s="10" t="s">
        <v>145</v>
      </c>
      <c r="C538" s="79" t="s">
        <v>45</v>
      </c>
      <c r="D538" s="99" t="s">
        <v>183</v>
      </c>
      <c r="E538" s="9" t="s">
        <v>24</v>
      </c>
      <c r="F538" s="41">
        <v>80</v>
      </c>
      <c r="G538" s="9" t="s">
        <v>202</v>
      </c>
      <c r="H538" s="9" t="s">
        <v>4</v>
      </c>
      <c r="I538" s="3">
        <v>0</v>
      </c>
      <c r="J538" s="3">
        <v>0</v>
      </c>
      <c r="K538" s="33">
        <v>1.2E-5</v>
      </c>
      <c r="L538" s="78">
        <v>2.3088000000000001E-2</v>
      </c>
    </row>
    <row r="539" spans="1:12" x14ac:dyDescent="0.3">
      <c r="A539" s="10">
        <v>2024</v>
      </c>
      <c r="B539" s="10" t="s">
        <v>145</v>
      </c>
      <c r="C539" s="79" t="s">
        <v>45</v>
      </c>
      <c r="D539" s="79" t="s">
        <v>184</v>
      </c>
      <c r="E539" s="4" t="s">
        <v>20</v>
      </c>
      <c r="F539" s="41">
        <v>180</v>
      </c>
      <c r="G539" s="9" t="s">
        <v>202</v>
      </c>
      <c r="H539" s="9" t="s">
        <v>4</v>
      </c>
      <c r="I539" s="3">
        <v>0</v>
      </c>
      <c r="J539" s="3">
        <v>0</v>
      </c>
      <c r="K539" s="33">
        <v>2.6999999999999999E-5</v>
      </c>
      <c r="L539" s="78">
        <v>5.1948000000000001E-2</v>
      </c>
    </row>
    <row r="540" spans="1:12" x14ac:dyDescent="0.3">
      <c r="A540" s="10">
        <v>2024</v>
      </c>
      <c r="B540" s="10" t="s">
        <v>145</v>
      </c>
      <c r="C540" s="79" t="s">
        <v>45</v>
      </c>
      <c r="D540" s="98" t="s">
        <v>185</v>
      </c>
      <c r="E540" s="9"/>
      <c r="F540" s="9">
        <v>40.799999999999997</v>
      </c>
      <c r="G540" s="123" t="s">
        <v>135</v>
      </c>
      <c r="H540" s="102">
        <v>1.0199999999999999E-2</v>
      </c>
      <c r="I540" s="3">
        <v>0</v>
      </c>
      <c r="J540" s="3">
        <v>0</v>
      </c>
      <c r="K540" s="33" t="s">
        <v>4</v>
      </c>
      <c r="L540" s="3">
        <v>1.0199999999999999E-2</v>
      </c>
    </row>
    <row r="541" spans="1:12" x14ac:dyDescent="0.3">
      <c r="A541" s="10">
        <v>2024</v>
      </c>
      <c r="B541" s="10" t="s">
        <v>145</v>
      </c>
      <c r="C541" s="79" t="s">
        <v>45</v>
      </c>
      <c r="D541" s="98" t="s">
        <v>186</v>
      </c>
      <c r="E541" s="9"/>
      <c r="F541" s="9">
        <v>13.5</v>
      </c>
      <c r="G541" s="123" t="s">
        <v>135</v>
      </c>
      <c r="H541" s="102">
        <v>3.375E-3</v>
      </c>
      <c r="I541" s="3">
        <v>0</v>
      </c>
      <c r="J541" s="3">
        <v>0</v>
      </c>
      <c r="K541" s="33" t="s">
        <v>4</v>
      </c>
      <c r="L541" s="3">
        <v>3.375E-3</v>
      </c>
    </row>
    <row r="542" spans="1:12" x14ac:dyDescent="0.3">
      <c r="A542" s="10">
        <v>2024</v>
      </c>
      <c r="B542" s="10" t="s">
        <v>145</v>
      </c>
      <c r="C542" s="79" t="s">
        <v>45</v>
      </c>
      <c r="D542" s="98" t="s">
        <v>187</v>
      </c>
      <c r="E542" s="9"/>
      <c r="F542" s="9">
        <v>157.5</v>
      </c>
      <c r="G542" s="123" t="s">
        <v>135</v>
      </c>
      <c r="H542" s="9" t="s">
        <v>4</v>
      </c>
      <c r="I542" s="3">
        <v>0</v>
      </c>
      <c r="J542" s="3">
        <v>0</v>
      </c>
      <c r="K542" s="33">
        <v>3.5594999999999999</v>
      </c>
      <c r="L542" s="40">
        <v>3.5594999999999999</v>
      </c>
    </row>
    <row r="543" spans="1:12" x14ac:dyDescent="0.3">
      <c r="A543" s="10">
        <v>2024</v>
      </c>
      <c r="B543" s="10" t="s">
        <v>145</v>
      </c>
      <c r="C543" s="79" t="s">
        <v>45</v>
      </c>
      <c r="D543" s="98" t="s">
        <v>188</v>
      </c>
      <c r="E543" s="9"/>
      <c r="F543" s="9">
        <v>148</v>
      </c>
      <c r="G543" s="123" t="s">
        <v>135</v>
      </c>
      <c r="H543" s="9" t="s">
        <v>4</v>
      </c>
      <c r="I543" s="3">
        <v>0</v>
      </c>
      <c r="J543" s="3">
        <v>0</v>
      </c>
      <c r="K543" s="33">
        <v>3.3448000000000002</v>
      </c>
      <c r="L543" s="40">
        <v>3.3448000000000002</v>
      </c>
    </row>
    <row r="544" spans="1:12" x14ac:dyDescent="0.3">
      <c r="A544" s="10">
        <v>2024</v>
      </c>
      <c r="B544" s="10" t="s">
        <v>145</v>
      </c>
      <c r="C544" s="79" t="s">
        <v>45</v>
      </c>
      <c r="D544" s="98" t="s">
        <v>189</v>
      </c>
      <c r="E544" s="9"/>
      <c r="F544" s="9">
        <v>21</v>
      </c>
      <c r="G544" s="123" t="s">
        <v>135</v>
      </c>
      <c r="H544" s="9" t="s">
        <v>4</v>
      </c>
      <c r="I544" s="3">
        <v>0</v>
      </c>
      <c r="J544" s="3">
        <v>0</v>
      </c>
      <c r="K544" s="33">
        <v>0.47460000000000002</v>
      </c>
      <c r="L544" s="40">
        <v>0.47460000000000002</v>
      </c>
    </row>
    <row r="545" spans="1:12" x14ac:dyDescent="0.3">
      <c r="A545" s="10">
        <v>2024</v>
      </c>
      <c r="B545" s="10" t="s">
        <v>146</v>
      </c>
      <c r="C545" s="79" t="s">
        <v>49</v>
      </c>
      <c r="D545" s="79" t="s">
        <v>205</v>
      </c>
      <c r="E545" s="165" t="s">
        <v>24</v>
      </c>
      <c r="F545" s="162">
        <v>83029</v>
      </c>
      <c r="G545" s="9" t="s">
        <v>50</v>
      </c>
      <c r="H545" s="3">
        <v>0</v>
      </c>
      <c r="I545" s="3">
        <v>0</v>
      </c>
      <c r="J545" s="3">
        <v>0</v>
      </c>
      <c r="K545" s="3">
        <v>0</v>
      </c>
      <c r="L545" s="105">
        <v>14.3474112</v>
      </c>
    </row>
    <row r="546" spans="1:12" x14ac:dyDescent="0.3">
      <c r="A546" s="10">
        <v>2024</v>
      </c>
      <c r="B546" s="10" t="s">
        <v>146</v>
      </c>
      <c r="C546" s="79" t="s">
        <v>49</v>
      </c>
      <c r="D546" s="79" t="s">
        <v>206</v>
      </c>
      <c r="E546" s="165" t="s">
        <v>24</v>
      </c>
      <c r="F546" s="162">
        <v>117088</v>
      </c>
      <c r="G546" s="9" t="s">
        <v>50</v>
      </c>
      <c r="H546" s="3">
        <v>0</v>
      </c>
      <c r="I546" s="3">
        <v>0</v>
      </c>
      <c r="J546" s="3">
        <v>0</v>
      </c>
      <c r="K546" s="3">
        <v>0</v>
      </c>
      <c r="L546" s="105">
        <v>20.232806400000001</v>
      </c>
    </row>
    <row r="547" spans="1:12" x14ac:dyDescent="0.3">
      <c r="A547" s="10">
        <v>2024</v>
      </c>
      <c r="B547" s="10" t="s">
        <v>146</v>
      </c>
      <c r="C547" s="79" t="s">
        <v>49</v>
      </c>
      <c r="D547" s="79" t="s">
        <v>207</v>
      </c>
      <c r="E547" s="165" t="s">
        <v>24</v>
      </c>
      <c r="F547" s="162">
        <v>117245</v>
      </c>
      <c r="G547" s="9" t="s">
        <v>50</v>
      </c>
      <c r="H547" s="3">
        <v>0</v>
      </c>
      <c r="I547" s="3">
        <v>0</v>
      </c>
      <c r="J547" s="3">
        <v>0</v>
      </c>
      <c r="K547" s="3">
        <v>0</v>
      </c>
      <c r="L547" s="105">
        <v>20.259936000000003</v>
      </c>
    </row>
    <row r="548" spans="1:12" x14ac:dyDescent="0.3">
      <c r="A548" s="10">
        <v>2024</v>
      </c>
      <c r="B548" s="10" t="s">
        <v>146</v>
      </c>
      <c r="C548" s="79" t="s">
        <v>49</v>
      </c>
      <c r="D548" s="79" t="s">
        <v>208</v>
      </c>
      <c r="E548" s="165" t="s">
        <v>24</v>
      </c>
      <c r="F548" s="162">
        <v>121856</v>
      </c>
      <c r="G548" s="9" t="s">
        <v>50</v>
      </c>
      <c r="H548" s="3">
        <v>0</v>
      </c>
      <c r="I548" s="3">
        <v>0</v>
      </c>
      <c r="J548" s="3">
        <v>0</v>
      </c>
      <c r="K548" s="3">
        <v>0</v>
      </c>
      <c r="L548" s="105">
        <v>21.0567168</v>
      </c>
    </row>
    <row r="549" spans="1:12" x14ac:dyDescent="0.3">
      <c r="A549" s="10">
        <v>2024</v>
      </c>
      <c r="B549" s="10" t="s">
        <v>146</v>
      </c>
      <c r="C549" s="79" t="s">
        <v>49</v>
      </c>
      <c r="D549" s="79" t="s">
        <v>209</v>
      </c>
      <c r="E549" s="165" t="s">
        <v>24</v>
      </c>
      <c r="F549" s="162">
        <v>114912</v>
      </c>
      <c r="G549" s="9" t="s">
        <v>50</v>
      </c>
      <c r="H549" s="3">
        <v>0</v>
      </c>
      <c r="I549" s="3">
        <v>0</v>
      </c>
      <c r="J549" s="3">
        <v>0</v>
      </c>
      <c r="K549" s="3">
        <v>0</v>
      </c>
      <c r="L549" s="105">
        <v>19.8567936</v>
      </c>
    </row>
    <row r="550" spans="1:12" x14ac:dyDescent="0.3">
      <c r="A550" s="10">
        <v>2024</v>
      </c>
      <c r="B550" s="10" t="s">
        <v>146</v>
      </c>
      <c r="C550" s="79" t="s">
        <v>49</v>
      </c>
      <c r="D550" s="79" t="s">
        <v>229</v>
      </c>
      <c r="E550" s="165" t="s">
        <v>51</v>
      </c>
      <c r="F550" s="162">
        <v>14479</v>
      </c>
      <c r="G550" s="9" t="s">
        <v>50</v>
      </c>
      <c r="H550" s="3">
        <v>0</v>
      </c>
      <c r="I550" s="3">
        <v>0</v>
      </c>
      <c r="J550" s="3">
        <v>0</v>
      </c>
      <c r="K550" s="3">
        <v>0</v>
      </c>
      <c r="L550" s="105">
        <v>2.5019711999999998</v>
      </c>
    </row>
    <row r="551" spans="1:12" x14ac:dyDescent="0.3">
      <c r="A551" s="10">
        <v>2024</v>
      </c>
      <c r="B551" s="10" t="s">
        <v>146</v>
      </c>
      <c r="C551" s="79" t="s">
        <v>49</v>
      </c>
      <c r="D551" s="79" t="s">
        <v>230</v>
      </c>
      <c r="E551" s="165" t="s">
        <v>51</v>
      </c>
      <c r="F551" s="162">
        <v>16489</v>
      </c>
      <c r="G551" s="9" t="s">
        <v>50</v>
      </c>
      <c r="H551" s="3">
        <v>0</v>
      </c>
      <c r="I551" s="3">
        <v>0</v>
      </c>
      <c r="J551" s="3">
        <v>0</v>
      </c>
      <c r="K551" s="3">
        <v>0</v>
      </c>
      <c r="L551" s="105">
        <v>2.8492992000000004</v>
      </c>
    </row>
    <row r="552" spans="1:12" x14ac:dyDescent="0.3">
      <c r="A552" s="10">
        <v>2024</v>
      </c>
      <c r="B552" s="10" t="s">
        <v>146</v>
      </c>
      <c r="C552" s="79" t="s">
        <v>49</v>
      </c>
      <c r="D552" s="79" t="s">
        <v>231</v>
      </c>
      <c r="E552" s="165" t="s">
        <v>51</v>
      </c>
      <c r="F552" s="162">
        <v>15039</v>
      </c>
      <c r="G552" s="9" t="s">
        <v>50</v>
      </c>
      <c r="H552" s="3">
        <v>0</v>
      </c>
      <c r="I552" s="3">
        <v>0</v>
      </c>
      <c r="J552" s="3">
        <v>0</v>
      </c>
      <c r="K552" s="3">
        <v>0</v>
      </c>
      <c r="L552" s="105">
        <v>2.5987391999999998</v>
      </c>
    </row>
    <row r="553" spans="1:12" x14ac:dyDescent="0.3">
      <c r="A553" s="10">
        <v>2024</v>
      </c>
      <c r="B553" s="10" t="s">
        <v>146</v>
      </c>
      <c r="C553" s="79" t="s">
        <v>49</v>
      </c>
      <c r="D553" s="79" t="s">
        <v>232</v>
      </c>
      <c r="E553" s="165" t="s">
        <v>51</v>
      </c>
      <c r="F553" s="162">
        <v>14993</v>
      </c>
      <c r="G553" s="9" t="s">
        <v>50</v>
      </c>
      <c r="H553" s="3">
        <v>0</v>
      </c>
      <c r="I553" s="3">
        <v>0</v>
      </c>
      <c r="J553" s="3">
        <v>0</v>
      </c>
      <c r="K553" s="3">
        <v>0</v>
      </c>
      <c r="L553" s="105">
        <v>2.5907904000000004</v>
      </c>
    </row>
    <row r="554" spans="1:12" x14ac:dyDescent="0.3">
      <c r="A554" s="10">
        <v>2024</v>
      </c>
      <c r="B554" s="10" t="s">
        <v>146</v>
      </c>
      <c r="C554" s="79" t="s">
        <v>49</v>
      </c>
      <c r="D554" s="79" t="s">
        <v>233</v>
      </c>
      <c r="E554" s="165" t="s">
        <v>51</v>
      </c>
      <c r="F554" s="162">
        <v>12725</v>
      </c>
      <c r="G554" s="9" t="s">
        <v>50</v>
      </c>
      <c r="H554" s="3">
        <v>0</v>
      </c>
      <c r="I554" s="3">
        <v>0</v>
      </c>
      <c r="J554" s="3">
        <v>0</v>
      </c>
      <c r="K554" s="3">
        <v>0</v>
      </c>
      <c r="L554" s="105">
        <v>2.1988799999999999</v>
      </c>
    </row>
    <row r="555" spans="1:12" x14ac:dyDescent="0.3">
      <c r="A555" s="10">
        <v>2024</v>
      </c>
      <c r="B555" s="10" t="s">
        <v>146</v>
      </c>
      <c r="C555" s="79" t="s">
        <v>49</v>
      </c>
      <c r="D555" s="79" t="s">
        <v>234</v>
      </c>
      <c r="E555" s="165" t="s">
        <v>51</v>
      </c>
      <c r="F555" s="162">
        <v>10481</v>
      </c>
      <c r="G555" s="9" t="s">
        <v>50</v>
      </c>
      <c r="H555" s="3">
        <v>0</v>
      </c>
      <c r="I555" s="3">
        <v>0</v>
      </c>
      <c r="J555" s="3">
        <v>0</v>
      </c>
      <c r="K555" s="3">
        <v>0</v>
      </c>
      <c r="L555" s="105">
        <v>1.8111168</v>
      </c>
    </row>
    <row r="556" spans="1:12" x14ac:dyDescent="0.3">
      <c r="A556" s="10">
        <v>2024</v>
      </c>
      <c r="B556" s="10" t="s">
        <v>146</v>
      </c>
      <c r="C556" s="79" t="s">
        <v>49</v>
      </c>
      <c r="D556" s="79" t="s">
        <v>235</v>
      </c>
      <c r="E556" s="165" t="s">
        <v>51</v>
      </c>
      <c r="F556" s="162">
        <v>9649</v>
      </c>
      <c r="G556" s="9" t="s">
        <v>50</v>
      </c>
      <c r="H556" s="3">
        <v>0</v>
      </c>
      <c r="I556" s="3">
        <v>0</v>
      </c>
      <c r="J556" s="3">
        <v>0</v>
      </c>
      <c r="K556" s="3">
        <v>0</v>
      </c>
      <c r="L556" s="105">
        <v>1.6673472</v>
      </c>
    </row>
    <row r="557" spans="1:12" x14ac:dyDescent="0.3">
      <c r="A557" s="10">
        <v>2024</v>
      </c>
      <c r="B557" s="10" t="s">
        <v>146</v>
      </c>
      <c r="C557" s="79" t="s">
        <v>49</v>
      </c>
      <c r="D557" s="79" t="s">
        <v>236</v>
      </c>
      <c r="E557" s="165" t="s">
        <v>51</v>
      </c>
      <c r="F557" s="162">
        <v>8427</v>
      </c>
      <c r="G557" s="9" t="s">
        <v>50</v>
      </c>
      <c r="H557" s="3">
        <v>0</v>
      </c>
      <c r="I557" s="3">
        <v>0</v>
      </c>
      <c r="J557" s="3">
        <v>0</v>
      </c>
      <c r="K557" s="3">
        <v>0</v>
      </c>
      <c r="L557" s="105">
        <v>1.4561856</v>
      </c>
    </row>
    <row r="558" spans="1:12" x14ac:dyDescent="0.3">
      <c r="A558" s="10">
        <v>2024</v>
      </c>
      <c r="B558" s="10" t="s">
        <v>146</v>
      </c>
      <c r="C558" s="79" t="s">
        <v>49</v>
      </c>
      <c r="D558" s="79" t="s">
        <v>249</v>
      </c>
      <c r="E558" s="165" t="s">
        <v>46</v>
      </c>
      <c r="F558" s="163">
        <v>613</v>
      </c>
      <c r="G558" s="9" t="s">
        <v>50</v>
      </c>
      <c r="H558" s="3">
        <v>0</v>
      </c>
      <c r="I558" s="3">
        <v>0</v>
      </c>
      <c r="J558" s="3">
        <v>0</v>
      </c>
      <c r="K558" s="3">
        <v>0</v>
      </c>
      <c r="L558" s="105">
        <v>0.1059264</v>
      </c>
    </row>
    <row r="559" spans="1:12" x14ac:dyDescent="0.3">
      <c r="A559" s="10">
        <v>2024</v>
      </c>
      <c r="B559" s="10" t="s">
        <v>146</v>
      </c>
      <c r="C559" s="79" t="s">
        <v>49</v>
      </c>
      <c r="D559" s="79" t="s">
        <v>250</v>
      </c>
      <c r="E559" s="165" t="s">
        <v>46</v>
      </c>
      <c r="F559" s="163">
        <v>536</v>
      </c>
      <c r="G559" s="9" t="s">
        <v>50</v>
      </c>
      <c r="H559" s="3">
        <v>0</v>
      </c>
      <c r="I559" s="3">
        <v>0</v>
      </c>
      <c r="J559" s="3">
        <v>0</v>
      </c>
      <c r="K559" s="3">
        <v>0</v>
      </c>
      <c r="L559" s="105">
        <v>9.2620800000000017E-2</v>
      </c>
    </row>
    <row r="560" spans="1:12" x14ac:dyDescent="0.3">
      <c r="A560" s="10">
        <v>2024</v>
      </c>
      <c r="B560" s="10" t="s">
        <v>146</v>
      </c>
      <c r="C560" s="79" t="s">
        <v>49</v>
      </c>
      <c r="D560" s="79" t="s">
        <v>251</v>
      </c>
      <c r="E560" s="165" t="s">
        <v>46</v>
      </c>
      <c r="F560" s="163">
        <v>516</v>
      </c>
      <c r="G560" s="9" t="s">
        <v>50</v>
      </c>
      <c r="H560" s="3">
        <v>0</v>
      </c>
      <c r="I560" s="3">
        <v>0</v>
      </c>
      <c r="J560" s="3">
        <v>0</v>
      </c>
      <c r="K560" s="3">
        <v>0</v>
      </c>
      <c r="L560" s="105">
        <v>8.9164800000000016E-2</v>
      </c>
    </row>
    <row r="561" spans="1:12" x14ac:dyDescent="0.3">
      <c r="A561" s="10">
        <v>2024</v>
      </c>
      <c r="B561" s="10" t="s">
        <v>146</v>
      </c>
      <c r="C561" s="79" t="s">
        <v>49</v>
      </c>
      <c r="D561" s="79" t="s">
        <v>252</v>
      </c>
      <c r="E561" s="165" t="s">
        <v>46</v>
      </c>
      <c r="F561" s="163">
        <v>614</v>
      </c>
      <c r="G561" s="9" t="s">
        <v>50</v>
      </c>
      <c r="H561" s="3">
        <v>0</v>
      </c>
      <c r="I561" s="3">
        <v>0</v>
      </c>
      <c r="J561" s="3">
        <v>0</v>
      </c>
      <c r="K561" s="3">
        <v>0</v>
      </c>
      <c r="L561" s="105">
        <v>0.1060992</v>
      </c>
    </row>
    <row r="562" spans="1:12" x14ac:dyDescent="0.3">
      <c r="A562" s="10">
        <v>2024</v>
      </c>
      <c r="B562" s="10" t="s">
        <v>146</v>
      </c>
      <c r="C562" s="79" t="s">
        <v>49</v>
      </c>
      <c r="D562" s="79" t="s">
        <v>253</v>
      </c>
      <c r="E562" s="165" t="s">
        <v>46</v>
      </c>
      <c r="F562" s="163">
        <v>611</v>
      </c>
      <c r="G562" s="9" t="s">
        <v>50</v>
      </c>
      <c r="H562" s="3">
        <v>0</v>
      </c>
      <c r="I562" s="3">
        <v>0</v>
      </c>
      <c r="J562" s="3">
        <v>0</v>
      </c>
      <c r="K562" s="3">
        <v>0</v>
      </c>
      <c r="L562" s="105">
        <v>0.10558080000000002</v>
      </c>
    </row>
    <row r="563" spans="1:12" x14ac:dyDescent="0.3">
      <c r="A563" s="10">
        <v>2024</v>
      </c>
      <c r="B563" s="10" t="s">
        <v>146</v>
      </c>
      <c r="C563" s="79" t="s">
        <v>49</v>
      </c>
      <c r="D563" s="79" t="s">
        <v>254</v>
      </c>
      <c r="E563" s="165" t="s">
        <v>46</v>
      </c>
      <c r="F563" s="163">
        <v>793</v>
      </c>
      <c r="G563" s="9" t="s">
        <v>50</v>
      </c>
      <c r="H563" s="3">
        <v>0</v>
      </c>
      <c r="I563" s="3">
        <v>0</v>
      </c>
      <c r="J563" s="3">
        <v>0</v>
      </c>
      <c r="K563" s="3">
        <v>0</v>
      </c>
      <c r="L563" s="105">
        <v>0.13703040000000002</v>
      </c>
    </row>
    <row r="564" spans="1:12" x14ac:dyDescent="0.3">
      <c r="A564" s="10">
        <v>2024</v>
      </c>
      <c r="B564" s="10" t="s">
        <v>146</v>
      </c>
      <c r="C564" s="79" t="s">
        <v>49</v>
      </c>
      <c r="D564" s="79" t="s">
        <v>255</v>
      </c>
      <c r="E564" s="165" t="s">
        <v>46</v>
      </c>
      <c r="F564" s="163">
        <v>1060</v>
      </c>
      <c r="G564" s="9" t="s">
        <v>50</v>
      </c>
      <c r="H564" s="3">
        <v>0</v>
      </c>
      <c r="I564" s="3">
        <v>0</v>
      </c>
      <c r="J564" s="3">
        <v>0</v>
      </c>
      <c r="K564" s="3">
        <v>0</v>
      </c>
      <c r="L564" s="105">
        <v>0.18316800000000003</v>
      </c>
    </row>
    <row r="565" spans="1:12" x14ac:dyDescent="0.3">
      <c r="A565" s="10">
        <v>2024</v>
      </c>
      <c r="B565" s="10" t="s">
        <v>146</v>
      </c>
      <c r="C565" s="79" t="s">
        <v>49</v>
      </c>
      <c r="D565" s="79" t="s">
        <v>256</v>
      </c>
      <c r="E565" s="165" t="s">
        <v>46</v>
      </c>
      <c r="F565" s="163">
        <v>834</v>
      </c>
      <c r="G565" s="9" t="s">
        <v>50</v>
      </c>
      <c r="H565" s="3">
        <v>0</v>
      </c>
      <c r="I565" s="3">
        <v>0</v>
      </c>
      <c r="J565" s="3">
        <v>0</v>
      </c>
      <c r="K565" s="3">
        <v>0</v>
      </c>
      <c r="L565" s="105">
        <v>0.14411520000000003</v>
      </c>
    </row>
    <row r="566" spans="1:12" x14ac:dyDescent="0.3">
      <c r="A566" s="10">
        <v>2024</v>
      </c>
      <c r="B566" s="10" t="s">
        <v>146</v>
      </c>
      <c r="C566" s="79" t="s">
        <v>49</v>
      </c>
      <c r="D566" s="79" t="s">
        <v>257</v>
      </c>
      <c r="E566" s="165" t="s">
        <v>46</v>
      </c>
      <c r="F566" s="163">
        <v>972</v>
      </c>
      <c r="G566" s="9" t="s">
        <v>50</v>
      </c>
      <c r="H566" s="3">
        <v>0</v>
      </c>
      <c r="I566" s="3">
        <v>0</v>
      </c>
      <c r="J566" s="3">
        <v>0</v>
      </c>
      <c r="K566" s="3">
        <v>0</v>
      </c>
      <c r="L566" s="105">
        <v>0.16796160000000002</v>
      </c>
    </row>
    <row r="567" spans="1:12" x14ac:dyDescent="0.3">
      <c r="A567" s="10">
        <v>2024</v>
      </c>
      <c r="B567" s="10" t="s">
        <v>146</v>
      </c>
      <c r="C567" s="79" t="s">
        <v>49</v>
      </c>
      <c r="D567" s="79" t="s">
        <v>261</v>
      </c>
      <c r="E567" s="165" t="s">
        <v>46</v>
      </c>
      <c r="F567" s="163">
        <v>194</v>
      </c>
      <c r="G567" s="9" t="s">
        <v>50</v>
      </c>
      <c r="H567" s="3">
        <v>0</v>
      </c>
      <c r="I567" s="3">
        <v>0</v>
      </c>
      <c r="J567" s="3">
        <v>0</v>
      </c>
      <c r="K567" s="3">
        <v>0</v>
      </c>
      <c r="L567" s="105">
        <v>3.3523200000000003E-2</v>
      </c>
    </row>
    <row r="568" spans="1:12" x14ac:dyDescent="0.3">
      <c r="A568" s="10">
        <v>2024</v>
      </c>
      <c r="B568" s="10" t="s">
        <v>146</v>
      </c>
      <c r="C568" s="79" t="s">
        <v>49</v>
      </c>
      <c r="D568" s="79" t="s">
        <v>262</v>
      </c>
      <c r="E568" s="165" t="s">
        <v>46</v>
      </c>
      <c r="F568" s="163">
        <v>98</v>
      </c>
      <c r="G568" s="9" t="s">
        <v>50</v>
      </c>
      <c r="H568" s="3">
        <v>0</v>
      </c>
      <c r="I568" s="3">
        <v>0</v>
      </c>
      <c r="J568" s="3">
        <v>0</v>
      </c>
      <c r="K568" s="3">
        <v>0</v>
      </c>
      <c r="L568" s="105">
        <v>1.6934399999999999E-2</v>
      </c>
    </row>
    <row r="569" spans="1:12" x14ac:dyDescent="0.3">
      <c r="A569" s="10">
        <v>2024</v>
      </c>
      <c r="B569" s="10" t="s">
        <v>146</v>
      </c>
      <c r="C569" s="79" t="s">
        <v>49</v>
      </c>
      <c r="D569" s="79" t="s">
        <v>263</v>
      </c>
      <c r="E569" s="165" t="s">
        <v>46</v>
      </c>
      <c r="F569" s="163">
        <v>43</v>
      </c>
      <c r="G569" s="9" t="s">
        <v>50</v>
      </c>
      <c r="H569" s="3">
        <v>0</v>
      </c>
      <c r="I569" s="3">
        <v>0</v>
      </c>
      <c r="J569" s="3">
        <v>0</v>
      </c>
      <c r="K569" s="3">
        <v>0</v>
      </c>
      <c r="L569" s="105">
        <v>7.4303999999999993E-3</v>
      </c>
    </row>
    <row r="570" spans="1:12" x14ac:dyDescent="0.3">
      <c r="A570" s="10">
        <v>2024</v>
      </c>
      <c r="B570" s="10" t="s">
        <v>146</v>
      </c>
      <c r="C570" s="79" t="s">
        <v>49</v>
      </c>
      <c r="D570" s="79" t="s">
        <v>264</v>
      </c>
      <c r="E570" s="165" t="s">
        <v>46</v>
      </c>
      <c r="F570" s="163">
        <v>66</v>
      </c>
      <c r="G570" s="9" t="s">
        <v>50</v>
      </c>
      <c r="H570" s="3">
        <v>0</v>
      </c>
      <c r="I570" s="3">
        <v>0</v>
      </c>
      <c r="J570" s="3">
        <v>0</v>
      </c>
      <c r="K570" s="3">
        <v>0</v>
      </c>
      <c r="L570" s="105">
        <v>1.1404800000000001E-2</v>
      </c>
    </row>
    <row r="571" spans="1:12" x14ac:dyDescent="0.3">
      <c r="A571" s="10">
        <v>2024</v>
      </c>
      <c r="B571" s="10" t="s">
        <v>146</v>
      </c>
      <c r="C571" s="79" t="s">
        <v>49</v>
      </c>
      <c r="D571" s="79" t="s">
        <v>265</v>
      </c>
      <c r="E571" s="165" t="s">
        <v>46</v>
      </c>
      <c r="F571" s="163">
        <v>70</v>
      </c>
      <c r="G571" s="9" t="s">
        <v>50</v>
      </c>
      <c r="H571" s="3">
        <v>0</v>
      </c>
      <c r="I571" s="3">
        <v>0</v>
      </c>
      <c r="J571" s="3">
        <v>0</v>
      </c>
      <c r="K571" s="3">
        <v>0</v>
      </c>
      <c r="L571" s="105">
        <v>1.2096000000000003E-2</v>
      </c>
    </row>
    <row r="572" spans="1:12" x14ac:dyDescent="0.3">
      <c r="A572" s="10">
        <v>2024</v>
      </c>
      <c r="B572" s="10" t="s">
        <v>146</v>
      </c>
      <c r="C572" s="79" t="s">
        <v>49</v>
      </c>
      <c r="D572" s="79" t="s">
        <v>266</v>
      </c>
      <c r="E572" s="165" t="s">
        <v>46</v>
      </c>
      <c r="F572" s="163">
        <v>86</v>
      </c>
      <c r="G572" s="9" t="s">
        <v>50</v>
      </c>
      <c r="H572" s="3">
        <v>0</v>
      </c>
      <c r="I572" s="3">
        <v>0</v>
      </c>
      <c r="J572" s="3">
        <v>0</v>
      </c>
      <c r="K572" s="3">
        <v>0</v>
      </c>
      <c r="L572" s="105">
        <v>1.4860799999999999E-2</v>
      </c>
    </row>
    <row r="573" spans="1:12" x14ac:dyDescent="0.3">
      <c r="A573" s="10">
        <v>2024</v>
      </c>
      <c r="B573" s="10" t="s">
        <v>146</v>
      </c>
      <c r="C573" s="79" t="s">
        <v>49</v>
      </c>
      <c r="D573" s="79" t="s">
        <v>267</v>
      </c>
      <c r="E573" s="165" t="s">
        <v>46</v>
      </c>
      <c r="F573" s="163">
        <v>73</v>
      </c>
      <c r="G573" s="9" t="s">
        <v>50</v>
      </c>
      <c r="H573" s="3">
        <v>0</v>
      </c>
      <c r="I573" s="3">
        <v>0</v>
      </c>
      <c r="J573" s="3">
        <v>0</v>
      </c>
      <c r="K573" s="3">
        <v>0</v>
      </c>
      <c r="L573" s="105">
        <v>1.26144E-2</v>
      </c>
    </row>
    <row r="574" spans="1:12" x14ac:dyDescent="0.3">
      <c r="A574" s="10">
        <v>2024</v>
      </c>
      <c r="B574" s="10" t="s">
        <v>146</v>
      </c>
      <c r="C574" s="79" t="s">
        <v>49</v>
      </c>
      <c r="D574" s="79" t="s">
        <v>268</v>
      </c>
      <c r="E574" s="165" t="s">
        <v>46</v>
      </c>
      <c r="F574" s="163">
        <v>53</v>
      </c>
      <c r="G574" s="9" t="s">
        <v>50</v>
      </c>
      <c r="H574" s="3">
        <v>0</v>
      </c>
      <c r="I574" s="3">
        <v>0</v>
      </c>
      <c r="J574" s="3">
        <v>0</v>
      </c>
      <c r="K574" s="3">
        <v>0</v>
      </c>
      <c r="L574" s="105">
        <v>9.1584000000000006E-3</v>
      </c>
    </row>
    <row r="575" spans="1:12" x14ac:dyDescent="0.3">
      <c r="A575" s="10">
        <v>2024</v>
      </c>
      <c r="B575" s="10" t="s">
        <v>146</v>
      </c>
      <c r="C575" s="79" t="s">
        <v>49</v>
      </c>
      <c r="D575" s="79" t="s">
        <v>269</v>
      </c>
      <c r="E575" s="165" t="s">
        <v>46</v>
      </c>
      <c r="F575" s="163">
        <v>61</v>
      </c>
      <c r="G575" s="9" t="s">
        <v>50</v>
      </c>
      <c r="H575" s="3">
        <v>0</v>
      </c>
      <c r="I575" s="3">
        <v>0</v>
      </c>
      <c r="J575" s="3">
        <v>0</v>
      </c>
      <c r="K575" s="3">
        <v>0</v>
      </c>
      <c r="L575" s="105">
        <v>1.0540800000000001E-2</v>
      </c>
    </row>
    <row r="576" spans="1:12" x14ac:dyDescent="0.3">
      <c r="A576" s="10">
        <v>2024</v>
      </c>
      <c r="B576" s="10" t="s">
        <v>146</v>
      </c>
      <c r="C576" s="79" t="s">
        <v>49</v>
      </c>
      <c r="D576" s="79" t="s">
        <v>273</v>
      </c>
      <c r="E576" s="165" t="s">
        <v>46</v>
      </c>
      <c r="F576" s="163">
        <v>508</v>
      </c>
      <c r="G576" s="9" t="s">
        <v>50</v>
      </c>
      <c r="H576" s="3">
        <v>0</v>
      </c>
      <c r="I576" s="3">
        <v>0</v>
      </c>
      <c r="J576" s="3">
        <v>0</v>
      </c>
      <c r="K576" s="3">
        <v>0</v>
      </c>
      <c r="L576" s="105">
        <v>8.778240000000001E-2</v>
      </c>
    </row>
    <row r="577" spans="1:12" x14ac:dyDescent="0.3">
      <c r="A577" s="10">
        <v>2024</v>
      </c>
      <c r="B577" s="10" t="s">
        <v>146</v>
      </c>
      <c r="C577" s="79" t="s">
        <v>49</v>
      </c>
      <c r="D577" s="79" t="s">
        <v>274</v>
      </c>
      <c r="E577" s="165" t="s">
        <v>46</v>
      </c>
      <c r="F577" s="163">
        <v>428</v>
      </c>
      <c r="G577" s="9" t="s">
        <v>50</v>
      </c>
      <c r="H577" s="3">
        <v>0</v>
      </c>
      <c r="I577" s="3">
        <v>0</v>
      </c>
      <c r="J577" s="3">
        <v>0</v>
      </c>
      <c r="K577" s="3">
        <v>0</v>
      </c>
      <c r="L577" s="105">
        <v>7.3958399999999994E-2</v>
      </c>
    </row>
    <row r="578" spans="1:12" x14ac:dyDescent="0.3">
      <c r="A578" s="10">
        <v>2024</v>
      </c>
      <c r="B578" s="10" t="s">
        <v>146</v>
      </c>
      <c r="C578" s="79" t="s">
        <v>49</v>
      </c>
      <c r="D578" s="79" t="s">
        <v>275</v>
      </c>
      <c r="E578" s="165" t="s">
        <v>46</v>
      </c>
      <c r="F578" s="163">
        <v>448</v>
      </c>
      <c r="G578" s="9" t="s">
        <v>50</v>
      </c>
      <c r="H578" s="3">
        <v>0</v>
      </c>
      <c r="I578" s="3">
        <v>0</v>
      </c>
      <c r="J578" s="3">
        <v>0</v>
      </c>
      <c r="K578" s="3">
        <v>0</v>
      </c>
      <c r="L578" s="105">
        <v>7.7414399999999994E-2</v>
      </c>
    </row>
    <row r="579" spans="1:12" x14ac:dyDescent="0.3">
      <c r="A579" s="10">
        <v>2024</v>
      </c>
      <c r="B579" s="10" t="s">
        <v>146</v>
      </c>
      <c r="C579" s="79" t="s">
        <v>49</v>
      </c>
      <c r="D579" s="79" t="s">
        <v>276</v>
      </c>
      <c r="E579" s="165" t="s">
        <v>46</v>
      </c>
      <c r="F579" s="163">
        <v>496</v>
      </c>
      <c r="G579" s="9" t="s">
        <v>50</v>
      </c>
      <c r="H579" s="3">
        <v>0</v>
      </c>
      <c r="I579" s="3">
        <v>0</v>
      </c>
      <c r="J579" s="3">
        <v>0</v>
      </c>
      <c r="K579" s="3">
        <v>0</v>
      </c>
      <c r="L579" s="105">
        <v>8.5708800000000016E-2</v>
      </c>
    </row>
    <row r="580" spans="1:12" x14ac:dyDescent="0.3">
      <c r="A580" s="10">
        <v>2024</v>
      </c>
      <c r="B580" s="10" t="s">
        <v>146</v>
      </c>
      <c r="C580" s="79" t="s">
        <v>49</v>
      </c>
      <c r="D580" s="79" t="s">
        <v>277</v>
      </c>
      <c r="E580" s="165" t="s">
        <v>46</v>
      </c>
      <c r="F580" s="163">
        <v>446</v>
      </c>
      <c r="G580" s="9" t="s">
        <v>50</v>
      </c>
      <c r="H580" s="3">
        <v>0</v>
      </c>
      <c r="I580" s="3">
        <v>0</v>
      </c>
      <c r="J580" s="3">
        <v>0</v>
      </c>
      <c r="K580" s="3">
        <v>0</v>
      </c>
      <c r="L580" s="105">
        <v>7.7068800000000007E-2</v>
      </c>
    </row>
    <row r="581" spans="1:12" x14ac:dyDescent="0.3">
      <c r="A581" s="10">
        <v>2024</v>
      </c>
      <c r="B581" s="10" t="s">
        <v>146</v>
      </c>
      <c r="C581" s="79" t="s">
        <v>49</v>
      </c>
      <c r="D581" s="79" t="s">
        <v>278</v>
      </c>
      <c r="E581" s="165" t="s">
        <v>46</v>
      </c>
      <c r="F581" s="163">
        <v>503</v>
      </c>
      <c r="G581" s="9" t="s">
        <v>50</v>
      </c>
      <c r="H581" s="3">
        <v>0</v>
      </c>
      <c r="I581" s="3">
        <v>0</v>
      </c>
      <c r="J581" s="3">
        <v>0</v>
      </c>
      <c r="K581" s="3">
        <v>0</v>
      </c>
      <c r="L581" s="105">
        <v>8.6918400000000007E-2</v>
      </c>
    </row>
    <row r="582" spans="1:12" x14ac:dyDescent="0.3">
      <c r="A582" s="10">
        <v>2024</v>
      </c>
      <c r="B582" s="10" t="s">
        <v>146</v>
      </c>
      <c r="C582" s="79" t="s">
        <v>49</v>
      </c>
      <c r="D582" s="79" t="s">
        <v>279</v>
      </c>
      <c r="E582" s="165" t="s">
        <v>46</v>
      </c>
      <c r="F582" s="163">
        <v>433</v>
      </c>
      <c r="G582" s="9" t="s">
        <v>50</v>
      </c>
      <c r="H582" s="3">
        <v>0</v>
      </c>
      <c r="I582" s="3">
        <v>0</v>
      </c>
      <c r="J582" s="3">
        <v>0</v>
      </c>
      <c r="K582" s="3">
        <v>0</v>
      </c>
      <c r="L582" s="105">
        <v>7.4822399999999997E-2</v>
      </c>
    </row>
    <row r="583" spans="1:12" x14ac:dyDescent="0.3">
      <c r="A583" s="10">
        <v>2024</v>
      </c>
      <c r="B583" s="10" t="s">
        <v>146</v>
      </c>
      <c r="C583" s="79" t="s">
        <v>49</v>
      </c>
      <c r="D583" s="79" t="s">
        <v>280</v>
      </c>
      <c r="E583" s="165" t="s">
        <v>46</v>
      </c>
      <c r="F583" s="163">
        <v>407</v>
      </c>
      <c r="G583" s="9" t="s">
        <v>50</v>
      </c>
      <c r="H583" s="3">
        <v>0</v>
      </c>
      <c r="I583" s="3">
        <v>0</v>
      </c>
      <c r="J583" s="3">
        <v>0</v>
      </c>
      <c r="K583" s="3">
        <v>0</v>
      </c>
      <c r="L583" s="105">
        <v>7.0329600000000006E-2</v>
      </c>
    </row>
    <row r="584" spans="1:12" x14ac:dyDescent="0.3">
      <c r="A584" s="10">
        <v>2024</v>
      </c>
      <c r="B584" s="10" t="s">
        <v>146</v>
      </c>
      <c r="C584" s="79" t="s">
        <v>49</v>
      </c>
      <c r="D584" s="79" t="s">
        <v>281</v>
      </c>
      <c r="E584" s="165" t="s">
        <v>46</v>
      </c>
      <c r="F584" s="163">
        <v>444</v>
      </c>
      <c r="G584" s="9" t="s">
        <v>50</v>
      </c>
      <c r="H584" s="3">
        <v>0</v>
      </c>
      <c r="I584" s="3">
        <v>0</v>
      </c>
      <c r="J584" s="3">
        <v>0</v>
      </c>
      <c r="K584" s="3">
        <v>0</v>
      </c>
      <c r="L584" s="105">
        <v>7.6723200000000005E-2</v>
      </c>
    </row>
    <row r="585" spans="1:12" x14ac:dyDescent="0.3">
      <c r="A585" s="10">
        <v>2024</v>
      </c>
      <c r="B585" s="10" t="s">
        <v>146</v>
      </c>
      <c r="C585" s="79" t="s">
        <v>49</v>
      </c>
      <c r="D585" s="79" t="s">
        <v>285</v>
      </c>
      <c r="E585" s="165" t="s">
        <v>46</v>
      </c>
      <c r="F585" s="163">
        <v>826</v>
      </c>
      <c r="G585" s="9" t="s">
        <v>50</v>
      </c>
      <c r="H585" s="3">
        <v>0</v>
      </c>
      <c r="I585" s="3">
        <v>0</v>
      </c>
      <c r="J585" s="3">
        <v>0</v>
      </c>
      <c r="K585" s="3">
        <v>0</v>
      </c>
      <c r="L585" s="105">
        <v>0.14273279999999999</v>
      </c>
    </row>
    <row r="586" spans="1:12" x14ac:dyDescent="0.3">
      <c r="A586" s="10">
        <v>2024</v>
      </c>
      <c r="B586" s="10" t="s">
        <v>146</v>
      </c>
      <c r="C586" s="79" t="s">
        <v>49</v>
      </c>
      <c r="D586" s="79" t="s">
        <v>286</v>
      </c>
      <c r="E586" s="165" t="s">
        <v>46</v>
      </c>
      <c r="F586" s="163">
        <v>627</v>
      </c>
      <c r="G586" s="9" t="s">
        <v>50</v>
      </c>
      <c r="H586" s="3">
        <v>0</v>
      </c>
      <c r="I586" s="3">
        <v>0</v>
      </c>
      <c r="J586" s="3">
        <v>0</v>
      </c>
      <c r="K586" s="3">
        <v>0</v>
      </c>
      <c r="L586" s="105">
        <v>0.1083456</v>
      </c>
    </row>
    <row r="587" spans="1:12" x14ac:dyDescent="0.3">
      <c r="A587" s="10">
        <v>2024</v>
      </c>
      <c r="B587" s="10" t="s">
        <v>146</v>
      </c>
      <c r="C587" s="79" t="s">
        <v>49</v>
      </c>
      <c r="D587" s="79" t="s">
        <v>287</v>
      </c>
      <c r="E587" s="165" t="s">
        <v>46</v>
      </c>
      <c r="F587" s="163">
        <v>709</v>
      </c>
      <c r="G587" s="9" t="s">
        <v>50</v>
      </c>
      <c r="H587" s="3">
        <v>0</v>
      </c>
      <c r="I587" s="3">
        <v>0</v>
      </c>
      <c r="J587" s="3">
        <v>0</v>
      </c>
      <c r="K587" s="3">
        <v>0</v>
      </c>
      <c r="L587" s="105">
        <v>0.1225152</v>
      </c>
    </row>
    <row r="588" spans="1:12" x14ac:dyDescent="0.3">
      <c r="A588" s="10">
        <v>2024</v>
      </c>
      <c r="B588" s="10" t="s">
        <v>146</v>
      </c>
      <c r="C588" s="79" t="s">
        <v>49</v>
      </c>
      <c r="D588" s="79" t="s">
        <v>288</v>
      </c>
      <c r="E588" s="165" t="s">
        <v>46</v>
      </c>
      <c r="F588" s="163">
        <v>778</v>
      </c>
      <c r="G588" s="9" t="s">
        <v>50</v>
      </c>
      <c r="H588" s="3">
        <v>0</v>
      </c>
      <c r="I588" s="3">
        <v>0</v>
      </c>
      <c r="J588" s="3">
        <v>0</v>
      </c>
      <c r="K588" s="3">
        <v>0</v>
      </c>
      <c r="L588" s="105">
        <v>0.13443840000000001</v>
      </c>
    </row>
    <row r="589" spans="1:12" x14ac:dyDescent="0.3">
      <c r="A589" s="10">
        <v>2024</v>
      </c>
      <c r="B589" s="10" t="s">
        <v>146</v>
      </c>
      <c r="C589" s="79" t="s">
        <v>49</v>
      </c>
      <c r="D589" s="79" t="s">
        <v>289</v>
      </c>
      <c r="E589" s="165" t="s">
        <v>46</v>
      </c>
      <c r="F589" s="163">
        <v>738</v>
      </c>
      <c r="G589" s="9" t="s">
        <v>50</v>
      </c>
      <c r="H589" s="3">
        <v>0</v>
      </c>
      <c r="I589" s="3">
        <v>0</v>
      </c>
      <c r="J589" s="3">
        <v>0</v>
      </c>
      <c r="K589" s="3">
        <v>0</v>
      </c>
      <c r="L589" s="105">
        <v>0.12752640000000001</v>
      </c>
    </row>
    <row r="590" spans="1:12" x14ac:dyDescent="0.3">
      <c r="A590" s="10">
        <v>2024</v>
      </c>
      <c r="B590" s="10" t="s">
        <v>146</v>
      </c>
      <c r="C590" s="79" t="s">
        <v>49</v>
      </c>
      <c r="D590" s="79" t="s">
        <v>290</v>
      </c>
      <c r="E590" s="165" t="s">
        <v>46</v>
      </c>
      <c r="F590" s="163">
        <v>810</v>
      </c>
      <c r="G590" s="9" t="s">
        <v>50</v>
      </c>
      <c r="H590" s="3">
        <v>0</v>
      </c>
      <c r="I590" s="3">
        <v>0</v>
      </c>
      <c r="J590" s="3">
        <v>0</v>
      </c>
      <c r="K590" s="3">
        <v>0</v>
      </c>
      <c r="L590" s="105">
        <v>0.13996800000000001</v>
      </c>
    </row>
    <row r="591" spans="1:12" x14ac:dyDescent="0.3">
      <c r="A591" s="10">
        <v>2024</v>
      </c>
      <c r="B591" s="10" t="s">
        <v>146</v>
      </c>
      <c r="C591" s="79" t="s">
        <v>49</v>
      </c>
      <c r="D591" s="79" t="s">
        <v>291</v>
      </c>
      <c r="E591" s="165" t="s">
        <v>46</v>
      </c>
      <c r="F591" s="163">
        <v>663</v>
      </c>
      <c r="G591" s="9" t="s">
        <v>50</v>
      </c>
      <c r="H591" s="3">
        <v>0</v>
      </c>
      <c r="I591" s="3">
        <v>0</v>
      </c>
      <c r="J591" s="3">
        <v>0</v>
      </c>
      <c r="K591" s="3">
        <v>0</v>
      </c>
      <c r="L591" s="105">
        <v>0.11456640000000001</v>
      </c>
    </row>
    <row r="592" spans="1:12" x14ac:dyDescent="0.3">
      <c r="A592" s="10">
        <v>2024</v>
      </c>
      <c r="B592" s="10" t="s">
        <v>146</v>
      </c>
      <c r="C592" s="79" t="s">
        <v>49</v>
      </c>
      <c r="D592" s="79" t="s">
        <v>292</v>
      </c>
      <c r="E592" s="165" t="s">
        <v>46</v>
      </c>
      <c r="F592" s="163">
        <v>653</v>
      </c>
      <c r="G592" s="9" t="s">
        <v>50</v>
      </c>
      <c r="H592" s="3">
        <v>0</v>
      </c>
      <c r="I592" s="3">
        <v>0</v>
      </c>
      <c r="J592" s="3">
        <v>0</v>
      </c>
      <c r="K592" s="3">
        <v>0</v>
      </c>
      <c r="L592" s="105">
        <v>0.11283840000000001</v>
      </c>
    </row>
    <row r="593" spans="1:12" x14ac:dyDescent="0.3">
      <c r="A593" s="10">
        <v>2024</v>
      </c>
      <c r="B593" s="10" t="s">
        <v>146</v>
      </c>
      <c r="C593" s="79" t="s">
        <v>49</v>
      </c>
      <c r="D593" s="79" t="s">
        <v>293</v>
      </c>
      <c r="E593" s="165" t="s">
        <v>46</v>
      </c>
      <c r="F593" s="163">
        <v>739</v>
      </c>
      <c r="G593" s="9" t="s">
        <v>50</v>
      </c>
      <c r="H593" s="3">
        <v>0</v>
      </c>
      <c r="I593" s="3">
        <v>0</v>
      </c>
      <c r="J593" s="3">
        <v>0</v>
      </c>
      <c r="K593" s="3">
        <v>0</v>
      </c>
      <c r="L593" s="105">
        <v>0.12769920000000001</v>
      </c>
    </row>
    <row r="594" spans="1:12" x14ac:dyDescent="0.3">
      <c r="A594" s="10">
        <v>2024</v>
      </c>
      <c r="B594" s="10" t="s">
        <v>146</v>
      </c>
      <c r="C594" s="79" t="s">
        <v>49</v>
      </c>
      <c r="D594" s="79" t="s">
        <v>297</v>
      </c>
      <c r="E594" s="165" t="s">
        <v>46</v>
      </c>
      <c r="F594" s="163">
        <v>232</v>
      </c>
      <c r="G594" s="9" t="s">
        <v>50</v>
      </c>
      <c r="H594" s="3">
        <v>0</v>
      </c>
      <c r="I594" s="3">
        <v>0</v>
      </c>
      <c r="J594" s="3">
        <v>0</v>
      </c>
      <c r="K594" s="3">
        <v>0</v>
      </c>
      <c r="L594" s="105">
        <v>4.0089600000000003E-2</v>
      </c>
    </row>
    <row r="595" spans="1:12" x14ac:dyDescent="0.3">
      <c r="A595" s="10">
        <v>2024</v>
      </c>
      <c r="B595" s="10" t="s">
        <v>146</v>
      </c>
      <c r="C595" s="79" t="s">
        <v>49</v>
      </c>
      <c r="D595" s="79" t="s">
        <v>298</v>
      </c>
      <c r="E595" s="165" t="s">
        <v>46</v>
      </c>
      <c r="F595" s="163">
        <v>213</v>
      </c>
      <c r="G595" s="9" t="s">
        <v>50</v>
      </c>
      <c r="H595" s="3">
        <v>0</v>
      </c>
      <c r="I595" s="3">
        <v>0</v>
      </c>
      <c r="J595" s="3">
        <v>0</v>
      </c>
      <c r="K595" s="3">
        <v>0</v>
      </c>
      <c r="L595" s="105">
        <v>3.6806400000000003E-2</v>
      </c>
    </row>
    <row r="596" spans="1:12" x14ac:dyDescent="0.3">
      <c r="A596" s="10">
        <v>2024</v>
      </c>
      <c r="B596" s="10" t="s">
        <v>146</v>
      </c>
      <c r="C596" s="79" t="s">
        <v>49</v>
      </c>
      <c r="D596" s="79" t="s">
        <v>299</v>
      </c>
      <c r="E596" s="165" t="s">
        <v>46</v>
      </c>
      <c r="F596" s="163">
        <v>303</v>
      </c>
      <c r="G596" s="9" t="s">
        <v>50</v>
      </c>
      <c r="H596" s="3">
        <v>0</v>
      </c>
      <c r="I596" s="3">
        <v>0</v>
      </c>
      <c r="J596" s="3">
        <v>0</v>
      </c>
      <c r="K596" s="3">
        <v>0</v>
      </c>
      <c r="L596" s="105">
        <v>5.2358400000000006E-2</v>
      </c>
    </row>
    <row r="597" spans="1:12" x14ac:dyDescent="0.3">
      <c r="A597" s="10">
        <v>2024</v>
      </c>
      <c r="B597" s="10" t="s">
        <v>146</v>
      </c>
      <c r="C597" s="79" t="s">
        <v>49</v>
      </c>
      <c r="D597" s="79" t="s">
        <v>300</v>
      </c>
      <c r="E597" s="165" t="s">
        <v>46</v>
      </c>
      <c r="F597" s="163">
        <v>303</v>
      </c>
      <c r="G597" s="9" t="s">
        <v>50</v>
      </c>
      <c r="H597" s="3">
        <v>0</v>
      </c>
      <c r="I597" s="3">
        <v>0</v>
      </c>
      <c r="J597" s="3">
        <v>0</v>
      </c>
      <c r="K597" s="3">
        <v>0</v>
      </c>
      <c r="L597" s="105">
        <v>5.2358400000000006E-2</v>
      </c>
    </row>
    <row r="598" spans="1:12" x14ac:dyDescent="0.3">
      <c r="A598" s="10">
        <v>2024</v>
      </c>
      <c r="B598" s="10" t="s">
        <v>146</v>
      </c>
      <c r="C598" s="79" t="s">
        <v>49</v>
      </c>
      <c r="D598" s="79" t="s">
        <v>301</v>
      </c>
      <c r="E598" s="165" t="s">
        <v>46</v>
      </c>
      <c r="F598" s="163">
        <v>646</v>
      </c>
      <c r="G598" s="9" t="s">
        <v>50</v>
      </c>
      <c r="H598" s="3">
        <v>0</v>
      </c>
      <c r="I598" s="3">
        <v>0</v>
      </c>
      <c r="J598" s="3">
        <v>0</v>
      </c>
      <c r="K598" s="3">
        <v>0</v>
      </c>
      <c r="L598" s="105">
        <v>0.11162880000000001</v>
      </c>
    </row>
    <row r="599" spans="1:12" x14ac:dyDescent="0.3">
      <c r="A599" s="10">
        <v>2024</v>
      </c>
      <c r="B599" s="10" t="s">
        <v>146</v>
      </c>
      <c r="C599" s="79" t="s">
        <v>49</v>
      </c>
      <c r="D599" s="79" t="s">
        <v>302</v>
      </c>
      <c r="E599" s="165" t="s">
        <v>46</v>
      </c>
      <c r="F599" s="163">
        <v>822</v>
      </c>
      <c r="G599" s="9" t="s">
        <v>50</v>
      </c>
      <c r="H599" s="3">
        <v>0</v>
      </c>
      <c r="I599" s="3">
        <v>0</v>
      </c>
      <c r="J599" s="3">
        <v>0</v>
      </c>
      <c r="K599" s="3">
        <v>0</v>
      </c>
      <c r="L599" s="105">
        <v>0.14204159999999999</v>
      </c>
    </row>
    <row r="600" spans="1:12" x14ac:dyDescent="0.3">
      <c r="A600" s="10">
        <v>2024</v>
      </c>
      <c r="B600" s="10" t="s">
        <v>146</v>
      </c>
      <c r="C600" s="79" t="s">
        <v>49</v>
      </c>
      <c r="D600" s="79" t="s">
        <v>303</v>
      </c>
      <c r="E600" s="165" t="s">
        <v>46</v>
      </c>
      <c r="F600" s="163">
        <v>631</v>
      </c>
      <c r="G600" s="9" t="s">
        <v>50</v>
      </c>
      <c r="H600" s="3">
        <v>0</v>
      </c>
      <c r="I600" s="3">
        <v>0</v>
      </c>
      <c r="J600" s="3">
        <v>0</v>
      </c>
      <c r="K600" s="3">
        <v>0</v>
      </c>
      <c r="L600" s="105">
        <v>0.10903680000000002</v>
      </c>
    </row>
    <row r="601" spans="1:12" x14ac:dyDescent="0.3">
      <c r="A601" s="10">
        <v>2024</v>
      </c>
      <c r="B601" s="10" t="s">
        <v>146</v>
      </c>
      <c r="C601" s="79" t="s">
        <v>49</v>
      </c>
      <c r="D601" s="79" t="s">
        <v>304</v>
      </c>
      <c r="E601" s="165" t="s">
        <v>46</v>
      </c>
      <c r="F601" s="163">
        <v>689</v>
      </c>
      <c r="G601" s="9" t="s">
        <v>50</v>
      </c>
      <c r="H601" s="3">
        <v>0</v>
      </c>
      <c r="I601" s="3">
        <v>0</v>
      </c>
      <c r="J601" s="3">
        <v>0</v>
      </c>
      <c r="K601" s="3">
        <v>0</v>
      </c>
      <c r="L601" s="105">
        <v>0.1190592</v>
      </c>
    </row>
    <row r="602" spans="1:12" x14ac:dyDescent="0.3">
      <c r="A602" s="10">
        <v>2024</v>
      </c>
      <c r="B602" s="10" t="s">
        <v>146</v>
      </c>
      <c r="C602" s="79" t="s">
        <v>49</v>
      </c>
      <c r="D602" s="79" t="s">
        <v>305</v>
      </c>
      <c r="E602" s="165" t="s">
        <v>46</v>
      </c>
      <c r="F602" s="163">
        <v>716</v>
      </c>
      <c r="G602" s="9" t="s">
        <v>50</v>
      </c>
      <c r="H602" s="3">
        <v>0</v>
      </c>
      <c r="I602" s="3">
        <v>0</v>
      </c>
      <c r="J602" s="3">
        <v>0</v>
      </c>
      <c r="K602" s="3">
        <v>0</v>
      </c>
      <c r="L602" s="105">
        <v>0.1237248</v>
      </c>
    </row>
    <row r="603" spans="1:12" x14ac:dyDescent="0.3">
      <c r="A603" s="10">
        <v>2024</v>
      </c>
      <c r="B603" s="10" t="s">
        <v>146</v>
      </c>
      <c r="C603" s="79" t="s">
        <v>49</v>
      </c>
      <c r="D603" s="79" t="s">
        <v>309</v>
      </c>
      <c r="E603" s="165" t="s">
        <v>46</v>
      </c>
      <c r="F603" s="163">
        <v>120</v>
      </c>
      <c r="G603" s="9" t="s">
        <v>50</v>
      </c>
      <c r="H603" s="3">
        <v>0</v>
      </c>
      <c r="I603" s="3">
        <v>0</v>
      </c>
      <c r="J603" s="3">
        <v>0</v>
      </c>
      <c r="K603" s="3">
        <v>0</v>
      </c>
      <c r="L603" s="105">
        <v>2.0736000000000001E-2</v>
      </c>
    </row>
    <row r="604" spans="1:12" x14ac:dyDescent="0.3">
      <c r="A604" s="10">
        <v>2024</v>
      </c>
      <c r="B604" s="10" t="s">
        <v>146</v>
      </c>
      <c r="C604" s="79" t="s">
        <v>49</v>
      </c>
      <c r="D604" s="79" t="s">
        <v>310</v>
      </c>
      <c r="E604" s="165" t="s">
        <v>46</v>
      </c>
      <c r="F604" s="163">
        <v>111</v>
      </c>
      <c r="G604" s="9" t="s">
        <v>50</v>
      </c>
      <c r="H604" s="3">
        <v>0</v>
      </c>
      <c r="I604" s="3">
        <v>0</v>
      </c>
      <c r="J604" s="3">
        <v>0</v>
      </c>
      <c r="K604" s="3">
        <v>0</v>
      </c>
      <c r="L604" s="105">
        <v>1.9180800000000001E-2</v>
      </c>
    </row>
    <row r="605" spans="1:12" x14ac:dyDescent="0.3">
      <c r="A605" s="10">
        <v>2024</v>
      </c>
      <c r="B605" s="10" t="s">
        <v>146</v>
      </c>
      <c r="C605" s="79" t="s">
        <v>49</v>
      </c>
      <c r="D605" s="79" t="s">
        <v>311</v>
      </c>
      <c r="E605" s="165" t="s">
        <v>46</v>
      </c>
      <c r="F605" s="163">
        <v>126</v>
      </c>
      <c r="G605" s="9" t="s">
        <v>50</v>
      </c>
      <c r="H605" s="3">
        <v>0</v>
      </c>
      <c r="I605" s="3">
        <v>0</v>
      </c>
      <c r="J605" s="3">
        <v>0</v>
      </c>
      <c r="K605" s="3">
        <v>0</v>
      </c>
      <c r="L605" s="105">
        <v>2.1772800000000002E-2</v>
      </c>
    </row>
    <row r="606" spans="1:12" x14ac:dyDescent="0.3">
      <c r="A606" s="10">
        <v>2024</v>
      </c>
      <c r="B606" s="10" t="s">
        <v>146</v>
      </c>
      <c r="C606" s="79" t="s">
        <v>49</v>
      </c>
      <c r="D606" s="79" t="s">
        <v>312</v>
      </c>
      <c r="E606" s="165" t="s">
        <v>46</v>
      </c>
      <c r="F606" s="163">
        <v>119</v>
      </c>
      <c r="G606" s="9" t="s">
        <v>50</v>
      </c>
      <c r="H606" s="3">
        <v>0</v>
      </c>
      <c r="I606" s="3">
        <v>0</v>
      </c>
      <c r="J606" s="3">
        <v>0</v>
      </c>
      <c r="K606" s="3">
        <v>0</v>
      </c>
      <c r="L606" s="105">
        <v>2.05632E-2</v>
      </c>
    </row>
    <row r="607" spans="1:12" x14ac:dyDescent="0.3">
      <c r="A607" s="10">
        <v>2024</v>
      </c>
      <c r="B607" s="10" t="s">
        <v>146</v>
      </c>
      <c r="C607" s="79" t="s">
        <v>49</v>
      </c>
      <c r="D607" s="79" t="s">
        <v>313</v>
      </c>
      <c r="E607" s="165" t="s">
        <v>46</v>
      </c>
      <c r="F607" s="163">
        <v>110</v>
      </c>
      <c r="G607" s="9" t="s">
        <v>50</v>
      </c>
      <c r="H607" s="3">
        <v>0</v>
      </c>
      <c r="I607" s="3">
        <v>0</v>
      </c>
      <c r="J607" s="3">
        <v>0</v>
      </c>
      <c r="K607" s="3">
        <v>0</v>
      </c>
      <c r="L607" s="105">
        <v>1.9008000000000004E-2</v>
      </c>
    </row>
    <row r="608" spans="1:12" x14ac:dyDescent="0.3">
      <c r="A608" s="10">
        <v>2024</v>
      </c>
      <c r="B608" s="10" t="s">
        <v>146</v>
      </c>
      <c r="C608" s="79" t="s">
        <v>49</v>
      </c>
      <c r="D608" s="79" t="s">
        <v>314</v>
      </c>
      <c r="E608" s="165" t="s">
        <v>46</v>
      </c>
      <c r="F608" s="163">
        <v>102</v>
      </c>
      <c r="G608" s="9" t="s">
        <v>50</v>
      </c>
      <c r="H608" s="3">
        <v>0</v>
      </c>
      <c r="I608" s="3">
        <v>0</v>
      </c>
      <c r="J608" s="3">
        <v>0</v>
      </c>
      <c r="K608" s="3">
        <v>0</v>
      </c>
      <c r="L608" s="105">
        <v>1.7625599999999998E-2</v>
      </c>
    </row>
    <row r="609" spans="1:12" x14ac:dyDescent="0.3">
      <c r="A609" s="10">
        <v>2024</v>
      </c>
      <c r="B609" s="10" t="s">
        <v>146</v>
      </c>
      <c r="C609" s="79" t="s">
        <v>49</v>
      </c>
      <c r="D609" s="79" t="s">
        <v>315</v>
      </c>
      <c r="E609" s="165" t="s">
        <v>46</v>
      </c>
      <c r="F609" s="163">
        <v>90</v>
      </c>
      <c r="G609" s="9" t="s">
        <v>50</v>
      </c>
      <c r="H609" s="3">
        <v>0</v>
      </c>
      <c r="I609" s="3">
        <v>0</v>
      </c>
      <c r="J609" s="3">
        <v>0</v>
      </c>
      <c r="K609" s="3">
        <v>0</v>
      </c>
      <c r="L609" s="105">
        <v>1.5552E-2</v>
      </c>
    </row>
    <row r="610" spans="1:12" x14ac:dyDescent="0.3">
      <c r="A610" s="10">
        <v>2024</v>
      </c>
      <c r="B610" s="10" t="s">
        <v>146</v>
      </c>
      <c r="C610" s="79" t="s">
        <v>49</v>
      </c>
      <c r="D610" s="79" t="s">
        <v>316</v>
      </c>
      <c r="E610" s="165" t="s">
        <v>46</v>
      </c>
      <c r="F610" s="163">
        <v>90</v>
      </c>
      <c r="G610" s="9" t="s">
        <v>50</v>
      </c>
      <c r="H610" s="3">
        <v>0</v>
      </c>
      <c r="I610" s="3">
        <v>0</v>
      </c>
      <c r="J610" s="3">
        <v>0</v>
      </c>
      <c r="K610" s="3">
        <v>0</v>
      </c>
      <c r="L610" s="105">
        <v>1.5552E-2</v>
      </c>
    </row>
    <row r="611" spans="1:12" x14ac:dyDescent="0.3">
      <c r="A611" s="10">
        <v>2024</v>
      </c>
      <c r="B611" s="10" t="s">
        <v>146</v>
      </c>
      <c r="C611" s="79" t="s">
        <v>49</v>
      </c>
      <c r="D611" s="79" t="s">
        <v>317</v>
      </c>
      <c r="E611" s="165" t="s">
        <v>46</v>
      </c>
      <c r="F611" s="163">
        <v>97</v>
      </c>
      <c r="G611" s="9" t="s">
        <v>50</v>
      </c>
      <c r="H611" s="3">
        <v>0</v>
      </c>
      <c r="I611" s="3">
        <v>0</v>
      </c>
      <c r="J611" s="3">
        <v>0</v>
      </c>
      <c r="K611" s="3">
        <v>0</v>
      </c>
      <c r="L611" s="105">
        <v>1.6761600000000001E-2</v>
      </c>
    </row>
    <row r="612" spans="1:12" x14ac:dyDescent="0.3">
      <c r="A612" s="10">
        <v>2024</v>
      </c>
      <c r="B612" s="10" t="s">
        <v>146</v>
      </c>
      <c r="C612" s="79" t="s">
        <v>49</v>
      </c>
      <c r="D612" s="79" t="s">
        <v>237</v>
      </c>
      <c r="E612" s="165" t="s">
        <v>20</v>
      </c>
      <c r="F612" s="162">
        <v>1779</v>
      </c>
      <c r="G612" s="9" t="s">
        <v>50</v>
      </c>
      <c r="H612" s="3">
        <v>0</v>
      </c>
      <c r="I612" s="3">
        <v>0</v>
      </c>
      <c r="J612" s="3">
        <v>0</v>
      </c>
      <c r="K612" s="3">
        <v>0</v>
      </c>
      <c r="L612" s="105">
        <v>0.3074112</v>
      </c>
    </row>
    <row r="613" spans="1:12" x14ac:dyDescent="0.3">
      <c r="A613" s="10">
        <v>2024</v>
      </c>
      <c r="B613" s="10" t="s">
        <v>146</v>
      </c>
      <c r="C613" s="79" t="s">
        <v>49</v>
      </c>
      <c r="D613" s="79" t="s">
        <v>238</v>
      </c>
      <c r="E613" s="165" t="s">
        <v>20</v>
      </c>
      <c r="F613" s="162">
        <v>1841</v>
      </c>
      <c r="G613" s="9" t="s">
        <v>50</v>
      </c>
      <c r="H613" s="3">
        <v>0</v>
      </c>
      <c r="I613" s="3">
        <v>0</v>
      </c>
      <c r="J613" s="3">
        <v>0</v>
      </c>
      <c r="K613" s="3">
        <v>0</v>
      </c>
      <c r="L613" s="105">
        <v>0.31812479999999999</v>
      </c>
    </row>
    <row r="614" spans="1:12" x14ac:dyDescent="0.3">
      <c r="A614" s="10">
        <v>2024</v>
      </c>
      <c r="B614" s="10" t="s">
        <v>146</v>
      </c>
      <c r="C614" s="79" t="s">
        <v>49</v>
      </c>
      <c r="D614" s="79" t="s">
        <v>239</v>
      </c>
      <c r="E614" s="165" t="s">
        <v>20</v>
      </c>
      <c r="F614" s="162">
        <v>1931</v>
      </c>
      <c r="G614" s="9" t="s">
        <v>50</v>
      </c>
      <c r="H614" s="3">
        <v>0</v>
      </c>
      <c r="I614" s="3">
        <v>0</v>
      </c>
      <c r="J614" s="3">
        <v>0</v>
      </c>
      <c r="K614" s="3">
        <v>0</v>
      </c>
      <c r="L614" s="105">
        <v>0.3336768</v>
      </c>
    </row>
    <row r="615" spans="1:12" x14ac:dyDescent="0.3">
      <c r="A615" s="10">
        <v>2024</v>
      </c>
      <c r="B615" s="10" t="s">
        <v>146</v>
      </c>
      <c r="C615" s="79" t="s">
        <v>49</v>
      </c>
      <c r="D615" s="79" t="s">
        <v>240</v>
      </c>
      <c r="E615" s="165" t="s">
        <v>20</v>
      </c>
      <c r="F615" s="162">
        <v>2182</v>
      </c>
      <c r="G615" s="9" t="s">
        <v>50</v>
      </c>
      <c r="H615" s="3">
        <v>0</v>
      </c>
      <c r="I615" s="3">
        <v>0</v>
      </c>
      <c r="J615" s="3">
        <v>0</v>
      </c>
      <c r="K615" s="3">
        <v>0</v>
      </c>
      <c r="L615" s="105">
        <v>0.37704959999999998</v>
      </c>
    </row>
    <row r="616" spans="1:12" x14ac:dyDescent="0.3">
      <c r="A616" s="10">
        <v>2024</v>
      </c>
      <c r="B616" s="10" t="s">
        <v>146</v>
      </c>
      <c r="C616" s="79" t="s">
        <v>49</v>
      </c>
      <c r="D616" s="79" t="s">
        <v>241</v>
      </c>
      <c r="E616" s="165" t="s">
        <v>20</v>
      </c>
      <c r="F616" s="162">
        <v>2152</v>
      </c>
      <c r="G616" s="9" t="s">
        <v>50</v>
      </c>
      <c r="H616" s="3">
        <v>0</v>
      </c>
      <c r="I616" s="3">
        <v>0</v>
      </c>
      <c r="J616" s="3">
        <v>0</v>
      </c>
      <c r="K616" s="3">
        <v>0</v>
      </c>
      <c r="L616" s="105">
        <v>0.37186560000000002</v>
      </c>
    </row>
    <row r="617" spans="1:12" x14ac:dyDescent="0.3">
      <c r="A617" s="10">
        <v>2024</v>
      </c>
      <c r="B617" s="10" t="s">
        <v>146</v>
      </c>
      <c r="C617" s="79" t="s">
        <v>49</v>
      </c>
      <c r="D617" s="79" t="s">
        <v>242</v>
      </c>
      <c r="E617" s="165" t="s">
        <v>20</v>
      </c>
      <c r="F617" s="162">
        <v>2195</v>
      </c>
      <c r="G617" s="9" t="s">
        <v>50</v>
      </c>
      <c r="H617" s="3">
        <v>0</v>
      </c>
      <c r="I617" s="3">
        <v>0</v>
      </c>
      <c r="J617" s="3">
        <v>0</v>
      </c>
      <c r="K617" s="3">
        <v>0</v>
      </c>
      <c r="L617" s="105">
        <v>0.37929599999999997</v>
      </c>
    </row>
    <row r="618" spans="1:12" x14ac:dyDescent="0.3">
      <c r="A618" s="10">
        <v>2024</v>
      </c>
      <c r="B618" s="10" t="s">
        <v>146</v>
      </c>
      <c r="C618" s="79" t="s">
        <v>49</v>
      </c>
      <c r="D618" s="79" t="s">
        <v>243</v>
      </c>
      <c r="E618" s="165" t="s">
        <v>20</v>
      </c>
      <c r="F618" s="162">
        <v>1784</v>
      </c>
      <c r="G618" s="9" t="s">
        <v>50</v>
      </c>
      <c r="H618" s="3">
        <v>0</v>
      </c>
      <c r="I618" s="3">
        <v>0</v>
      </c>
      <c r="J618" s="3">
        <v>0</v>
      </c>
      <c r="K618" s="3">
        <v>0</v>
      </c>
      <c r="L618" s="105">
        <v>0.30827520000000003</v>
      </c>
    </row>
    <row r="619" spans="1:12" x14ac:dyDescent="0.3">
      <c r="A619" s="10">
        <v>2024</v>
      </c>
      <c r="B619" s="10" t="s">
        <v>146</v>
      </c>
      <c r="C619" s="79" t="s">
        <v>49</v>
      </c>
      <c r="D619" s="79" t="s">
        <v>244</v>
      </c>
      <c r="E619" s="165" t="s">
        <v>20</v>
      </c>
      <c r="F619" s="162">
        <v>1854</v>
      </c>
      <c r="G619" s="9" t="s">
        <v>50</v>
      </c>
      <c r="H619" s="3">
        <v>0</v>
      </c>
      <c r="I619" s="3">
        <v>0</v>
      </c>
      <c r="J619" s="3">
        <v>0</v>
      </c>
      <c r="K619" s="3">
        <v>0</v>
      </c>
      <c r="L619" s="105">
        <v>0.32037120000000002</v>
      </c>
    </row>
    <row r="620" spans="1:12" x14ac:dyDescent="0.3">
      <c r="A620" s="10">
        <v>2024</v>
      </c>
      <c r="B620" s="10" t="s">
        <v>146</v>
      </c>
      <c r="C620" s="79" t="s">
        <v>49</v>
      </c>
      <c r="D620" s="79" t="s">
        <v>245</v>
      </c>
      <c r="E620" s="165" t="s">
        <v>20</v>
      </c>
      <c r="F620" s="162">
        <v>2000</v>
      </c>
      <c r="G620" s="9" t="s">
        <v>50</v>
      </c>
      <c r="H620" s="3">
        <v>0</v>
      </c>
      <c r="I620" s="3">
        <v>0</v>
      </c>
      <c r="J620" s="3">
        <v>0</v>
      </c>
      <c r="K620" s="3">
        <v>0</v>
      </c>
      <c r="L620" s="105">
        <v>0.34560000000000002</v>
      </c>
    </row>
    <row r="621" spans="1:12" x14ac:dyDescent="0.3">
      <c r="A621" s="10">
        <v>2024</v>
      </c>
      <c r="B621" s="10" t="s">
        <v>147</v>
      </c>
      <c r="C621" s="79" t="s">
        <v>95</v>
      </c>
      <c r="D621" s="79" t="s">
        <v>94</v>
      </c>
      <c r="E621" s="36"/>
      <c r="F621" s="116">
        <v>73135.237454832008</v>
      </c>
      <c r="G621" s="4" t="s">
        <v>200</v>
      </c>
      <c r="H621" s="40">
        <v>9.7269865814926586</v>
      </c>
      <c r="I621" s="33">
        <v>0.76791999327573612</v>
      </c>
      <c r="J621" s="40">
        <v>0.19015161738256323</v>
      </c>
      <c r="K621" s="3">
        <v>0</v>
      </c>
      <c r="L621" s="33">
        <v>84.522393926549356</v>
      </c>
    </row>
    <row r="622" spans="1:12" x14ac:dyDescent="0.3">
      <c r="A622" s="10">
        <v>2024</v>
      </c>
      <c r="B622" s="10" t="s">
        <v>147</v>
      </c>
      <c r="C622" s="79" t="s">
        <v>95</v>
      </c>
      <c r="D622" s="79" t="s">
        <v>149</v>
      </c>
      <c r="E622" s="36"/>
      <c r="F622" s="116">
        <v>22019.350143119998</v>
      </c>
      <c r="G622" s="4" t="s">
        <v>200</v>
      </c>
      <c r="H622" s="40">
        <v>6.7379211437947193</v>
      </c>
      <c r="I622" s="33">
        <v>0.19817415128807997</v>
      </c>
      <c r="J622" s="40">
        <v>0.13211610085872</v>
      </c>
      <c r="K622" s="3">
        <v>0</v>
      </c>
      <c r="L622" s="33">
        <v>48.711206386610066</v>
      </c>
    </row>
    <row r="623" spans="1:12" x14ac:dyDescent="0.3">
      <c r="A623" s="10">
        <v>2024</v>
      </c>
      <c r="B623" s="10" t="s">
        <v>147</v>
      </c>
      <c r="C623" s="79" t="s">
        <v>95</v>
      </c>
      <c r="D623" s="79" t="s">
        <v>80</v>
      </c>
      <c r="E623" s="36"/>
      <c r="F623" s="116">
        <v>13017.891462911997</v>
      </c>
      <c r="G623" s="4" t="s">
        <v>200</v>
      </c>
      <c r="H623" s="40">
        <v>4.894727190054911</v>
      </c>
      <c r="I623" s="33">
        <v>1.1846281231249918</v>
      </c>
      <c r="J623" s="40">
        <v>2.4733993779532795E-2</v>
      </c>
      <c r="K623" s="3">
        <v>0</v>
      </c>
      <c r="L623" s="33">
        <v>46.949025560992112</v>
      </c>
    </row>
    <row r="624" spans="1:12" x14ac:dyDescent="0.3">
      <c r="A624" s="10">
        <v>2024</v>
      </c>
      <c r="B624" s="10" t="s">
        <v>147</v>
      </c>
      <c r="C624" s="79" t="s">
        <v>95</v>
      </c>
      <c r="D624" s="79" t="s">
        <v>150</v>
      </c>
      <c r="E624" s="36"/>
      <c r="F624" s="116">
        <v>5520.98075436</v>
      </c>
      <c r="G624" s="4" t="s">
        <v>200</v>
      </c>
      <c r="H624" s="40">
        <v>1.68942011083416</v>
      </c>
      <c r="I624" s="33">
        <v>4.9688826789239998E-2</v>
      </c>
      <c r="J624" s="40">
        <v>3.3125884526159999E-2</v>
      </c>
      <c r="K624" s="3">
        <v>0</v>
      </c>
      <c r="L624" s="33">
        <v>12.213513624795191</v>
      </c>
    </row>
    <row r="625" spans="1:12" x14ac:dyDescent="0.3">
      <c r="A625" s="10">
        <v>2024</v>
      </c>
      <c r="B625" s="10" t="s">
        <v>147</v>
      </c>
      <c r="C625" s="79" t="s">
        <v>95</v>
      </c>
      <c r="D625" s="79" t="s">
        <v>99</v>
      </c>
      <c r="E625" s="36"/>
      <c r="F625" s="116">
        <v>9343.6949141039986</v>
      </c>
      <c r="G625" s="4" t="s">
        <v>200</v>
      </c>
      <c r="H625" s="40">
        <v>0.66340233890138378</v>
      </c>
      <c r="I625" s="33">
        <v>4.6718474570519995E-2</v>
      </c>
      <c r="J625" s="40">
        <v>1.9621759319618393E-2</v>
      </c>
      <c r="K625" s="3">
        <v>0</v>
      </c>
      <c r="L625" s="33">
        <v>7.4123531753587013</v>
      </c>
    </row>
    <row r="626" spans="1:12" x14ac:dyDescent="0.3">
      <c r="A626" s="10">
        <v>2024</v>
      </c>
      <c r="B626" s="10" t="s">
        <v>147</v>
      </c>
      <c r="C626" s="79" t="s">
        <v>95</v>
      </c>
      <c r="D626" s="79" t="s">
        <v>82</v>
      </c>
      <c r="E626" s="36"/>
      <c r="F626" s="116">
        <v>1756.3821815039998</v>
      </c>
      <c r="G626" s="4" t="s">
        <v>200</v>
      </c>
      <c r="H626" s="40">
        <v>3.5127643630079995E-2</v>
      </c>
      <c r="I626" s="33">
        <v>0</v>
      </c>
      <c r="J626" s="40">
        <v>0</v>
      </c>
      <c r="K626" s="3">
        <v>0</v>
      </c>
      <c r="L626" s="33">
        <v>3.5127643630079995E-2</v>
      </c>
    </row>
    <row r="627" spans="1:12" ht="14.5" thickBot="1" x14ac:dyDescent="0.35">
      <c r="A627" s="10">
        <v>2024</v>
      </c>
      <c r="B627" s="10" t="s">
        <v>147</v>
      </c>
      <c r="C627" s="79" t="s">
        <v>95</v>
      </c>
      <c r="D627" s="79" t="s">
        <v>81</v>
      </c>
      <c r="E627" s="36"/>
      <c r="F627" s="116">
        <v>6450.8301445680008</v>
      </c>
      <c r="G627" s="4" t="s">
        <v>200</v>
      </c>
      <c r="H627" s="73">
        <v>0</v>
      </c>
      <c r="I627" s="74">
        <v>0</v>
      </c>
      <c r="J627" s="73">
        <v>0</v>
      </c>
      <c r="K627" s="168">
        <v>0</v>
      </c>
      <c r="L627" s="74">
        <v>0</v>
      </c>
    </row>
    <row r="628" spans="1:12" x14ac:dyDescent="0.3">
      <c r="A628" s="10">
        <v>2024</v>
      </c>
      <c r="B628" s="10" t="s">
        <v>148</v>
      </c>
      <c r="C628" s="83" t="s">
        <v>134</v>
      </c>
      <c r="D628" s="36"/>
      <c r="E628" s="183"/>
      <c r="F628" s="15">
        <v>12034.6</v>
      </c>
      <c r="G628" s="109" t="s">
        <v>135</v>
      </c>
      <c r="H628" s="178">
        <v>0</v>
      </c>
      <c r="I628" s="179">
        <v>0</v>
      </c>
      <c r="J628" s="179">
        <v>0</v>
      </c>
      <c r="K628" s="180">
        <v>0</v>
      </c>
      <c r="L628" s="181">
        <v>7.6942057022547772</v>
      </c>
    </row>
    <row r="629" spans="1:12" ht="14.5" thickBot="1" x14ac:dyDescent="0.35">
      <c r="A629" s="10">
        <v>2024</v>
      </c>
      <c r="B629" s="10" t="s">
        <v>148</v>
      </c>
      <c r="C629" s="83" t="s">
        <v>136</v>
      </c>
      <c r="D629" s="36"/>
      <c r="E629" s="183"/>
      <c r="F629" s="15">
        <v>13190.7</v>
      </c>
      <c r="G629" s="109" t="s">
        <v>135</v>
      </c>
      <c r="H629" s="157">
        <v>0</v>
      </c>
      <c r="I629" s="158">
        <v>0</v>
      </c>
      <c r="J629" s="158">
        <v>0</v>
      </c>
      <c r="K629" s="159">
        <v>0</v>
      </c>
      <c r="L629" s="160">
        <v>1.4862106406080349</v>
      </c>
    </row>
  </sheetData>
  <autoFilter ref="A1:L629" xr:uid="{6695B9B6-8047-4DB6-923B-2075828CA8B4}"/>
  <phoneticPr fontId="34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8014-1768-4D4C-8635-6D6A162DE9EE}">
  <dimension ref="A4:B24"/>
  <sheetViews>
    <sheetView topLeftCell="C1" zoomScale="80" zoomScaleNormal="80" workbookViewId="0">
      <selection activeCell="D32" sqref="D32"/>
    </sheetView>
  </sheetViews>
  <sheetFormatPr baseColWidth="10" defaultRowHeight="14.5" x14ac:dyDescent="0.35"/>
  <cols>
    <col min="1" max="1" width="17.453125" bestFit="1" customWidth="1"/>
    <col min="2" max="2" width="28.1796875" bestFit="1" customWidth="1"/>
    <col min="3" max="8" width="15" bestFit="1" customWidth="1"/>
    <col min="9" max="10" width="13.1796875" bestFit="1" customWidth="1"/>
    <col min="11" max="11" width="15" bestFit="1" customWidth="1"/>
    <col min="12" max="18" width="17" bestFit="1" customWidth="1"/>
    <col min="19" max="20" width="15.08984375" bestFit="1" customWidth="1"/>
    <col min="21" max="21" width="17" bestFit="1" customWidth="1"/>
    <col min="22" max="28" width="19.90625" bestFit="1" customWidth="1"/>
    <col min="29" max="29" width="18.26953125" bestFit="1" customWidth="1"/>
    <col min="30" max="30" width="19.90625" bestFit="1" customWidth="1"/>
    <col min="31" max="37" width="15.81640625" bestFit="1" customWidth="1"/>
    <col min="38" max="39" width="14.1796875" bestFit="1" customWidth="1"/>
    <col min="40" max="40" width="15.81640625" bestFit="1" customWidth="1"/>
    <col min="41" max="47" width="17.7265625" bestFit="1" customWidth="1"/>
    <col min="48" max="49" width="15.81640625" bestFit="1" customWidth="1"/>
    <col min="50" max="50" width="17.7265625" bestFit="1" customWidth="1"/>
    <col min="51" max="57" width="14.81640625" bestFit="1" customWidth="1"/>
    <col min="58" max="59" width="13.08984375" bestFit="1" customWidth="1"/>
    <col min="60" max="60" width="14.81640625" bestFit="1" customWidth="1"/>
    <col min="61" max="67" width="15.26953125" bestFit="1" customWidth="1"/>
    <col min="68" max="69" width="13.6328125" bestFit="1" customWidth="1"/>
    <col min="70" max="70" width="15.26953125" bestFit="1" customWidth="1"/>
    <col min="71" max="77" width="16.36328125" bestFit="1" customWidth="1"/>
    <col min="78" max="79" width="14.54296875" bestFit="1" customWidth="1"/>
    <col min="80" max="80" width="16.36328125" bestFit="1" customWidth="1"/>
    <col min="81" max="87" width="15.81640625" bestFit="1" customWidth="1"/>
    <col min="88" max="89" width="14.1796875" bestFit="1" customWidth="1"/>
    <col min="90" max="90" width="15.81640625" bestFit="1" customWidth="1"/>
    <col min="91" max="97" width="20.54296875" bestFit="1" customWidth="1"/>
    <col min="98" max="98" width="18.90625" bestFit="1" customWidth="1"/>
    <col min="99" max="99" width="20.54296875" bestFit="1" customWidth="1"/>
    <col min="100" max="106" width="17.81640625" bestFit="1" customWidth="1"/>
    <col min="107" max="107" width="15.90625" bestFit="1" customWidth="1"/>
    <col min="108" max="108" width="17.81640625" bestFit="1" customWidth="1"/>
    <col min="109" max="115" width="21" bestFit="1" customWidth="1"/>
    <col min="116" max="116" width="19.1796875" bestFit="1" customWidth="1"/>
    <col min="117" max="117" width="21" bestFit="1" customWidth="1"/>
    <col min="118" max="118" width="12.26953125" bestFit="1" customWidth="1"/>
    <col min="119" max="120" width="9.81640625" bestFit="1" customWidth="1"/>
    <col min="121" max="121" width="8.81640625" bestFit="1" customWidth="1"/>
    <col min="122" max="123" width="9.81640625" bestFit="1" customWidth="1"/>
    <col min="124" max="124" width="7.81640625" bestFit="1" customWidth="1"/>
    <col min="125" max="129" width="8.81640625" bestFit="1" customWidth="1"/>
    <col min="130" max="130" width="9.81640625" bestFit="1" customWidth="1"/>
    <col min="131" max="131" width="7.81640625" bestFit="1" customWidth="1"/>
    <col min="132" max="133" width="8.81640625" bestFit="1" customWidth="1"/>
    <col min="134" max="135" width="9.81640625" bestFit="1" customWidth="1"/>
    <col min="136" max="139" width="8.81640625" bestFit="1" customWidth="1"/>
    <col min="140" max="140" width="9.81640625" bestFit="1" customWidth="1"/>
    <col min="141" max="141" width="8.81640625" bestFit="1" customWidth="1"/>
    <col min="142" max="143" width="9.81640625" bestFit="1" customWidth="1"/>
    <col min="144" max="146" width="8.81640625" bestFit="1" customWidth="1"/>
    <col min="147" max="147" width="9.81640625" bestFit="1" customWidth="1"/>
    <col min="148" max="148" width="8.81640625" bestFit="1" customWidth="1"/>
    <col min="149" max="150" width="9.81640625" bestFit="1" customWidth="1"/>
    <col min="151" max="151" width="8.81640625" bestFit="1" customWidth="1"/>
    <col min="152" max="162" width="9.81640625" bestFit="1" customWidth="1"/>
    <col min="163" max="163" width="8.81640625" bestFit="1" customWidth="1"/>
    <col min="164" max="168" width="9.81640625" bestFit="1" customWidth="1"/>
    <col min="169" max="169" width="8.81640625" bestFit="1" customWidth="1"/>
    <col min="170" max="173" width="9.81640625" bestFit="1" customWidth="1"/>
    <col min="174" max="174" width="8.81640625" bestFit="1" customWidth="1"/>
    <col min="175" max="178" width="9.81640625" bestFit="1" customWidth="1"/>
    <col min="179" max="180" width="8.81640625" bestFit="1" customWidth="1"/>
    <col min="181" max="182" width="9.81640625" bestFit="1" customWidth="1"/>
    <col min="183" max="186" width="8.81640625" bestFit="1" customWidth="1"/>
    <col min="187" max="187" width="9.81640625" bestFit="1" customWidth="1"/>
    <col min="188" max="189" width="8.81640625" bestFit="1" customWidth="1"/>
    <col min="190" max="192" width="7.81640625" bestFit="1" customWidth="1"/>
    <col min="193" max="194" width="8.81640625" bestFit="1" customWidth="1"/>
    <col min="195" max="196" width="9.81640625" bestFit="1" customWidth="1"/>
    <col min="197" max="197" width="8.81640625" bestFit="1" customWidth="1"/>
    <col min="198" max="205" width="9.81640625" bestFit="1" customWidth="1"/>
    <col min="206" max="206" width="6.81640625" bestFit="1" customWidth="1"/>
    <col min="207" max="210" width="9.81640625" bestFit="1" customWidth="1"/>
    <col min="211" max="211" width="8.81640625" bestFit="1" customWidth="1"/>
    <col min="212" max="215" width="9.81640625" bestFit="1" customWidth="1"/>
    <col min="216" max="216" width="6.81640625" bestFit="1" customWidth="1"/>
    <col min="217" max="217" width="9.81640625" bestFit="1" customWidth="1"/>
    <col min="218" max="218" width="7.81640625" bestFit="1" customWidth="1"/>
    <col min="219" max="219" width="5.81640625" bestFit="1" customWidth="1"/>
    <col min="220" max="220" width="8.81640625" bestFit="1" customWidth="1"/>
    <col min="221" max="221" width="7.81640625" bestFit="1" customWidth="1"/>
    <col min="222" max="222" width="9.81640625" bestFit="1" customWidth="1"/>
    <col min="223" max="224" width="7.81640625" bestFit="1" customWidth="1"/>
    <col min="225" max="225" width="9.81640625" bestFit="1" customWidth="1"/>
    <col min="226" max="226" width="8.81640625" bestFit="1" customWidth="1"/>
    <col min="227" max="227" width="7.81640625" bestFit="1" customWidth="1"/>
    <col min="228" max="228" width="9.81640625" bestFit="1" customWidth="1"/>
    <col min="229" max="229" width="7.81640625" bestFit="1" customWidth="1"/>
    <col min="230" max="230" width="9.81640625" bestFit="1" customWidth="1"/>
    <col min="231" max="231" width="8.81640625" bestFit="1" customWidth="1"/>
    <col min="232" max="233" width="9.81640625" bestFit="1" customWidth="1"/>
    <col min="234" max="234" width="8.81640625" bestFit="1" customWidth="1"/>
    <col min="235" max="235" width="9.81640625" bestFit="1" customWidth="1"/>
    <col min="236" max="236" width="7.81640625" bestFit="1" customWidth="1"/>
    <col min="237" max="238" width="8.81640625" bestFit="1" customWidth="1"/>
    <col min="239" max="239" width="9.81640625" bestFit="1" customWidth="1"/>
    <col min="240" max="240" width="8.81640625" bestFit="1" customWidth="1"/>
    <col min="241" max="241" width="7.81640625" bestFit="1" customWidth="1"/>
    <col min="242" max="245" width="8.81640625" bestFit="1" customWidth="1"/>
    <col min="246" max="250" width="9.81640625" bestFit="1" customWidth="1"/>
    <col min="251" max="251" width="7.81640625" bestFit="1" customWidth="1"/>
    <col min="252" max="252" width="9.81640625" bestFit="1" customWidth="1"/>
    <col min="253" max="257" width="10.81640625" bestFit="1" customWidth="1"/>
    <col min="258" max="258" width="9.81640625" bestFit="1" customWidth="1"/>
    <col min="259" max="260" width="10.81640625" bestFit="1" customWidth="1"/>
    <col min="261" max="261" width="9.81640625" bestFit="1" customWidth="1"/>
    <col min="262" max="262" width="10.81640625" bestFit="1" customWidth="1"/>
    <col min="263" max="263" width="9.81640625" bestFit="1" customWidth="1"/>
    <col min="264" max="265" width="10.81640625" bestFit="1" customWidth="1"/>
    <col min="266" max="267" width="9.81640625" bestFit="1" customWidth="1"/>
    <col min="268" max="269" width="10.81640625" bestFit="1" customWidth="1"/>
    <col min="270" max="270" width="6.26953125" bestFit="1" customWidth="1"/>
    <col min="271" max="271" width="12" bestFit="1" customWidth="1"/>
  </cols>
  <sheetData>
    <row r="4" spans="1:2" x14ac:dyDescent="0.35">
      <c r="A4" s="131" t="s">
        <v>142</v>
      </c>
      <c r="B4" t="s">
        <v>204</v>
      </c>
    </row>
    <row r="5" spans="1:2" x14ac:dyDescent="0.35">
      <c r="A5" s="132">
        <v>2021</v>
      </c>
      <c r="B5" s="130">
        <v>152</v>
      </c>
    </row>
    <row r="6" spans="1:2" x14ac:dyDescent="0.35">
      <c r="A6" s="184" t="s">
        <v>145</v>
      </c>
      <c r="B6" s="130">
        <v>43</v>
      </c>
    </row>
    <row r="7" spans="1:2" x14ac:dyDescent="0.35">
      <c r="A7" s="184" t="s">
        <v>146</v>
      </c>
      <c r="B7" s="130">
        <v>108</v>
      </c>
    </row>
    <row r="8" spans="1:2" x14ac:dyDescent="0.35">
      <c r="A8" s="184" t="s">
        <v>147</v>
      </c>
      <c r="B8" s="130">
        <v>1</v>
      </c>
    </row>
    <row r="9" spans="1:2" x14ac:dyDescent="0.35">
      <c r="A9" s="132">
        <v>2022</v>
      </c>
      <c r="B9" s="130">
        <v>165</v>
      </c>
    </row>
    <row r="10" spans="1:2" x14ac:dyDescent="0.35">
      <c r="A10" s="184" t="s">
        <v>145</v>
      </c>
      <c r="B10" s="130">
        <v>43</v>
      </c>
    </row>
    <row r="11" spans="1:2" x14ac:dyDescent="0.35">
      <c r="A11" s="184" t="s">
        <v>146</v>
      </c>
      <c r="B11" s="130">
        <v>108</v>
      </c>
    </row>
    <row r="12" spans="1:2" x14ac:dyDescent="0.35">
      <c r="A12" s="184" t="s">
        <v>147</v>
      </c>
      <c r="B12" s="130">
        <v>7</v>
      </c>
    </row>
    <row r="13" spans="1:2" x14ac:dyDescent="0.35">
      <c r="A13" s="184" t="s">
        <v>148</v>
      </c>
      <c r="B13" s="130">
        <v>7</v>
      </c>
    </row>
    <row r="14" spans="1:2" x14ac:dyDescent="0.35">
      <c r="A14" s="132">
        <v>2023</v>
      </c>
      <c r="B14" s="130">
        <v>185</v>
      </c>
    </row>
    <row r="15" spans="1:2" x14ac:dyDescent="0.35">
      <c r="A15" s="184" t="s">
        <v>145</v>
      </c>
      <c r="B15" s="130">
        <v>45</v>
      </c>
    </row>
    <row r="16" spans="1:2" x14ac:dyDescent="0.35">
      <c r="A16" s="184" t="s">
        <v>146</v>
      </c>
      <c r="B16" s="130">
        <v>108</v>
      </c>
    </row>
    <row r="17" spans="1:2" x14ac:dyDescent="0.35">
      <c r="A17" s="184" t="s">
        <v>147</v>
      </c>
      <c r="B17" s="130">
        <v>20</v>
      </c>
    </row>
    <row r="18" spans="1:2" x14ac:dyDescent="0.35">
      <c r="A18" s="184" t="s">
        <v>148</v>
      </c>
      <c r="B18" s="130">
        <v>12</v>
      </c>
    </row>
    <row r="19" spans="1:2" x14ac:dyDescent="0.35">
      <c r="A19" s="132">
        <v>2024</v>
      </c>
      <c r="B19" s="130">
        <v>126</v>
      </c>
    </row>
    <row r="20" spans="1:2" x14ac:dyDescent="0.35">
      <c r="A20" s="184" t="s">
        <v>145</v>
      </c>
      <c r="B20" s="130">
        <v>41</v>
      </c>
    </row>
    <row r="21" spans="1:2" x14ac:dyDescent="0.35">
      <c r="A21" s="184" t="s">
        <v>146</v>
      </c>
      <c r="B21" s="130">
        <v>76</v>
      </c>
    </row>
    <row r="22" spans="1:2" x14ac:dyDescent="0.35">
      <c r="A22" s="184" t="s">
        <v>147</v>
      </c>
      <c r="B22" s="130">
        <v>7</v>
      </c>
    </row>
    <row r="23" spans="1:2" x14ac:dyDescent="0.35">
      <c r="A23" s="184" t="s">
        <v>148</v>
      </c>
      <c r="B23" s="130">
        <v>2</v>
      </c>
    </row>
    <row r="24" spans="1:2" x14ac:dyDescent="0.35">
      <c r="A24" s="132" t="s">
        <v>143</v>
      </c>
      <c r="B24" s="130">
        <v>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81E-1C1F-4690-88A4-513BB914B1D6}">
  <dimension ref="A1:Q29"/>
  <sheetViews>
    <sheetView topLeftCell="C1" zoomScale="70" zoomScaleNormal="70" workbookViewId="0">
      <selection activeCell="I10" sqref="I10:L10"/>
    </sheetView>
  </sheetViews>
  <sheetFormatPr baseColWidth="10" defaultColWidth="11.81640625" defaultRowHeight="15" customHeight="1" x14ac:dyDescent="0.35"/>
  <cols>
    <col min="1" max="1" width="28.453125" style="56" customWidth="1"/>
    <col min="2" max="2" width="23" style="56" customWidth="1"/>
    <col min="3" max="3" width="25.453125" style="56" customWidth="1"/>
    <col min="4" max="4" width="30.453125" style="56" customWidth="1"/>
    <col min="5" max="5" width="20" style="56" customWidth="1"/>
    <col min="6" max="6" width="18.1796875" style="56" customWidth="1"/>
    <col min="7" max="7" width="12.453125" style="56" customWidth="1"/>
    <col min="8" max="8" width="18.1796875" style="56" customWidth="1"/>
    <col min="9" max="9" width="19.453125" style="57" customWidth="1"/>
    <col min="10" max="16384" width="11.81640625" style="56"/>
  </cols>
  <sheetData>
    <row r="1" spans="1:17" ht="15" customHeight="1" x14ac:dyDescent="0.35">
      <c r="A1" s="188" t="s">
        <v>57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</row>
    <row r="2" spans="1:17" ht="15" customHeight="1" x14ac:dyDescent="0.3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</row>
    <row r="3" spans="1:17" ht="15" customHeight="1" thickBot="1" x14ac:dyDescent="0.4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 s="1" customFormat="1" ht="14.25" customHeight="1" thickBot="1" x14ac:dyDescent="0.4">
      <c r="A4" s="6"/>
      <c r="B4" s="5"/>
      <c r="C4" s="189" t="s">
        <v>58</v>
      </c>
      <c r="D4" s="190"/>
      <c r="E4" s="190"/>
      <c r="F4" s="191"/>
      <c r="G4" s="31"/>
      <c r="H4" s="31"/>
      <c r="I4" s="200" t="s">
        <v>59</v>
      </c>
      <c r="J4" s="201"/>
      <c r="K4" s="202"/>
      <c r="L4"/>
      <c r="N4" s="192" t="s">
        <v>60</v>
      </c>
      <c r="O4" s="193"/>
    </row>
    <row r="5" spans="1:17" s="1" customFormat="1" ht="14.25" customHeight="1" x14ac:dyDescent="0.35">
      <c r="A5" s="6"/>
      <c r="B5" s="5"/>
      <c r="C5" s="194" t="s">
        <v>61</v>
      </c>
      <c r="D5" s="195"/>
      <c r="E5" s="196"/>
      <c r="F5" s="29">
        <v>8.8079999999999998</v>
      </c>
      <c r="I5" s="203" t="s">
        <v>61</v>
      </c>
      <c r="J5" s="204"/>
      <c r="K5" s="30">
        <v>5.92</v>
      </c>
      <c r="L5"/>
      <c r="N5" s="26" t="s">
        <v>48</v>
      </c>
      <c r="O5" s="25">
        <v>1</v>
      </c>
    </row>
    <row r="6" spans="1:17" s="1" customFormat="1" ht="14.25" customHeight="1" x14ac:dyDescent="0.35">
      <c r="A6" s="6"/>
      <c r="B6" s="5"/>
      <c r="C6" s="194" t="s">
        <v>62</v>
      </c>
      <c r="D6" s="195"/>
      <c r="E6" s="196"/>
      <c r="F6" s="29">
        <v>0.29299999999999998</v>
      </c>
      <c r="I6" s="194" t="s">
        <v>62</v>
      </c>
      <c r="J6" s="195"/>
      <c r="K6" s="29">
        <v>8.7999999999999995E-2</v>
      </c>
      <c r="L6"/>
      <c r="N6" s="26" t="s">
        <v>63</v>
      </c>
      <c r="O6" s="25">
        <v>29.8</v>
      </c>
    </row>
    <row r="7" spans="1:17" s="1" customFormat="1" ht="14.25" customHeight="1" thickBot="1" x14ac:dyDescent="0.4">
      <c r="A7" s="6"/>
      <c r="B7" s="5"/>
      <c r="C7" s="197" t="s">
        <v>64</v>
      </c>
      <c r="D7" s="198"/>
      <c r="E7" s="199"/>
      <c r="F7" s="27">
        <v>2.8000000000000001E-2</v>
      </c>
      <c r="G7" s="28"/>
      <c r="H7" s="28"/>
      <c r="I7" s="197" t="s">
        <v>64</v>
      </c>
      <c r="J7" s="198"/>
      <c r="K7" s="27">
        <v>0.2</v>
      </c>
      <c r="L7"/>
      <c r="N7" s="26" t="s">
        <v>65</v>
      </c>
      <c r="O7" s="25">
        <v>27</v>
      </c>
    </row>
    <row r="8" spans="1:17" s="1" customFormat="1" ht="14.25" customHeight="1" thickBot="1" x14ac:dyDescent="0.4">
      <c r="B8" s="21"/>
      <c r="C8" s="38"/>
      <c r="D8" s="38"/>
      <c r="E8" s="38"/>
      <c r="F8" s="37"/>
      <c r="G8" s="28"/>
      <c r="H8" s="28"/>
      <c r="I8" s="38"/>
      <c r="J8" s="38"/>
      <c r="K8" s="37"/>
      <c r="L8"/>
      <c r="N8" s="24" t="s">
        <v>66</v>
      </c>
      <c r="O8" s="23">
        <v>273</v>
      </c>
    </row>
    <row r="9" spans="1:17" s="1" customFormat="1" ht="14.25" customHeight="1" thickBot="1" x14ac:dyDescent="0.4">
      <c r="A9" s="6"/>
      <c r="B9" s="5"/>
      <c r="C9"/>
      <c r="D9"/>
      <c r="E9"/>
      <c r="F9"/>
      <c r="G9"/>
      <c r="H9"/>
      <c r="I9"/>
      <c r="J9"/>
      <c r="K9"/>
      <c r="L9"/>
      <c r="N9"/>
      <c r="O9"/>
    </row>
    <row r="10" spans="1:17" ht="36.75" customHeight="1" x14ac:dyDescent="0.35">
      <c r="E10" s="185" t="s">
        <v>67</v>
      </c>
      <c r="F10" s="186"/>
      <c r="G10" s="186"/>
      <c r="H10" s="187"/>
      <c r="I10" s="185" t="s">
        <v>68</v>
      </c>
      <c r="J10" s="186"/>
      <c r="K10" s="186"/>
      <c r="L10" s="187"/>
    </row>
    <row r="11" spans="1:17" ht="48" x14ac:dyDescent="0.35">
      <c r="A11" s="62" t="s">
        <v>69</v>
      </c>
      <c r="B11" s="62" t="s">
        <v>70</v>
      </c>
      <c r="C11" s="62" t="s">
        <v>71</v>
      </c>
      <c r="D11" s="64" t="s">
        <v>72</v>
      </c>
      <c r="E11" s="17" t="s">
        <v>73</v>
      </c>
      <c r="F11" s="16" t="s">
        <v>74</v>
      </c>
      <c r="G11" s="16" t="s">
        <v>75</v>
      </c>
      <c r="H11" s="19" t="s">
        <v>76</v>
      </c>
      <c r="I11" s="17" t="s">
        <v>73</v>
      </c>
      <c r="J11" s="16" t="s">
        <v>74</v>
      </c>
      <c r="K11" s="16" t="s">
        <v>75</v>
      </c>
      <c r="L11" s="67" t="s">
        <v>76</v>
      </c>
    </row>
    <row r="12" spans="1:17" ht="15.5" x14ac:dyDescent="0.35">
      <c r="A12" s="60" t="s">
        <v>77</v>
      </c>
      <c r="B12" s="61"/>
      <c r="C12" s="58"/>
      <c r="D12" s="59"/>
      <c r="E12" s="34">
        <f>+(D12*0.9)*$F$5</f>
        <v>0</v>
      </c>
      <c r="F12" s="35">
        <f t="shared" ref="F12" si="0">(D12*0.9)*$F$6</f>
        <v>0</v>
      </c>
      <c r="G12" s="40">
        <f t="shared" ref="G12" si="1">(D12*0.9)*$F$7</f>
        <v>0</v>
      </c>
      <c r="H12" s="40">
        <f>(E12*$O$5)+((F12*$O$6)/1000)+((G12*$O$8)/1000)</f>
        <v>0</v>
      </c>
      <c r="I12" s="34">
        <f t="shared" ref="I12:I18" si="2">+(D12*0.1)*$K$5</f>
        <v>0</v>
      </c>
      <c r="J12" s="33">
        <f t="shared" ref="J12:J18" si="3">(D12*0.1)*$K$6</f>
        <v>0</v>
      </c>
      <c r="K12" s="40">
        <f t="shared" ref="K12:K18" si="4">(D12*0.1)*$K$7</f>
        <v>0</v>
      </c>
      <c r="L12" s="71">
        <f>(I12*$O$5)+((J12*$O$7)/1000)+((K12*$O$8)/1000)</f>
        <v>0</v>
      </c>
    </row>
    <row r="13" spans="1:17" ht="15.5" x14ac:dyDescent="0.35">
      <c r="A13" s="60" t="s">
        <v>78</v>
      </c>
      <c r="B13" s="61"/>
      <c r="C13" s="58"/>
      <c r="D13" s="59"/>
      <c r="E13" s="34">
        <f t="shared" ref="E13:E18" si="5">+(D13*0.9)*$F$5</f>
        <v>0</v>
      </c>
      <c r="F13" s="35">
        <f t="shared" ref="F13:F17" si="6">(D13*0.9)*$F$6</f>
        <v>0</v>
      </c>
      <c r="G13" s="40">
        <f t="shared" ref="G13:G18" si="7">(D13*0.9)*$F$7</f>
        <v>0</v>
      </c>
      <c r="H13" s="40">
        <f t="shared" ref="H13:H18" si="8">(E13*$O$5)+((F13*$O$6)/1000)+((G13*$O$8)/1000)</f>
        <v>0</v>
      </c>
      <c r="I13" s="34">
        <f t="shared" si="2"/>
        <v>0</v>
      </c>
      <c r="J13" s="33">
        <f t="shared" si="3"/>
        <v>0</v>
      </c>
      <c r="K13" s="40">
        <f t="shared" si="4"/>
        <v>0</v>
      </c>
      <c r="L13" s="71">
        <f t="shared" ref="L13:L17" si="9">(I13*$O$5)+((J13*$O$7)/1000)+((K13*$O$8)/1000)</f>
        <v>0</v>
      </c>
    </row>
    <row r="14" spans="1:17" ht="15.5" x14ac:dyDescent="0.35">
      <c r="A14" s="60" t="s">
        <v>79</v>
      </c>
      <c r="B14" s="61"/>
      <c r="C14" s="58"/>
      <c r="D14" s="59"/>
      <c r="E14" s="34">
        <f t="shared" si="5"/>
        <v>0</v>
      </c>
      <c r="F14" s="35">
        <f t="shared" si="6"/>
        <v>0</v>
      </c>
      <c r="G14" s="40">
        <f t="shared" si="7"/>
        <v>0</v>
      </c>
      <c r="H14" s="40">
        <f t="shared" si="8"/>
        <v>0</v>
      </c>
      <c r="I14" s="34">
        <f t="shared" si="2"/>
        <v>0</v>
      </c>
      <c r="J14" s="33">
        <f t="shared" si="3"/>
        <v>0</v>
      </c>
      <c r="K14" s="40">
        <f t="shared" si="4"/>
        <v>0</v>
      </c>
      <c r="L14" s="71">
        <f t="shared" si="9"/>
        <v>0</v>
      </c>
    </row>
    <row r="15" spans="1:17" ht="15.5" x14ac:dyDescent="0.35">
      <c r="A15" s="60" t="s">
        <v>80</v>
      </c>
      <c r="B15" s="61"/>
      <c r="C15" s="58"/>
      <c r="D15" s="59"/>
      <c r="E15" s="34">
        <f t="shared" si="5"/>
        <v>0</v>
      </c>
      <c r="F15" s="35">
        <f t="shared" si="6"/>
        <v>0</v>
      </c>
      <c r="G15" s="40">
        <f t="shared" si="7"/>
        <v>0</v>
      </c>
      <c r="H15" s="40">
        <f t="shared" si="8"/>
        <v>0</v>
      </c>
      <c r="I15" s="34">
        <f t="shared" si="2"/>
        <v>0</v>
      </c>
      <c r="J15" s="33">
        <f t="shared" si="3"/>
        <v>0</v>
      </c>
      <c r="K15" s="40">
        <f t="shared" si="4"/>
        <v>0</v>
      </c>
      <c r="L15" s="71">
        <f t="shared" si="9"/>
        <v>0</v>
      </c>
    </row>
    <row r="16" spans="1:17" ht="15" customHeight="1" x14ac:dyDescent="0.35">
      <c r="A16" s="58" t="s">
        <v>81</v>
      </c>
      <c r="B16" s="63"/>
      <c r="C16" s="63"/>
      <c r="D16" s="65"/>
      <c r="E16" s="34">
        <f t="shared" si="5"/>
        <v>0</v>
      </c>
      <c r="F16" s="35">
        <f t="shared" si="6"/>
        <v>0</v>
      </c>
      <c r="G16" s="40">
        <f t="shared" si="7"/>
        <v>0</v>
      </c>
      <c r="H16" s="40">
        <f t="shared" si="8"/>
        <v>0</v>
      </c>
      <c r="I16" s="34">
        <f t="shared" si="2"/>
        <v>0</v>
      </c>
      <c r="J16" s="33">
        <f t="shared" si="3"/>
        <v>0</v>
      </c>
      <c r="K16" s="40">
        <f t="shared" si="4"/>
        <v>0</v>
      </c>
      <c r="L16" s="71">
        <f t="shared" si="9"/>
        <v>0</v>
      </c>
    </row>
    <row r="17" spans="1:15" ht="15" customHeight="1" x14ac:dyDescent="0.35">
      <c r="A17" s="58" t="s">
        <v>82</v>
      </c>
      <c r="B17" s="63"/>
      <c r="C17" s="63"/>
      <c r="D17" s="65"/>
      <c r="E17" s="34">
        <f t="shared" si="5"/>
        <v>0</v>
      </c>
      <c r="F17" s="35">
        <f t="shared" si="6"/>
        <v>0</v>
      </c>
      <c r="G17" s="40">
        <f t="shared" si="7"/>
        <v>0</v>
      </c>
      <c r="H17" s="40">
        <f t="shared" si="8"/>
        <v>0</v>
      </c>
      <c r="I17" s="34">
        <f t="shared" si="2"/>
        <v>0</v>
      </c>
      <c r="J17" s="33">
        <f t="shared" si="3"/>
        <v>0</v>
      </c>
      <c r="K17" s="40">
        <f t="shared" si="4"/>
        <v>0</v>
      </c>
      <c r="L17" s="71">
        <f t="shared" si="9"/>
        <v>0</v>
      </c>
    </row>
    <row r="18" spans="1:15" ht="15" customHeight="1" thickBot="1" x14ac:dyDescent="0.4">
      <c r="A18" s="63"/>
      <c r="B18" s="63"/>
      <c r="C18" s="63"/>
      <c r="D18" s="65"/>
      <c r="E18" s="72">
        <f t="shared" si="5"/>
        <v>0</v>
      </c>
      <c r="F18" s="39">
        <f>(D18*0.9)*$F$6</f>
        <v>0</v>
      </c>
      <c r="G18" s="73">
        <f t="shared" si="7"/>
        <v>0</v>
      </c>
      <c r="H18" s="73">
        <f t="shared" si="8"/>
        <v>0</v>
      </c>
      <c r="I18" s="72">
        <f t="shared" si="2"/>
        <v>0</v>
      </c>
      <c r="J18" s="74">
        <f t="shared" si="3"/>
        <v>0</v>
      </c>
      <c r="K18" s="73">
        <f t="shared" si="4"/>
        <v>0</v>
      </c>
      <c r="L18" s="75">
        <f>(I18*$O$5)+((J18*$O$7)/1000)+((K18*$O$8)/1000)</f>
        <v>0</v>
      </c>
    </row>
    <row r="19" spans="1:15" ht="15" customHeight="1" thickBot="1" x14ac:dyDescent="0.4">
      <c r="E19" s="69">
        <f>SUM(E12:E18)/1000</f>
        <v>0</v>
      </c>
      <c r="F19" s="69">
        <f t="shared" ref="F19:H19" si="10">SUM(F12:F18)/1000</f>
        <v>0</v>
      </c>
      <c r="G19" s="69">
        <f t="shared" si="10"/>
        <v>0</v>
      </c>
      <c r="H19" s="69">
        <f t="shared" si="10"/>
        <v>0</v>
      </c>
      <c r="I19" s="76">
        <f>SUM(I12:I18)</f>
        <v>0</v>
      </c>
      <c r="J19" s="76">
        <f t="shared" ref="J19:L19" si="11">SUM(J12:J18)</f>
        <v>0</v>
      </c>
      <c r="K19" s="76">
        <f t="shared" si="11"/>
        <v>0</v>
      </c>
      <c r="L19" s="76">
        <f t="shared" si="11"/>
        <v>0</v>
      </c>
    </row>
    <row r="20" spans="1:15" ht="15" customHeight="1" thickBot="1" x14ac:dyDescent="0.4">
      <c r="A20" s="66" t="s">
        <v>83</v>
      </c>
      <c r="E20" s="49" t="s">
        <v>84</v>
      </c>
      <c r="F20" s="50" t="s">
        <v>85</v>
      </c>
      <c r="G20" s="50" t="s">
        <v>86</v>
      </c>
      <c r="H20" s="51" t="s">
        <v>87</v>
      </c>
      <c r="I20" s="12" t="s">
        <v>88</v>
      </c>
      <c r="J20" s="32" t="s">
        <v>89</v>
      </c>
      <c r="K20" s="12" t="s">
        <v>86</v>
      </c>
      <c r="L20" s="48" t="s">
        <v>87</v>
      </c>
      <c r="O20" s="68">
        <f>SUM(I7:I9)</f>
        <v>0</v>
      </c>
    </row>
    <row r="23" spans="1:15" ht="15" customHeight="1" x14ac:dyDescent="0.35">
      <c r="A23" s="52" t="s">
        <v>31</v>
      </c>
      <c r="B23" s="54"/>
      <c r="C23" s="54"/>
      <c r="D23" s="54"/>
      <c r="E23"/>
      <c r="F23"/>
      <c r="G23"/>
      <c r="H23"/>
    </row>
    <row r="24" spans="1:15" ht="15" customHeight="1" x14ac:dyDescent="0.35">
      <c r="A24"/>
      <c r="B24"/>
      <c r="C24"/>
      <c r="D24"/>
      <c r="E24"/>
      <c r="F24"/>
      <c r="G24"/>
      <c r="H24"/>
    </row>
    <row r="25" spans="1:15" ht="62" x14ac:dyDescent="0.35">
      <c r="A25" s="43" t="s">
        <v>0</v>
      </c>
      <c r="B25" s="43" t="s">
        <v>1</v>
      </c>
      <c r="C25" s="43" t="s">
        <v>32</v>
      </c>
      <c r="D25" s="43" t="s">
        <v>33</v>
      </c>
      <c r="E25" s="43" t="s">
        <v>34</v>
      </c>
      <c r="F25" s="43" t="s">
        <v>2</v>
      </c>
      <c r="G25" s="43" t="s">
        <v>90</v>
      </c>
      <c r="H25" s="43" t="s">
        <v>44</v>
      </c>
    </row>
    <row r="26" spans="1:15" ht="46.5" x14ac:dyDescent="0.35">
      <c r="A26" s="44" t="s">
        <v>3</v>
      </c>
      <c r="B26" s="45">
        <f>H19</f>
        <v>0</v>
      </c>
      <c r="C26" s="53">
        <f>E19</f>
        <v>0</v>
      </c>
      <c r="D26" s="53">
        <f t="shared" ref="D26:E26" si="12">F19</f>
        <v>0</v>
      </c>
      <c r="E26" s="53">
        <f t="shared" si="12"/>
        <v>0</v>
      </c>
      <c r="F26" s="43" t="s">
        <v>4</v>
      </c>
      <c r="G26" s="43" t="s">
        <v>4</v>
      </c>
      <c r="H26" s="46">
        <f>O20</f>
        <v>0</v>
      </c>
    </row>
    <row r="29" spans="1:15" ht="15" customHeight="1" x14ac:dyDescent="0.35">
      <c r="A29" s="56" t="s">
        <v>91</v>
      </c>
    </row>
  </sheetData>
  <mergeCells count="12">
    <mergeCell ref="E10:H10"/>
    <mergeCell ref="I10:L10"/>
    <mergeCell ref="A1:Q2"/>
    <mergeCell ref="C4:F4"/>
    <mergeCell ref="N4:O4"/>
    <mergeCell ref="C5:E5"/>
    <mergeCell ref="C6:E6"/>
    <mergeCell ref="C7:E7"/>
    <mergeCell ref="I4:K4"/>
    <mergeCell ref="I5:J5"/>
    <mergeCell ref="I6:J6"/>
    <mergeCell ref="I7:J7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B52C-FFAC-4D87-A009-7C8BF28DC7B1}">
  <dimension ref="A1:Y91"/>
  <sheetViews>
    <sheetView topLeftCell="A21" zoomScale="88" zoomScaleNormal="88" workbookViewId="0">
      <selection activeCell="E44" sqref="E44:F44"/>
    </sheetView>
  </sheetViews>
  <sheetFormatPr baseColWidth="10" defaultColWidth="10.81640625" defaultRowHeight="14.25" customHeight="1" x14ac:dyDescent="0.3"/>
  <cols>
    <col min="1" max="1" width="27.453125" style="1" customWidth="1"/>
    <col min="2" max="2" width="14.81640625" style="1" customWidth="1"/>
    <col min="3" max="5" width="17.453125" style="1" customWidth="1"/>
    <col min="6" max="6" width="14.453125" style="1" customWidth="1"/>
    <col min="7" max="8" width="19.453125" style="1" customWidth="1"/>
    <col min="9" max="9" width="25.453125" style="1" customWidth="1"/>
    <col min="10" max="10" width="23.81640625" style="1" customWidth="1"/>
    <col min="11" max="11" width="20.81640625" style="1" customWidth="1"/>
    <col min="12" max="12" width="13" style="1" customWidth="1"/>
    <col min="13" max="13" width="13.453125" style="1" customWidth="1"/>
    <col min="14" max="15" width="19.1796875" style="1" customWidth="1"/>
    <col min="16" max="16" width="17.453125" style="1" customWidth="1"/>
    <col min="17" max="17" width="16.453125" style="1" customWidth="1"/>
    <col min="18" max="18" width="13.1796875" style="1" bestFit="1" customWidth="1"/>
    <col min="19" max="19" width="19.453125" style="1" bestFit="1" customWidth="1"/>
    <col min="20" max="20" width="19.453125" style="1" customWidth="1"/>
    <col min="21" max="21" width="20" style="1" bestFit="1" customWidth="1"/>
    <col min="22" max="22" width="24.453125" style="1" bestFit="1" customWidth="1"/>
    <col min="23" max="23" width="13.453125" style="1" bestFit="1" customWidth="1"/>
    <col min="24" max="24" width="18.81640625" style="1" bestFit="1" customWidth="1"/>
    <col min="25" max="16384" width="10.81640625" style="1"/>
  </cols>
  <sheetData>
    <row r="1" spans="1:25" ht="14.25" customHeight="1" x14ac:dyDescent="0.3">
      <c r="A1" s="188" t="s">
        <v>92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42"/>
      <c r="W1" s="42"/>
      <c r="X1" s="42"/>
      <c r="Y1" s="42"/>
    </row>
    <row r="2" spans="1:25" ht="13.5" customHeight="1" x14ac:dyDescent="0.3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42"/>
      <c r="W2" s="42"/>
      <c r="X2" s="42"/>
      <c r="Y2" s="42"/>
    </row>
    <row r="3" spans="1:25" ht="20" x14ac:dyDescent="0.3">
      <c r="A3" s="205" t="s">
        <v>93</v>
      </c>
      <c r="B3" s="205"/>
      <c r="C3" s="205"/>
      <c r="D3" s="205"/>
      <c r="E3" s="205"/>
      <c r="F3" s="205"/>
      <c r="G3" s="205"/>
      <c r="H3" s="205"/>
      <c r="M3" s="47"/>
      <c r="N3" s="47"/>
      <c r="O3" s="47"/>
      <c r="P3" s="47"/>
      <c r="Q3" s="47"/>
      <c r="R3" s="47"/>
      <c r="S3" s="47"/>
      <c r="T3" s="47"/>
      <c r="U3" s="47"/>
      <c r="V3" s="42"/>
      <c r="W3" s="42"/>
      <c r="X3" s="42"/>
      <c r="Y3" s="42"/>
    </row>
    <row r="4" spans="1:25" ht="20" x14ac:dyDescent="0.3">
      <c r="A4" s="205"/>
      <c r="B4" s="205"/>
      <c r="C4" s="205"/>
      <c r="D4" s="205"/>
      <c r="E4" s="205"/>
      <c r="F4" s="205"/>
      <c r="G4" s="205"/>
      <c r="H4" s="205"/>
      <c r="M4" s="47"/>
      <c r="N4" s="47"/>
      <c r="O4" s="47"/>
      <c r="P4" s="47"/>
      <c r="Q4" s="47"/>
      <c r="R4" s="47"/>
      <c r="S4" s="47"/>
      <c r="T4" s="47"/>
      <c r="U4" s="47"/>
      <c r="V4" s="42"/>
      <c r="W4" s="42"/>
      <c r="X4" s="42"/>
      <c r="Y4" s="42"/>
    </row>
    <row r="5" spans="1:25" ht="17.25" customHeight="1" x14ac:dyDescent="0.3">
      <c r="A5" s="205"/>
      <c r="B5" s="205"/>
      <c r="C5" s="205"/>
      <c r="D5" s="205"/>
      <c r="E5" s="205"/>
      <c r="F5" s="205"/>
      <c r="G5" s="205"/>
      <c r="H5" s="205"/>
      <c r="M5" s="47"/>
      <c r="N5" s="47"/>
      <c r="O5" s="47"/>
      <c r="P5" s="47"/>
      <c r="Q5" s="47"/>
      <c r="R5" s="47"/>
      <c r="S5" s="47"/>
      <c r="T5" s="47"/>
      <c r="U5" s="47"/>
      <c r="V5" s="42"/>
      <c r="W5" s="42"/>
      <c r="X5" s="42"/>
      <c r="Y5" s="42"/>
    </row>
    <row r="6" spans="1:25" ht="19.5" customHeight="1" x14ac:dyDescent="0.35">
      <c r="A6" s="84" t="s">
        <v>5</v>
      </c>
      <c r="B6" s="206" t="s">
        <v>6</v>
      </c>
      <c r="C6" s="206"/>
      <c r="D6" s="206"/>
      <c r="E6" s="206"/>
      <c r="F6" s="206"/>
      <c r="G6" s="206"/>
      <c r="I6" s="40"/>
      <c r="M6" s="47"/>
      <c r="N6" s="47"/>
      <c r="O6" s="47"/>
      <c r="P6" s="47"/>
      <c r="Q6" s="47"/>
      <c r="R6" s="47"/>
      <c r="S6" s="47"/>
      <c r="T6" s="47"/>
      <c r="U6" s="47"/>
      <c r="V6" s="42"/>
      <c r="W6" s="42"/>
      <c r="X6" s="42"/>
      <c r="Y6" s="42"/>
    </row>
    <row r="7" spans="1:25" ht="13.5" customHeight="1" x14ac:dyDescent="0.35">
      <c r="A7" s="80"/>
      <c r="B7" s="85"/>
      <c r="C7" s="80"/>
      <c r="D7" s="80"/>
      <c r="E7" s="80"/>
      <c r="M7" s="47"/>
      <c r="N7" s="47"/>
      <c r="O7" s="47"/>
      <c r="P7" s="47"/>
      <c r="Q7" s="47"/>
      <c r="R7" s="47"/>
      <c r="S7" s="47"/>
      <c r="T7" s="47"/>
      <c r="U7" s="47"/>
      <c r="V7" s="42"/>
      <c r="W7" s="42"/>
      <c r="X7" s="42"/>
      <c r="Y7" s="42"/>
    </row>
    <row r="8" spans="1:25" ht="31" x14ac:dyDescent="0.3">
      <c r="A8" s="20" t="s">
        <v>7</v>
      </c>
      <c r="B8" s="16" t="s">
        <v>8</v>
      </c>
      <c r="C8" s="11" t="s">
        <v>9</v>
      </c>
      <c r="D8" s="16" t="s">
        <v>10</v>
      </c>
      <c r="E8" s="18" t="s">
        <v>11</v>
      </c>
      <c r="F8" s="89" t="s">
        <v>12</v>
      </c>
      <c r="G8" s="18" t="s">
        <v>13</v>
      </c>
      <c r="H8" s="89" t="s">
        <v>14</v>
      </c>
      <c r="I8" s="19" t="s">
        <v>18</v>
      </c>
      <c r="J8" s="16" t="s">
        <v>15</v>
      </c>
      <c r="K8" s="16" t="s">
        <v>16</v>
      </c>
      <c r="L8" s="16" t="s">
        <v>17</v>
      </c>
      <c r="N8" s="47"/>
      <c r="O8" s="47"/>
      <c r="P8" s="47"/>
      <c r="Q8" s="47"/>
      <c r="R8" s="47"/>
      <c r="S8" s="47"/>
      <c r="T8" s="47"/>
      <c r="U8" s="47"/>
      <c r="V8" s="42"/>
      <c r="W8" s="42"/>
      <c r="X8" s="42"/>
      <c r="Y8" s="42"/>
    </row>
    <row r="9" spans="1:25" ht="13.5" customHeight="1" x14ac:dyDescent="0.3">
      <c r="A9" s="79" t="s">
        <v>94</v>
      </c>
      <c r="B9" s="79" t="s">
        <v>95</v>
      </c>
      <c r="C9" s="107"/>
      <c r="D9" s="36" t="s">
        <v>47</v>
      </c>
      <c r="E9" s="107">
        <v>2286.2400000000002</v>
      </c>
      <c r="F9" s="97" t="s">
        <v>96</v>
      </c>
      <c r="G9" s="40">
        <v>40206.648000000008</v>
      </c>
      <c r="H9" s="10" t="s">
        <v>97</v>
      </c>
      <c r="I9" s="40" cm="1">
        <f t="array" ref="I9">((G9)*(_xlfn.IFS(A9=$A$38,$B$38,A9=$A$39,$B$39,A9=$A$45,$B$45,A9=$A$46,$B$46,A9=$A$40,$B$40,A9=$A$41,$B$41,A9=$A$42,$B$42,A9=$A$43,$B$43,A9=$A$44,$B$44,A9=$A$47,$B$47,A9=$A$48,$B$48)))/1000</f>
        <v>2.2515722880000002</v>
      </c>
      <c r="J9" s="33" t="s">
        <v>4</v>
      </c>
      <c r="K9" s="33" t="s">
        <v>4</v>
      </c>
      <c r="L9" s="33" t="s">
        <v>4</v>
      </c>
      <c r="N9" s="47"/>
      <c r="O9" s="47"/>
      <c r="P9" s="47"/>
      <c r="Q9" s="47"/>
      <c r="R9" s="47"/>
      <c r="S9" s="47"/>
      <c r="T9" s="47"/>
      <c r="U9" s="47"/>
      <c r="V9" s="42"/>
      <c r="W9" s="42"/>
      <c r="X9" s="42"/>
      <c r="Y9" s="42"/>
    </row>
    <row r="10" spans="1:25" ht="13.5" customHeight="1" x14ac:dyDescent="0.3">
      <c r="A10" s="79" t="s">
        <v>98</v>
      </c>
      <c r="B10" s="79" t="s">
        <v>95</v>
      </c>
      <c r="C10" s="107"/>
      <c r="D10" s="36" t="s">
        <v>47</v>
      </c>
      <c r="E10" s="107">
        <v>467.64</v>
      </c>
      <c r="F10" s="97" t="s">
        <v>96</v>
      </c>
      <c r="G10" s="40">
        <v>10064.652</v>
      </c>
      <c r="H10" s="10" t="s">
        <v>97</v>
      </c>
      <c r="I10" s="40" cm="1">
        <f t="array" ref="I10">((G10)*(_xlfn.IFS(A10=$A$38,$B$38,A10=$A$39,$B$39,A10=$A$45,$B$45,A10=$A$46,$B$46,A10=$A$40,$B$40,A10=$A$41,$B$41,A10=$A$42,$B$42,A10=$A$43,$B$43,A10=$A$44,$B$44,A10=$A$47,$B$47,A10=$A$48,$B$48)))/1000</f>
        <v>1.4593745399999998</v>
      </c>
      <c r="J10" s="33" t="s">
        <v>4</v>
      </c>
      <c r="K10" s="33" t="s">
        <v>4</v>
      </c>
      <c r="L10" s="33" t="s">
        <v>4</v>
      </c>
      <c r="N10" s="47"/>
      <c r="O10" s="47"/>
      <c r="P10" s="47"/>
      <c r="Q10" s="47"/>
      <c r="R10" s="47"/>
      <c r="S10" s="47"/>
      <c r="T10" s="47"/>
      <c r="U10" s="47"/>
      <c r="V10" s="42"/>
      <c r="W10" s="42"/>
      <c r="X10" s="42"/>
      <c r="Y10" s="42"/>
    </row>
    <row r="11" spans="1:25" ht="13.5" customHeight="1" x14ac:dyDescent="0.3">
      <c r="A11" s="79" t="s">
        <v>99</v>
      </c>
      <c r="B11" s="79" t="s">
        <v>95</v>
      </c>
      <c r="C11" s="107"/>
      <c r="D11" s="36" t="s">
        <v>47</v>
      </c>
      <c r="E11" s="107">
        <v>519.6</v>
      </c>
      <c r="F11" s="97" t="s">
        <v>96</v>
      </c>
      <c r="G11" s="40">
        <v>5050.5119999999997</v>
      </c>
      <c r="H11" s="10" t="s">
        <v>97</v>
      </c>
      <c r="I11" s="40" cm="1">
        <f t="array" ref="I11">((G11)*(_xlfn.IFS(A11=$A$38,$B$38,A11=$A$39,$B$39,A11=$A$45,$B$45,A11=$A$46,$B$46,A11=$A$40,$B$40,A11=$A$41,$B$41,A11=$A$42,$B$42,A11=$A$43,$B$43,A11=$A$44,$B$44,A11=$A$47,$B$47,A11=$A$48,$B$48)))/1000</f>
        <v>0.40404096</v>
      </c>
      <c r="J11" s="33" t="s">
        <v>4</v>
      </c>
      <c r="K11" s="33" t="s">
        <v>4</v>
      </c>
      <c r="L11" s="33" t="s">
        <v>4</v>
      </c>
      <c r="N11" s="47"/>
      <c r="O11" s="47"/>
      <c r="P11" s="47"/>
      <c r="Q11" s="47"/>
      <c r="R11" s="47"/>
      <c r="S11" s="47"/>
      <c r="T11" s="47"/>
      <c r="U11" s="47"/>
      <c r="V11" s="42"/>
      <c r="W11" s="42"/>
      <c r="X11" s="42"/>
      <c r="Y11" s="42"/>
    </row>
    <row r="12" spans="1:25" ht="13.5" customHeight="1" x14ac:dyDescent="0.3">
      <c r="A12" s="79" t="s">
        <v>100</v>
      </c>
      <c r="B12" s="79" t="s">
        <v>95</v>
      </c>
      <c r="C12" s="107"/>
      <c r="D12" s="36" t="s">
        <v>47</v>
      </c>
      <c r="E12" s="107">
        <v>51.96</v>
      </c>
      <c r="F12" s="97" t="s">
        <v>96</v>
      </c>
      <c r="G12" s="40">
        <v>405.28800000000001</v>
      </c>
      <c r="H12" s="10" t="s">
        <v>97</v>
      </c>
      <c r="I12" s="33" cm="1">
        <f t="array" ref="I12">((G12)*(_xlfn.IFS(A12=$A$38,$B$38,A12=$A$39,$B$39,A12=$A$45,$B$45,A12=$A$46,$B$46,A12=$A$40,$B$40,A12=$A$41,$B$41,A12=$A$42,$B$42,A12=$A$43,$B$43,A12=$A$44,$B$44,A12=$A$47,$B$47,A12=$A$48,$B$48)))/1000</f>
        <v>4.1744664000000001E-2</v>
      </c>
      <c r="J12" s="33" t="s">
        <v>4</v>
      </c>
      <c r="K12" s="33" t="s">
        <v>4</v>
      </c>
      <c r="L12" s="33" t="s">
        <v>4</v>
      </c>
      <c r="N12" s="47"/>
      <c r="O12" s="47"/>
      <c r="P12" s="47"/>
      <c r="Q12" s="47"/>
      <c r="R12" s="47"/>
      <c r="S12" s="47"/>
      <c r="T12" s="47"/>
      <c r="U12" s="47"/>
      <c r="V12" s="42"/>
      <c r="W12" s="42"/>
      <c r="X12" s="42"/>
      <c r="Y12" s="42"/>
    </row>
    <row r="13" spans="1:25" ht="13.5" customHeight="1" x14ac:dyDescent="0.3">
      <c r="A13" s="79" t="s">
        <v>101</v>
      </c>
      <c r="B13" s="79" t="s">
        <v>95</v>
      </c>
      <c r="C13" s="107"/>
      <c r="D13" s="36" t="s">
        <v>47</v>
      </c>
      <c r="E13" s="107">
        <v>155.88</v>
      </c>
      <c r="F13" s="97" t="s">
        <v>96</v>
      </c>
      <c r="G13" s="40">
        <v>1714.6800000000003</v>
      </c>
      <c r="H13" s="10" t="s">
        <v>97</v>
      </c>
      <c r="I13" s="33" cm="1">
        <f t="array" ref="I13">((G13)*(_xlfn.IFS(A13=$A$38,$B$38,A13=$A$39,$B$39,A13=$A$45,$B$45,A13=$A$46,$B$46,A13=$A$40,$B$40,A13=$A$41,$B$41,A13=$A$42,$B$42,A13=$A$43,$B$43,A13=$A$44,$B$44,A13=$A$47,$B$47,A13=$A$48,$B$48)))/1000</f>
        <v>3.4293600000000007E-2</v>
      </c>
      <c r="J13" s="33" t="s">
        <v>4</v>
      </c>
      <c r="K13" s="33" t="s">
        <v>4</v>
      </c>
      <c r="L13" s="33" t="s">
        <v>4</v>
      </c>
      <c r="N13" s="47"/>
      <c r="O13" s="47"/>
      <c r="P13" s="47"/>
      <c r="Q13" s="47"/>
      <c r="R13" s="47"/>
      <c r="S13" s="47"/>
      <c r="T13" s="47"/>
      <c r="U13" s="47"/>
      <c r="V13" s="42"/>
      <c r="W13" s="42"/>
      <c r="X13" s="42"/>
      <c r="Y13" s="42"/>
    </row>
    <row r="14" spans="1:25" ht="13.5" customHeight="1" x14ac:dyDescent="0.3">
      <c r="A14" s="79" t="s">
        <v>81</v>
      </c>
      <c r="B14" s="79" t="s">
        <v>95</v>
      </c>
      <c r="C14" s="107"/>
      <c r="D14" s="36" t="s">
        <v>47</v>
      </c>
      <c r="E14" s="107">
        <v>519.59999999999991</v>
      </c>
      <c r="F14" s="97" t="s">
        <v>96</v>
      </c>
      <c r="G14" s="40">
        <v>4084.0560000000005</v>
      </c>
      <c r="H14" s="10" t="s">
        <v>97</v>
      </c>
      <c r="I14" s="40" cm="1">
        <f t="array" ref="I14">((G14)*(_xlfn.IFS(A14=$A$38,$B$38,A14=$A$39,$B$39,A14=$A$45,$B$45,A14=$A$46,$B$46,A14=$A$40,$B$40,A14=$A$41,$B$41,A14=$A$42,$B$42,A14=$A$43,$B$43,A14=$A$44,$B$44,A14=$A$47,$B$47,A14=$A$48,$B$48)))/1000</f>
        <v>0</v>
      </c>
      <c r="J14" s="33" t="s">
        <v>4</v>
      </c>
      <c r="K14" s="33" t="s">
        <v>4</v>
      </c>
      <c r="L14" s="33" t="s">
        <v>4</v>
      </c>
      <c r="N14" s="47"/>
      <c r="O14" s="47"/>
      <c r="P14" s="47"/>
      <c r="Q14" s="47"/>
      <c r="R14" s="47"/>
      <c r="S14" s="47"/>
      <c r="T14" s="47"/>
      <c r="U14" s="47"/>
      <c r="V14" s="42"/>
      <c r="W14" s="42"/>
      <c r="X14" s="42"/>
      <c r="Y14" s="42"/>
    </row>
    <row r="15" spans="1:25" ht="13.5" customHeight="1" x14ac:dyDescent="0.3">
      <c r="A15" s="79" t="s">
        <v>102</v>
      </c>
      <c r="B15" s="79" t="s">
        <v>95</v>
      </c>
      <c r="C15" s="107"/>
      <c r="D15" s="36" t="s">
        <v>47</v>
      </c>
      <c r="E15" s="107">
        <v>0</v>
      </c>
      <c r="F15" s="97" t="s">
        <v>96</v>
      </c>
      <c r="G15" s="40">
        <v>0</v>
      </c>
      <c r="H15" s="10" t="s">
        <v>97</v>
      </c>
      <c r="I15" s="40" cm="1">
        <f t="array" ref="I15">((G15)*(_xlfn.IFS(A15=$A$38,$B$38,A15=$A$39,$B$39,A15=$A$45,$B$45,A15=$A$46,$B$46,A15=$A$40,$B$40,A15=$A$41,$B$41,A15=$A$42,$B$42,A15=$A$43,$B$43,A15=$A$44,$B$44,A15=$A$47,$B$47,A15=$A$48,$B$48)))/1000</f>
        <v>0</v>
      </c>
      <c r="J15" s="33" t="s">
        <v>4</v>
      </c>
      <c r="K15" s="33" t="s">
        <v>4</v>
      </c>
      <c r="L15" s="33" t="s">
        <v>4</v>
      </c>
      <c r="N15" s="47"/>
      <c r="O15" s="47"/>
      <c r="P15" s="47"/>
      <c r="Q15" s="47"/>
      <c r="R15" s="47"/>
      <c r="S15" s="47"/>
      <c r="T15" s="47"/>
      <c r="U15" s="47"/>
      <c r="V15" s="42"/>
      <c r="W15" s="42"/>
      <c r="X15" s="42"/>
      <c r="Y15" s="42"/>
    </row>
    <row r="16" spans="1:25" ht="13.5" customHeight="1" x14ac:dyDescent="0.3">
      <c r="A16" s="79" t="s">
        <v>103</v>
      </c>
      <c r="B16" s="79" t="s">
        <v>95</v>
      </c>
      <c r="C16" s="107"/>
      <c r="D16" s="36" t="s">
        <v>47</v>
      </c>
      <c r="E16" s="107">
        <v>207.84</v>
      </c>
      <c r="F16" s="97" t="s">
        <v>96</v>
      </c>
      <c r="G16" s="40">
        <v>270.19200000000001</v>
      </c>
      <c r="H16" s="10" t="s">
        <v>97</v>
      </c>
      <c r="I16" s="40">
        <v>0</v>
      </c>
      <c r="J16" s="33" t="s">
        <v>4</v>
      </c>
      <c r="K16" s="33" t="s">
        <v>4</v>
      </c>
      <c r="L16" s="33" t="s">
        <v>4</v>
      </c>
      <c r="N16" s="47"/>
      <c r="O16" s="47"/>
      <c r="P16" s="47"/>
      <c r="Q16" s="47"/>
      <c r="R16" s="47"/>
      <c r="S16" s="47"/>
      <c r="T16" s="47"/>
      <c r="U16" s="47"/>
      <c r="V16" s="42"/>
      <c r="W16" s="42"/>
      <c r="X16" s="42"/>
      <c r="Y16" s="42"/>
    </row>
    <row r="17" spans="1:25" ht="13.5" customHeight="1" x14ac:dyDescent="0.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2"/>
      <c r="W17" s="42"/>
      <c r="X17" s="42"/>
      <c r="Y17" s="42"/>
    </row>
    <row r="18" spans="1:25" ht="31" x14ac:dyDescent="0.35">
      <c r="A18" s="16" t="s">
        <v>9</v>
      </c>
      <c r="B18" s="16" t="s">
        <v>8</v>
      </c>
      <c r="C18" s="16" t="s">
        <v>26</v>
      </c>
      <c r="D18" s="16" t="s">
        <v>16</v>
      </c>
      <c r="E18" s="16" t="s">
        <v>17</v>
      </c>
      <c r="F18" s="19" t="s">
        <v>27</v>
      </c>
      <c r="G18" s="11" t="s">
        <v>28</v>
      </c>
      <c r="H18" s="11" t="s">
        <v>29</v>
      </c>
      <c r="I18"/>
      <c r="J18" s="47"/>
      <c r="K18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2"/>
      <c r="W18" s="42"/>
      <c r="X18" s="42"/>
      <c r="Y18" s="42"/>
    </row>
    <row r="19" spans="1:25" ht="13.5" customHeight="1" x14ac:dyDescent="0.35">
      <c r="A19" s="79" t="s">
        <v>94</v>
      </c>
      <c r="B19" s="79" t="s">
        <v>95</v>
      </c>
      <c r="C19" s="33" t="s">
        <v>4</v>
      </c>
      <c r="D19" s="33" t="s">
        <v>4</v>
      </c>
      <c r="E19" s="33" t="s">
        <v>4</v>
      </c>
      <c r="F19" s="33">
        <f>SUMIF($A$9:$A$16,A19,$I$9:$I$16)</f>
        <v>2.2515722880000002</v>
      </c>
      <c r="G19" s="103">
        <v>0.01</v>
      </c>
      <c r="H19" s="91">
        <f>+D45</f>
        <v>0.1</v>
      </c>
      <c r="I19"/>
      <c r="J19" s="47"/>
      <c r="K19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2"/>
      <c r="W19" s="42"/>
      <c r="X19" s="42"/>
      <c r="Y19" s="42"/>
    </row>
    <row r="20" spans="1:25" ht="13.5" customHeight="1" x14ac:dyDescent="0.35">
      <c r="A20" s="79" t="s">
        <v>98</v>
      </c>
      <c r="B20" s="79" t="s">
        <v>95</v>
      </c>
      <c r="C20" s="33" t="s">
        <v>4</v>
      </c>
      <c r="D20" s="33" t="s">
        <v>4</v>
      </c>
      <c r="E20" s="33" t="s">
        <v>4</v>
      </c>
      <c r="F20" s="33">
        <f t="shared" ref="F20:F26" si="0">SUMIF($A$9:$A$16,A20,$I$9:$I$16)</f>
        <v>1.4593745399999998</v>
      </c>
      <c r="G20" s="103">
        <v>0.01</v>
      </c>
      <c r="H20" s="91">
        <f>+D38</f>
        <v>0.15</v>
      </c>
      <c r="I20"/>
      <c r="J20" s="47"/>
      <c r="K20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2"/>
      <c r="W20" s="42"/>
      <c r="X20" s="42"/>
      <c r="Y20" s="42"/>
    </row>
    <row r="21" spans="1:25" ht="13.5" customHeight="1" x14ac:dyDescent="0.35">
      <c r="A21" s="79" t="s">
        <v>81</v>
      </c>
      <c r="B21" s="79" t="s">
        <v>95</v>
      </c>
      <c r="C21" s="33" t="s">
        <v>4</v>
      </c>
      <c r="D21" s="33" t="s">
        <v>4</v>
      </c>
      <c r="E21" s="33" t="s">
        <v>4</v>
      </c>
      <c r="F21" s="33">
        <f t="shared" si="0"/>
        <v>0</v>
      </c>
      <c r="G21" s="103">
        <v>0.01</v>
      </c>
      <c r="H21" s="91">
        <f>+D47%</f>
        <v>0</v>
      </c>
      <c r="I21"/>
      <c r="J21" s="47"/>
      <c r="K21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2"/>
      <c r="W21" s="42"/>
      <c r="X21" s="42"/>
      <c r="Y21" s="42"/>
    </row>
    <row r="22" spans="1:25" ht="13.5" customHeight="1" x14ac:dyDescent="0.35">
      <c r="A22" s="79" t="s">
        <v>102</v>
      </c>
      <c r="B22" s="79" t="s">
        <v>95</v>
      </c>
      <c r="C22" s="33" t="s">
        <v>4</v>
      </c>
      <c r="D22" s="33" t="s">
        <v>4</v>
      </c>
      <c r="E22" s="33" t="s">
        <v>4</v>
      </c>
      <c r="F22" s="33">
        <f t="shared" si="0"/>
        <v>0</v>
      </c>
      <c r="G22" s="103">
        <v>0.01</v>
      </c>
      <c r="H22" s="91">
        <f>+D44</f>
        <v>0.1</v>
      </c>
      <c r="I22"/>
      <c r="J22" s="47"/>
      <c r="K22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2"/>
      <c r="W22" s="42"/>
      <c r="X22" s="42"/>
      <c r="Y22" s="42"/>
    </row>
    <row r="23" spans="1:25" ht="13.5" customHeight="1" x14ac:dyDescent="0.35">
      <c r="A23" s="79" t="s">
        <v>99</v>
      </c>
      <c r="B23" s="79" t="s">
        <v>95</v>
      </c>
      <c r="C23" s="33" t="s">
        <v>4</v>
      </c>
      <c r="D23" s="33" t="s">
        <v>4</v>
      </c>
      <c r="E23" s="33" t="s">
        <v>4</v>
      </c>
      <c r="F23" s="33">
        <f t="shared" si="0"/>
        <v>0.40404096</v>
      </c>
      <c r="G23" s="103">
        <v>0.01</v>
      </c>
      <c r="H23" s="91">
        <f>+D46%</f>
        <v>1E-3</v>
      </c>
      <c r="I23"/>
      <c r="J23" s="47"/>
      <c r="K23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2"/>
      <c r="W23" s="42"/>
      <c r="X23" s="42"/>
      <c r="Y23" s="42"/>
    </row>
    <row r="24" spans="1:25" ht="13.5" customHeight="1" x14ac:dyDescent="0.35">
      <c r="A24" s="79" t="s">
        <v>103</v>
      </c>
      <c r="B24" s="79" t="s">
        <v>95</v>
      </c>
      <c r="C24" s="33" t="s">
        <v>4</v>
      </c>
      <c r="D24" s="33" t="s">
        <v>4</v>
      </c>
      <c r="E24" s="33" t="s">
        <v>4</v>
      </c>
      <c r="F24" s="33">
        <f t="shared" si="0"/>
        <v>0</v>
      </c>
      <c r="G24" s="103">
        <v>0.01</v>
      </c>
      <c r="H24" s="91">
        <v>0</v>
      </c>
      <c r="I24"/>
      <c r="J24" s="47"/>
      <c r="K24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2"/>
      <c r="W24" s="42"/>
      <c r="X24" s="42"/>
      <c r="Y24" s="42"/>
    </row>
    <row r="25" spans="1:25" ht="13.5" customHeight="1" x14ac:dyDescent="0.35">
      <c r="A25" s="79" t="s">
        <v>101</v>
      </c>
      <c r="B25" s="79" t="s">
        <v>95</v>
      </c>
      <c r="C25" s="33" t="s">
        <v>4</v>
      </c>
      <c r="D25" s="33" t="s">
        <v>4</v>
      </c>
      <c r="E25" s="33" t="s">
        <v>4</v>
      </c>
      <c r="F25" s="33">
        <f t="shared" si="0"/>
        <v>3.4293600000000007E-2</v>
      </c>
      <c r="G25" s="103">
        <v>0.01</v>
      </c>
      <c r="H25" s="91">
        <f>+D48</f>
        <v>0.05</v>
      </c>
      <c r="I25"/>
      <c r="J25" s="47"/>
      <c r="K25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2"/>
      <c r="W25" s="42"/>
      <c r="X25" s="42"/>
      <c r="Y25" s="42"/>
    </row>
    <row r="26" spans="1:25" ht="13.5" customHeight="1" x14ac:dyDescent="0.35">
      <c r="A26" s="79" t="s">
        <v>100</v>
      </c>
      <c r="B26" s="79" t="s">
        <v>95</v>
      </c>
      <c r="C26" s="33" t="s">
        <v>4</v>
      </c>
      <c r="D26" s="33" t="s">
        <v>4</v>
      </c>
      <c r="E26" s="33" t="s">
        <v>4</v>
      </c>
      <c r="F26" s="33">
        <f t="shared" si="0"/>
        <v>4.1744664000000001E-2</v>
      </c>
      <c r="G26" s="103">
        <v>0.01</v>
      </c>
      <c r="H26" s="91">
        <f>+D42</f>
        <v>0.1</v>
      </c>
      <c r="I26"/>
      <c r="J26" s="47"/>
      <c r="K26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2"/>
      <c r="W26" s="42"/>
      <c r="X26" s="42"/>
      <c r="Y26" s="42"/>
    </row>
    <row r="27" spans="1:25" ht="13.5" customHeight="1" x14ac:dyDescent="0.35">
      <c r="A27" s="47"/>
      <c r="B27" s="93" t="s">
        <v>30</v>
      </c>
      <c r="C27" s="92">
        <f>SUM(C19:C26)</f>
        <v>0</v>
      </c>
      <c r="D27" s="92">
        <f t="shared" ref="D27:E27" si="1">SUM(D19:D26)</f>
        <v>0</v>
      </c>
      <c r="E27" s="92">
        <f t="shared" si="1"/>
        <v>0</v>
      </c>
      <c r="F27" s="92">
        <f>SUM(F19:F26)</f>
        <v>4.1910260519999998</v>
      </c>
      <c r="G27" s="47"/>
      <c r="H27" s="47"/>
      <c r="I27" s="47"/>
      <c r="J27" s="47"/>
      <c r="K2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2"/>
      <c r="W27" s="42"/>
      <c r="X27" s="42"/>
      <c r="Y27" s="42"/>
    </row>
    <row r="28" spans="1:25" ht="13.5" customHeight="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2"/>
      <c r="W28" s="42"/>
      <c r="X28" s="42"/>
      <c r="Y28" s="42"/>
    </row>
    <row r="29" spans="1:25" ht="14.5" x14ac:dyDescent="0.35">
      <c r="A29" s="52" t="s">
        <v>31</v>
      </c>
      <c r="B29" s="54"/>
      <c r="C29" s="54"/>
      <c r="D29" s="54"/>
      <c r="E29"/>
      <c r="F29"/>
      <c r="G29"/>
      <c r="H29"/>
    </row>
    <row r="30" spans="1:25" ht="18.75" customHeight="1" x14ac:dyDescent="0.35">
      <c r="A30"/>
      <c r="B30"/>
      <c r="C30"/>
      <c r="D30"/>
      <c r="E30"/>
      <c r="F30"/>
      <c r="G30"/>
      <c r="H30"/>
    </row>
    <row r="31" spans="1:25" ht="36.75" customHeight="1" x14ac:dyDescent="0.3">
      <c r="A31" s="43" t="s">
        <v>0</v>
      </c>
      <c r="B31" s="43" t="s">
        <v>1</v>
      </c>
      <c r="C31" s="43" t="s">
        <v>32</v>
      </c>
      <c r="D31" s="43" t="s">
        <v>33</v>
      </c>
      <c r="E31" s="43" t="s">
        <v>34</v>
      </c>
      <c r="F31" s="43" t="s">
        <v>2</v>
      </c>
      <c r="G31" s="43" t="s">
        <v>44</v>
      </c>
    </row>
    <row r="32" spans="1:25" ht="48.75" customHeight="1" x14ac:dyDescent="0.35">
      <c r="A32" s="44" t="s">
        <v>104</v>
      </c>
      <c r="B32" s="55">
        <f>+F27</f>
        <v>4.1910260519999998</v>
      </c>
      <c r="C32" s="81">
        <f>+C27</f>
        <v>0</v>
      </c>
      <c r="D32" s="81">
        <f t="shared" ref="D32:E32" si="2">+D27</f>
        <v>0</v>
      </c>
      <c r="E32" s="81">
        <f t="shared" si="2"/>
        <v>0</v>
      </c>
      <c r="F32" s="43" t="s">
        <v>4</v>
      </c>
      <c r="G32" s="77">
        <f>SQRT((SUM(G19:G26)^2)+((SUM(H19:H26)^2)%))</f>
        <v>9.4392849305442617E-2</v>
      </c>
    </row>
    <row r="33" spans="1:20" ht="14" x14ac:dyDescent="0.3">
      <c r="S33" s="22"/>
      <c r="T33" s="7"/>
    </row>
    <row r="34" spans="1:20" ht="14.25" customHeight="1" x14ac:dyDescent="0.35">
      <c r="A34" s="52" t="s">
        <v>35</v>
      </c>
      <c r="B34" s="54"/>
      <c r="C34" s="54"/>
      <c r="D34" s="54"/>
    </row>
    <row r="35" spans="1:20" ht="14.5" x14ac:dyDescent="0.35">
      <c r="D35"/>
      <c r="E35"/>
      <c r="F35"/>
    </row>
    <row r="36" spans="1:20" ht="15.5" x14ac:dyDescent="0.3">
      <c r="A36" s="207" t="s">
        <v>36</v>
      </c>
      <c r="B36" s="208"/>
      <c r="C36" s="208"/>
      <c r="D36" s="208"/>
      <c r="E36" s="208"/>
      <c r="F36" s="208"/>
      <c r="G36" s="2"/>
      <c r="H36" s="2"/>
      <c r="I36" s="2"/>
      <c r="J36" s="2"/>
    </row>
    <row r="37" spans="1:20" ht="15.5" x14ac:dyDescent="0.35">
      <c r="A37" s="88" t="s">
        <v>37</v>
      </c>
      <c r="B37" s="88" t="s">
        <v>38</v>
      </c>
      <c r="C37" s="88" t="s">
        <v>39</v>
      </c>
      <c r="D37" s="88" t="s">
        <v>40</v>
      </c>
      <c r="E37" s="210" t="s">
        <v>41</v>
      </c>
      <c r="F37" s="210"/>
      <c r="G37" s="2"/>
      <c r="H37" s="2"/>
      <c r="I37" s="2"/>
      <c r="J37" s="2"/>
    </row>
    <row r="38" spans="1:20" ht="21" customHeight="1" x14ac:dyDescent="0.35">
      <c r="A38" s="106" t="s">
        <v>98</v>
      </c>
      <c r="B38" s="87">
        <v>0.14499999999999999</v>
      </c>
      <c r="C38" s="86" t="s">
        <v>105</v>
      </c>
      <c r="D38" s="108">
        <v>0.15</v>
      </c>
      <c r="E38" s="209" t="s">
        <v>106</v>
      </c>
      <c r="F38" s="209"/>
      <c r="G38" s="2"/>
      <c r="H38" s="2"/>
      <c r="I38" s="2"/>
      <c r="J38" s="2"/>
    </row>
    <row r="39" spans="1:20" ht="21" hidden="1" customHeight="1" x14ac:dyDescent="0.35">
      <c r="A39" s="106" t="s">
        <v>107</v>
      </c>
      <c r="B39" s="87">
        <v>0.15</v>
      </c>
      <c r="C39" s="86" t="s">
        <v>105</v>
      </c>
      <c r="D39" s="108">
        <v>0.1</v>
      </c>
      <c r="E39" s="209" t="s">
        <v>42</v>
      </c>
      <c r="F39" s="209"/>
      <c r="G39" s="2"/>
      <c r="H39" s="2"/>
      <c r="I39" s="2"/>
      <c r="J39" s="2"/>
    </row>
    <row r="40" spans="1:20" ht="21" hidden="1" customHeight="1" x14ac:dyDescent="0.35">
      <c r="A40" s="106" t="s">
        <v>108</v>
      </c>
      <c r="B40" s="87">
        <v>0.25</v>
      </c>
      <c r="C40" s="86" t="s">
        <v>105</v>
      </c>
      <c r="D40" s="108">
        <v>0.15</v>
      </c>
      <c r="E40" s="209" t="s">
        <v>109</v>
      </c>
      <c r="F40" s="209"/>
      <c r="G40" s="2"/>
      <c r="H40" s="2"/>
      <c r="I40" s="2"/>
      <c r="J40" s="2"/>
    </row>
    <row r="41" spans="1:20" ht="21" hidden="1" customHeight="1" x14ac:dyDescent="0.35">
      <c r="A41" s="106" t="s">
        <v>110</v>
      </c>
      <c r="B41" s="87">
        <v>0.17</v>
      </c>
      <c r="C41" s="86" t="s">
        <v>105</v>
      </c>
      <c r="D41" s="108">
        <v>0.15</v>
      </c>
      <c r="E41" s="209" t="s">
        <v>52</v>
      </c>
      <c r="F41" s="209"/>
      <c r="G41" s="2"/>
      <c r="H41" s="2"/>
      <c r="I41" s="2"/>
      <c r="J41" s="2"/>
    </row>
    <row r="42" spans="1:20" ht="21" customHeight="1" x14ac:dyDescent="0.35">
      <c r="A42" s="106" t="s">
        <v>100</v>
      </c>
      <c r="B42" s="87">
        <v>0.10299999999999999</v>
      </c>
      <c r="C42" s="86" t="s">
        <v>105</v>
      </c>
      <c r="D42" s="108">
        <v>0.1</v>
      </c>
      <c r="E42" s="209" t="s">
        <v>106</v>
      </c>
      <c r="F42" s="209"/>
      <c r="G42" s="2"/>
      <c r="H42" s="2"/>
      <c r="I42" s="2"/>
      <c r="J42" s="2"/>
    </row>
    <row r="43" spans="1:20" ht="21" hidden="1" customHeight="1" x14ac:dyDescent="0.35">
      <c r="A43" s="106" t="s">
        <v>111</v>
      </c>
      <c r="B43" s="87">
        <v>0.3</v>
      </c>
      <c r="C43" s="86" t="s">
        <v>105</v>
      </c>
      <c r="D43" s="108">
        <v>0.1</v>
      </c>
      <c r="E43" s="209" t="s">
        <v>112</v>
      </c>
      <c r="F43" s="209"/>
      <c r="G43" s="2"/>
      <c r="H43" s="2"/>
      <c r="I43" s="2"/>
      <c r="J43" s="2"/>
    </row>
    <row r="44" spans="1:20" ht="21" customHeight="1" x14ac:dyDescent="0.35">
      <c r="A44" s="106" t="s">
        <v>102</v>
      </c>
      <c r="B44" s="87">
        <v>0.13</v>
      </c>
      <c r="C44" s="86" t="s">
        <v>105</v>
      </c>
      <c r="D44" s="108">
        <v>0.1</v>
      </c>
      <c r="E44" s="209" t="s">
        <v>106</v>
      </c>
      <c r="F44" s="209"/>
      <c r="G44" s="114" t="s">
        <v>113</v>
      </c>
      <c r="H44" s="2"/>
      <c r="I44" s="2"/>
      <c r="J44" s="2"/>
    </row>
    <row r="45" spans="1:20" ht="21" customHeight="1" x14ac:dyDescent="0.35">
      <c r="A45" s="106" t="s">
        <v>94</v>
      </c>
      <c r="B45" s="87">
        <v>5.6000000000000001E-2</v>
      </c>
      <c r="C45" s="86" t="s">
        <v>105</v>
      </c>
      <c r="D45" s="108">
        <v>0.1</v>
      </c>
      <c r="E45" s="209" t="s">
        <v>114</v>
      </c>
      <c r="F45" s="209"/>
      <c r="G45" s="114" t="s">
        <v>115</v>
      </c>
      <c r="H45" s="2"/>
      <c r="I45" s="2"/>
      <c r="J45" s="2"/>
    </row>
    <row r="46" spans="1:20" ht="21" customHeight="1" x14ac:dyDescent="0.35">
      <c r="A46" s="106" t="s">
        <v>116</v>
      </c>
      <c r="B46" s="87">
        <v>0.08</v>
      </c>
      <c r="C46" s="86" t="s">
        <v>105</v>
      </c>
      <c r="D46" s="108">
        <v>0.1</v>
      </c>
      <c r="E46" s="209" t="s">
        <v>114</v>
      </c>
      <c r="F46" s="209"/>
      <c r="G46" s="2"/>
      <c r="H46" s="2"/>
      <c r="I46" s="2"/>
      <c r="J46" s="2"/>
    </row>
    <row r="47" spans="1:20" ht="21" customHeight="1" x14ac:dyDescent="0.35">
      <c r="A47" s="106" t="s">
        <v>81</v>
      </c>
      <c r="B47" s="87">
        <v>0</v>
      </c>
      <c r="C47" s="86" t="s">
        <v>105</v>
      </c>
      <c r="D47" s="108">
        <v>0</v>
      </c>
      <c r="E47" s="209"/>
      <c r="F47" s="209"/>
      <c r="G47" s="2"/>
      <c r="H47" s="2"/>
      <c r="I47" s="2"/>
      <c r="J47" s="2"/>
    </row>
    <row r="48" spans="1:20" ht="21" customHeight="1" x14ac:dyDescent="0.35">
      <c r="A48" s="106" t="s">
        <v>101</v>
      </c>
      <c r="B48" s="87">
        <v>0.02</v>
      </c>
      <c r="C48" s="86" t="s">
        <v>105</v>
      </c>
      <c r="D48" s="108">
        <v>0.05</v>
      </c>
      <c r="E48" s="209" t="s">
        <v>117</v>
      </c>
      <c r="F48" s="209"/>
      <c r="G48" s="2"/>
      <c r="H48" s="2"/>
      <c r="I48" s="2"/>
      <c r="J48" s="2"/>
    </row>
    <row r="49" spans="1:10" ht="21" customHeight="1" x14ac:dyDescent="0.35">
      <c r="A49" s="106" t="s">
        <v>118</v>
      </c>
      <c r="B49" s="87">
        <v>0.186</v>
      </c>
      <c r="C49" s="86" t="s">
        <v>105</v>
      </c>
      <c r="D49" s="108">
        <v>0.05</v>
      </c>
      <c r="E49" s="209" t="s">
        <v>106</v>
      </c>
      <c r="F49" s="209"/>
      <c r="G49" s="2"/>
      <c r="H49" s="2"/>
      <c r="I49" s="2"/>
      <c r="J49" s="2"/>
    </row>
    <row r="50" spans="1:10" ht="21" customHeight="1" x14ac:dyDescent="0.35">
      <c r="A50" s="106" t="s">
        <v>119</v>
      </c>
      <c r="B50" s="87">
        <v>0.23300000000000001</v>
      </c>
      <c r="C50" s="86" t="s">
        <v>105</v>
      </c>
      <c r="D50" s="108">
        <v>0.05</v>
      </c>
      <c r="E50" s="209" t="s">
        <v>106</v>
      </c>
      <c r="F50" s="209"/>
      <c r="G50" s="2"/>
      <c r="H50" s="2"/>
      <c r="I50" s="2"/>
      <c r="J50" s="2"/>
    </row>
    <row r="51" spans="1:10" ht="21" customHeight="1" x14ac:dyDescent="0.35">
      <c r="A51" s="106" t="s">
        <v>120</v>
      </c>
      <c r="B51" s="87">
        <v>0.30399999999999999</v>
      </c>
      <c r="C51" s="86" t="s">
        <v>105</v>
      </c>
      <c r="D51" s="108">
        <v>0.05</v>
      </c>
      <c r="E51" s="209" t="s">
        <v>106</v>
      </c>
      <c r="F51" s="209"/>
      <c r="G51" s="2"/>
      <c r="H51" s="2"/>
      <c r="I51" s="2"/>
      <c r="J51" s="2"/>
    </row>
    <row r="52" spans="1:10" ht="21" customHeight="1" x14ac:dyDescent="0.35">
      <c r="A52" s="106" t="s">
        <v>121</v>
      </c>
      <c r="B52" s="87">
        <v>7.8E-2</v>
      </c>
      <c r="C52" s="86" t="s">
        <v>105</v>
      </c>
      <c r="D52" s="108">
        <v>0.05</v>
      </c>
      <c r="E52" s="209" t="s">
        <v>106</v>
      </c>
      <c r="F52" s="209"/>
      <c r="G52" s="2"/>
      <c r="H52" s="2"/>
      <c r="I52" s="2"/>
      <c r="J52" s="2"/>
    </row>
    <row r="53" spans="1:10" ht="21" customHeight="1" x14ac:dyDescent="0.35">
      <c r="A53" s="106" t="s">
        <v>122</v>
      </c>
      <c r="B53" s="87">
        <v>0.16</v>
      </c>
      <c r="C53" s="86" t="s">
        <v>105</v>
      </c>
      <c r="D53" s="108">
        <v>0.05</v>
      </c>
      <c r="E53" s="209"/>
      <c r="F53" s="209"/>
      <c r="G53" s="114" t="s">
        <v>123</v>
      </c>
      <c r="H53" s="2"/>
      <c r="I53" s="2"/>
      <c r="J53" s="2"/>
    </row>
    <row r="54" spans="1:10" ht="21" customHeight="1" x14ac:dyDescent="0.35">
      <c r="A54" s="110"/>
      <c r="B54" s="37"/>
      <c r="C54" s="111"/>
      <c r="D54" s="112"/>
      <c r="E54" s="113"/>
      <c r="F54" s="113"/>
      <c r="G54" s="2"/>
      <c r="H54" s="2"/>
      <c r="I54" s="2"/>
      <c r="J54" s="2"/>
    </row>
    <row r="55" spans="1:10" ht="21" customHeight="1" x14ac:dyDescent="0.35">
      <c r="A55" s="110"/>
      <c r="B55" s="37"/>
      <c r="C55" s="111"/>
      <c r="D55" s="112"/>
      <c r="E55" s="113"/>
      <c r="F55" s="113"/>
      <c r="G55" s="2"/>
      <c r="H55" s="2"/>
      <c r="I55" s="2"/>
      <c r="J55" s="2"/>
    </row>
    <row r="56" spans="1:10" ht="21" customHeight="1" x14ac:dyDescent="0.3">
      <c r="G56" s="2"/>
      <c r="H56" s="2"/>
      <c r="I56" s="2"/>
      <c r="J56" s="2"/>
    </row>
    <row r="59" spans="1:10" ht="14.25" customHeight="1" x14ac:dyDescent="0.35">
      <c r="A59" s="70" t="s">
        <v>124</v>
      </c>
    </row>
    <row r="60" spans="1:10" ht="14.25" customHeight="1" x14ac:dyDescent="0.35">
      <c r="A60" s="70" t="s">
        <v>125</v>
      </c>
    </row>
    <row r="71" spans="1:1" ht="14.25" customHeight="1" x14ac:dyDescent="0.35">
      <c r="A71"/>
    </row>
    <row r="72" spans="1:1" ht="14.25" customHeight="1" x14ac:dyDescent="0.35">
      <c r="A72"/>
    </row>
    <row r="73" spans="1:1" ht="14.25" customHeight="1" x14ac:dyDescent="0.35">
      <c r="A73"/>
    </row>
    <row r="74" spans="1:1" ht="14.25" customHeight="1" x14ac:dyDescent="0.35">
      <c r="A74"/>
    </row>
    <row r="75" spans="1:1" ht="14.25" customHeight="1" x14ac:dyDescent="0.35">
      <c r="A75"/>
    </row>
    <row r="76" spans="1:1" ht="14.25" customHeight="1" x14ac:dyDescent="0.35">
      <c r="A76"/>
    </row>
    <row r="77" spans="1:1" ht="14.25" customHeight="1" x14ac:dyDescent="0.35">
      <c r="A77"/>
    </row>
    <row r="78" spans="1:1" ht="14.25" customHeight="1" x14ac:dyDescent="0.35">
      <c r="A78"/>
    </row>
    <row r="79" spans="1:1" ht="14.25" customHeight="1" x14ac:dyDescent="0.35">
      <c r="A79"/>
    </row>
    <row r="80" spans="1:1" ht="14.25" customHeight="1" x14ac:dyDescent="0.35">
      <c r="A80"/>
    </row>
    <row r="81" spans="1:1" ht="14.5" x14ac:dyDescent="0.35">
      <c r="A81"/>
    </row>
    <row r="82" spans="1:1" ht="14.5" x14ac:dyDescent="0.35">
      <c r="A82"/>
    </row>
    <row r="83" spans="1:1" ht="14.5" x14ac:dyDescent="0.35">
      <c r="A83"/>
    </row>
    <row r="84" spans="1:1" ht="14.25" customHeight="1" x14ac:dyDescent="0.35">
      <c r="A84"/>
    </row>
    <row r="85" spans="1:1" ht="14.25" customHeight="1" x14ac:dyDescent="0.35">
      <c r="A85"/>
    </row>
    <row r="86" spans="1:1" ht="14.25" customHeight="1" x14ac:dyDescent="0.35">
      <c r="A86"/>
    </row>
    <row r="87" spans="1:1" ht="14.25" customHeight="1" x14ac:dyDescent="0.35">
      <c r="A87"/>
    </row>
    <row r="88" spans="1:1" ht="14.25" customHeight="1" x14ac:dyDescent="0.35">
      <c r="A88"/>
    </row>
    <row r="89" spans="1:1" ht="14.25" customHeight="1" x14ac:dyDescent="0.35">
      <c r="A89"/>
    </row>
    <row r="90" spans="1:1" ht="14.25" customHeight="1" x14ac:dyDescent="0.35">
      <c r="A90"/>
    </row>
    <row r="91" spans="1:1" ht="14.25" customHeight="1" x14ac:dyDescent="0.35">
      <c r="A91"/>
    </row>
  </sheetData>
  <sheetProtection formatCells="0" formatColumns="0" formatRows="0" insertColumns="0" insertRows="0" deleteColumns="0" deleteRows="0"/>
  <autoFilter ref="A8:L8" xr:uid="{00000000-0009-0000-0000-000008000000}">
    <sortState xmlns:xlrd2="http://schemas.microsoft.com/office/spreadsheetml/2017/richdata2" ref="A9:L16">
      <sortCondition descending="1" ref="I9:I16"/>
    </sortState>
  </autoFilter>
  <mergeCells count="21">
    <mergeCell ref="E50:F50"/>
    <mergeCell ref="E49:F49"/>
    <mergeCell ref="E51:F51"/>
    <mergeCell ref="E52:F52"/>
    <mergeCell ref="E53:F53"/>
    <mergeCell ref="A1:U2"/>
    <mergeCell ref="A3:H5"/>
    <mergeCell ref="B6:G6"/>
    <mergeCell ref="A36:F36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hyperlinks>
    <hyperlink ref="B6:G6" display="La información soporte se encuentra al hacer clic en este vínculo" xr:uid="{00000000-0004-0000-0800-000000000000}"/>
    <hyperlink ref="A59" r:id="rId1" xr:uid="{00000000-0004-0000-0800-000001000000}"/>
    <hyperlink ref="A60" r:id="rId2" xr:uid="{00000000-0004-0000-0800-000002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3A969CF67A414CBD9CB875D59E9447" ma:contentTypeVersion="20" ma:contentTypeDescription="Crear nuevo documento." ma:contentTypeScope="" ma:versionID="649bdce1c5851e5666ef8ea4e85cb9eb">
  <xsd:schema xmlns:xsd="http://www.w3.org/2001/XMLSchema" xmlns:xs="http://www.w3.org/2001/XMLSchema" xmlns:p="http://schemas.microsoft.com/office/2006/metadata/properties" xmlns:ns3="4287245d-93c1-48e6-b10e-c855f87bd647" xmlns:ns4="51721104-47d9-47eb-8cbd-28b25cebae72" targetNamespace="http://schemas.microsoft.com/office/2006/metadata/properties" ma:root="true" ma:fieldsID="b7e84e65f957affb157e3b836c616279" ns3:_="" ns4:_="">
    <xsd:import namespace="4287245d-93c1-48e6-b10e-c855f87bd647"/>
    <xsd:import namespace="51721104-47d9-47eb-8cbd-28b25cebae72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245d-93c1-48e6-b10e-c855f87bd6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21104-47d9-47eb-8cbd-28b25ceba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4287245d-93c1-48e6-b10e-c855f87bd647" xsi:nil="true"/>
    <MigrationWizId xmlns="4287245d-93c1-48e6-b10e-c855f87bd647" xsi:nil="true"/>
    <MigrationWizIdDocumentLibraryPermissions xmlns="4287245d-93c1-48e6-b10e-c855f87bd647" xsi:nil="true"/>
    <MigrationWizIdPermissionLevels xmlns="4287245d-93c1-48e6-b10e-c855f87bd647" xsi:nil="true"/>
    <_activity xmlns="4287245d-93c1-48e6-b10e-c855f87bd647" xsi:nil="true"/>
    <MigrationWizIdSecurityGroups xmlns="4287245d-93c1-48e6-b10e-c855f87bd6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69B8D5-6236-491A-9485-9921DACF8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7245d-93c1-48e6-b10e-c855f87bd647"/>
    <ds:schemaRef ds:uri="51721104-47d9-47eb-8cbd-28b25ceba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C2688-7F15-47E1-85CE-C7F8A31A5F56}">
  <ds:schemaRefs>
    <ds:schemaRef ds:uri="http://schemas.microsoft.com/office/2006/metadata/properties"/>
    <ds:schemaRef ds:uri="http://schemas.microsoft.com/office/infopath/2007/PartnerControls"/>
    <ds:schemaRef ds:uri="4287245d-93c1-48e6-b10e-c855f87bd647"/>
  </ds:schemaRefs>
</ds:datastoreItem>
</file>

<file path=customXml/itemProps3.xml><?xml version="1.0" encoding="utf-8"?>
<ds:datastoreItem xmlns:ds="http://schemas.openxmlformats.org/officeDocument/2006/customXml" ds:itemID="{B2E0C5A0-9C9C-4984-9768-B5A71C66ED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Tablero</vt:lpstr>
      <vt:lpstr>Hoja5</vt:lpstr>
      <vt:lpstr>3.3 Transporte</vt:lpstr>
      <vt:lpstr>3.2 T. Cercanias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Parqueadero</dc:creator>
  <cp:keywords/>
  <dc:description/>
  <cp:lastModifiedBy>DANIEL EDUARDO GONZALEZ BUITRAGO</cp:lastModifiedBy>
  <cp:revision/>
  <dcterms:created xsi:type="dcterms:W3CDTF">2006-09-16T00:00:00Z</dcterms:created>
  <dcterms:modified xsi:type="dcterms:W3CDTF">2026-01-16T16:09:03Z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0x010100193A969CF67A414CBD9CB875D59E9447</vt:lpwstr>
  </property>
</Properties>
</file>