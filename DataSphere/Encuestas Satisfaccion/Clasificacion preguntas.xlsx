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Encuestas Satisfaccion\"/>
    </mc:Choice>
  </mc:AlternateContent>
  <xr:revisionPtr revIDLastSave="0" documentId="13_ncr:1_{242C67AE-499B-4726-9A6C-76A57076BD0F}" xr6:coauthVersionLast="47" xr6:coauthVersionMax="47" xr10:uidLastSave="{00000000-0000-0000-0000-000000000000}"/>
  <bookViews>
    <workbookView xWindow="28680" yWindow="-120" windowWidth="20730" windowHeight="11040" tabRatio="723" firstSheet="7" activeTab="13" xr2:uid="{848088DF-1C46-490C-9AB4-CCF0081BE69F}"/>
  </bookViews>
  <sheets>
    <sheet name="Clasificacion" sheetId="2" r:id="rId1"/>
    <sheet name="Siglas" sheetId="9" r:id="rId2"/>
    <sheet name="Diccionario preguntas" sheetId="3" r:id="rId3"/>
    <sheet name="2019" sheetId="4" r:id="rId4"/>
    <sheet name="Diccionario 2019" sheetId="5" r:id="rId5"/>
    <sheet name="2020" sheetId="6" r:id="rId6"/>
    <sheet name="Diccionario 2020" sheetId="7" r:id="rId7"/>
    <sheet name="2021" sheetId="11" r:id="rId8"/>
    <sheet name="Diccionario 2021" sheetId="12" r:id="rId9"/>
    <sheet name="2022" sheetId="15" r:id="rId10"/>
    <sheet name="Diccionario 2022" sheetId="16" r:id="rId11"/>
    <sheet name="2023" sheetId="18" r:id="rId12"/>
    <sheet name="Diccionario 2023" sheetId="19" r:id="rId13"/>
    <sheet name="2024" sheetId="20" r:id="rId14"/>
    <sheet name="Diccionario 2024" sheetId="22" r:id="rId15"/>
    <sheet name="Hoja3" sheetId="23" r:id="rId16"/>
    <sheet name="Siglas Areas" sheetId="21" r:id="rId17"/>
  </sheets>
  <definedNames>
    <definedName name="_xlnm._FilterDatabase" localSheetId="11" hidden="1">'2023'!$A$1:$C$219</definedName>
    <definedName name="_xlnm._FilterDatabase" localSheetId="4" hidden="1">'Diccionario 2019'!$A$1:$D$138</definedName>
    <definedName name="_xlnm._FilterDatabase" localSheetId="10" hidden="1">'Diccionario 2022'!$A$1:$D$161</definedName>
    <definedName name="_xlnm._FilterDatabase" localSheetId="12" hidden="1">'Diccionario 2023'!$A$1:$H$219</definedName>
    <definedName name="_xlnm._FilterDatabase" localSheetId="14" hidden="1">'Diccionario 2024'!$A$1:$F$230</definedName>
    <definedName name="_xlnm._FilterDatabase" localSheetId="2" hidden="1">'Diccionario preguntas'!$A$1:$B$103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0" l="1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7" i="20"/>
  <c r="C228" i="20"/>
  <c r="C229" i="20"/>
  <c r="C230" i="20"/>
  <c r="C2" i="20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C121" i="22"/>
  <c r="C122" i="22"/>
  <c r="C123" i="22"/>
  <c r="C124" i="22"/>
  <c r="C125" i="22"/>
  <c r="C126" i="22"/>
  <c r="C127" i="22"/>
  <c r="C128" i="22"/>
  <c r="C129" i="22"/>
  <c r="C130" i="22"/>
  <c r="C131" i="22"/>
  <c r="C132" i="22"/>
  <c r="C133" i="22"/>
  <c r="C134" i="22"/>
  <c r="C135" i="22"/>
  <c r="C136" i="22"/>
  <c r="C137" i="22"/>
  <c r="C138" i="22"/>
  <c r="C139" i="22"/>
  <c r="C140" i="22"/>
  <c r="C141" i="22"/>
  <c r="C142" i="22"/>
  <c r="C143" i="22"/>
  <c r="C144" i="22"/>
  <c r="C145" i="22"/>
  <c r="C146" i="22"/>
  <c r="C147" i="22"/>
  <c r="C148" i="22"/>
  <c r="C149" i="22"/>
  <c r="C150" i="22"/>
  <c r="C151" i="22"/>
  <c r="C152" i="22"/>
  <c r="C153" i="22"/>
  <c r="C154" i="22"/>
  <c r="C155" i="22"/>
  <c r="C156" i="22"/>
  <c r="C157" i="22"/>
  <c r="C158" i="22"/>
  <c r="C159" i="22"/>
  <c r="C160" i="22"/>
  <c r="C161" i="22"/>
  <c r="C162" i="22"/>
  <c r="C163" i="22"/>
  <c r="C164" i="22"/>
  <c r="C165" i="22"/>
  <c r="C166" i="22"/>
  <c r="C167" i="22"/>
  <c r="C168" i="22"/>
  <c r="C169" i="22"/>
  <c r="C170" i="22"/>
  <c r="C171" i="22"/>
  <c r="C172" i="22"/>
  <c r="C173" i="22"/>
  <c r="C174" i="22"/>
  <c r="C175" i="22"/>
  <c r="C176" i="22"/>
  <c r="C177" i="22"/>
  <c r="C178" i="22"/>
  <c r="C179" i="22"/>
  <c r="C180" i="22"/>
  <c r="C181" i="22"/>
  <c r="C182" i="22"/>
  <c r="C183" i="22"/>
  <c r="C184" i="22"/>
  <c r="C185" i="22"/>
  <c r="C186" i="22"/>
  <c r="C187" i="22"/>
  <c r="C188" i="22"/>
  <c r="C189" i="22"/>
  <c r="C190" i="22"/>
  <c r="C191" i="22"/>
  <c r="C192" i="22"/>
  <c r="C193" i="22"/>
  <c r="C194" i="22"/>
  <c r="C195" i="22"/>
  <c r="C196" i="22"/>
  <c r="C197" i="22"/>
  <c r="C198" i="22"/>
  <c r="C199" i="22"/>
  <c r="C200" i="22"/>
  <c r="C201" i="22"/>
  <c r="C202" i="22"/>
  <c r="C203" i="22"/>
  <c r="C204" i="22"/>
  <c r="C205" i="22"/>
  <c r="C206" i="22"/>
  <c r="C207" i="22"/>
  <c r="C208" i="22"/>
  <c r="C209" i="22"/>
  <c r="C210" i="22"/>
  <c r="C211" i="22"/>
  <c r="C212" i="22"/>
  <c r="C213" i="22"/>
  <c r="C214" i="22"/>
  <c r="C215" i="22"/>
  <c r="C216" i="22"/>
  <c r="C217" i="22"/>
  <c r="C218" i="22"/>
  <c r="C219" i="22"/>
  <c r="C220" i="22"/>
  <c r="C221" i="22"/>
  <c r="C222" i="22"/>
  <c r="C223" i="22"/>
  <c r="C224" i="22"/>
  <c r="C225" i="22"/>
  <c r="C226" i="22"/>
  <c r="C227" i="22"/>
  <c r="C228" i="22"/>
  <c r="C229" i="22"/>
  <c r="C230" i="22"/>
  <c r="C2" i="22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9" i="18"/>
  <c r="B20" i="18"/>
  <c r="B22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7" i="18"/>
  <c r="B48" i="18"/>
  <c r="B49" i="18"/>
  <c r="B50" i="18"/>
  <c r="B51" i="18"/>
  <c r="B52" i="18"/>
  <c r="B53" i="18"/>
  <c r="B54" i="18"/>
  <c r="B55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80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100" i="18"/>
  <c r="B101" i="18"/>
  <c r="B102" i="18"/>
  <c r="B103" i="18"/>
  <c r="B104" i="18"/>
  <c r="B105" i="18"/>
  <c r="B106" i="18"/>
  <c r="B107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" i="18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2" i="4"/>
</calcChain>
</file>

<file path=xl/sharedStrings.xml><?xml version="1.0" encoding="utf-8"?>
<sst xmlns="http://schemas.openxmlformats.org/spreadsheetml/2006/main" count="8836" uniqueCount="1633">
  <si>
    <t>Academia</t>
  </si>
  <si>
    <t>Ean Impacta</t>
  </si>
  <si>
    <t>Ean Sostenibilidad</t>
  </si>
  <si>
    <t>Biblioteca</t>
  </si>
  <si>
    <t>Internacionalización</t>
  </si>
  <si>
    <t>Prácticas Profesionales</t>
  </si>
  <si>
    <t>Plataformas y soporte</t>
  </si>
  <si>
    <t>Registro Académico</t>
  </si>
  <si>
    <t>Apoyo y Recursos Financieros</t>
  </si>
  <si>
    <t>Canales de comunicación</t>
  </si>
  <si>
    <t>Planta física y Servicios logísticos</t>
  </si>
  <si>
    <t>Experiencia Estudiantil</t>
  </si>
  <si>
    <t>Eventos culturales</t>
  </si>
  <si>
    <t>FabLab</t>
  </si>
  <si>
    <t>Empleabilidad</t>
  </si>
  <si>
    <t>Comentarios finales</t>
  </si>
  <si>
    <t>Área de análisis</t>
  </si>
  <si>
    <t>Pregunta / Ítem (según presentación 2023)</t>
  </si>
  <si>
    <t>Satisfacción con el plan de estudios</t>
  </si>
  <si>
    <t>Satisfacción con la pertinencia de los conocimientos adquiridos</t>
  </si>
  <si>
    <t>Contribución del programa al proceso formativo</t>
  </si>
  <si>
    <t>Cumplimiento de la promesa de valor</t>
  </si>
  <si>
    <t>Conocimiento disciplinar del docente</t>
  </si>
  <si>
    <t>Competencias docentes</t>
  </si>
  <si>
    <t>Cumplimiento del syllabus</t>
  </si>
  <si>
    <t>Evaluación y acompañamiento del aprendizaje</t>
  </si>
  <si>
    <t>Entrega de calificaciones y retroalimentación</t>
  </si>
  <si>
    <t>Calidad humana del docente</t>
  </si>
  <si>
    <t>Compromiso docente</t>
  </si>
  <si>
    <t>Manejo tecnológico del docente</t>
  </si>
  <si>
    <t>Comunicación con decanatura</t>
  </si>
  <si>
    <t>Comunicación con directores y coordinadores</t>
  </si>
  <si>
    <t>Atención UAA (Teams / Presencial)</t>
  </si>
  <si>
    <t>Atención mediaciones</t>
  </si>
  <si>
    <t>Atención Assessment</t>
  </si>
  <si>
    <t>Atención investigación y trabajos de grado</t>
  </si>
  <si>
    <t>Laboratorios sede Calle 74</t>
  </si>
  <si>
    <t>Conocimiento de servicios y beneficios de Ean Impacta</t>
  </si>
  <si>
    <t>Influencia del emprendimiento sostenible</t>
  </si>
  <si>
    <t>Diferenciadores de la Universidad Ean</t>
  </si>
  <si>
    <t>Satisfacción con la atención de Ean Impacta</t>
  </si>
  <si>
    <t>Conocimiento de aportes y avances en sostenibilidad</t>
  </si>
  <si>
    <t>Acciones de sostenibilidad en las que desea participar</t>
  </si>
  <si>
    <t>Asesoría en referencias y normas APA</t>
  </si>
  <si>
    <t>Búsqueda de información</t>
  </si>
  <si>
    <t>Préstamo de libros</t>
  </si>
  <si>
    <t>Tutoriales</t>
  </si>
  <si>
    <t>Reserva de salas</t>
  </si>
  <si>
    <t>Préstamo interbibliotecario</t>
  </si>
  <si>
    <t>Pago de multas</t>
  </si>
  <si>
    <t>Colecciones</t>
  </si>
  <si>
    <t>Atención por Teams / Presencial / WhatsApp</t>
  </si>
  <si>
    <t>Espacios físicos</t>
  </si>
  <si>
    <t>Conocimiento de programas de movilidad</t>
  </si>
  <si>
    <t>Participación en programas internacionales</t>
  </si>
  <si>
    <t>Obstáculos para internacionalización</t>
  </si>
  <si>
    <t>Relevancia para el desarrollo académico</t>
  </si>
  <si>
    <t>Satisfacción con atención</t>
  </si>
  <si>
    <t>Conocimiento de servicios de prácticas</t>
  </si>
  <si>
    <t>Satisfacción con atención por correo</t>
  </si>
  <si>
    <t>Satisfacción con atención presencial</t>
  </si>
  <si>
    <t>Aspectos por mejorar</t>
  </si>
  <si>
    <t>Plataforma de correo</t>
  </si>
  <si>
    <t>Office</t>
  </si>
  <si>
    <t>Teams</t>
  </si>
  <si>
    <t>Cisco Webex</t>
  </si>
  <si>
    <t>Canva</t>
  </si>
  <si>
    <t>App Ean</t>
  </si>
  <si>
    <t>Mesa de servicio</t>
  </si>
  <si>
    <t>WiFi</t>
  </si>
  <si>
    <t>Equipos de cómputo</t>
  </si>
  <si>
    <t>Reconocimiento facial</t>
  </si>
  <si>
    <t>Certificados académicos</t>
  </si>
  <si>
    <t>Retiros</t>
  </si>
  <si>
    <t>Abonos</t>
  </si>
  <si>
    <t>Cursos libres</t>
  </si>
  <si>
    <t>Validaciones</t>
  </si>
  <si>
    <t>Distinciones e incentivos</t>
  </si>
  <si>
    <t>Saber Pro</t>
  </si>
  <si>
    <t>Proceso de grado</t>
  </si>
  <si>
    <t>Atención por Teams / Presencial</t>
  </si>
  <si>
    <t>Conocimiento de opciones de financiación</t>
  </si>
  <si>
    <t>Uso de financiación</t>
  </si>
  <si>
    <t>Procedimientos y tiempos de respuesta</t>
  </si>
  <si>
    <t>Canales de pago</t>
  </si>
  <si>
    <t>Atención financiera</t>
  </si>
  <si>
    <t>Atención PBX</t>
  </si>
  <si>
    <t>Redes sociales</t>
  </si>
  <si>
    <t>Chatbot E-Ann</t>
  </si>
  <si>
    <t>Información por correo</t>
  </si>
  <si>
    <t>Frecuencia de correos</t>
  </si>
  <si>
    <t>Aulas físicas</t>
  </si>
  <si>
    <t>Zonas de alimentación</t>
  </si>
  <si>
    <t>Cafeterías</t>
  </si>
  <si>
    <t>Seguridad</t>
  </si>
  <si>
    <t>Aseo</t>
  </si>
  <si>
    <t>City Parking</t>
  </si>
  <si>
    <t>Banco AV Villas</t>
  </si>
  <si>
    <t>Servicios de impresión</t>
  </si>
  <si>
    <t>Servicios de bienestar</t>
  </si>
  <si>
    <t>Zonas de bienestar</t>
  </si>
  <si>
    <t>Acompañamiento académico</t>
  </si>
  <si>
    <t>Defensoría universitaria</t>
  </si>
  <si>
    <t>PQRS</t>
  </si>
  <si>
    <t>Atención recepción</t>
  </si>
  <si>
    <t>Tienda Ean</t>
  </si>
  <si>
    <t>Galería de arte</t>
  </si>
  <si>
    <t>Eventos internos</t>
  </si>
  <si>
    <t>Eventos externos</t>
  </si>
  <si>
    <t>Conocimiento de servicios FabLab</t>
  </si>
  <si>
    <t>Bolsa de empleo</t>
  </si>
  <si>
    <t>Orientación vocacional</t>
  </si>
  <si>
    <t>Ferias laborales</t>
  </si>
  <si>
    <t>Prueba ESIC</t>
  </si>
  <si>
    <t>Entrenamiento en habilidades</t>
  </si>
  <si>
    <t>Aspectos positivos de la universidad</t>
  </si>
  <si>
    <t>Sugerencias de mejora</t>
  </si>
  <si>
    <t>Comentarios abiertos generales</t>
  </si>
  <si>
    <t>¿Qué tan satisfecho te encuentras con el programa más reciente que estás cursando en la Universidad Ean?</t>
  </si>
  <si>
    <t>¿Qué tan cumplida ha sido la Universidad Ean en relación con el proceso de formación basado en competencias?</t>
  </si>
  <si>
    <t>En general, ¿Cómo percibes la calidad docente de la Universidad Ean?</t>
  </si>
  <si>
    <t>¿Qué tan fácil han hecho los docentes, el proceso de aprendizaje en el que te encuentras?</t>
  </si>
  <si>
    <t>¿Qué tan oportuna es la entrega de evaluaciones por parte de los docentes?</t>
  </si>
  <si>
    <t>¿Qué tan competente es el personal de tu facultad?</t>
  </si>
  <si>
    <t>¿Qué tan competentes son los responsables de tu programa académico (directores o coordinadores)?</t>
  </si>
  <si>
    <t>En general ¿cómo calificas los mecanismos de interacción y comunicación de los colaboradores de tu facultad?</t>
  </si>
  <si>
    <t>¿Qué tan satisfecho te encuentras con la oferta académica de unidades de estudio?</t>
  </si>
  <si>
    <t>¿Qué tan satisfecho te encuentras con el soporte brindado en temas de notas en Blackboard o SAP?</t>
  </si>
  <si>
    <t>¿Qué tan probable es que recomiendes tu programa académico con familiares y amigos? Ten en cuenta que 0 es "Totalmente improbable" y 10 es "Extremadamente probable"</t>
  </si>
  <si>
    <t>¿Qué tan claro ha sido el concepto de 'sostenibilidad' en tu proceso de formación con la Universidad Ean?</t>
  </si>
  <si>
    <t>¿Qué tan interesado te encuentras en ser emprendedor, según el aprendizaje obtenido?</t>
  </si>
  <si>
    <t>En general, ¿Cómo percibes el enfoque de emprendimiento sostenible en los docentes con los que has interactuado?</t>
  </si>
  <si>
    <t>¿Qué tan satisfecho te encuentras con el acompañamiento en tus proyectos de emprendimiento?</t>
  </si>
  <si>
    <t>¿Qué tan satisfecho te encuentras con los espacios de conocimiento e intercambio de de experiencias en emprendimiento sostenible?</t>
  </si>
  <si>
    <t>¿Qué tan probable es que recomiendes la formación en emprendimiento sostenible de la Universidad Ean con tus compañeros y conocidos? Ten en cuenta que 0 es "Totalmente improbable" y 10 es "Extremadamente probable"</t>
  </si>
  <si>
    <t>¿Qué tan satisfecho te encuentras con los recursos tecnológicos de la Universidad Ean (portátiles, las salas de cómputo, Wi-Fi, el correo electrónico y el acceso a las diferentes plataformas como Blackboard, Roseta Stone, Blomberg)?</t>
  </si>
  <si>
    <t>En general, ¿Cómo percibes la calidad de la tecnología de la Universidad Ean?</t>
  </si>
  <si>
    <t>¿Qué tan fácil ha sido el uso y acceso a los recursos tecnológicos de la Universidad Ean (portátiles, las salas de cómputo, Wi-Fi, el correo electrónico y el acceso a las diferentes plataformas académicas)?</t>
  </si>
  <si>
    <t>¿Qué tan probable es que recomiendes el uso de recursos tecnológicos de la Universidad Ean con tus compañeros? Ten en cuenta que 0 es "Totalmente improbable" y 10 es "Extremadamente probable"</t>
  </si>
  <si>
    <t>¿Qué tan satisfecho te encuentras con los servicios que presta la biblioteca de la Universidad Ean?</t>
  </si>
  <si>
    <t>¿Qué tan satisfecho te encuentras con el horario que tiene la biblioteca?</t>
  </si>
  <si>
    <t>¿Qué tan completas consideras las colecciones físicas y electrónicas en la biblioteca de la Universidad Ean?</t>
  </si>
  <si>
    <t>¿Qué tan fácil ha sido el uso de las colecciones físicas y electrónicas en la biblioteca?</t>
  </si>
  <si>
    <t>En general, ¿Cómo percibes la atención de los colaboradores de la biblioteca?</t>
  </si>
  <si>
    <t>¿Qué tan probable es que recomiendes el uso de la biblioteca de la Universidad Ean con tus compañeros? Ten en cuenta que 0 es "Totalmente improbable" y 10 es "Extremadamente probable"</t>
  </si>
  <si>
    <t>¿La Universidad Ean pone a disposición recursos para realizar el proceso de enseñanza-aprendizaje?</t>
  </si>
  <si>
    <t>Accesibilidad</t>
  </si>
  <si>
    <t>Capacidad (número de estudiantes máximo)</t>
  </si>
  <si>
    <t>Ventilación</t>
  </si>
  <si>
    <t>Condiciones de seguridad</t>
  </si>
  <si>
    <t>Disponibilidad de aulas</t>
  </si>
  <si>
    <t>Acceso a internet</t>
  </si>
  <si>
    <t>¿Qué tan satisfecho te encuentras con los servicios de Frutiice en la Universidad Ean?</t>
  </si>
  <si>
    <t>¿Quieres hacer algún breve comentario acerca de Frutiice?</t>
  </si>
  <si>
    <t>¿Qué tan probable es que recomiendes Frutiice con tus compañeros? Ten en cuenta que 0 es "Totalmente improbable" y 10 es "Extremadamente probable"</t>
  </si>
  <si>
    <t>¿Qué tan satisfecho te encuentras con los servicios de fotocopiado de la Universidad Ean?</t>
  </si>
  <si>
    <t>¿Quieres hacer algún breve comentario acerca de los servicios de fotocopiado?</t>
  </si>
  <si>
    <t>¿Qué tan probable es que recomiendes los servicios de fotocopiado con tus compañeros? Ten en cuenta que 0 es "Totalmente improbable" y 10 es "Extremadamente probable"</t>
  </si>
  <si>
    <t>¿Qué tan satisfecho te encuentras con la atención del personal de seguridad en la Universidad Ean?</t>
  </si>
  <si>
    <t>¿Quieres hacer algún breve comentario acerca de la atención del personal de seguridad?</t>
  </si>
  <si>
    <t>¿Qué tan probable es que recomiendes la atención del personal de seguridad con tus compañeros? Ten en cuenta que 0 es "Totalmente improbable" y 10 es "Extremadamente probable"</t>
  </si>
  <si>
    <t>¿Qué tan satisfecho te encuentras con el servicio del personal de aseo en la Universidad Ean?</t>
  </si>
  <si>
    <t>¿Quieres hacer algún breve comentario acerca del servicio del personal de aseo?</t>
  </si>
  <si>
    <t>¿Qué tan probable es que recomiendes el servicio del personal de aseo con tus compañeros? Ten en cuenta que 0 es "Totalmente improbable" y 10 es "Extremadamente probable"</t>
  </si>
  <si>
    <t>¿Qué tan satisfecho te encuentras con el servicio de audiovisuales en la Universidad Ean?</t>
  </si>
  <si>
    <t>¿Quieres hacer algún breve comentario acerca del servicio de audiovisuales?</t>
  </si>
  <si>
    <t>¿Qué tan probable es que recomiendes el servicio de audiovisuales con tus compañeros? Ten en cuenta que 0 es "Totalmente improbable" y 10 es "Extremadamente probable"</t>
  </si>
  <si>
    <t>¿Qué tan satisfecho te encuentras con el servicio de parqueadero en la Universidad Ean?</t>
  </si>
  <si>
    <t>¿Quieres hacer algún breve comentario acerca del servicio de parqueadero?</t>
  </si>
  <si>
    <t>¿Qué tan probable es que recomiendes el servicio de parqueadero con tus compañeros? Ten en cuenta que 0 es "Totalmente improbable" y 10 es "Extremadamente probable"</t>
  </si>
  <si>
    <t>¿Qué tan satisfecho te encuentras con el gimnasio de la Universidad Ean?</t>
  </si>
  <si>
    <t>¿Quieres hacer algún breve comentario acerca del gimnasio?</t>
  </si>
  <si>
    <t>¿Qué tan probable es que recomiendes el gimnasio con tus compañeros? Ten en cuenta que 0 es "Totalmente improbable" y 10 es "Extremadamente probable"</t>
  </si>
  <si>
    <t>¿Qué tan satisfecho te encuentras con las actividades y grupos culturales de la Universidad Ean?</t>
  </si>
  <si>
    <t>¿Quieres hacer algún breve comentario acerca de las actividades y grupos culturales?</t>
  </si>
  <si>
    <t>¿Qué tan probable es que recomiendes las actividades y grupos culturales con tus compañeros? Ten en cuenta que 0 es "Totalmente improbable" y 10 es "Extremadamente probable"</t>
  </si>
  <si>
    <t>¿Qué tan satisfecho te encuentras con las actividades y grupos deportivos de la Universidad Ean?</t>
  </si>
  <si>
    <t>¿Quieres hacer algún breve comentario acerca de las actividades y grupos deportivos?</t>
  </si>
  <si>
    <t>¿Qué tan probable es que recomiendes las actividades y grupos deportivos con tus compañeros? Ten en cuenta que 0 es "Totalmente improbable" y 10 es "Extremadamente probable"</t>
  </si>
  <si>
    <t>¿Qué tan satisfecho te encuentras con los talleres y asesoría de empleabilidad que ofrece la Universidad Ean?</t>
  </si>
  <si>
    <t>¿Quieres hacer algún breve comentario acerca de los talleres y asesoría de empleabilidad?</t>
  </si>
  <si>
    <t>¿Qué tan probable es que recomiendes los talleres y asesoría de empleabilidad con tus compañeros? Ten en cuenta que 0 es "Totalmente improbable" y 10 es "Extremadamente probable"</t>
  </si>
  <si>
    <t>¿Qué tan satisfecho te encuentras con el servicio de consejería y atención psicosocial de la Universidad Ean?</t>
  </si>
  <si>
    <t>¿Quieres hacer algún breve comentario acerca del servicio de consejería y atención psicosocial?</t>
  </si>
  <si>
    <t>¿Qué tan probable es que recomiendes el servicio de consejería y atención psicosocial con tus compañeros? Ten en cuenta que 0 es "Totalmente improbable" y 10 es "Extremadamente probable"</t>
  </si>
  <si>
    <t>¿Qué tan satisfecho te encuentras con las actividades de atención médica y prevención en salud de la Universidad Ean?</t>
  </si>
  <si>
    <t>¿Quieres hacer algún breve comentario acerca de las actividades de atención médica y prevención en salud?</t>
  </si>
  <si>
    <t>¿Qué tan probable es que recomiendes las actividades de atención médica y prevención en salud con tus compañeros? Ten en cuenta que 0 es "Totalmente improbable" y 10 es "Extremadamente probable"</t>
  </si>
  <si>
    <t>¿Conoces los servicios y beneficios de la póliza estudiantil que la Universidad Ean brinda a los estudiantes?</t>
  </si>
  <si>
    <t>¿Qué tan satisfecho te encuentras con el programa de préstamo de bicicletas Pedaleando a la U</t>
  </si>
  <si>
    <t>¿Quieres hacer algún breve comentario acerca del programa de préstamo de bicicletas Pedaleando a la U?</t>
  </si>
  <si>
    <t>¿Qué tan probable es que recomiendes el programa de préstamo de bicicletas Pedaleando a la U con tus compañeros? Ten en cuenta que 0 es "Totalmente improbable" y 10 es "Extremadamente probable"</t>
  </si>
  <si>
    <t>¿Qué tan satisfecho te encuentras con la atención del personal de la recepción de la Universidad Ean?</t>
  </si>
  <si>
    <t>¿Quieres hacer algún breve comentario acerca de la atención del personal de la recepción?</t>
  </si>
  <si>
    <t>¿Qué tan probable es que recomiendes la atención del personal de la recepción con tus compañeros? Ten en cuenta que 0 es "Totalmente improbable" y 10 es "Extremadamente probable"</t>
  </si>
  <si>
    <t>¿Qué tan satisfecho te encuentras con la atención telefónica cuando llamas al PBX opción 1 (para eanistas) de la Universidad Ean?</t>
  </si>
  <si>
    <t>¿Quieres hacer algún breve comentario acerca de la  la atención telefónica cuando llamas al PBX opción 1 (para eanistas)?</t>
  </si>
  <si>
    <t>¿Qué tan probable es que recomiendes la  la atención telefónica cuando llamas al PBX opción 1 (para eanistas)? Ten en cuenta que 0 es "Totalmente improbable" y 10 es "Extremadamente probable"</t>
  </si>
  <si>
    <t>¿Sabes que el carné de la Universidad Ean ahora es digital?</t>
  </si>
  <si>
    <t>¿Ya tienes tu carné digital?</t>
  </si>
  <si>
    <t>¿Quieres hacer algún breve comentario acerca de carné digital?</t>
  </si>
  <si>
    <t>¿Qué tan probable es que recomiendes el servicio de carné digital con tus compañeros? Ten en cuenta que 0 es "Totalmente improbable" y 10 es "Extremadamente probable"</t>
  </si>
  <si>
    <t>¿Conoces los servicios de Ean Contigo?</t>
  </si>
  <si>
    <t>¿Qué tan satisfecho te encuentras con el servicio Ean Contigo?</t>
  </si>
  <si>
    <t>¿Quieres hacer algún breve comentario acerca del servicio Ean Contigo?</t>
  </si>
  <si>
    <t>¿Qué tan probable es que recomiendes el servicio de Ean Contigo con tus compañeros? Ten en cuenta que 0 es "Totalmente improbable" y 10 es "Extremadamente probable"</t>
  </si>
  <si>
    <t>¿Conoces el rol de los mentores académicos y su aporte en el proceso formativo de los estudiantes acompañados?</t>
  </si>
  <si>
    <t>¿Qué tan satisfecho te encuentras con los mentores académicos de la Universidad Ean?</t>
  </si>
  <si>
    <t>¿Quieres hacer algún breve comentario acerca de los mentores académicos?</t>
  </si>
  <si>
    <t>¿Qué tan probable es que recomiendes a los mentores académicos con tus compañeros? Ten en cuenta que 0 es "Totalmente improbable" y 10 es "Extremadamente probable"</t>
  </si>
  <si>
    <t>¿Qué tan satisfecho te encuentras con la oficina de servicios al estudiante?</t>
  </si>
  <si>
    <t>¿Quieres hacer algún comentario acerca de la oficina de servicios al estudiante?</t>
  </si>
  <si>
    <t>¿Qué tan probable es que recomiendes la oficina de servicios al estudiante con tus compañeros? Ten en cuenta que 0 es "Totalmente improbable" y 10 es "Extremadamente probable"</t>
  </si>
  <si>
    <t>¿Consideras que la Universidad Ean es incluyente?</t>
  </si>
  <si>
    <t>¿Consideras que la Universidad Ean desarrolla acciones para la sana convivencia y el respeto a la diferencia?</t>
  </si>
  <si>
    <t>¿Qué tan satisfecho te encuentras con la página web de la Universidad Ean?</t>
  </si>
  <si>
    <t>¿Qué tan fácil te resulta navegar en la página web de la Universidad Ean?</t>
  </si>
  <si>
    <t>¿Qué tan probable es que recomiendes la página web con tus compañeros? Ten en cuenta que 0 es "Totalmente improbable" y 10 es "Extremadamente probable"</t>
  </si>
  <si>
    <t>¿Conoces la app de la Universidad Ean?</t>
  </si>
  <si>
    <t>¿Qué tan útil te resulta la app de la Universidad Ean?</t>
  </si>
  <si>
    <t>¿Qué tan fácil te resulta interactuar con la app de la Universidad Ean?</t>
  </si>
  <si>
    <t>¿Qué tan probable es que recomiendes la app con tus compañeros? Ten en cuenta que 0 es "Totalmente improbable" y 10 es "Extremadamente probable"</t>
  </si>
  <si>
    <t>¿Conoces el chat EVA de la Universidad Ean?</t>
  </si>
  <si>
    <t>¿Qué tan fácil te resulta interactuar con el chat EVA de la Universidad Ean?</t>
  </si>
  <si>
    <t>¿Qué tan probable es que recomiendes el chat EVA con tus compañeros? Ten en cuenta que 0 es "Totalmente improbable" y 10 es "Extremadamente probable"</t>
  </si>
  <si>
    <t>¿Qué tan claro es el concepto de emprendimiento sostenible, transmitido por las comunicaciones en la Universidad Ean?</t>
  </si>
  <si>
    <t>¿Qué tan importantes son los convenios internacionales que te ofrece la Universidad Ean?</t>
  </si>
  <si>
    <t>¿Qué tan satisfecho te encuentras con la divulgación de los convenios que ofrece internacionalización?</t>
  </si>
  <si>
    <t>¿Cómo percibes el servicio del área de internacionalización?</t>
  </si>
  <si>
    <t>¿Qué tan probable es que recomiendes los convenios de internacionalización con tus compañeros? Ten en cuenta que 0 es "Totalmente improbable" y 10 es "Extremadamente probable"</t>
  </si>
  <si>
    <t>¿Qué tan satisfecho te encuentras con el apoyo de Prácticas Profesionales de la Universidad Ean?</t>
  </si>
  <si>
    <t>¿Quieres hacer algún breve comentario sobre Prácticas Profesionales?</t>
  </si>
  <si>
    <t>¿Qué tan probable es que recomiendes las Prácticas Profesionales con tus compañeros? Ten en cuenta que 0 es "Totalmente improbable" y 10 es "Extremadamente probable"</t>
  </si>
  <si>
    <t>¿Qué tan satisfecho te encuentras con el servicio de apoyo financiero de la Universidad Ean?</t>
  </si>
  <si>
    <t>¿Qué tan satisfecho te encuentras con el horario que tiene apoyo financiero?</t>
  </si>
  <si>
    <t>Y en relación con el servicio de facturación ¿qué tan satisfecho te encuentras?</t>
  </si>
  <si>
    <t>¿Conoces los convenios y opciones de financiación para obtener crédito en la Universidad Ean?</t>
  </si>
  <si>
    <t>¿Qué tan satisfecho te sientes con los convenios y opciones de financiación?</t>
  </si>
  <si>
    <t>¿Quieres hacer algún breve comentario sobre apoyo financiero y facturación?</t>
  </si>
  <si>
    <t>¿Qué tan probable es que recomiendes el servicio de apoyo financiero y facturación con tus compañeros? Ten en cuenta que 0 es "Totalmente improbable" y 10 es "Extremadamente probable"</t>
  </si>
  <si>
    <t>¿Qué tan satisfecho te encuentras con los servicios de registro académico de la Universidad Ean?</t>
  </si>
  <si>
    <t>En relación con los tiempos de atención de registro académico ¿qué tan satisfecho te encuentras?</t>
  </si>
  <si>
    <t>¿Quieres hacer algún breve comentario sobre registro académico de la Universidad Ean?</t>
  </si>
  <si>
    <t>¿Qué tan probable es que recomiendes el servicio de registro académico con tus compañeros? Ten en cuenta que 0 es "Totalmente improbable" y 10 es "Extremadamente probable"</t>
  </si>
  <si>
    <t>¿Cuál es la experiencia de uso con la plataforma Blackboard para el desarrollo de tus actividades académicas?</t>
  </si>
  <si>
    <t>¿Qué tan satisfecho te encuentras con el soporte técnico brindado para la plataforma de Blackboard?</t>
  </si>
  <si>
    <t>En relación con los tiempos de atención para el soporte técnico de la plataforma de Blackboard ¿Cómo es tu nivel de satisfacción?</t>
  </si>
  <si>
    <t>¿Tienes algún comentario acerca de la plataforma Blackboard?</t>
  </si>
  <si>
    <t>¿Qué tan probable es que recomiendes el servicio de soporte técnico y aulas virtuales en la plataforma Blackboard con tus compañeros? Ten en cuenta que 0 es "Totalmente improbable" y 10 es "Extremadamente probable"</t>
  </si>
  <si>
    <t>¿Qué tan satisfecho te encuentras con la medición de calidad que buscan las pruebas objetivas?</t>
  </si>
  <si>
    <t>¿Qué tan claras son las instrucciones para presentar las pruebas objetivas?</t>
  </si>
  <si>
    <t>¿Quieres hacer algún comentario sobre las pruebas objetivas?</t>
  </si>
  <si>
    <t>¿Qué tan probable es que recomiendes las pruebas objetivas con tus compañeros? Ten en cuenta que 0 es "Totalmente improbable" y 10 es "Extremadamente probable"</t>
  </si>
  <si>
    <t>¿Quieres destacar algo positivo de la Universidad Ean? ¿Crees que podemos mejorar en algo más? Déjanos saber algo que se nos haya pasado en esta encuesta.</t>
  </si>
  <si>
    <t>Codigo_Area</t>
  </si>
  <si>
    <t>¿Qué tan satisfecho te encuentras con el programa de préstamo de bicicletas Pedaleando a la U?</t>
  </si>
  <si>
    <t>Area_PPT_2019</t>
  </si>
  <si>
    <t>Pregunta</t>
  </si>
  <si>
    <t>En general, ¿cómo percibes la calidad docente de la Universidad Ean?</t>
  </si>
  <si>
    <t>¿Qué tan fácil han hecho los docentes el proceso de aprendizaje en el que te encuentras?</t>
  </si>
  <si>
    <t>En general, ¿cómo calificas los mecanismos de interacción y comunicación de los colaboradores de tu facultad?</t>
  </si>
  <si>
    <t>¿Qué tan probable es que recomiendes tu programa académico con familiares y amigos?</t>
  </si>
  <si>
    <t>Instituto para el Emprendimiento Sostenible</t>
  </si>
  <si>
    <t>¿Qué tan claro ha sido el concepto de sostenibilidad en tu proceso de formación con la Universidad Ean?</t>
  </si>
  <si>
    <t>En general, ¿cómo percibes el enfoque de emprendimiento sostenible en los docentes con los que has interactuado?</t>
  </si>
  <si>
    <t>¿Qué tan satisfecho te encuentras con los espacios de conocimiento e intercambio de experiencias en emprendimiento sostenible?</t>
  </si>
  <si>
    <t>¿Qué tan probable es que recomiendes la formación en emprendimiento sostenible de la Universidad Ean?</t>
  </si>
  <si>
    <t>TIC</t>
  </si>
  <si>
    <t>¿Qué tan satisfecho te encuentras con los recursos tecnológicos de la Universidad Ean?</t>
  </si>
  <si>
    <t>En general, ¿cómo percibes la calidad de la tecnología de la Universidad Ean?</t>
  </si>
  <si>
    <t>¿Qué tan fácil ha sido el uso y acceso a los recursos tecnológicos de la Universidad Ean?</t>
  </si>
  <si>
    <t>¿Qué tan probable es que recomiendes el uso de los recursos tecnológicos de la Universidad Ean?</t>
  </si>
  <si>
    <t>¿Qué tan completas consideras las colecciones físicas y electrónicas en la biblioteca?</t>
  </si>
  <si>
    <t>En general, ¿cómo percibes la atención de los colaboradores de la biblioteca?</t>
  </si>
  <si>
    <t>¿Qué tan probable es que recomiendes el uso de la biblioteca de la Universidad Ean?</t>
  </si>
  <si>
    <t>Planta física y servicios logísticos</t>
  </si>
  <si>
    <t>¿Qué tan probable es que recomiendes Frutiice con tus compañeros?</t>
  </si>
  <si>
    <t>¿Qué tan probable es que recomiendes los servicios de fotocopiado con tus compañeros?</t>
  </si>
  <si>
    <t>¿Qué tan satisfecho te encuentras con la atención del personal de seguridad de la Universidad Ean?</t>
  </si>
  <si>
    <t>¿Qué tan probable es que recomiendes la atención del personal de seguridad con tus compañeros?</t>
  </si>
  <si>
    <t>¿Qué tan satisfecho te encuentras con el servicio del personal de aseo de la Universidad Ean?</t>
  </si>
  <si>
    <t>¿Qué tan probable es que recomiendes el servicio del personal de aseo con tus compañeros?</t>
  </si>
  <si>
    <t>¿Qué tan satisfecho te encuentras con el servicio de audiovisuales de la Universidad Ean?</t>
  </si>
  <si>
    <t>¿Qué tan probable es que recomiendes el servicio de audiovisuales con tus compañeros?</t>
  </si>
  <si>
    <t>¿Qué tan satisfecho te encuentras con el servicio de parqueadero de la Universidad Ean?</t>
  </si>
  <si>
    <t>¿Qué tan probable es que recomiendes el servicio de parqueadero con tus compañeros?</t>
  </si>
  <si>
    <t>Gerencia de Experiencia Estudiantil</t>
  </si>
  <si>
    <t>¿Qué tan probable es que recomiendes el gimnasio con tus compañeros?</t>
  </si>
  <si>
    <t>¿Qué tan probable es que recomiendes las actividades y grupos culturales con tus compañeros?</t>
  </si>
  <si>
    <t>¿Qué tan probable es que recomiendes las actividades y grupos deportivos con tus compañeros?</t>
  </si>
  <si>
    <t>¿Qué tan probable es que recomiendes los talleres y asesoría de empleabilidad con tus compañeros?</t>
  </si>
  <si>
    <t>¿Qué tan probable es que recomiendes el servicio de consejería y atención psicosocial con tus compañeros?</t>
  </si>
  <si>
    <t>¿Qué tan satisfecho te encuentras con las actividades de atención médica y prevención en salud?</t>
  </si>
  <si>
    <t>¿Qué tan probable es que recomiendes las actividades de atención médica y prevención en salud con tus compañeros?</t>
  </si>
  <si>
    <t>¿Conoces los servicios y beneficios de la póliza estudiantil que brinda la Universidad Ean?</t>
  </si>
  <si>
    <t>¿Quieres hacer algún breve comentario acerca del programa Pedaleando a la U?</t>
  </si>
  <si>
    <t>¿Qué tan probable es que recomiendes el programa de préstamo de bicicletas Pedaleando a la U con tus compañeros?</t>
  </si>
  <si>
    <t>¿Qué tan satisfecho te encuentras con la atención del personal de recepción?</t>
  </si>
  <si>
    <t>¿Quieres hacer algún breve comentario acerca de la atención del personal de recepción?</t>
  </si>
  <si>
    <t>¿Qué tan probable es que recomiendes la atención del personal de recepción con tus compañeros?</t>
  </si>
  <si>
    <t>¿Qué tan satisfecho te encuentras con la atención telefónica del PBX opción 1?</t>
  </si>
  <si>
    <t>¿Quieres hacer algún breve comentario acerca de la atención telefónica del PBX opción 1?</t>
  </si>
  <si>
    <t>¿Qué tan probable es que recomiendes la atención telefónica del PBX opción 1 con tus compañeros?</t>
  </si>
  <si>
    <t>¿Quieres hacer algún breve comentario acerca del carné digital?</t>
  </si>
  <si>
    <t>¿Qué tan probable es que recomiendes el carné digital con tus compañeros?</t>
  </si>
  <si>
    <t>¿Qué tan probable es que recomiendes el servicio Ean Contigo con tus compañeros?</t>
  </si>
  <si>
    <t>¿Conoces el rol de los mentores académicos y su aporte en el proceso formativo?</t>
  </si>
  <si>
    <t>¿Qué tan probable es que recomiendes a los mentores académicos con tus compañeros?</t>
  </si>
  <si>
    <t>¿Qué tan probable es que recomiendes la oficina de servicios al estudiante con tus compañeros?</t>
  </si>
  <si>
    <t>Mercadeo y comunicaciones</t>
  </si>
  <si>
    <t>¿Qué tan probable es que recomiendes la página web con tus compañeros?</t>
  </si>
  <si>
    <t>¿Qué tan probable es que recomiendes la app de la Universidad Ean?</t>
  </si>
  <si>
    <t>¿Qué tan fácil te resulta interactuar con el chat EVA?</t>
  </si>
  <si>
    <t>¿Qué tan probable es que recomiendes el chat EVA con tus compañeros?</t>
  </si>
  <si>
    <t>¿Qué tan claro es el concepto de emprendimiento sostenible transmitido por las comunicaciones en la Universidad Ean?</t>
  </si>
  <si>
    <t>¿Qué tan probable es que recomiendes los convenios de internacionalización con tus compañeros?</t>
  </si>
  <si>
    <t>Prácticas profesionales</t>
  </si>
  <si>
    <t>¿Qué tan probable es que recomiendes las Prácticas Profesionales con tus compañeros?</t>
  </si>
  <si>
    <t>Apoyo financiero y tesorería</t>
  </si>
  <si>
    <t>¿Qué tan probable es que recomiendes el servicio de apoyo financiero y facturación con tus compañeros?</t>
  </si>
  <si>
    <t>Registro académico</t>
  </si>
  <si>
    <t>¿Qué tan probable es que recomiendes el servicio de registro académico con tus compañeros?</t>
  </si>
  <si>
    <t>Mediaciones didácticas (Blackboard)</t>
  </si>
  <si>
    <t>En relación con los tiempos de atención para el soporte técnico de la plataforma de Blackboard ¿cómo es tu nivel de satisfacción?</t>
  </si>
  <si>
    <t>¿Qué tan probable es que recomiendes el servicio de soporte técnico y aulas virtuales en la plataforma Blackboard con tus compañeros?</t>
  </si>
  <si>
    <t>Assessment Center</t>
  </si>
  <si>
    <t>¿Qué tan probable es que recomiendes las pruebas objetivas con tus compañeros?</t>
  </si>
  <si>
    <t>Comentario abierto</t>
  </si>
  <si>
    <t>¿Quieres destacar algo positivo de la Universidad Ean o sugerir mejoras adicionales?</t>
  </si>
  <si>
    <t>AC1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</si>
  <si>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</si>
  <si>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</si>
  <si>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</si>
  <si>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</si>
  <si>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</si>
  <si>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</si>
  <si>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</si>
  <si>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</si>
  <si>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</si>
  <si>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AC11</t>
  </si>
  <si>
    <t>APF1</t>
  </si>
  <si>
    <t>APF2</t>
  </si>
  <si>
    <t>APF3</t>
  </si>
  <si>
    <t>APF4</t>
  </si>
  <si>
    <t>APF5</t>
  </si>
  <si>
    <t>APF6</t>
  </si>
  <si>
    <t>APF7</t>
  </si>
  <si>
    <t>ASSMC1</t>
  </si>
  <si>
    <t>ASSMC2</t>
  </si>
  <si>
    <t>ASSMC3</t>
  </si>
  <si>
    <t>ASSMC4</t>
  </si>
  <si>
    <t>B1</t>
  </si>
  <si>
    <t>B2</t>
  </si>
  <si>
    <t>B3</t>
  </si>
  <si>
    <t>B4</t>
  </si>
  <si>
    <t>B5</t>
  </si>
  <si>
    <t>B6</t>
  </si>
  <si>
    <t>COMENT14</t>
  </si>
  <si>
    <t>GEE1</t>
  </si>
  <si>
    <t>GEE2</t>
  </si>
  <si>
    <t>GEE3</t>
  </si>
  <si>
    <t>GEE4</t>
  </si>
  <si>
    <t>GEE5</t>
  </si>
  <si>
    <t>GEE6</t>
  </si>
  <si>
    <t>GEE7</t>
  </si>
  <si>
    <t>GEE8</t>
  </si>
  <si>
    <t>GEE9</t>
  </si>
  <si>
    <t>GEE10</t>
  </si>
  <si>
    <t>GEE11</t>
  </si>
  <si>
    <t>GEE12</t>
  </si>
  <si>
    <t>GEE13</t>
  </si>
  <si>
    <t>GEE14</t>
  </si>
  <si>
    <t>GEE15</t>
  </si>
  <si>
    <t>GEE16</t>
  </si>
  <si>
    <t>GEE17</t>
  </si>
  <si>
    <t>GEE18</t>
  </si>
  <si>
    <t>GEE19</t>
  </si>
  <si>
    <t>GEE20</t>
  </si>
  <si>
    <t>GEE21</t>
  </si>
  <si>
    <t>GEE22</t>
  </si>
  <si>
    <t>GEE23</t>
  </si>
  <si>
    <t>GEE24</t>
  </si>
  <si>
    <t>GEE25</t>
  </si>
  <si>
    <t>GEE26</t>
  </si>
  <si>
    <t>GEE27</t>
  </si>
  <si>
    <t>GEE28</t>
  </si>
  <si>
    <t>GEE29</t>
  </si>
  <si>
    <t>GEE30</t>
  </si>
  <si>
    <t>GEE31</t>
  </si>
  <si>
    <t>GEE32</t>
  </si>
  <si>
    <t>GEE33</t>
  </si>
  <si>
    <t>GEE34</t>
  </si>
  <si>
    <t>GEE35</t>
  </si>
  <si>
    <t>GEE36</t>
  </si>
  <si>
    <t>GEE37</t>
  </si>
  <si>
    <t>GEE38</t>
  </si>
  <si>
    <t>GEE39</t>
  </si>
  <si>
    <t>GEE40</t>
  </si>
  <si>
    <t>GEE41</t>
  </si>
  <si>
    <t>GEE42</t>
  </si>
  <si>
    <t>GEE43</t>
  </si>
  <si>
    <t>GEE44</t>
  </si>
  <si>
    <t>GEE45</t>
  </si>
  <si>
    <t>IES1</t>
  </si>
  <si>
    <t>IES2</t>
  </si>
  <si>
    <t>IES3</t>
  </si>
  <si>
    <t>IES4</t>
  </si>
  <si>
    <t>IES5</t>
  </si>
  <si>
    <t>IES6</t>
  </si>
  <si>
    <t>INT1</t>
  </si>
  <si>
    <t>INT2</t>
  </si>
  <si>
    <t>INT3</t>
  </si>
  <si>
    <t>INT4</t>
  </si>
  <si>
    <t>MD1</t>
  </si>
  <si>
    <t>MD2</t>
  </si>
  <si>
    <t>MD3</t>
  </si>
  <si>
    <t>MD4</t>
  </si>
  <si>
    <t>MD5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</si>
  <si>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</si>
  <si>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</si>
  <si>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</si>
  <si>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</si>
  <si>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</si>
  <si>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</si>
  <si>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</si>
  <si>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</si>
  <si>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</si>
  <si>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MC10</t>
  </si>
  <si>
    <t>MC11</t>
  </si>
  <si>
    <t>PFSL1</t>
  </si>
  <si>
    <t>PFSL2</t>
  </si>
  <si>
    <t>PFSL3</t>
  </si>
  <si>
    <t>PFSL4</t>
  </si>
  <si>
    <t>PFSL5</t>
  </si>
  <si>
    <t>PFSL6</t>
  </si>
  <si>
    <t>PFSL7</t>
  </si>
  <si>
    <t>PFSL8</t>
  </si>
  <si>
    <t>PFSL9</t>
  </si>
  <si>
    <t>PFSL10</t>
  </si>
  <si>
    <t>PFSL11</t>
  </si>
  <si>
    <t>PFSL12</t>
  </si>
  <si>
    <t>PFSL13</t>
  </si>
  <si>
    <t>PFSL14</t>
  </si>
  <si>
    <t>PFSL15</t>
  </si>
  <si>
    <t>PFSL16</t>
  </si>
  <si>
    <t>PFSL17</t>
  </si>
  <si>
    <t>PFSL18</t>
  </si>
  <si>
    <t>PFSL19</t>
  </si>
  <si>
    <t>PFSL20</t>
  </si>
  <si>
    <t>PFSL21</t>
  </si>
  <si>
    <t>PFSL22</t>
  </si>
  <si>
    <t>PFSL23</t>
  </si>
  <si>
    <t>PFSL24</t>
  </si>
  <si>
    <t>PFSL25</t>
  </si>
  <si>
    <t>PFSL26</t>
  </si>
  <si>
    <t>PF 1</t>
  </si>
  <si>
    <t>PF 2</t>
  </si>
  <si>
    <t>PF 3</t>
  </si>
  <si>
    <t>RA1</t>
  </si>
  <si>
    <t>RA2</t>
  </si>
  <si>
    <t>RA3</t>
  </si>
  <si>
    <t>RA4</t>
  </si>
  <si>
    <t>TIC1</t>
  </si>
  <si>
    <t>TIC2</t>
  </si>
  <si>
    <t>TIC3</t>
  </si>
  <si>
    <t>TIC4</t>
  </si>
  <si>
    <t>Pregunta completa</t>
  </si>
  <si>
    <t>Codigo pregunta</t>
  </si>
  <si>
    <t>Pregunta abreviada</t>
  </si>
  <si>
    <t>Largo pregunta abreviada</t>
  </si>
  <si>
    <t>¿Qué tan satisfecho(a) te encuentras con la *calidad académica* del programa que cursas en la Universidad Ean?</t>
  </si>
  <si>
    <t>¿Qué tan cumplida ha sido la Universidad Ean respecto a la promesa de valor académica ofrecida?</t>
  </si>
  <si>
    <t>En general, ¿Cómo percibes la calidad de los docentes de la Universidad Ean?</t>
  </si>
  <si>
    <t>¿Qué tan oportuna es la entrega de calificaciones por parte de los docentes?</t>
  </si>
  <si>
    <t>¿Qué tan cercanos percibes a los responsables de tu programa académico (decano(a), director(a) o coordinador(a)?</t>
  </si>
  <si>
    <t>La Unidad Académica Administrativa es el área en donde te brindan soporte sobre la programación académica, asesorías académicas, inscripción de unidades de estudio, actualizaciones de malla,  procesos de homologación interna y externa, así como los reintegros.  En general *¿Cómo calificas el soporte administrativo que brinda la Unidad Académica Administrativa?*</t>
  </si>
  <si>
    <t>¿Cómo percibes la *atención y el servicio* por parte de los colaboradores de la Unidad Académica Administrativa?</t>
  </si>
  <si>
    <t>Si eres estudiante presencial ¿Cómo evalúas el modelo PAT implementado durante la pandemia?</t>
  </si>
  <si>
    <t>¿Consideras que la Universidad Ean te ha brindado el acompañamiento y soporte necesario para dar continuidad a tus actividades académicas durante la pandemia?</t>
  </si>
  <si>
    <t>¿Conoces los servicios y beneficios que dispone el *Instituto de Emprendimiento Sostenible* para todos sus estudiantes?</t>
  </si>
  <si>
    <t>¿Qué tanto impacta el enfoque del emprendimiento sostenible en tu proceso formativo?</t>
  </si>
  <si>
    <t>Innovación</t>
  </si>
  <si>
    <t>Emprendimiento</t>
  </si>
  <si>
    <t>Sostenibilidad</t>
  </si>
  <si>
    <t>Calidad</t>
  </si>
  <si>
    <t>Diversidad</t>
  </si>
  <si>
    <t>Ética y valores</t>
  </si>
  <si>
    <t>¿Qué tan satisfecho(a) te encuentras con los servicios que presta la *biblioteca* de la Universidad Ean?</t>
  </si>
  <si>
    <t>¿Qué tan fácil ha sido el acceso a las colecciones electrónicas en la biblioteca de la Universidad Ean?</t>
  </si>
  <si>
    <t>¿Cómo percibes la atención y el servicio por parte de los colaboradores de la biblioteca?</t>
  </si>
  <si>
    <t>Intercambios académicos</t>
  </si>
  <si>
    <t>Misiones académicas</t>
  </si>
  <si>
    <t>Semana Ean Internacional</t>
  </si>
  <si>
    <t>Sesiones Ean Internacional</t>
  </si>
  <si>
    <t>Escuela Internacional de Verano/Invierno</t>
  </si>
  <si>
    <t>Visión Global, con Brigitte Baptiste</t>
  </si>
  <si>
    <t>Global Classroom</t>
  </si>
  <si>
    <t>Doble Titulación</t>
  </si>
  <si>
    <t>Consultoría de investigación internacional</t>
  </si>
  <si>
    <t>No conozco ninguno</t>
  </si>
  <si>
    <t>¿Has participado en alguno de los programas mencionados anteriormente?</t>
  </si>
  <si>
    <t>¿Te interesaría participar en el futuro en alguno de los programas mencionados anteriormente?</t>
  </si>
  <si>
    <t>¿Conoces la oferta de convenios con universidades aliadas para hacer intercambios académicos?</t>
  </si>
  <si>
    <t>¿Qué tan relevante es para tu desarrollo académico y profesional participar en uno de los programas de movilidad y proyección global?</t>
  </si>
  <si>
    <t>¿Qué tan satisfecho (a) te encuentras con la calidad de los servicios que brinda el equipo de *Internacionalización y Relaciones Institucionales*?</t>
  </si>
  <si>
    <t>¿Conoces los servicios, políticas y alcances de la oficina de *Prácticas Profesionales*?</t>
  </si>
  <si>
    <t>¿Qué tan satisfecho (a) te encuentras con las opciones de Práctica Empresarial gestionadas por la Universidad Ean?</t>
  </si>
  <si>
    <t>¿Qué tan satisfecho(a) te encuentras con la calidad de los servicios que brinda el equipo de *Prácticas Profesionales*?</t>
  </si>
  <si>
    <t>¿Qué tan satisfecho (a) te encuentras con la plataforma de *correo electrónico en Outlook*?</t>
  </si>
  <si>
    <t>¿Qué tan satisfecho(a) te encuentras con la plataforma y la información que encuentras en *SAP*?</t>
  </si>
  <si>
    <t>¿Qué tan satisfecho(a) te encuentras con el *soporte técnico* brindado para el *correo electrónico y SAP*?</t>
  </si>
  <si>
    <t>¿Qué tan satisfecho(a) te encuentras con la *plataforma virtual Canvas*?</t>
  </si>
  <si>
    <t>¿Qué tan satisfecho(a) te encuentras con *Cisco Webex*?</t>
  </si>
  <si>
    <t>¿Qué tan satisfecho(a) te encuentras con el soporte técnico brindado para la plataforma *Canvas y Cisco Webex*?</t>
  </si>
  <si>
    <t>¿Qué tan fácil ha sido el uso y acceso a los recursos tecnológicos de la Universidad Ean (Correo electrónico, Canvas, Cisco Webex, SAP)?</t>
  </si>
  <si>
    <t>Registro Académico es el área encargada de la emisión de certificados académicos, retiro de unidades de estudio, abonos por reglamento estudiantil, cursos libres, validaciones, distinciones e Incentivos, presentación examen Saber Pro, verificaciones académicas, actualización de datos y proceso de grado.  *¿Qué tan satisfecho(a) te encuentras con los servicios ofrecidos por el área de registro académico de la Universidad Ean?*</t>
  </si>
  <si>
    <t>En relación con los *tiempos de respuesta* de registro académico ¿qué tan satisfecho(a) te encuentras?</t>
  </si>
  <si>
    <t>¿Qué tan satisfecho(a) te encuentras con la calidad de la atención que brinda el equipo de Registro Académico?</t>
  </si>
  <si>
    <t>¿Conoces los convenios y opciones de financiación dispuestos por la Universidad para la financiación de matrícula?</t>
  </si>
  <si>
    <t>¿Qué tan satisfecho(a) te encuentras con la calidad de los servicios ofrecidos por el área de *Apoyo Financiero y Tesorería* de la Universidad Ean?</t>
  </si>
  <si>
    <t>¿Qué tan satisfecho(a) te encuentras con los procedimientos y tiempos de respuesta para aplicación de descuentos?</t>
  </si>
  <si>
    <t>¿Qué tan satisfecho(a) te encuentras con los canales dispuestos para el pago de matrícula y otros servicios académicos?</t>
  </si>
  <si>
    <t>¿Qué tan satisfecho(a) te sientes con la atención brindada por los colaboradores del proceso de Apoyo Financiero y Tesorería?</t>
  </si>
  <si>
    <t>¿Qué tan satisfecho(a) te encuentras con la atención telefónica cuando llamas al* PBX* de la Universidad Ean?</t>
  </si>
  <si>
    <t>Facebook</t>
  </si>
  <si>
    <t>Instagram</t>
  </si>
  <si>
    <t>Twitter</t>
  </si>
  <si>
    <t>LinKedIn</t>
  </si>
  <si>
    <t>Youtube</t>
  </si>
  <si>
    <t>Ninguna</t>
  </si>
  <si>
    <t>¿Qué tan satisfecho (a) te encuentras con el contenido que se encuentra en la *página web* de la Universidad Ean?</t>
  </si>
  <si>
    <t>¿Qué tan satisfecho (a) te encuentras con los contenidos y la funcionalidad de la *app* de la Universidad Ean?</t>
  </si>
  <si>
    <t>¿Qué tan satisfecho(a) te encuentras el chat *EVA* de la Universidad Ean?</t>
  </si>
  <si>
    <t>¿Qué tan satisfecho (a) te encuentras el soporte brindado a través de las *Salas Webex de servicio*?</t>
  </si>
  <si>
    <t>¿Qué tan satisfecho (a) te encuentras con la información que recibes de la Universidad Ean en tu correo electrónico institucional?</t>
  </si>
  <si>
    <t>¿Con qué frecuencia te gustaría recibir correos electrónicos de la Universidad Ean?</t>
  </si>
  <si>
    <t>De los siguiente canales ¿Cuál consideras es el más efectivo para resolver tus inquietudes o requerimientos?</t>
  </si>
  <si>
    <t>Admisiones</t>
  </si>
  <si>
    <t>Bienestar Universitario</t>
  </si>
  <si>
    <t>Permanencia Estudiantil</t>
  </si>
  <si>
    <t>Servicios al Estudiante</t>
  </si>
  <si>
    <t>Defensoría Universitaria</t>
  </si>
  <si>
    <t>Graduados</t>
  </si>
  <si>
    <t>Gimnasio y App Fitness Ean</t>
  </si>
  <si>
    <t>Servicio de salud integral (médico y enfermería)</t>
  </si>
  <si>
    <t>Servicio de atención psicosocial</t>
  </si>
  <si>
    <t>Pedaleando a la U</t>
  </si>
  <si>
    <t>Póliza de accidentes personales</t>
  </si>
  <si>
    <t>Espacios de formación cultural (Grupos Culturales)</t>
  </si>
  <si>
    <t>Espacios de formación deportiva (Grupos Deportivos)</t>
  </si>
  <si>
    <t>Espacios de formación en actividad física</t>
  </si>
  <si>
    <t>Espacios de formación en habilidades humanas (frEands, café de la diversidad, mindfulness y cyborg)</t>
  </si>
  <si>
    <t>Eventos (Semana de la cultura, de la salud, del buen vivir, fitness, olimpiadas, jornadas de bienvenida, días especiales, etc...)</t>
  </si>
  <si>
    <t>No los he usado</t>
  </si>
  <si>
    <t>¿Qué tan satisfecho (a) te encuentras con la oferta de Bienestar Universitario?</t>
  </si>
  <si>
    <t>¿Qué otra oferta te gustaría que se implementara para los estudiantes desde Bienestar Universitario?</t>
  </si>
  <si>
    <t>¿Qué tan satisfecho (a) te encuentras con la actitud de servicio del equipo de Bienestar Universitario?</t>
  </si>
  <si>
    <t>Programa Ean Contigo</t>
  </si>
  <si>
    <t>Mentores Académicos</t>
  </si>
  <si>
    <t>Los dos anteriores</t>
  </si>
  <si>
    <t>Ninguno de los anteriores</t>
  </si>
  <si>
    <t>¿Qué tan satisfecho (a) te encuentras con la calidad de los servicios que brinda el equipo de Permanencia Estudiantil?</t>
  </si>
  <si>
    <t>¿Conoces el rol de los mentores académicos y su aporte a los estudiantes acompañados?</t>
  </si>
  <si>
    <t>Talleres de empleabilidad</t>
  </si>
  <si>
    <t>Asesoría en Hoja de Vida</t>
  </si>
  <si>
    <t>Bolsa de Empleo</t>
  </si>
  <si>
    <t>Seminario y talleres para el trabajo</t>
  </si>
  <si>
    <t>¿Qué tan satisfecho (a) te encuentras con la calidad de los servicios que brinda el equipo del programa Empleabilidad?</t>
  </si>
  <si>
    <t>¿Sabías que, en la Universidad Ean existe el rol de defensor universitario para prevenir y atender conflictos, cuya gestión es de acompañamiento, mediación e intervención?</t>
  </si>
  <si>
    <t>¿Qué tan satisfecho (a) te encuentras con los horarios en los cuales las áreas de la Universidad atienden a sus estudiantes?</t>
  </si>
  <si>
    <t>¿Te sentiste acompañado o apoyado por la Universidad Ean durante la pandemia?</t>
  </si>
  <si>
    <t>¿Quieres destacar algo positivo de la Universidad Ean? ¿Crees que podemos mejorar en algún aspecto adicional?</t>
  </si>
  <si>
    <t>Area_PPT_2020</t>
  </si>
  <si>
    <t>Item</t>
  </si>
  <si>
    <t>¿Qué tan satisfecho(a) te encuentras con la calidad académica del programa que cursas en la Universidad Ean?</t>
  </si>
  <si>
    <t>En general ¿Cómo calificas el soporte administrativo que brinda la Unidad Académica Administrativa?</t>
  </si>
  <si>
    <t>¿Cómo percibes la atención y el servicio por parte de los colaboradores de la Unidad Académica Administrativa?</t>
  </si>
  <si>
    <t>¿Conoces los servicios y beneficios que dispone el Instituto de Emprendimiento Sostenible para todos sus estudiantes?</t>
  </si>
  <si>
    <t>¿Qué tan probable es que recomiendes la formación en emprendimiento sostenible de la Universidad Ean con tus compañeros y conocidos?</t>
  </si>
  <si>
    <t>¿Qué tan satisfecho(a) te encuentras con los servicios que presta la biblioteca de la Universidad Ean?</t>
  </si>
  <si>
    <t>¿Qué tan probable es que recomiendes el uso de la biblioteca de la Universidad Ean con tus compañeros?</t>
  </si>
  <si>
    <t>¿Qué tan satisfecho (a) te encuentras con la calidad de los servicios que brinda el equipo de Internacionalización y Relaciones Institucionales?</t>
  </si>
  <si>
    <t>¿Conoces los servicios, políticas y alcances de la oficina de Prácticas Profesionales?</t>
  </si>
  <si>
    <t>¿Qué tan satisfecho(a) te encuentras con la calidad de los servicios que brinda el equipo de Prácticas Profesionales?</t>
  </si>
  <si>
    <t>¿Qué tan satisfecho (a) te encuentras con la plataforma de correo electrónico en Outlook?</t>
  </si>
  <si>
    <t>¿Qué tan satisfecho(a) te encuentras con la plataforma y la información que encuentras en SAP?</t>
  </si>
  <si>
    <t>¿Qué tan satisfecho(a) te encuentras con el soporte técnico brindado para el correo electrónico y SAP?</t>
  </si>
  <si>
    <t>¿Qué tan satisfecho(a) te encuentras con la plataforma virtual Canvas?</t>
  </si>
  <si>
    <t>¿Qué tan satisfecho(a) te encuentras con Cisco Webex?</t>
  </si>
  <si>
    <t>¿Qué tan satisfecho(a) te encuentras con el soporte técnico brindado para la plataforma Canvas y Cisco Webex?</t>
  </si>
  <si>
    <t>¿Qué tan probable es que recomiendes el uso de recursos tecnológicos de la Universidad Ean con tus compañeros?</t>
  </si>
  <si>
    <t>¿Qué tan satisfecho(a) te encuentras con los servicios ofrecidos por el área de registro académico de la Universidad Ean?</t>
  </si>
  <si>
    <t>En relación con los tiempos de respuesta de registro académico ¿qué tan satisfecho(a) te encuentras?</t>
  </si>
  <si>
    <t>¿Qué tan satisfecho(a) te encuentras con la calidad de los servicios ofrecidos por el área de Apoyo Financiero y Tesorería de la Universidad Ean?</t>
  </si>
  <si>
    <t>¿Qué tan satisfecho(a) te encuentras con la atención telefónica cuando llamas al PBX de la Universidad Ean?</t>
  </si>
  <si>
    <t>¿Qué tan satisfecho (a) te encuentras con el contenido que se encuentra en la página web de la Universidad Ean?</t>
  </si>
  <si>
    <t>¿Qué tan satisfecho (a) te encuentras con los contenidos y la funcionalidad de la app de la Universidad Ean?</t>
  </si>
  <si>
    <t>¿Qué tan satisfecho(a) te encuentras el chat EVA de la Universidad Ean?</t>
  </si>
  <si>
    <t>¿Qué tan satisfecho (a) te encuentras el soporte brindado a través de las Salas Webex de servicio?</t>
  </si>
  <si>
    <t>Institucional</t>
  </si>
  <si>
    <t>PF1</t>
  </si>
  <si>
    <t>INST1</t>
  </si>
  <si>
    <t>Nombre area</t>
  </si>
  <si>
    <t>INST2</t>
  </si>
  <si>
    <t>INST3</t>
  </si>
  <si>
    <t>INST4</t>
  </si>
  <si>
    <t>IES7</t>
  </si>
  <si>
    <t>IES8</t>
  </si>
  <si>
    <t>IES9</t>
  </si>
  <si>
    <t>INT5</t>
  </si>
  <si>
    <t>INT6</t>
  </si>
  <si>
    <t>INT7</t>
  </si>
  <si>
    <t>INT8</t>
  </si>
  <si>
    <t>INT9</t>
  </si>
  <si>
    <t>INT10</t>
  </si>
  <si>
    <t>INT11</t>
  </si>
  <si>
    <t>INT12</t>
  </si>
  <si>
    <t>INT13</t>
  </si>
  <si>
    <t>INT14</t>
  </si>
  <si>
    <t>INT15</t>
  </si>
  <si>
    <t>MC12</t>
  </si>
  <si>
    <t>MC13</t>
  </si>
  <si>
    <t>MC14</t>
  </si>
  <si>
    <t>PF2</t>
  </si>
  <si>
    <t>PF3</t>
  </si>
  <si>
    <t>TIC5</t>
  </si>
  <si>
    <t>TIC6</t>
  </si>
  <si>
    <t>Pegunta</t>
  </si>
  <si>
    <t>¿Qué tan cumplida ha sido la Universidad Ean respecto a la promesa de valor académica ofrecida por el programa que cursas actualmente?</t>
  </si>
  <si>
    <t>Decano(a)</t>
  </si>
  <si>
    <t>Director (a) o Coordinador (a)</t>
  </si>
  <si>
    <t>En general ¿cómo calificas el soporte que presta el equipo de la Unidad Académico administrativa.</t>
  </si>
  <si>
    <t>En general ¿Cómo calificas el soporte administrativo que brindan los asistentes de tu Facultad?</t>
  </si>
  <si>
    <t>¿En qué modalidad de estudio estas cursando tu semestre?</t>
  </si>
  <si>
    <t>¿Cómo evalúas el regreso voluntario a la presencialidad?</t>
  </si>
  <si>
    <t>¿Qué tan probable es que en el futuro vuelvas a estudiar un programa académico en la Universidad Ean?</t>
  </si>
  <si>
    <t>En general ¿Cómo percibes la atención y el servicio por parte de los colaboradores de la biblioteca?</t>
  </si>
  <si>
    <t>Buddy Program</t>
  </si>
  <si>
    <t>Ean Filantropía</t>
  </si>
  <si>
    <t>¿Qué tan satisfecho te encuentras con la calidad de los servicios que brinda el equipo de Internacionalización?</t>
  </si>
  <si>
    <t>¿Qué tan satisfecho te encuentras con el apoyo ofrecido desde Prácticas Profesionales de la Universidad Ean?</t>
  </si>
  <si>
    <t>29.	¿Qué tan satisfecho te encuentras con la calidad de los servicios que brinda el equipo de Prácticas Profesionales?</t>
  </si>
  <si>
    <t>¿Qué tan satisfecho te encuentras con la plataforma de *Correo electrónico*?</t>
  </si>
  <si>
    <t>¿Qué tan satisfecho te encuentras con la plataforma y la información que encuentras en *SAP*?</t>
  </si>
  <si>
    <t>¿Qué tan satisfecho te encuentras con el soporte técnico brindado para el *Correo electrónico*?</t>
  </si>
  <si>
    <t>¿Qué tan satisfecho te encuentras con el soporte técnico brindado para *SAP*?</t>
  </si>
  <si>
    <t>¿Qué tan satisfecho te encuentras con la *plataforma virtual Canvas*?</t>
  </si>
  <si>
    <t>¿Qué tan satisfecho te encuentras con *Cisco Webex*?</t>
  </si>
  <si>
    <t>¿Qué tan satisfecho te encuentras con el soporte técnico brindado para la *plataforma Canvas y Cisco Webex*?</t>
  </si>
  <si>
    <t>Red (Internet)</t>
  </si>
  <si>
    <t>Correo electrónico</t>
  </si>
  <si>
    <t>Aplicación Móvil</t>
  </si>
  <si>
    <t>Control acceso</t>
  </si>
  <si>
    <t>¿Qué tan fácil ha sido el *uso y acceso de Canvas y Cisco Webex*?</t>
  </si>
  <si>
    <t>¿Qué tan satisfecho te encuentras con los servicios ofrecidos por el área de *registro académico* de la Universidad Ean?</t>
  </si>
  <si>
    <t>En relación con los *tiempos de respuesta* de registro académico ¿Qué tan satisfecho te encuentras?</t>
  </si>
  <si>
    <t>¿Qué tan satisfecho te encuentras con la *calidad de la atención que brinda el equipo de Registro Académico*?</t>
  </si>
  <si>
    <t>Ean Respalda</t>
  </si>
  <si>
    <t>Ean Fraccionamiento</t>
  </si>
  <si>
    <t>Fundación Michelsen</t>
  </si>
  <si>
    <t>Financiar</t>
  </si>
  <si>
    <t>Lumni Respalda</t>
  </si>
  <si>
    <t>Sufi Bancolombia</t>
  </si>
  <si>
    <t>Somec</t>
  </si>
  <si>
    <t>Lumni</t>
  </si>
  <si>
    <t>Fincomercio – Fincoeducar</t>
  </si>
  <si>
    <t>Banco Pichincha</t>
  </si>
  <si>
    <t>Banco Av Villas</t>
  </si>
  <si>
    <t>Icetex</t>
  </si>
  <si>
    <t>No he utilizado ninguna</t>
  </si>
  <si>
    <t>¿Qué tan satisfecho te encuentras con el servicio recibido de la entidad financiera?</t>
  </si>
  <si>
    <t>¿Qué tan satisfecho te encuentras con la calidad de los servicios ofrecidos por el área de *Apoyo Financiero y Recursos Financieros *de la Universidad Ean?</t>
  </si>
  <si>
    <t>¿Qué tan satisfecho te encuentras con los procedimientos y tiempos de respuesta para aplicación de descuentos?</t>
  </si>
  <si>
    <t>¿Qué tan satisfecho te encuentras con los canales dispuestos para el pago de matrícula y otros servicios académicos?</t>
  </si>
  <si>
    <t>¿Qué tan satisfecho te sientes con la atención brindada por los colaboradores del proceso de Apoyo Financiero y Recursos Financieros?</t>
  </si>
  <si>
    <t>¿Qué tan satisfecho te encuentras con la *atención telefónica* cuando llamas al *PBX* de la Universidad Ean?</t>
  </si>
  <si>
    <t>Todos los anteriores</t>
  </si>
  <si>
    <t>Ninguno</t>
  </si>
  <si>
    <t>¿Qué tan satisfecho te encuentras con el contenido que se encuentra en la *página web* de la Universidad Ean?</t>
  </si>
  <si>
    <t>¿Qué tan satisfecho te encuentras con la *App* de la Universidad Ean?</t>
  </si>
  <si>
    <t>¿Has interactuado con el *Chat Bot E- Ann* ubicado en la página web de la Universidad Ean?</t>
  </si>
  <si>
    <t>¿Qué tan satisfecho te encuentras con la información que encuentras en el Bot?</t>
  </si>
  <si>
    <t>¿Qué tan satisfecho te encuentras con el soporte brindado a través de las Salas Teams?</t>
  </si>
  <si>
    <t>¿Qué tan satisfecho te encuentras con la información que recibes a través del Correo Electrónico de la Universidad Ean?</t>
  </si>
  <si>
    <t>¿Cuál de los siguientes canales consideras que es el más efectivo para resolver tus inquietudes o requerimientos?</t>
  </si>
  <si>
    <t>Capacidad</t>
  </si>
  <si>
    <t>Condiciones de Seguridad</t>
  </si>
  <si>
    <t>Disponibilidad</t>
  </si>
  <si>
    <t>Acceso a Internet</t>
  </si>
  <si>
    <t>Tecnología</t>
  </si>
  <si>
    <t>¿Qué tan satisfecho te encuentras con el espacio dispuesto para las cafeterías de la Universidad?</t>
  </si>
  <si>
    <t>¿Qué tan satisfecho te encuentras con los productos ofrecidos en las cafeterías de la Universidad?</t>
  </si>
  <si>
    <t>¿Qué tan satisfecho te encuentras con *Frutiice*?</t>
  </si>
  <si>
    <t>¿Qué tan satisfecho te encuentras con los productos ofrecidos en *Frutiice*?</t>
  </si>
  <si>
    <t>¿Qué tan satisfecho te encuentras con la atención del *personal de seguridad* en la Universidad Ean?</t>
  </si>
  <si>
    <t>¿Qué tan satisfecho te encuentras con el servicio del *personal de aseo* en la Universidad Ean?</t>
  </si>
  <si>
    <t>¿Qué tan satisfecho te encuentras con el *servicio de audiovisuales *en la Universidad Ean?</t>
  </si>
  <si>
    <t>¿Qué tan satisfecho te encuentras con el *servicio de parqueadero *en la Universidad Ean?</t>
  </si>
  <si>
    <t>Gimnasio</t>
  </si>
  <si>
    <t>Grupos Culturales</t>
  </si>
  <si>
    <t>Clases Deportivas (Fútbol, baloncesto, natación, etc.)</t>
  </si>
  <si>
    <t>Clases de habilidades humanas (inteligencia emocional, mindfulness, etc.)</t>
  </si>
  <si>
    <t>Café de la Diversidad, FrEands</t>
  </si>
  <si>
    <t>Servicio de salud (Consulta medicina general, enfermería, planificación familiar, etc)</t>
  </si>
  <si>
    <t>Atención Psicosocial</t>
  </si>
  <si>
    <t>Eventos (Jornadas de Bienvenida, Semana de la Salud, Semana de la Cultura y Semana Fitness Ean)</t>
  </si>
  <si>
    <t>Utilización de Salón de juegos: préstamo de implementos deportivos, mesa de tenis de mesa</t>
  </si>
  <si>
    <t>Programa Pedaleando (Alquiler de Bicicletas)</t>
  </si>
  <si>
    <t>Other</t>
  </si>
  <si>
    <t>¿Qué tan satisfecho te encuentras con la calidad de los servicios que brinda Bienestar Universitario?</t>
  </si>
  <si>
    <t>¿Conoces la *App Fitness* Ean?</t>
  </si>
  <si>
    <t>Acompañamiento en el proceso de renovación de matrícula</t>
  </si>
  <si>
    <t>Orientación Psicopedagógica</t>
  </si>
  <si>
    <t>Contacto para conocer el desarrollo de tu proceso académico</t>
  </si>
  <si>
    <t>¿Qué tan satisfecho te encuentras con la calidad de los servicios que brinda el equipo de *Permanencia Estudiantil*?</t>
  </si>
  <si>
    <t>¿Qué tan satisfecho te encuentras con la calidad de los servicios que brinda el equipo del programa* Empleabilidad*?</t>
  </si>
  <si>
    <t>¿Conoces los servicios y el rol que desempeña la Defensoría Universitaria?</t>
  </si>
  <si>
    <t>¿Qué tan satisfecho te encuentras con el servicio brindado desde la  *Defensoría Universitaria*?</t>
  </si>
  <si>
    <t>¿Conoces la estrategia de la Universidad con la calificación de atención a través de *QR ?*</t>
  </si>
  <si>
    <t>Si has retornado a la presencialidad, por favor indícanos si ¿consideras que los protocolos de Bioseguridad son los adecuados para el retorno?</t>
  </si>
  <si>
    <t>¿Qué tan satisfecho te encuentras con el servicio que te brindamos al ingreso y recepción de la Universidad?</t>
  </si>
  <si>
    <t>¿Quieres destacar algo positivo de la Universidad Ean? ¿Crees que podemos mejorar en algo más?</t>
  </si>
  <si>
    <t>En una escala de 0 a 10 ¿Qué tan probable es que recomiendes los servicios y la atención que te brindamos en la Universidad Ean?</t>
  </si>
  <si>
    <t>Plan de estudios de tu programa</t>
  </si>
  <si>
    <t>Las competencias propuestas en las unidades cursadas hasta el momento</t>
  </si>
  <si>
    <t>Conocimiento disciplinar</t>
  </si>
  <si>
    <t>Competencias para la enseñanza y la formación</t>
  </si>
  <si>
    <t>Cumplimiento del Syllabus y plan de estudios del programa</t>
  </si>
  <si>
    <t>Evaluación y acompañamiento del proceso de aprendizaje</t>
  </si>
  <si>
    <t>Entrega de calificaciones y feedback</t>
  </si>
  <si>
    <t xml:space="preserve">Disponibilidad y funcionamiento de los equipos </t>
  </si>
  <si>
    <t>Disponibilidad de materiales y/o reactivos</t>
  </si>
  <si>
    <t>Instalaciones</t>
  </si>
  <si>
    <t>Higiene y limpieza las Instalaciones y Equipos</t>
  </si>
  <si>
    <t>¿Con qué *frecuencia* te gustaría recibir correos electrónicos de la Universidad Ean?</t>
  </si>
  <si>
    <t>*¡Estamos muy felices de nuestro Ean Legacy!* Queremos saber ¿Cuál es el espacio que más te gusta?</t>
  </si>
  <si>
    <t>¿Qué tan satisfecho te encuentras con los horarios en los cuales las áreas de la Universidad atienden a sus estudiantes de manera *remota-virtual*?</t>
  </si>
  <si>
    <t>¿Qué tan satisfecho te encuentras con los horarios en los cuales las áreas de la Universidad atienden a sus estudiantes de manera *presencial*?</t>
  </si>
  <si>
    <t>Area_PPT_2021</t>
  </si>
  <si>
    <t>D01</t>
  </si>
  <si>
    <t>D02</t>
  </si>
  <si>
    <t>Disponibilidad y funcionamiento de los equipos</t>
  </si>
  <si>
    <t>D03</t>
  </si>
  <si>
    <t>D04</t>
  </si>
  <si>
    <t>D05</t>
  </si>
  <si>
    <t>D06</t>
  </si>
  <si>
    <t>¿Qué tan satisfecho te encuentras con la calidad de los servicios que brinda el equipo de Prácticas Profesionales?</t>
  </si>
  <si>
    <t>D07</t>
  </si>
  <si>
    <t>¿Qué tan satisfecho te encuentras con la plataforma de Correo electrónico?</t>
  </si>
  <si>
    <t>¿Qué tan satisfecho te encuentras con la plataforma y la información que encuentras en SAP?</t>
  </si>
  <si>
    <t>¿Qué tan satisfecho te encuentras con el soporte técnico brindado para el Correo electrónico?</t>
  </si>
  <si>
    <t>¿Qué tan satisfecho te encuentras con el soporte técnico brindado para SAP?</t>
  </si>
  <si>
    <t>D08</t>
  </si>
  <si>
    <t>Mediaciones Didácticas</t>
  </si>
  <si>
    <t>¿Qué tan satisfecho te encuentras con la plataforma virtual Canvas?</t>
  </si>
  <si>
    <t>¿Qué tan satisfecho te encuentras con Cisco Webex?</t>
  </si>
  <si>
    <t>¿Qué tan satisfecho te encuentras con el soporte técnico brindado para la plataforma Canvas y Cisco Webex?</t>
  </si>
  <si>
    <t>¿Qué tan fácil ha sido el uso y acceso de Canvas y Cisco Webex?</t>
  </si>
  <si>
    <t>D09</t>
  </si>
  <si>
    <t>¿Qué tan satisfecho te encuentras con los servicios ofrecidos por el área de registro académico de la Universidad Ean?</t>
  </si>
  <si>
    <t>En relación con los tiempos de respuesta de registro académico ¿Qué tan satisfecho te encuentras?</t>
  </si>
  <si>
    <t>¿Qué tan satisfecho te encuentras con la calidad de la atención que brinda el equipo de Registro Académico?</t>
  </si>
  <si>
    <t>D10</t>
  </si>
  <si>
    <t>¿Qué tan satisfecho te encuentras con la calidad de los servicios ofrecidos por el área de Apoyo Financiero y Recursos Financieros de la Universidad Ean?</t>
  </si>
  <si>
    <t>D11</t>
  </si>
  <si>
    <t>Centro de contacto y comunicaciones</t>
  </si>
  <si>
    <t>¿Qué tan satisfecho te encuentras con la atención telefónica cuando llamas al PBX de la Universidad Ean?</t>
  </si>
  <si>
    <t>¿Qué tan satisfecho te encuentras con el contenido que se encuentra en la página web de la Universidad Ean?</t>
  </si>
  <si>
    <t>¿Qué tan satisfecho te encuentras con la App de la Universidad Ean?</t>
  </si>
  <si>
    <t>¿Has interactuado con el Chat Bot E- Ann ubicado en la página web de la Universidad Ean?</t>
  </si>
  <si>
    <t>D12</t>
  </si>
  <si>
    <t>¿Qué tan satisfecho te encuentras con Frutiice?</t>
  </si>
  <si>
    <t>¿Qué tan satisfecho te encuentras con los productos ofrecidos en Frutiice?</t>
  </si>
  <si>
    <t>¡Estamos muy felices de nuestro Ean Legacy! Queremos saber ¿Cuál es el espacio que más te gusta?</t>
  </si>
  <si>
    <t>D13</t>
  </si>
  <si>
    <t>¿Conoces la App Fitness Ean?</t>
  </si>
  <si>
    <t>D14</t>
  </si>
  <si>
    <t>¿Qué tan satisfecho te encuentras con la calidad de los servicios que brinda el equipo de Permanencia Estudiantil?</t>
  </si>
  <si>
    <t>D15</t>
  </si>
  <si>
    <t>¿Qué tan satisfecho te encuentras con la calidad de los servicios que brinda el equipo del programa Empleabilidad?</t>
  </si>
  <si>
    <t>D16</t>
  </si>
  <si>
    <t>¿Qué tan satisfecho te encuentras con el servicio brindado desde la Defensoría Universitaria?</t>
  </si>
  <si>
    <t>¿Conoces la estrategia de la Universidad con la calificación de atención a través de QR?</t>
  </si>
  <si>
    <t>Si has retornado a la presencialidad, ¿consideras que los protocolos de Bioseguridad son los adecuados para el retorno?</t>
  </si>
  <si>
    <t>¿Qué tan satisfecho te encuentras con los horarios en los cuales las áreas de la Universidad atienden a sus estudiantes de manera remota-virtual?</t>
  </si>
  <si>
    <t>¿Qué tan satisfecho te encuentras con los horarios en los cuales las áreas de la Universidad atienden a sus estudiantes de manera presencial?</t>
  </si>
  <si>
    <t>CC1</t>
  </si>
  <si>
    <t>INT</t>
  </si>
  <si>
    <t>AC12</t>
  </si>
  <si>
    <t>AC13</t>
  </si>
  <si>
    <t>AC14</t>
  </si>
  <si>
    <t>AC15</t>
  </si>
  <si>
    <t>AC16</t>
  </si>
  <si>
    <t>APF8</t>
  </si>
  <si>
    <t>APF9</t>
  </si>
  <si>
    <t>APF10</t>
  </si>
  <si>
    <t>APF11</t>
  </si>
  <si>
    <t>APF12</t>
  </si>
  <si>
    <t>APF13</t>
  </si>
  <si>
    <t>APF14</t>
  </si>
  <si>
    <t>APF15</t>
  </si>
  <si>
    <t>APF16</t>
  </si>
  <si>
    <t>APF17</t>
  </si>
  <si>
    <t>APF18</t>
  </si>
  <si>
    <t>APF19</t>
  </si>
  <si>
    <t>CC2</t>
  </si>
  <si>
    <t>CC3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</si>
  <si>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</si>
  <si>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</si>
  <si>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</si>
  <si>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</si>
  <si>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</si>
  <si>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</si>
  <si>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</si>
  <si>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</si>
  <si>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</si>
  <si>
    <t>CC13</t>
  </si>
  <si>
    <t>CC14</t>
  </si>
  <si>
    <t>INST5</t>
  </si>
  <si>
    <t>INST6</t>
  </si>
  <si>
    <t>INST7</t>
  </si>
  <si>
    <t>INT16</t>
  </si>
  <si>
    <t>INT17</t>
  </si>
  <si>
    <t>TIC7</t>
  </si>
  <si>
    <t>TIC8</t>
  </si>
  <si>
    <t>TIC9</t>
  </si>
  <si>
    <t>Codigo Pregunta</t>
  </si>
  <si>
    <t>Pregunta Original</t>
  </si>
  <si>
    <t>Pregunta Abreviada</t>
  </si>
  <si>
    <t>¿Que tan cumplida ha sido la Universidad Ean respecto a la promesa de valor academica ofrecida por el programa que cursas actualmente</t>
  </si>
  <si>
    <t>Competencias para la ensenanza y la formacion</t>
  </si>
  <si>
    <t>Evaluacion y acompanamiento del proceso de aprendizaje</t>
  </si>
  <si>
    <t>Aulas Virtuales</t>
  </si>
  <si>
    <t>Director de Programa</t>
  </si>
  <si>
    <t>Coordinador Unidades de Estudio Transversales</t>
  </si>
  <si>
    <t>En general ¿Que tan satisfecho te encuentras con la atencion y el servicio recibido de manera presencial y a traves de las salas teams por parte del equipo de la Unidad Academico Administrativa</t>
  </si>
  <si>
    <t>En general ¿Que tan satisfecho te encuentras con la atencion y el servicio recibido por parte de los asistentes de tu Facultad</t>
  </si>
  <si>
    <t>En general ¿Que tan satisfecho te encuentras con la atencion y el servicio recibido de manera presencial y a traves de las salas teams por parte del equipo de Mediaciones Didacticas</t>
  </si>
  <si>
    <t>En general ¿Que tan satisfecho te encuentras con la atencion y el servicio recibido de manera presencial y a traves de las salas teams por parte del equipo de Assessment Center</t>
  </si>
  <si>
    <t>En general ¿Que tan satisfecho te encuentras con la atencion y el servicio recibido de manera presencial y a traves de las salas teams por parte del equipo de Investigacion y Trabajo de Grado</t>
  </si>
  <si>
    <t>Capacidad del Laboratorio</t>
  </si>
  <si>
    <t>¿Que tan probable es que recomiendes tu programa academico con familiares y amigos</t>
  </si>
  <si>
    <t>¿Que tan probable es que en el futuro vuelvas a estudiar un programa academico en la Universidad Ean</t>
  </si>
  <si>
    <t>¿Conoces los servicios y beneficios que dispone Ean Impacta para todos sus estudiantes</t>
  </si>
  <si>
    <t>¿Que tanto impacta el enfoque del emprendimiento sostenible en tu proceso formativo</t>
  </si>
  <si>
    <t>Innovacion</t>
  </si>
  <si>
    <t>Etica y valores</t>
  </si>
  <si>
    <t>Investigacion</t>
  </si>
  <si>
    <t>¿Que tan satisfecho te encuentras con la atencion y el servicio recibido por parte del equipo de Ean Impacta</t>
  </si>
  <si>
    <t>¿Que tan satisfechoa te encuentras con los servicios que presta la biblioteca de la Universidad Ean</t>
  </si>
  <si>
    <t>¿Que tan completas consideras las colecciones fisicas y electronicas en la biblioteca de la Universidad Ean</t>
  </si>
  <si>
    <t>¿Que tan facil ha sido el acceso a las colecciones electronicas en la biblioteca de la Universidad Ean</t>
  </si>
  <si>
    <t>En general ¿Que tan satisfecho te encuentras con la atencion y el servicio recibido de manera presencial y por sala teams por parte de los colaboradores de la Biblioteca</t>
  </si>
  <si>
    <t>Intercambios academicos</t>
  </si>
  <si>
    <t>Misiones academicas</t>
  </si>
  <si>
    <t>Vision Global con Brigitte Baptiste</t>
  </si>
  <si>
    <t>Doble Titulacion</t>
  </si>
  <si>
    <t>Consultoria de investigacion internacional</t>
  </si>
  <si>
    <t>¿Has participado en alguno de los programas mencionados anteriormente</t>
  </si>
  <si>
    <t>¿Conoces la oferta de convenios con universidades aliadas para hacer intercambios academicos</t>
  </si>
  <si>
    <t>¿Que tan relevante es para tu desarrollo academico y profesional participar en uno de los programas de movilidad y proyeccion global</t>
  </si>
  <si>
    <t>¿Conoces el programa Ean Filantropia</t>
  </si>
  <si>
    <t>¿Que tan satisfecho te encuentras con la calidad de los servicios que brinda el equipo de Internacionalizacion</t>
  </si>
  <si>
    <t>¿Conoces los servicios modalidades de practica y alcances de la oficina de Practicas Profesionales</t>
  </si>
  <si>
    <t>¿Que tan satisfecho te encuentras con el apoyo ofrecido desde Practicas Profesionales para encontrar la empresa en donde realizaras la Practica Profesional</t>
  </si>
  <si>
    <t>En general ¿Que tan satisfecho te encuentras con la atencion y el servicio recibido de manera presencial y por la sala teams por parte de los colaboradores de Practicas Profesionales</t>
  </si>
  <si>
    <t>¿Que tan satisfecho te encuentras con la plataforma de Correo electronico</t>
  </si>
  <si>
    <t>¿Que tan satisfecho te encuentras con la plataforma y la informacion que encuentras en SAP</t>
  </si>
  <si>
    <t>¿Que tan satisfecho te encuentras con la plataforma virtual Canvas</t>
  </si>
  <si>
    <t>¿Que tan satisfecho te encuentras con Teams</t>
  </si>
  <si>
    <t>¿Que tan satisfecho te encuentras con Cisco Webex</t>
  </si>
  <si>
    <t>¿Que tan satisfecho te encuentras con la atencion y servicios recibidos de manera presencial y por sala teams en Soporte Officce por parte de los colaboradores del TIC</t>
  </si>
  <si>
    <t>Red Internet</t>
  </si>
  <si>
    <t>Correo electronico</t>
  </si>
  <si>
    <t>Aplicacion Movil</t>
  </si>
  <si>
    <t>Equipos y software de las Salas de Computo</t>
  </si>
  <si>
    <t>¿Que tan satisfecho te encuentras con los servicios ofrecidos por el area de registro academico de la Universidad Ean</t>
  </si>
  <si>
    <t>En relacion con los tiempos de respuesta de registro academico ¿Que tan satisfecho te encuentras</t>
  </si>
  <si>
    <t>¿Que tan satisfecho te encuentras con la atencion y servicios recibidos de manera presencial y por sala teams que brinda el equipo de Registro Academico</t>
  </si>
  <si>
    <t>¿Conoces los convenios y opciones de financiacion dispuestos por la Universidad para la financiacion de matricula</t>
  </si>
  <si>
    <t>¿Que tan satisfecho te encuentras con el servicio recibido</t>
  </si>
  <si>
    <t>¿Queremos conocer por que te encuentras insatisfecho</t>
  </si>
  <si>
    <t>¿Que tan satisfecho te encuentras con los procedimientos y tiempos de respuesta para aplicacion de descuentos</t>
  </si>
  <si>
    <t>¿Que tan satisfecho te encuentras con los canales dispuestos para el pago de matricula y otros servicios financieros</t>
  </si>
  <si>
    <t>En general ¿Que tan satisfecho te encuentras con la atencion y servicios recibidos de manera presencial y por sala teams que brinda el equipo del area de Recursos Financieros</t>
  </si>
  <si>
    <t>¿Que tan satisfecho te encuentras con la atencion telefonica cuando llamas al PBX de la Universidad Ean</t>
  </si>
  <si>
    <t>TikTok</t>
  </si>
  <si>
    <t>¿Utilizas la App de la Universidad Ean</t>
  </si>
  <si>
    <t>¿Has interactuado con el Chat Bot E Ann ubicado en la pagina web de la Universidad Ean</t>
  </si>
  <si>
    <t>¿Que tan satisfecho te encuentras con la informacion que encuentras en el Chat Bot E Ann</t>
  </si>
  <si>
    <t>¿Que tan satisfecho te encuentras con la informacion que recibes a traves del Correo Electronico de la Universidad Ean</t>
  </si>
  <si>
    <t>¿Con que frecuencia te gustaria recibir correos electronicos de la Universidad Ean</t>
  </si>
  <si>
    <t>¿Cual de los siguientes canales consideras que es el mas efectivo para resolver tus inquietudes o requerimientos</t>
  </si>
  <si>
    <t>Ventilacion</t>
  </si>
  <si>
    <t>Tecnologia</t>
  </si>
  <si>
    <t>Equipos audiovisuales</t>
  </si>
  <si>
    <t>¿Que tan satisfecho te encuentras con los espacios dispuestos para la zona de alimentacion en la Universidad</t>
  </si>
  <si>
    <t>¿Que tan satisfecho te encuentras con los productos ofrecidos en la cafeteria Delicaffe Ubicada en piso 1 Ean legacy</t>
  </si>
  <si>
    <t>¿Que tan satisfecho te encuentras con el menu ofrecido por la cafeteria Delicaffe Ubicada en piso 1 Ean legacy</t>
  </si>
  <si>
    <t>¿Que tan satisfecho te encuentras con los productos ofrecidos en Frutiice Ubicado en piso 4 Legacy y piso 4 Fundadores</t>
  </si>
  <si>
    <t>Personal de Seguridad</t>
  </si>
  <si>
    <t>Personal de aseo</t>
  </si>
  <si>
    <t>Servicio de Parqueadero “City Parking”</t>
  </si>
  <si>
    <t>Frutiice</t>
  </si>
  <si>
    <t>Delicaffe</t>
  </si>
  <si>
    <t>Servicio Auros Centro de copiado</t>
  </si>
  <si>
    <t>Cafeteria Delicaffe</t>
  </si>
  <si>
    <t>Centro de copiado</t>
  </si>
  <si>
    <t>Parqueadero</t>
  </si>
  <si>
    <t>Clases Deportivas Futbol baloncesto natacion etc</t>
  </si>
  <si>
    <t>Clases de habilidades humanas inteligencia emocional mindfulness etc</t>
  </si>
  <si>
    <t>Servicio de salud Consulta medicina general enfermeria planificacion familiar etc</t>
  </si>
  <si>
    <t>Atencion Psicologica</t>
  </si>
  <si>
    <t>Eventos Jornadas de Bienvenida Semana de la Salud Semana de la Cultura y Semana Fitness Ean</t>
  </si>
  <si>
    <t>Poliza de accidentes personales</t>
  </si>
  <si>
    <t>Utilizacion de Salon de juegos: prestamo de implementos deportivos mesa de tenis de mesa</t>
  </si>
  <si>
    <t>Programa Pedaleando Alquiler de Bicicletas</t>
  </si>
  <si>
    <t>Todos</t>
  </si>
  <si>
    <t>¿Que tan completo consideras el portafolio de programas y servicios que brinda Bienestar Universitario</t>
  </si>
  <si>
    <t>En general ¿Que tan satisfecho te encuentras con la atencion y el servicio ofrecido por Bienestar Universitario</t>
  </si>
  <si>
    <t>¿Conoces o has sido usuario de alguno de los apoyos o servicios de permanencia estudiantil</t>
  </si>
  <si>
    <t>Acompanamiento en el proceso de renovacion de matricula</t>
  </si>
  <si>
    <t>Mentores Academicos</t>
  </si>
  <si>
    <t>Orientacion Psicopedagogica</t>
  </si>
  <si>
    <t>Contacto para conocer el desarrollo de tu proceso academico</t>
  </si>
  <si>
    <t>¿Conoces o has usado la bolsa de empleo o el programa de formacion para la empleabilidad que tiene la Universidad Ean para estudiantes y graduados</t>
  </si>
  <si>
    <t>No has necesitado estos servicios</t>
  </si>
  <si>
    <t>Buscas oportunidades laborales en otras bolsas de empleo</t>
  </si>
  <si>
    <t>¿Conoces los servicios ofrecidos desde la Defensoria Universitaria</t>
  </si>
  <si>
    <t>En general ¿Que tan satisfecho te encuentras con la atencion y el servicio ofrecido por la Oficina de Servicios al Estudiante de manera presencial y a traves de la sala teams</t>
  </si>
  <si>
    <t>¿Que tan satisfecho te encuentras con el horario ofrecido por la Universidad para atencion de estudiantes de lunes a viernes de 07:00 am a 07:00 pm y sabado de 08:00 am a 01:00 pm</t>
  </si>
  <si>
    <t>¿Que tan satisfecho te encuentras con el servicio que te brindamos al ingreso y recepcion de la Universidad</t>
  </si>
  <si>
    <t>¿Quieres destacar algo positivo de la Universidad Ean ¿Crees que podemos mejorar en algo mas</t>
  </si>
  <si>
    <t>En una escala de 0 a 10 ¿Que tan probable es que recomiendes los servicios y la atencion que te brindamos en la Universidad Ean</t>
  </si>
  <si>
    <t>Area_PPT_2022</t>
  </si>
  <si>
    <t>E01</t>
  </si>
  <si>
    <t>E08</t>
  </si>
  <si>
    <t>Mediaciones didácticas</t>
  </si>
  <si>
    <t>E02</t>
  </si>
  <si>
    <t>E09</t>
  </si>
  <si>
    <t>E10</t>
  </si>
  <si>
    <t>E03</t>
  </si>
  <si>
    <t>Laboratorios</t>
  </si>
  <si>
    <t>E04</t>
  </si>
  <si>
    <t>E05</t>
  </si>
  <si>
    <t>E06</t>
  </si>
  <si>
    <t>E07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</si>
  <si>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</si>
  <si>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</si>
  <si>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</si>
  <si>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</si>
  <si>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</si>
  <si>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</si>
  <si>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</si>
  <si>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</si>
  <si>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</si>
  <si>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</si>
  <si>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</si>
  <si>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Horarios de atención</t>
  </si>
  <si>
    <t>E22</t>
  </si>
  <si>
    <t>Decano</t>
  </si>
  <si>
    <t>LAB</t>
  </si>
  <si>
    <t>EANIMP</t>
  </si>
  <si>
    <t>HORA</t>
  </si>
  <si>
    <t>COMENT1</t>
  </si>
  <si>
    <t>EANIMP1</t>
  </si>
  <si>
    <t>EANIMP2</t>
  </si>
  <si>
    <t>EANIMP3</t>
  </si>
  <si>
    <t>EANIMP4</t>
  </si>
  <si>
    <t>EANIMP5</t>
  </si>
  <si>
    <t>EANIMP6</t>
  </si>
  <si>
    <t>EANIMP7</t>
  </si>
  <si>
    <t>EANIMP8</t>
  </si>
  <si>
    <t>EANIMP9</t>
  </si>
  <si>
    <t>EANIMP10</t>
  </si>
  <si>
    <t>HORA1</t>
  </si>
  <si>
    <t>LAB1</t>
  </si>
  <si>
    <t>LAB2</t>
  </si>
  <si>
    <t>LAB3</t>
  </si>
  <si>
    <t>LAB4</t>
  </si>
  <si>
    <t>LAB5</t>
  </si>
  <si>
    <t>TIC10</t>
  </si>
  <si>
    <t>TIC11</t>
  </si>
  <si>
    <t>Pregunta Completa</t>
  </si>
  <si>
    <t xml:space="preserve">Codigo </t>
  </si>
  <si>
    <t>Pertinencia de los conocimientos adquiridos en las clases</t>
  </si>
  <si>
    <t>Contribución del programa en tu proceso formativo</t>
  </si>
  <si>
    <t>Conforme al avance de tu programa académico:</t>
  </si>
  <si>
    <t>Cumplimiento del syllabus y plan de estudios del programa</t>
  </si>
  <si>
    <t>Calidad humana</t>
  </si>
  <si>
    <t>Compromiso</t>
  </si>
  <si>
    <t>Manejo tecnológico</t>
  </si>
  <si>
    <t>Director(a) de Programa o Coordinador</t>
  </si>
  <si>
    <t>Sala Teams</t>
  </si>
  <si>
    <t>Atención presencial</t>
  </si>
  <si>
    <t>En general, ¿qué tan satisfecho(a) te encuentras con la atención y el servicio brindado por parte de las *asistentes de tu facultad*?</t>
  </si>
  <si>
    <t>Atención por correo electrónico</t>
  </si>
  <si>
    <t>¿Qué tan probable es que recomiendes tu *programa académico* con familiares y amigos?</t>
  </si>
  <si>
    <t>¿Qué tan probable es que en el futuro, vuelvas a estudiar un programa académico en la Universidad Ean?</t>
  </si>
  <si>
    <t>¿Conoces los servicios y beneficios que dispone *Ean Impacta* para todos sus estudiantes?</t>
  </si>
  <si>
    <t>¿Qué tanto te ha influenciado la filosofía del emprendimiento sostenible de la Universidad Ean?</t>
  </si>
  <si>
    <t>Calidad académica</t>
  </si>
  <si>
    <t>Calidad docente</t>
  </si>
  <si>
    <t>Diversidad e inclusión</t>
  </si>
  <si>
    <t>Innovación en la formación</t>
  </si>
  <si>
    <t>Investigación</t>
  </si>
  <si>
    <t>¿Qué tan satisfecho(a) te encuentras con la atención y el servicio recibido por parte del equipo de *Ean Impacta*?</t>
  </si>
  <si>
    <t>¿Conoces los aportes y avances de la Universidad Ean en términos de sostenibilidad (dentro y fuera de la institución)?</t>
  </si>
  <si>
    <t>¿En qué tipo de acciones te gustaría participar junto a Ean Sostenibilidad?</t>
  </si>
  <si>
    <t>Asesoría en referencias, normas APA y trabajos de grado</t>
  </si>
  <si>
    <t>¿Qué tan completas consideras las colecciones físicas y electrónicas en la *Biblioteca* de la Universidad Ean?</t>
  </si>
  <si>
    <t>¿Qué tan fácil ha sido el acceso a las colecciones electrónicas en la *biblioteca* de la Universidad Ean?</t>
  </si>
  <si>
    <t>Whatsapp</t>
  </si>
  <si>
    <t>En general, ¿qué tan satisfecho(a) te encuentras con los espacios físicos ofrecidos por la *Biblioteca*?</t>
  </si>
  <si>
    <t>Intercambios académicos presenciales</t>
  </si>
  <si>
    <t>Intercambio académicos virtuales</t>
  </si>
  <si>
    <t>¿Cuáles son los principales obstáculos para que puedas participar?</t>
  </si>
  <si>
    <t>Apiario Ean</t>
  </si>
  <si>
    <t>Ean Investigaciones</t>
  </si>
  <si>
    <t>Ean Siempre Contigo</t>
  </si>
  <si>
    <t>Ean Social</t>
  </si>
  <si>
    <t>Fondo Diversidades</t>
  </si>
  <si>
    <t>Ningunas de las anteriores</t>
  </si>
  <si>
    <t>¿Conoces los servicios de la oficina de *Prácticas Profesionales*?</t>
  </si>
  <si>
    <t>Déjanos saber qué te gustaría que mejorara en el área de *Prácticas Profesionales*.</t>
  </si>
  <si>
    <t>Plataforma de correo electrónico</t>
  </si>
  <si>
    <t>Aplicaciones de Office</t>
  </si>
  <si>
    <t>Plataforma Teams</t>
  </si>
  <si>
    <t>Plataforma Cisco Webex</t>
  </si>
  <si>
    <t>Plataforma Canvas</t>
  </si>
  <si>
    <t>Mesa de servicios</t>
  </si>
  <si>
    <t>Plataforma de pagos</t>
  </si>
  <si>
    <t>Velocidad de conexión WiFi</t>
  </si>
  <si>
    <t>Estabilidad de conexión WiFi</t>
  </si>
  <si>
    <t>Cobertura de red WiFi</t>
  </si>
  <si>
    <t>Dispositivo de reconocimiento facial al ingreso</t>
  </si>
  <si>
    <t>Estado de los equipos de las salas de cómputo</t>
  </si>
  <si>
    <t>Disponibilidad de los equipos de las salas de cómputo</t>
  </si>
  <si>
    <t>Emisión de certificados académicos</t>
  </si>
  <si>
    <t>Retiro de unidades de estudio</t>
  </si>
  <si>
    <t>Gestión relacionada con cursos libres</t>
  </si>
  <si>
    <t>Gestión relacionada con validaciones</t>
  </si>
  <si>
    <t>Presentación Examen Saber Pro</t>
  </si>
  <si>
    <t>Actualización de datos y proceso grado</t>
  </si>
  <si>
    <t>¿Conoces los *convenios y opciones dispuestos* por la universidad para la financiación de matrícula?</t>
  </si>
  <si>
    <t>FLEVO Financiación</t>
  </si>
  <si>
    <t>¿Qué tan satisfecho te encuentras con los canales dispuestos para el pago de matrícula y otros servicios financieros?</t>
  </si>
  <si>
    <t>¿Qué tan satisfecho(a) te encuentras con la *atención telefónica* cuando llamas al *PBX* de la Universidad Ean?</t>
  </si>
  <si>
    <t>Threads</t>
  </si>
  <si>
    <t>Todas los anteriores</t>
  </si>
  <si>
    <t>¿Utilizas la *App* de la Universidad Ean?</t>
  </si>
  <si>
    <t>¿Has interactuado con el *Chat Bot E- Ann* en la página web de la Universidad Ean?</t>
  </si>
  <si>
    <t>¿Qué tan satisfecho(a) te encuentras con la información que encuentras en el *Chat Bot E- Ann*?</t>
  </si>
  <si>
    <t>¿Qué tan satisfecho(a) te encuentras con la información que recibes a través del correo electrónico de la Universidad Ean?</t>
  </si>
  <si>
    <t>¿Cuáles de los siguientes canales consideras que es el más efectivo para resolver tus inquietudes o requerimientos?
Ordénalos según tu preferencia.</t>
  </si>
  <si>
    <t>¿Qué tan satisfecho(a) te encuentras con los espacios dispuestos para la zona de alimentación en la Universidad?</t>
  </si>
  <si>
    <t>Cafetería DoEat (ubicada en piso 6 - Ean Legacy)</t>
  </si>
  <si>
    <t>Frutiice (ubicada en 4 piso de Legacy y Fundadores)</t>
  </si>
  <si>
    <t>La regional (ubicada en piso 1 - Ean Legacy)</t>
  </si>
  <si>
    <t>DoEat</t>
  </si>
  <si>
    <t>La Regional</t>
  </si>
  <si>
    <t>Parqueadero “City Parking”</t>
  </si>
  <si>
    <t>App Bienestar Ean</t>
  </si>
  <si>
    <t>Gimnasio fitness (planes de entrenamiento, nutrición y medicina deportiva).</t>
  </si>
  <si>
    <t>Clases y grupos culturales (teatro, danzas, instrumentos, canto, grupos musicales).</t>
  </si>
  <si>
    <t>Clases y grupos deportivos (futbol, voley, baloncesto)</t>
  </si>
  <si>
    <t>Orquesta filarmónica</t>
  </si>
  <si>
    <t>Actividad física (GAP, Zumba, Grit)</t>
  </si>
  <si>
    <t>Clases y talleres de habilidades humanas (inteligencia emocional, mindfulness, fotografía).</t>
  </si>
  <si>
    <t>Servicio de salud (Consulta medicina general, enfermería, planificación familiar).</t>
  </si>
  <si>
    <t>Servicio de acompañamiento psicológico.</t>
  </si>
  <si>
    <t>Salón de juegos.</t>
  </si>
  <si>
    <t>Préstamo de elementos de juegos o instrumentos musicales.</t>
  </si>
  <si>
    <t>Programa pedaleando (alquiler de bicicletas)</t>
  </si>
  <si>
    <t>Voluntariado Ean</t>
  </si>
  <si>
    <t>Programa vendedor emprendedor</t>
  </si>
  <si>
    <t>Polideportivo Ean Arena</t>
  </si>
  <si>
    <t>Gimnasio fitness Ean.</t>
  </si>
  <si>
    <t>Zona de tenis de mesa piso 4 Legacy</t>
  </si>
  <si>
    <t>Ball pit Piso 1 Edificio fundadores</t>
  </si>
  <si>
    <t>Sala Neutro Piso 1 Legacy</t>
  </si>
  <si>
    <t>Salones de Expresiones piso 4 Legacy</t>
  </si>
  <si>
    <t>Salones de música piso 4 edificio Fundadores.</t>
  </si>
  <si>
    <t>Canchas futbol y tenis de campo en Club El Carmel</t>
  </si>
  <si>
    <t>Sala de lactancia</t>
  </si>
  <si>
    <t>En general, ¿qué tan satisfecho(a) te encuentras con la atención y el servicio ofrecido por el equipo de *Bienestar Universitario*?</t>
  </si>
  <si>
    <t>Programa Ean Contigo.</t>
  </si>
  <si>
    <t>Acompañamiento y asesoría para solicitar cursos de refuerzo y/o tutorías</t>
  </si>
  <si>
    <t>Apoyos académicos para tu proceso académico</t>
  </si>
  <si>
    <t>¿Has interactuado o requerido los servicios de la *Defensoría Universitaria*?</t>
  </si>
  <si>
    <t>¿Qué tan satisfecho(a) te encuentras con la atención y el servicio brindada por la *Defensoría Universitaria*?</t>
  </si>
  <si>
    <t>Orientación sobre asuntos y normativa institucional</t>
  </si>
  <si>
    <t>Mediación en asuntos académicos</t>
  </si>
  <si>
    <t>Intervención en asuntos administrativos</t>
  </si>
  <si>
    <t>Respuesta a solicitudes /peticiones</t>
  </si>
  <si>
    <t>Atención presencial en EAN A TU LADO Piso 2 Legacy</t>
  </si>
  <si>
    <t>Canal PQRS</t>
  </si>
  <si>
    <t>¿Qué tan satisfecho(a) te encuentras con el servicio y atención que te brinda el *equipo de recepción* de la universidad?</t>
  </si>
  <si>
    <t>¿Has tenido alguna experiencia utilizando nuestros servicios de eventos, producción audiovisual o productos, como transmisiones en vivo, fotografías, videos para redes sociales o productos de la tienda de la Universidad Ean?</t>
  </si>
  <si>
    <t>En tu opinión, ¿qué mejoras crees que podríamos hacer para que nuestros servicios de producción audiovisual sean aún más beneficiosos para la comunidad universitaria? ¿Hay algún tipo de contenido o producto específico que te gustaría ver en el futuro?</t>
  </si>
  <si>
    <t>¿Conoces los servicios que presta el *FabLab*?</t>
  </si>
  <si>
    <t>Bolsa de empleo Universia</t>
  </si>
  <si>
    <t>Entrenamientos de desarrollo de habilidades para la vida profesional</t>
  </si>
  <si>
    <t>Ferias de oportunidades laborales</t>
  </si>
  <si>
    <t>¿Qué tan satisfecho(a) te sientes con el carácter incluyente y diverso de la Universidad Ean?</t>
  </si>
  <si>
    <t>¿Quieres destacar algo positivo de la Universidad Ean? 
¿Tienes alguna sugerencia en la que podríamos mejorar?</t>
  </si>
  <si>
    <t>orden</t>
  </si>
  <si>
    <t>pregunta</t>
  </si>
  <si>
    <t>area_analisis</t>
  </si>
  <si>
    <t>codigo_area</t>
  </si>
  <si>
    <t>ACA</t>
  </si>
  <si>
    <t>IMP</t>
  </si>
  <si>
    <t>SOS</t>
  </si>
  <si>
    <t>BIB</t>
  </si>
  <si>
    <t>PRA</t>
  </si>
  <si>
    <t>PLA</t>
  </si>
  <si>
    <t>REG</t>
  </si>
  <si>
    <t>FIN</t>
  </si>
  <si>
    <t>COM</t>
  </si>
  <si>
    <t>"¿Cuáles de los siguientes canales consideras que es el más efectivo para resolver tus inquietudes o requerimientos? Ordénalos según tu preferencia."</t>
  </si>
  <si>
    <t>PLF</t>
  </si>
  <si>
    <t>EXP</t>
  </si>
  <si>
    <t>EVC</t>
  </si>
  <si>
    <t>FAB</t>
  </si>
  <si>
    <t>EMP</t>
  </si>
  <si>
    <t>"¿Quieres destacar algo positivo de la Universidad Ean? ¿Tienes alguna sugerencia en la que podríamos mejorar?"</t>
  </si>
  <si>
    <t>Sala Teams unidad academica</t>
  </si>
  <si>
    <t>Atención presencial unidad academica</t>
  </si>
  <si>
    <t>EANSOST1</t>
  </si>
  <si>
    <t>PLAT_SOP1</t>
  </si>
  <si>
    <t>EVEC1</t>
  </si>
  <si>
    <t>FABLA1</t>
  </si>
  <si>
    <t>EMPLEA1</t>
  </si>
  <si>
    <t>INSTI</t>
  </si>
  <si>
    <t>ACA1</t>
  </si>
  <si>
    <t>ACA2</t>
  </si>
  <si>
    <t>ACA3</t>
  </si>
  <si>
    <t>ACA4</t>
  </si>
  <si>
    <t>ACA5</t>
  </si>
  <si>
    <t>ACA6</t>
  </si>
  <si>
    <t>ACA7</t>
  </si>
  <si>
    <t>ACA8</t>
  </si>
  <si>
    <t>ACA9</t>
  </si>
  <si>
    <t>ACA10</t>
  </si>
  <si>
    <t>ACA11</t>
  </si>
  <si>
    <t>ACA12</t>
  </si>
  <si>
    <t>ACA13</t>
  </si>
  <si>
    <t>ACA14</t>
  </si>
  <si>
    <t>ACA15</t>
  </si>
  <si>
    <t>ACA16</t>
  </si>
  <si>
    <t>ACA17</t>
  </si>
  <si>
    <t>ACA18</t>
  </si>
  <si>
    <t>ACA19</t>
  </si>
  <si>
    <t>ACA20</t>
  </si>
  <si>
    <t>ACA21</t>
  </si>
  <si>
    <t>ACA22</t>
  </si>
  <si>
    <t>ACA23</t>
  </si>
  <si>
    <t>ACA24</t>
  </si>
  <si>
    <t>ACA25</t>
  </si>
  <si>
    <t>ACA26</t>
  </si>
  <si>
    <t>ACA27</t>
  </si>
  <si>
    <t>ACA28</t>
  </si>
  <si>
    <t>ACA29</t>
  </si>
  <si>
    <t>ACA30</t>
  </si>
  <si>
    <t>IMP1</t>
  </si>
  <si>
    <t>IMP2</t>
  </si>
  <si>
    <t>IMP3</t>
  </si>
  <si>
    <t>IMP4</t>
  </si>
  <si>
    <t>IMP5</t>
  </si>
  <si>
    <t>IMP6</t>
  </si>
  <si>
    <t>IMP7</t>
  </si>
  <si>
    <t>IMP8</t>
  </si>
  <si>
    <t>IMP9</t>
  </si>
  <si>
    <t>IMP10</t>
  </si>
  <si>
    <t>IMP11</t>
  </si>
  <si>
    <t>IMP12</t>
  </si>
  <si>
    <t>SOS1</t>
  </si>
  <si>
    <t>SOS2</t>
  </si>
  <si>
    <t>SOS3</t>
  </si>
  <si>
    <t>BIB1</t>
  </si>
  <si>
    <t>BIB2</t>
  </si>
  <si>
    <t>BIB3</t>
  </si>
  <si>
    <t>BIB4</t>
  </si>
  <si>
    <t>BIB5</t>
  </si>
  <si>
    <t>BIB6</t>
  </si>
  <si>
    <t>BIB7</t>
  </si>
  <si>
    <t>BIB8</t>
  </si>
  <si>
    <t>BIB9</t>
  </si>
  <si>
    <t>BIB10</t>
  </si>
  <si>
    <t>BIB11</t>
  </si>
  <si>
    <t>BIB12</t>
  </si>
  <si>
    <t>BIB13</t>
  </si>
  <si>
    <t>INT18</t>
  </si>
  <si>
    <t>INT19</t>
  </si>
  <si>
    <t>INT20</t>
  </si>
  <si>
    <t>PRA1</t>
  </si>
  <si>
    <t>PRA2</t>
  </si>
  <si>
    <t>PRA3</t>
  </si>
  <si>
    <t>PRA4</t>
  </si>
  <si>
    <t>PLA1</t>
  </si>
  <si>
    <t>PLA2</t>
  </si>
  <si>
    <t>PLA3</t>
  </si>
  <si>
    <t>PLA4</t>
  </si>
  <si>
    <t>PLA5</t>
  </si>
  <si>
    <t>PLA6</t>
  </si>
  <si>
    <t>PLA7</t>
  </si>
  <si>
    <t>PLA8</t>
  </si>
  <si>
    <t>PLA9</t>
  </si>
  <si>
    <t>PLA10</t>
  </si>
  <si>
    <t>PLA11</t>
  </si>
  <si>
    <t>PLA12</t>
  </si>
  <si>
    <t>PLA13</t>
  </si>
  <si>
    <t>PLA14</t>
  </si>
  <si>
    <t>PLA15</t>
  </si>
  <si>
    <t>PLA16</t>
  </si>
  <si>
    <t>REG1</t>
  </si>
  <si>
    <t>REG2</t>
  </si>
  <si>
    <t>REG3</t>
  </si>
  <si>
    <t>REG4</t>
  </si>
  <si>
    <t>REG5</t>
  </si>
  <si>
    <t>REG6</t>
  </si>
  <si>
    <t>REG7</t>
  </si>
  <si>
    <t>REG8</t>
  </si>
  <si>
    <t>REG9</t>
  </si>
  <si>
    <t>REG10</t>
  </si>
  <si>
    <t>FIN1</t>
  </si>
  <si>
    <t>FIN2</t>
  </si>
  <si>
    <t>FIN3</t>
  </si>
  <si>
    <t>FIN4</t>
  </si>
  <si>
    <t>FIN5</t>
  </si>
  <si>
    <t>FIN6</t>
  </si>
  <si>
    <t>FIN7</t>
  </si>
  <si>
    <t>FIN8</t>
  </si>
  <si>
    <t>FIN9</t>
  </si>
  <si>
    <t>FIN10</t>
  </si>
  <si>
    <t>FIN11</t>
  </si>
  <si>
    <t>FIN12</t>
  </si>
  <si>
    <t>FIN13</t>
  </si>
  <si>
    <t>FIN14</t>
  </si>
  <si>
    <t>FIN15</t>
  </si>
  <si>
    <t>COM1</t>
  </si>
  <si>
    <t>COM2</t>
  </si>
  <si>
    <t>COM3</t>
  </si>
  <si>
    <t>COM4</t>
  </si>
  <si>
    <t>COM5</t>
  </si>
  <si>
    <t>COM6</t>
  </si>
  <si>
    <t>COM7</t>
  </si>
  <si>
    <t>COM8</t>
  </si>
  <si>
    <t>COM9</t>
  </si>
  <si>
    <t>COM10</t>
  </si>
  <si>
    <t>COM11</t>
  </si>
  <si>
    <t>COM12</t>
  </si>
  <si>
    <t>COM13</t>
  </si>
  <si>
    <t>COM14</t>
  </si>
  <si>
    <t>COM15</t>
  </si>
  <si>
    <t>PLF1</t>
  </si>
  <si>
    <t>PLF2</t>
  </si>
  <si>
    <t>PLF3</t>
  </si>
  <si>
    <t>PLF4</t>
  </si>
  <si>
    <t>PLF5</t>
  </si>
  <si>
    <t>PLF6</t>
  </si>
  <si>
    <t>PLF7</t>
  </si>
  <si>
    <t>PLF8</t>
  </si>
  <si>
    <t>PLF9</t>
  </si>
  <si>
    <t>PLF10</t>
  </si>
  <si>
    <t>PLF11</t>
  </si>
  <si>
    <t>PLF12</t>
  </si>
  <si>
    <t>PLF13</t>
  </si>
  <si>
    <t>PLF14</t>
  </si>
  <si>
    <t>PLF15</t>
  </si>
  <si>
    <t>PLF16</t>
  </si>
  <si>
    <t>PLF17</t>
  </si>
  <si>
    <t>PLF18</t>
  </si>
  <si>
    <t>PLF19</t>
  </si>
  <si>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</si>
  <si>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</si>
  <si>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</si>
  <si>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</si>
  <si>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</si>
  <si>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</si>
  <si>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</si>
  <si>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</si>
  <si>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</si>
  <si>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</si>
  <si>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EXP11</t>
  </si>
  <si>
    <t>EXP12</t>
  </si>
  <si>
    <t>EXP13</t>
  </si>
  <si>
    <t>EXP14</t>
  </si>
  <si>
    <t>EXP15</t>
  </si>
  <si>
    <t>EXP16</t>
  </si>
  <si>
    <t>EXP17</t>
  </si>
  <si>
    <t>EXP18</t>
  </si>
  <si>
    <t>EXP19</t>
  </si>
  <si>
    <t>EXP20</t>
  </si>
  <si>
    <t>EXP21</t>
  </si>
  <si>
    <t>EXP22</t>
  </si>
  <si>
    <t>EXP23</t>
  </si>
  <si>
    <t>EXP24</t>
  </si>
  <si>
    <t>EXP25</t>
  </si>
  <si>
    <t>EXP26</t>
  </si>
  <si>
    <t>EXP27</t>
  </si>
  <si>
    <t>EXP28</t>
  </si>
  <si>
    <t>EXP29</t>
  </si>
  <si>
    <t>EXP30</t>
  </si>
  <si>
    <t>EXP31</t>
  </si>
  <si>
    <t>EXP32</t>
  </si>
  <si>
    <t>EXP33</t>
  </si>
  <si>
    <t>EXP34</t>
  </si>
  <si>
    <t>EXP35</t>
  </si>
  <si>
    <t>EXP36</t>
  </si>
  <si>
    <t>EXP37</t>
  </si>
  <si>
    <t>EXP38</t>
  </si>
  <si>
    <t>EXP39</t>
  </si>
  <si>
    <t>EXP40</t>
  </si>
  <si>
    <t>EXP41</t>
  </si>
  <si>
    <t>EXP42</t>
  </si>
  <si>
    <t>EXP43</t>
  </si>
  <si>
    <t>EXP44</t>
  </si>
  <si>
    <t>EXP45</t>
  </si>
  <si>
    <t>EXP46</t>
  </si>
  <si>
    <t>EVC1</t>
  </si>
  <si>
    <t>EVC2</t>
  </si>
  <si>
    <t>EVC3</t>
  </si>
  <si>
    <t>EVC4</t>
  </si>
  <si>
    <t>EVC5</t>
  </si>
  <si>
    <t>EVC6</t>
  </si>
  <si>
    <t>FAB1</t>
  </si>
  <si>
    <t>EMP1</t>
  </si>
  <si>
    <t>EMP2</t>
  </si>
  <si>
    <t>EMP3</t>
  </si>
  <si>
    <t>EMP4</t>
  </si>
  <si>
    <t>EMP5</t>
  </si>
  <si>
    <t>INSTI1</t>
  </si>
  <si>
    <t>INSTI2</t>
  </si>
  <si>
    <t>INSTI3</t>
  </si>
  <si>
    <t>_Plan de estudios de tu programa_</t>
  </si>
  <si>
    <t>_Pertinencia de los conocimientos adquiridos en las clases_</t>
  </si>
  <si>
    <t>_Contribución del programa en tu proceso formativo_</t>
  </si>
  <si>
    <t>_Conocimiento disciplinar_</t>
  </si>
  <si>
    <t>_Competencias para la enseñanza y la formación_</t>
  </si>
  <si>
    <t>_Cumplimiento del syllabus y plan de estudios del programa_</t>
  </si>
  <si>
    <t>_Evaluación y acompañamiento del proceso de aprendizaje_</t>
  </si>
  <si>
    <t>_Entrega de calificaciones y retroalimentación_</t>
  </si>
  <si>
    <t>_Calidad humana_</t>
  </si>
  <si>
    <t>_Compromiso_</t>
  </si>
  <si>
    <t>_Manejo tecnológico_</t>
  </si>
  <si>
    <t>Meli Turno (Virtual)</t>
  </si>
  <si>
    <t>Atención Ean a tu lado (Presencial).</t>
  </si>
  <si>
    <t>Mesa de Servicio</t>
  </si>
  <si>
    <t>En general, ¿qué tan satisfecho/satisfecha estás con la asignación y entrega de material de estudio a través de *Materiales VAC *por parte de Unidad Académica Administrativa? 
(Pearson - Inglés/Ciencias Básicas, BBP – Contaduría, Cognos - Portugués Libro, Rosetta-Portugués vrt, Al Dente – Italiano, Cosmopolite – Francés, DaF im Unternehmen - Alemán)</t>
  </si>
  <si>
    <t>Atención presencial (Tercer Piso Legacy)</t>
  </si>
  <si>
    <t>Atención presencial (Tercer Piso Legacy).</t>
  </si>
  <si>
    <t>_Disponibilidad y funcionamiento de los equipos _</t>
  </si>
  <si>
    <t>_Disponibilidad de materiales y/o reactivos_</t>
  </si>
  <si>
    <t>_Instalaciones_</t>
  </si>
  <si>
    <t>_Higiene y limpieza las Instalaciones y Equipos_</t>
  </si>
  <si>
    <t>¿Qué tanto te ha influenciado la filosofía del *emprendimiento sostenible* de la Universidad Ean?</t>
  </si>
  <si>
    <t>¿Qué tan satisfecho/satisfecha te encuentras con la atención y el servicio recibidos por parte del equipo de *Ean Impacta*?</t>
  </si>
  <si>
    <t>Atención presencial (Biblioteca)</t>
  </si>
  <si>
    <t>En general, ¿qué tan satisfecho/satisfecha te encuentras con los espacios físicos ofrecidos por la *Biblioteca*?</t>
  </si>
  <si>
    <t>Escuela Internacional de verano/invierno</t>
  </si>
  <si>
    <t>Fondo Nutramos Talentos</t>
  </si>
  <si>
    <t>Fondo de Becas y Auxilios Educativos Ean Siempre Contigo</t>
  </si>
  <si>
    <t>Fondo de Diversidades Emprendimientos Diversos</t>
  </si>
  <si>
    <t>Fondo de Sostenibilidad</t>
  </si>
  <si>
    <t>Atención presencial (Primer Piso Legacy)</t>
  </si>
  <si>
    <t>Meli Turno (Virtual).</t>
  </si>
  <si>
    <t>¿Consideras que existe alguna oportunidad de mejora en el área de *Prácticas Profesionales *(instalaciones, proceso, atención)?</t>
  </si>
  <si>
    <t>Si has calificado alguno de los anteriores servicios tecnológicos de la* Universidad Ean* con un 1 o 2, ¿podrías, por favor, detallarnos las razones detrás de tu calificación y qué aspectos consideras que necesitan mejora?</t>
  </si>
  <si>
    <t>Atención Ean a tu lado (Presencial)</t>
  </si>
  <si>
    <t>Proceso grado</t>
  </si>
  <si>
    <t>Actualización de documentos</t>
  </si>
  <si>
    <t>En general, ¿qué tan satisfecho/satisfecha estás con la atención recibida a través de *Meli Turno* en la Universidad Ean?</t>
  </si>
  <si>
    <t>En general, ¿qué tan satisfecho/satisfecha estás con la atención presencial recibida en *Ean a tu lado *en la Universidad Ean?</t>
  </si>
  <si>
    <t>3.	En general, ¿qué tan satisfecho/satisfecha estás con la atención recibida en *Mesa de Atención* en la Universidad Ean?</t>
  </si>
  <si>
    <t>¿Qué tan útil consideras el canal de *PQRSF*?</t>
  </si>
  <si>
    <t>¿Has utilizado el servicio de atención telefónica del *PBX* de la Universidad Ean?</t>
  </si>
  <si>
    <t>En una escala del 0 al 10, ¿qué tan probable es que recomiendes la atención telefónica del PBX de la *Universidad Ean?*</t>
  </si>
  <si>
    <t>¿Utilizas la *App Bienestar Ean?*</t>
  </si>
  <si>
    <t>¿Qué tan satisfecho/satisfecha te encuentras con la información que encuentras en el *Chat Bot E- Ann*?</t>
  </si>
  <si>
    <t>¿Qué tan satisfecho/satisfecha te encuentras con la información que recibes a través del *correo electrónico* de la Universidad Ean?</t>
  </si>
  <si>
    <t>¿Con qué _*frecuencia*_ te gustaría recibir correos electrónicos de la Universidad Ean?</t>
  </si>
  <si>
    <t>¿Cuáles de los siguientes *canales *consideras que es el más efectivo para resolver tus inquietudes o requerimientos?
Ordénalos según tu preferencia.</t>
  </si>
  <si>
    <t>¿Qué tan satisfecho/satisfecha te encuentras con los espacios dispuestos para la *zona de alimentación* en la universidad?</t>
  </si>
  <si>
    <t>Frutiice (ubicada en 4. Satisfecho piso de Legacy y Fundadores)</t>
  </si>
  <si>
    <t>La regional (ubicada en piso 1. Muy insatisfecho  - Ean Legacy)</t>
  </si>
  <si>
    <t>Gimnasio fitness (planes de entrenamiento y medicina deportiva).</t>
  </si>
  <si>
    <t>Servicio de salud (Consulta medicina general, enfermería, orientación y educación sexual )</t>
  </si>
  <si>
    <t>Eventos y actividades de promoción y prevención en salud mental y física</t>
  </si>
  <si>
    <t>Actividades de cuidado de la salud y el bienestar integral</t>
  </si>
  <si>
    <t>Canchas fútbol y tenis de campo en Club El Carmel</t>
  </si>
  <si>
    <t>¿Has participado en programas, servicios o actividades de *Bienestar* en modalidad virtual?</t>
  </si>
  <si>
    <t>En general, ¿qué tan satisfecho/satisfecha te encuentras con la atención y el servicio que brinda el equipo de personas de *Bienestar Universitario?*</t>
  </si>
  <si>
    <t>Apoyo psicopedagógico</t>
  </si>
  <si>
    <t>Llamadas o mensajes para saber si hay alguna dificultad y si todo marcha bien en el proceso formativo</t>
  </si>
  <si>
    <t>Cursos de refuerzo y/o tutorías</t>
  </si>
  <si>
    <t>Bolsa de empleo Universidad</t>
  </si>
  <si>
    <t>¿Tienes hijos? Por favor selecciona una de las siguientes opciones:</t>
  </si>
  <si>
    <t>¿Quieres destacar algo positivo de la *Universidad Ean*?</t>
  </si>
  <si>
    <t xml:space="preserve">¿Qué tan cumplida ha sido la Universidad Ean respecto a la promesa de valor académica ofrecida por el programa que cursas actualmente? </t>
  </si>
  <si>
    <t xml:space="preserve">En general, ¿qué tan satisfecho/satisfecha te encuentras con la atención y el servicio brindado por parte de las *asistentes de tu facultad*? </t>
  </si>
  <si>
    <t xml:space="preserve">¿Qué tan probable es que, en el futuro, vuelvas a estudiar un programa académico en la Universidad Ean? </t>
  </si>
  <si>
    <t>¿Conoces los servicios y beneficios de que dispone *Ean Impacta* para todos sus estudiantes?</t>
  </si>
  <si>
    <t>Enfoque en el emprendimiento</t>
  </si>
  <si>
    <t>Fuerte conexión con el sector empresarial</t>
  </si>
  <si>
    <t>Programas académicos con alta demanda laboral</t>
  </si>
  <si>
    <t>Comunidad estudiantil diversa e inclusiva</t>
  </si>
  <si>
    <t>Compromiso con la sostenibilidad</t>
  </si>
  <si>
    <t>Infraestructura y espacios de bienestar de la Universidad</t>
  </si>
  <si>
    <t>Cuerpo docente con amplia experiencia profesional</t>
  </si>
  <si>
    <t>Oportunidades de movilidad internacional</t>
  </si>
  <si>
    <t>Red de Graduados y conexiones profesionales</t>
  </si>
  <si>
    <t xml:space="preserve">¿Qué crees que haría falta para que la *Universidad Ean* sea única y diferente en el panorama educativo actual? </t>
  </si>
  <si>
    <t>¿En qué tipo de acciones te gustaría participar junto a *Ean Sostenibilidad*?</t>
  </si>
  <si>
    <t xml:space="preserve">En una oración describe cuál es la *visión de sostenibilidad* para la Universidad Ean. </t>
  </si>
  <si>
    <t>¿Cuáles son los principales obstáculos para que no puedas participar?</t>
  </si>
  <si>
    <t>¿Conoces la oferta de convenios con universidades aliadas para hacer *intercambios académicos*?</t>
  </si>
  <si>
    <t>¿Qué tan satisfecho/satisfecha te encuentras con los procedimientos y tiempos de respuesta para la aplicación de descuentos?</t>
  </si>
  <si>
    <t xml:space="preserve">¿Qué tan satisfecho/satisfecha te encuentras con los canales dispuestos para el pago de matrícula y otros servicios financieros? </t>
  </si>
  <si>
    <t xml:space="preserve">Queremos leer tus ideas, sugerencias y comentarios de los anteriores canales de atención *Meli turno, Mesa de servicio, Ean a tu lado y canal de PQRSF </t>
  </si>
  <si>
    <t>En tu opinión, ¿qué aspectos crees que podríamos mejorar en la ejecución de nuestros eventos en la *Universidad Ean*?</t>
  </si>
  <si>
    <t>Si la respuesta anterior es que tienes hijos de 5 años o menos, ¿usarías un futuro servicio de cuidado infantil mientras vas a clase en la Ean?</t>
  </si>
  <si>
    <t xml:space="preserve">Entendiendo la *inclusión *como un principio que permite comprender a la comunidad estudiantil, reconocer derechos, promover el respeto por la diferencia y valorar a la persona en su individualidad, ¿qué tan satisfecho o satisfecha te sientes con el carácter inclusivo que promueve la institución dentro del ambiente universitario? </t>
  </si>
  <si>
    <t>¿Qué tan satisfecho/satisfecha te encuentras con el servicio y atención que te brinda el *equipo de recepción* de la universidad?</t>
  </si>
  <si>
    <t>¿Tienes alguna sugerencia en la que podríamos mejorar?</t>
  </si>
  <si>
    <t>En una escala de 0 a 10, ¿qué tan probable es que recomiendes los servicios y la atención que te brindamos en la *Universidad Ean*?</t>
  </si>
  <si>
    <t>Sigla</t>
  </si>
  <si>
    <t>Plataforma y soporte</t>
  </si>
  <si>
    <t>Apoyo y recursos financieros</t>
  </si>
  <si>
    <t>Canales de atención</t>
  </si>
  <si>
    <t>Comunicaciones</t>
  </si>
  <si>
    <t>Eventos y proyectos culturales</t>
  </si>
  <si>
    <t>Centro de Contacto</t>
  </si>
  <si>
    <t>AREAS AÑOS ANTERIORES</t>
  </si>
  <si>
    <t>AREAS 2024</t>
  </si>
  <si>
    <t xml:space="preserve">SIGLA </t>
  </si>
  <si>
    <t>Area_PPT_2024</t>
  </si>
  <si>
    <t>Pregunta larga</t>
  </si>
  <si>
    <t>item</t>
  </si>
  <si>
    <t>area</t>
  </si>
  <si>
    <t>sigla</t>
  </si>
  <si>
    <t>Satisfacción entrega material VAC</t>
  </si>
  <si>
    <t>Satisfacción asistentes facultad</t>
  </si>
  <si>
    <t>Higiene y limpieza instalaciones y equipos</t>
  </si>
  <si>
    <t>Probabilidad recomendar programa académico</t>
  </si>
  <si>
    <t>Probabilidad volver a estudiar en EAN</t>
  </si>
  <si>
    <t>Conocimiento servicios Ean Impacta</t>
  </si>
  <si>
    <t>Influencia emprendimiento sostenible</t>
  </si>
  <si>
    <t>Fuerte conexión con sector empresarial</t>
  </si>
  <si>
    <t>Infraestructura y espacios de bienestar</t>
  </si>
  <si>
    <t>Cuerpo docente con experiencia profesional</t>
  </si>
  <si>
    <t>Oportunidades movilidad internacional</t>
  </si>
  <si>
    <t>Red de graduados y conexiones profesionales</t>
  </si>
  <si>
    <t>Qué haría falta para que EAN sea única</t>
  </si>
  <si>
    <t>Satisfacción atención Ean Impacta</t>
  </si>
  <si>
    <t>Conocimiento avances sostenibilidad</t>
  </si>
  <si>
    <t>Acciones junto a Ean Sostenibilidad</t>
  </si>
  <si>
    <t>Visión sostenibilidad EAN</t>
  </si>
  <si>
    <t>Asesoría referencias APA</t>
  </si>
  <si>
    <t>Pago de multas biblioteca</t>
  </si>
  <si>
    <t>Tutoriales biblioteca</t>
  </si>
  <si>
    <t>Completitud colecciones biblioteca</t>
  </si>
  <si>
    <t>Acceso colecciones electrónicas</t>
  </si>
  <si>
    <t>Atención presencial biblioteca</t>
  </si>
  <si>
    <t>Whatsapp biblioteca</t>
  </si>
  <si>
    <t>Satisfacción espacios físicos biblioteca</t>
  </si>
  <si>
    <t>Doble titulación</t>
  </si>
  <si>
    <t>Escuela internacional verano invierno</t>
  </si>
  <si>
    <t>Intercambios académicos virtuales</t>
  </si>
  <si>
    <t>Participación programas internacionales</t>
  </si>
  <si>
    <t>Obstáculos movilidad internacional</t>
  </si>
  <si>
    <t>Conocimiento convenios internacionales</t>
  </si>
  <si>
    <t>Relevancia movilidad internacional</t>
  </si>
  <si>
    <t>Fondo Becas Ean Siempre Contigo</t>
  </si>
  <si>
    <t>Fondo Sostenibilidad</t>
  </si>
  <si>
    <t>Ninguna financiación</t>
  </si>
  <si>
    <t>Mesa de servicio prácticas</t>
  </si>
  <si>
    <t>Atención presencial prácticas</t>
  </si>
  <si>
    <t>Correo electrónico prácticas</t>
  </si>
  <si>
    <t>Conocimiento prácticas profesionales</t>
  </si>
  <si>
    <t>Meli turno prácticas</t>
  </si>
  <si>
    <t>Mesa servicio prácticas</t>
  </si>
  <si>
    <t>Oportunidades mejora prácticas</t>
  </si>
  <si>
    <t>Plataforma correo electrónico</t>
  </si>
  <si>
    <t>Aplicaciones Office</t>
  </si>
  <si>
    <t>Mesa de servicios TI</t>
  </si>
  <si>
    <t>Plataforma pagos</t>
  </si>
  <si>
    <t>Velocidad conexión WiFi</t>
  </si>
  <si>
    <t>Estabilidad conexión WiFi</t>
  </si>
  <si>
    <t>Cobertura red WiFi</t>
  </si>
  <si>
    <t>Reconocimiento facial ingreso</t>
  </si>
  <si>
    <t>Estado equipos salas cómputo</t>
  </si>
  <si>
    <t>Disponibilidad equipos salas cómputo</t>
  </si>
  <si>
    <t>Razones baja calificación servicios tecnológicos</t>
  </si>
  <si>
    <t>Meli turno registro</t>
  </si>
  <si>
    <t>Atención Ean a tu lado registro</t>
  </si>
  <si>
    <t>Mesa servicio registro</t>
  </si>
  <si>
    <t>Emisión certificados académicos</t>
  </si>
  <si>
    <t>Retiro unidades estudio</t>
  </si>
  <si>
    <t>Gestion cursos libres</t>
  </si>
  <si>
    <t>Gestion validaciones</t>
  </si>
  <si>
    <t>Distinciones incentivos</t>
  </si>
  <si>
    <t>Examen Saber Pro</t>
  </si>
  <si>
    <t>Actualización documentos</t>
  </si>
  <si>
    <t>Atención presencial registro</t>
  </si>
  <si>
    <t>Conocimiento financiación matrícula</t>
  </si>
  <si>
    <t>Fincomercio Fincoeducar</t>
  </si>
  <si>
    <t>FLEVO financiación</t>
  </si>
  <si>
    <t>No he utilizado financiación</t>
  </si>
  <si>
    <t>Satisfacción tiempos descuentos</t>
  </si>
  <si>
    <t>Satisfacción canales pago matrícula</t>
  </si>
  <si>
    <t>Meli turno atención</t>
  </si>
  <si>
    <t>Atención presencial Ean a tu lado</t>
  </si>
  <si>
    <t>Mesa servicio atención</t>
  </si>
  <si>
    <t>Satisfacción atención Meli turno</t>
  </si>
  <si>
    <t>Satisfacción atención presencial</t>
  </si>
  <si>
    <t>Satisfacción mesa atención</t>
  </si>
  <si>
    <t>Utilidad canal PQRSF</t>
  </si>
  <si>
    <t>Comentarios canales atención</t>
  </si>
  <si>
    <t>Uso PBX universidad</t>
  </si>
  <si>
    <t>Recomendación atención PBX</t>
  </si>
  <si>
    <t>LinkedIn</t>
  </si>
  <si>
    <t>Todos los anteriores redes</t>
  </si>
  <si>
    <t>Ninguna red</t>
  </si>
  <si>
    <t>Uso App Universidad Ean</t>
  </si>
  <si>
    <t>Uso App Bienestar</t>
  </si>
  <si>
    <t>Interacción Chatbot E Ann</t>
  </si>
  <si>
    <t>Satisfacción información chatbot</t>
  </si>
  <si>
    <t>Satisfacción información correo institucional</t>
  </si>
  <si>
    <t>Frecuencia correos institucionales</t>
  </si>
  <si>
    <t>Canales preferidos atención</t>
  </si>
  <si>
    <t>Accesibilidad espacios</t>
  </si>
  <si>
    <t>Capacidad espacios</t>
  </si>
  <si>
    <t>Ventilación espacios</t>
  </si>
  <si>
    <t>Condiciones seguridad espacios</t>
  </si>
  <si>
    <t>Aseo espacios</t>
  </si>
  <si>
    <t>Disponibilidad espacios</t>
  </si>
  <si>
    <t>Equipos audiovisuales espacios</t>
  </si>
  <si>
    <t>Satisfacción zona alimentación</t>
  </si>
  <si>
    <t>Cafetería DoEat</t>
  </si>
  <si>
    <t>Seguridad campus</t>
  </si>
  <si>
    <t>Aseo campus</t>
  </si>
  <si>
    <t>Parqueadero City Parking</t>
  </si>
  <si>
    <t>Banco AV Villas campus</t>
  </si>
  <si>
    <t>Servicios impresión</t>
  </si>
  <si>
    <t>Gimnasio fitness</t>
  </si>
  <si>
    <t>Clases grupos culturales</t>
  </si>
  <si>
    <t>Clases grupos deportivos</t>
  </si>
  <si>
    <t>Clases habilidades humanas</t>
  </si>
  <si>
    <t>Servicio salud</t>
  </si>
  <si>
    <t>Acompañamiento psicológico</t>
  </si>
  <si>
    <t>Póliza accidentes personales</t>
  </si>
  <si>
    <t>Salón de juegos</t>
  </si>
  <si>
    <t>Préstamo juegos instrumentos</t>
  </si>
  <si>
    <t>Programa pedaleando bicicletas</t>
  </si>
  <si>
    <t>Eventos promoción prevención salud</t>
  </si>
  <si>
    <t>Actividades bienestar integral</t>
  </si>
  <si>
    <t>Gimnasio fitness Ean</t>
  </si>
  <si>
    <t>Zona tenis mesa</t>
  </si>
  <si>
    <t>Ball pit Fundadores</t>
  </si>
  <si>
    <t>Sala Neutro Legacy</t>
  </si>
  <si>
    <t>Salones expresiones</t>
  </si>
  <si>
    <t>Salones música Fundadores</t>
  </si>
  <si>
    <t>Canchas club Carmel</t>
  </si>
  <si>
    <t>Sala lactancia</t>
  </si>
  <si>
    <t>Participación bienestar virtual</t>
  </si>
  <si>
    <t>Satisfacción bienestar universitario</t>
  </si>
  <si>
    <t>Acompañamiento renovación matrícula</t>
  </si>
  <si>
    <t>Mentores académicos</t>
  </si>
  <si>
    <t>Seguimiento proceso académico</t>
  </si>
  <si>
    <t>Cursos refuerzo tutorías</t>
  </si>
  <si>
    <t>Uso Defensoría universitaria</t>
  </si>
  <si>
    <t>Orientación normativa institucional</t>
  </si>
  <si>
    <t>Mediación asuntos académicos</t>
  </si>
  <si>
    <t>Intervención asuntos administrativos</t>
  </si>
  <si>
    <t>Respuesta solicitudes defensoría</t>
  </si>
  <si>
    <t>Mejoras eventos universidad</t>
  </si>
  <si>
    <t>Conocimiento FabLab</t>
  </si>
  <si>
    <t>Bolsa empleo universidad</t>
  </si>
  <si>
    <t>Entrenamientos habilidades profesionales</t>
  </si>
  <si>
    <t>Ferias oportunidades laborales</t>
  </si>
  <si>
    <t>¿Tienes hijos?</t>
  </si>
  <si>
    <t>Servicio cuidado infantil</t>
  </si>
  <si>
    <t>Satisfacción inclusión universidad</t>
  </si>
  <si>
    <t>Satisfacción atención recepción</t>
  </si>
  <si>
    <t>Aspecto positivo universidad</t>
  </si>
  <si>
    <t>Sugerencias mejora universidad</t>
  </si>
  <si>
    <t>Recomendación servicios universidad</t>
  </si>
  <si>
    <t>FAB2</t>
  </si>
  <si>
    <t>SOS4</t>
  </si>
  <si>
    <t>SOS5</t>
  </si>
  <si>
    <t>BIB14</t>
  </si>
  <si>
    <t>PRA5</t>
  </si>
  <si>
    <t>PRA6</t>
  </si>
  <si>
    <t>PRA7</t>
  </si>
  <si>
    <t>PRA8</t>
  </si>
  <si>
    <t>REG11</t>
  </si>
  <si>
    <t>REG12</t>
  </si>
  <si>
    <t>REG13</t>
  </si>
  <si>
    <t>REG14</t>
  </si>
  <si>
    <t>REG15</t>
  </si>
  <si>
    <t>FIN16</t>
  </si>
  <si>
    <t>FIN17</t>
  </si>
  <si>
    <t>FIN18</t>
  </si>
  <si>
    <t>COM16</t>
  </si>
  <si>
    <t>COM17</t>
  </si>
  <si>
    <t>COM18</t>
  </si>
  <si>
    <t>COM19</t>
  </si>
  <si>
    <t>COM20</t>
  </si>
  <si>
    <t>COM21</t>
  </si>
  <si>
    <t>COM22</t>
  </si>
  <si>
    <t>COM23</t>
  </si>
  <si>
    <t>COM24</t>
  </si>
  <si>
    <t>COM25</t>
  </si>
  <si>
    <t>COM26</t>
  </si>
  <si>
    <t>COM27</t>
  </si>
  <si>
    <t>PLF20</t>
  </si>
  <si>
    <t>PLF21</t>
  </si>
  <si>
    <t>PLF22</t>
  </si>
  <si>
    <t>EVC7</t>
  </si>
  <si>
    <t>EVC8</t>
  </si>
  <si>
    <t>EVC9</t>
  </si>
  <si>
    <t>FAB3</t>
  </si>
  <si>
    <t>EMP6</t>
  </si>
  <si>
    <t>EMP7</t>
  </si>
  <si>
    <t>EMP8</t>
  </si>
  <si>
    <t>EMP9</t>
  </si>
  <si>
    <t>INSTI4</t>
  </si>
  <si>
    <t>INSTI5</t>
  </si>
  <si>
    <t>INSTI6</t>
  </si>
  <si>
    <t>INSTI7</t>
  </si>
  <si>
    <t>APF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</si>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</sst>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6703</xdr:colOff>
      <xdr:row>21</xdr:row>
      <xdr:rowOff>114505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6365D9-1D1D-D08E-8FDD-69584FC7F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64703" cy="3981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C39D-0D9D-4CFF-AC5E-724DE49BA0F1}">
  <dimension ref="J2:K17"/>
  <sheetViews>
    <sheetView workbookViewId="0">
      <selection activeCell="K2" sqref="K2"/>
    </sheetView>
  </sheetViews>
  <sheetFormatPr baseColWidth="10" defaultRowHeight="14.5" x14ac:dyDescent="0.35"/>
  <cols>
    <col min="11" max="11" width="15.08984375" customWidth="1"/>
  </cols>
  <sheetData>
    <row r="2" spans="10:11" x14ac:dyDescent="0.35">
      <c r="J2">
        <v>1</v>
      </c>
      <c r="K2" t="s">
        <v>0</v>
      </c>
    </row>
    <row r="3" spans="10:11" x14ac:dyDescent="0.35">
      <c r="J3">
        <v>2</v>
      </c>
      <c r="K3" t="s">
        <v>1</v>
      </c>
    </row>
    <row r="4" spans="10:11" x14ac:dyDescent="0.35">
      <c r="J4">
        <v>3</v>
      </c>
      <c r="K4" t="s">
        <v>2</v>
      </c>
    </row>
    <row r="5" spans="10:11" x14ac:dyDescent="0.35">
      <c r="J5">
        <v>4</v>
      </c>
      <c r="K5" t="s">
        <v>3</v>
      </c>
    </row>
    <row r="6" spans="10:11" x14ac:dyDescent="0.35">
      <c r="J6">
        <v>5</v>
      </c>
      <c r="K6" t="s">
        <v>4</v>
      </c>
    </row>
    <row r="7" spans="10:11" x14ac:dyDescent="0.35">
      <c r="J7">
        <v>6</v>
      </c>
      <c r="K7" t="s">
        <v>5</v>
      </c>
    </row>
    <row r="8" spans="10:11" x14ac:dyDescent="0.35">
      <c r="J8">
        <v>7</v>
      </c>
      <c r="K8" t="s">
        <v>6</v>
      </c>
    </row>
    <row r="9" spans="10:11" x14ac:dyDescent="0.35">
      <c r="J9">
        <v>8</v>
      </c>
      <c r="K9" t="s">
        <v>7</v>
      </c>
    </row>
    <row r="10" spans="10:11" x14ac:dyDescent="0.35">
      <c r="J10">
        <v>9</v>
      </c>
      <c r="K10" t="s">
        <v>8</v>
      </c>
    </row>
    <row r="11" spans="10:11" x14ac:dyDescent="0.35">
      <c r="J11">
        <v>10</v>
      </c>
      <c r="K11" t="s">
        <v>9</v>
      </c>
    </row>
    <row r="12" spans="10:11" x14ac:dyDescent="0.35">
      <c r="J12">
        <v>11</v>
      </c>
      <c r="K12" t="s">
        <v>10</v>
      </c>
    </row>
    <row r="13" spans="10:11" x14ac:dyDescent="0.35">
      <c r="J13">
        <v>12</v>
      </c>
      <c r="K13" t="s">
        <v>11</v>
      </c>
    </row>
    <row r="14" spans="10:11" x14ac:dyDescent="0.35">
      <c r="J14">
        <v>13</v>
      </c>
      <c r="K14" t="s">
        <v>12</v>
      </c>
    </row>
    <row r="15" spans="10:11" x14ac:dyDescent="0.35">
      <c r="J15">
        <v>14</v>
      </c>
      <c r="K15" t="s">
        <v>13</v>
      </c>
    </row>
    <row r="16" spans="10:11" x14ac:dyDescent="0.35">
      <c r="J16">
        <v>15</v>
      </c>
      <c r="K16" t="s">
        <v>14</v>
      </c>
    </row>
    <row r="17" spans="10:11" x14ac:dyDescent="0.35">
      <c r="J17">
        <v>16</v>
      </c>
      <c r="K17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30F2-F018-4BB5-BF16-CD8B7E89BF95}">
  <dimension ref="A1:M24"/>
  <sheetViews>
    <sheetView topLeftCell="I4" workbookViewId="0">
      <selection activeCell="M24" sqref="M24"/>
    </sheetView>
  </sheetViews>
  <sheetFormatPr baseColWidth="10" defaultRowHeight="14.5" x14ac:dyDescent="0.35"/>
  <cols>
    <col min="2" max="2" width="39.6328125" customWidth="1"/>
    <col min="4" max="4" width="29.54296875" customWidth="1"/>
    <col min="8" max="8" width="41.6328125" customWidth="1"/>
    <col min="12" max="12" width="55.6328125" customWidth="1"/>
  </cols>
  <sheetData>
    <row r="1" spans="1:13" x14ac:dyDescent="0.35">
      <c r="A1" t="s">
        <v>254</v>
      </c>
      <c r="B1" t="s">
        <v>256</v>
      </c>
      <c r="C1" t="s">
        <v>254</v>
      </c>
      <c r="D1" t="s">
        <v>572</v>
      </c>
      <c r="G1" t="s">
        <v>254</v>
      </c>
      <c r="H1" t="s">
        <v>738</v>
      </c>
      <c r="K1" t="s">
        <v>254</v>
      </c>
      <c r="L1" t="s">
        <v>934</v>
      </c>
    </row>
    <row r="2" spans="1:13" x14ac:dyDescent="0.35">
      <c r="A2" t="s">
        <v>329</v>
      </c>
      <c r="B2" t="s">
        <v>0</v>
      </c>
      <c r="C2" t="s">
        <v>329</v>
      </c>
      <c r="D2" t="s">
        <v>0</v>
      </c>
      <c r="E2" t="s">
        <v>329</v>
      </c>
      <c r="G2" t="s">
        <v>739</v>
      </c>
      <c r="H2" t="s">
        <v>0</v>
      </c>
      <c r="I2" t="s">
        <v>329</v>
      </c>
      <c r="K2" t="s">
        <v>935</v>
      </c>
      <c r="L2" t="s">
        <v>0</v>
      </c>
      <c r="M2" t="s">
        <v>329</v>
      </c>
    </row>
    <row r="3" spans="1:13" x14ac:dyDescent="0.35">
      <c r="A3" t="s">
        <v>340</v>
      </c>
      <c r="B3" t="s">
        <v>318</v>
      </c>
      <c r="C3" t="s">
        <v>403</v>
      </c>
      <c r="D3" t="s">
        <v>262</v>
      </c>
      <c r="E3" t="s">
        <v>403</v>
      </c>
      <c r="G3" t="s">
        <v>740</v>
      </c>
      <c r="H3" t="s">
        <v>275</v>
      </c>
      <c r="I3" t="s">
        <v>429</v>
      </c>
      <c r="K3" t="s">
        <v>936</v>
      </c>
      <c r="L3" t="s">
        <v>937</v>
      </c>
      <c r="M3" t="s">
        <v>413</v>
      </c>
    </row>
    <row r="4" spans="1:13" x14ac:dyDescent="0.35">
      <c r="A4" t="s">
        <v>347</v>
      </c>
      <c r="B4" t="s">
        <v>325</v>
      </c>
      <c r="C4" t="s">
        <v>351</v>
      </c>
      <c r="D4" t="s">
        <v>3</v>
      </c>
      <c r="E4" t="s">
        <v>351</v>
      </c>
      <c r="G4" t="s">
        <v>742</v>
      </c>
      <c r="H4" t="s">
        <v>262</v>
      </c>
      <c r="I4" t="s">
        <v>403</v>
      </c>
      <c r="K4" t="s">
        <v>938</v>
      </c>
      <c r="L4" t="s">
        <v>0</v>
      </c>
      <c r="M4" t="s">
        <v>329</v>
      </c>
    </row>
    <row r="5" spans="1:13" x14ac:dyDescent="0.35">
      <c r="A5" t="s">
        <v>351</v>
      </c>
      <c r="B5" t="s">
        <v>3</v>
      </c>
      <c r="C5" t="s">
        <v>409</v>
      </c>
      <c r="D5" t="s">
        <v>4</v>
      </c>
      <c r="E5" t="s">
        <v>409</v>
      </c>
      <c r="G5" t="s">
        <v>743</v>
      </c>
      <c r="H5" t="s">
        <v>3</v>
      </c>
      <c r="I5" t="s">
        <v>351</v>
      </c>
      <c r="K5" t="s">
        <v>939</v>
      </c>
      <c r="L5" t="s">
        <v>325</v>
      </c>
      <c r="M5" t="s">
        <v>347</v>
      </c>
    </row>
    <row r="6" spans="1:13" x14ac:dyDescent="0.35">
      <c r="A6" t="s">
        <v>357</v>
      </c>
      <c r="B6" t="s">
        <v>327</v>
      </c>
      <c r="C6" t="s">
        <v>600</v>
      </c>
      <c r="D6" t="s">
        <v>316</v>
      </c>
      <c r="E6" t="s">
        <v>600</v>
      </c>
      <c r="G6" t="s">
        <v>744</v>
      </c>
      <c r="H6" t="s">
        <v>4</v>
      </c>
      <c r="I6" t="s">
        <v>409</v>
      </c>
      <c r="K6" t="s">
        <v>940</v>
      </c>
      <c r="L6" t="s">
        <v>0</v>
      </c>
      <c r="M6" t="s">
        <v>329</v>
      </c>
    </row>
    <row r="7" spans="1:13" x14ac:dyDescent="0.35">
      <c r="A7" t="s">
        <v>358</v>
      </c>
      <c r="B7" t="s">
        <v>286</v>
      </c>
      <c r="C7" t="s">
        <v>462</v>
      </c>
      <c r="D7" t="s">
        <v>267</v>
      </c>
      <c r="E7" t="s">
        <v>462</v>
      </c>
      <c r="G7" t="s">
        <v>745</v>
      </c>
      <c r="H7" t="s">
        <v>316</v>
      </c>
      <c r="I7" t="s">
        <v>600</v>
      </c>
      <c r="K7" t="s">
        <v>941</v>
      </c>
      <c r="L7" t="s">
        <v>942</v>
      </c>
      <c r="M7" t="s">
        <v>961</v>
      </c>
    </row>
    <row r="8" spans="1:13" x14ac:dyDescent="0.35">
      <c r="A8" t="s">
        <v>403</v>
      </c>
      <c r="B8" t="s">
        <v>262</v>
      </c>
      <c r="C8" t="s">
        <v>413</v>
      </c>
      <c r="D8" t="s">
        <v>753</v>
      </c>
      <c r="E8" t="s">
        <v>413</v>
      </c>
      <c r="G8" t="s">
        <v>747</v>
      </c>
      <c r="H8" t="s">
        <v>267</v>
      </c>
      <c r="I8" t="s">
        <v>462</v>
      </c>
      <c r="K8" t="s">
        <v>943</v>
      </c>
      <c r="L8" t="s">
        <v>1</v>
      </c>
      <c r="M8" t="s">
        <v>962</v>
      </c>
    </row>
    <row r="9" spans="1:13" x14ac:dyDescent="0.35">
      <c r="A9" t="s">
        <v>409</v>
      </c>
      <c r="B9" t="s">
        <v>4</v>
      </c>
      <c r="C9" t="s">
        <v>458</v>
      </c>
      <c r="D9" t="s">
        <v>320</v>
      </c>
      <c r="E9" t="s">
        <v>458</v>
      </c>
      <c r="G9" t="s">
        <v>752</v>
      </c>
      <c r="H9" t="s">
        <v>753</v>
      </c>
      <c r="I9" t="s">
        <v>413</v>
      </c>
      <c r="K9" t="s">
        <v>944</v>
      </c>
      <c r="L9" t="s">
        <v>3</v>
      </c>
      <c r="M9" t="s">
        <v>351</v>
      </c>
    </row>
    <row r="10" spans="1:13" x14ac:dyDescent="0.35">
      <c r="A10" t="s">
        <v>413</v>
      </c>
      <c r="B10" t="s">
        <v>753</v>
      </c>
      <c r="C10" t="s">
        <v>340</v>
      </c>
      <c r="D10" t="s">
        <v>318</v>
      </c>
      <c r="E10" t="s">
        <v>340</v>
      </c>
      <c r="G10" t="s">
        <v>758</v>
      </c>
      <c r="H10" t="s">
        <v>320</v>
      </c>
      <c r="I10" t="s">
        <v>458</v>
      </c>
      <c r="K10" t="s">
        <v>945</v>
      </c>
      <c r="L10" t="s">
        <v>4</v>
      </c>
      <c r="M10" t="s">
        <v>409</v>
      </c>
    </row>
    <row r="11" spans="1:13" x14ac:dyDescent="0.35">
      <c r="A11" t="s">
        <v>418</v>
      </c>
      <c r="B11" t="s">
        <v>309</v>
      </c>
      <c r="C11" t="s">
        <v>418</v>
      </c>
      <c r="D11" t="s">
        <v>309</v>
      </c>
      <c r="E11" t="s">
        <v>418</v>
      </c>
      <c r="G11" t="s">
        <v>762</v>
      </c>
      <c r="H11" t="s">
        <v>318</v>
      </c>
      <c r="I11" t="s">
        <v>340</v>
      </c>
      <c r="K11" t="s">
        <v>946</v>
      </c>
      <c r="L11" t="s">
        <v>316</v>
      </c>
      <c r="M11" t="s">
        <v>600</v>
      </c>
    </row>
    <row r="12" spans="1:13" x14ac:dyDescent="0.35">
      <c r="A12" t="s">
        <v>429</v>
      </c>
      <c r="B12" t="s">
        <v>275</v>
      </c>
      <c r="C12" t="s">
        <v>358</v>
      </c>
      <c r="D12" t="s">
        <v>286</v>
      </c>
      <c r="E12" t="s">
        <v>358</v>
      </c>
      <c r="G12" t="s">
        <v>764</v>
      </c>
      <c r="H12" t="s">
        <v>765</v>
      </c>
      <c r="I12" t="s">
        <v>786</v>
      </c>
      <c r="K12" t="s">
        <v>947</v>
      </c>
      <c r="L12" t="s">
        <v>267</v>
      </c>
      <c r="M12" t="s">
        <v>462</v>
      </c>
    </row>
    <row r="13" spans="1:13" x14ac:dyDescent="0.35">
      <c r="A13" t="s">
        <v>600</v>
      </c>
      <c r="B13" t="s">
        <v>316</v>
      </c>
      <c r="C13" t="s">
        <v>601</v>
      </c>
      <c r="D13" t="s">
        <v>599</v>
      </c>
      <c r="E13" t="s">
        <v>601</v>
      </c>
      <c r="G13" t="s">
        <v>764</v>
      </c>
      <c r="H13" t="s">
        <v>765</v>
      </c>
      <c r="I13" t="s">
        <v>786</v>
      </c>
      <c r="K13" t="s">
        <v>948</v>
      </c>
      <c r="L13" t="s">
        <v>320</v>
      </c>
      <c r="M13" t="s">
        <v>458</v>
      </c>
    </row>
    <row r="14" spans="1:13" x14ac:dyDescent="0.35">
      <c r="A14" t="s">
        <v>458</v>
      </c>
      <c r="B14" t="s">
        <v>320</v>
      </c>
      <c r="D14" t="s">
        <v>275</v>
      </c>
      <c r="E14" t="s">
        <v>429</v>
      </c>
      <c r="G14" t="s">
        <v>770</v>
      </c>
      <c r="H14" t="s">
        <v>599</v>
      </c>
      <c r="I14" t="s">
        <v>601</v>
      </c>
      <c r="K14" t="s">
        <v>949</v>
      </c>
      <c r="L14" t="s">
        <v>318</v>
      </c>
      <c r="M14" t="s">
        <v>340</v>
      </c>
    </row>
    <row r="15" spans="1:13" x14ac:dyDescent="0.35">
      <c r="A15" t="s">
        <v>462</v>
      </c>
      <c r="B15" t="s">
        <v>267</v>
      </c>
      <c r="G15" t="s">
        <v>774</v>
      </c>
      <c r="H15" t="s">
        <v>286</v>
      </c>
      <c r="I15" t="s">
        <v>358</v>
      </c>
      <c r="K15" t="s">
        <v>950</v>
      </c>
      <c r="L15" t="s">
        <v>309</v>
      </c>
      <c r="M15" t="s">
        <v>418</v>
      </c>
    </row>
    <row r="16" spans="1:13" x14ac:dyDescent="0.35">
      <c r="G16" t="s">
        <v>776</v>
      </c>
      <c r="H16" t="s">
        <v>286</v>
      </c>
      <c r="I16" t="s">
        <v>358</v>
      </c>
      <c r="K16" t="s">
        <v>951</v>
      </c>
      <c r="L16" t="s">
        <v>275</v>
      </c>
      <c r="M16" t="s">
        <v>429</v>
      </c>
    </row>
    <row r="17" spans="7:13" x14ac:dyDescent="0.35">
      <c r="G17" t="s">
        <v>778</v>
      </c>
      <c r="H17" t="s">
        <v>286</v>
      </c>
      <c r="I17" t="s">
        <v>358</v>
      </c>
      <c r="K17" t="s">
        <v>952</v>
      </c>
      <c r="L17" t="s">
        <v>286</v>
      </c>
      <c r="M17" t="s">
        <v>358</v>
      </c>
    </row>
    <row r="18" spans="7:13" x14ac:dyDescent="0.35">
      <c r="G18" t="s">
        <v>780</v>
      </c>
      <c r="H18" t="s">
        <v>286</v>
      </c>
      <c r="I18" t="s">
        <v>358</v>
      </c>
      <c r="K18" t="s">
        <v>953</v>
      </c>
      <c r="L18" t="s">
        <v>286</v>
      </c>
      <c r="M18" t="s">
        <v>358</v>
      </c>
    </row>
    <row r="19" spans="7:13" x14ac:dyDescent="0.35">
      <c r="K19" t="s">
        <v>954</v>
      </c>
      <c r="L19" t="s">
        <v>286</v>
      </c>
      <c r="M19" t="s">
        <v>358</v>
      </c>
    </row>
    <row r="20" spans="7:13" x14ac:dyDescent="0.35">
      <c r="K20" t="s">
        <v>955</v>
      </c>
      <c r="L20" t="s">
        <v>286</v>
      </c>
      <c r="M20" t="s">
        <v>358</v>
      </c>
    </row>
    <row r="21" spans="7:13" x14ac:dyDescent="0.35">
      <c r="K21" t="s">
        <v>956</v>
      </c>
      <c r="L21" t="s">
        <v>286</v>
      </c>
      <c r="M21" t="s">
        <v>358</v>
      </c>
    </row>
    <row r="22" spans="7:13" x14ac:dyDescent="0.35">
      <c r="K22" t="s">
        <v>957</v>
      </c>
      <c r="L22" t="s">
        <v>958</v>
      </c>
      <c r="M22" t="s">
        <v>963</v>
      </c>
    </row>
    <row r="23" spans="7:13" x14ac:dyDescent="0.35">
      <c r="K23" t="s">
        <v>959</v>
      </c>
      <c r="L23" t="s">
        <v>327</v>
      </c>
      <c r="M23" t="s">
        <v>357</v>
      </c>
    </row>
    <row r="24" spans="7:13" x14ac:dyDescent="0.35">
      <c r="K24" t="s">
        <v>948</v>
      </c>
      <c r="L24" t="s">
        <v>599</v>
      </c>
      <c r="M24" t="s">
        <v>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BCB8-19B1-49E3-A8DD-8D0A61352019}">
  <dimension ref="A1:B103"/>
  <sheetViews>
    <sheetView workbookViewId="0">
      <selection activeCell="A28" sqref="A28"/>
    </sheetView>
  </sheetViews>
  <sheetFormatPr baseColWidth="10" defaultRowHeight="14.5" x14ac:dyDescent="0.35"/>
  <cols>
    <col min="1" max="1" width="19" customWidth="1"/>
    <col min="2" max="2" width="79.1796875" customWidth="1"/>
  </cols>
  <sheetData>
    <row r="1" spans="1:2" x14ac:dyDescent="0.35">
      <c r="A1" t="s">
        <v>16</v>
      </c>
      <c r="B1" t="s">
        <v>17</v>
      </c>
    </row>
    <row r="2" spans="1:2" x14ac:dyDescent="0.35">
      <c r="A2" t="s">
        <v>0</v>
      </c>
      <c r="B2" t="s">
        <v>18</v>
      </c>
    </row>
    <row r="3" spans="1:2" x14ac:dyDescent="0.35">
      <c r="A3" t="s">
        <v>0</v>
      </c>
      <c r="B3" t="s">
        <v>19</v>
      </c>
    </row>
    <row r="4" spans="1:2" x14ac:dyDescent="0.35">
      <c r="A4" t="s">
        <v>0</v>
      </c>
      <c r="B4" t="s">
        <v>20</v>
      </c>
    </row>
    <row r="5" spans="1:2" x14ac:dyDescent="0.35">
      <c r="A5" t="s">
        <v>0</v>
      </c>
      <c r="B5" t="s">
        <v>21</v>
      </c>
    </row>
    <row r="6" spans="1:2" x14ac:dyDescent="0.35">
      <c r="A6" t="s">
        <v>0</v>
      </c>
      <c r="B6" t="s">
        <v>22</v>
      </c>
    </row>
    <row r="7" spans="1:2" x14ac:dyDescent="0.35">
      <c r="A7" t="s">
        <v>0</v>
      </c>
      <c r="B7" t="s">
        <v>23</v>
      </c>
    </row>
    <row r="8" spans="1:2" x14ac:dyDescent="0.35">
      <c r="A8" t="s">
        <v>0</v>
      </c>
      <c r="B8" t="s">
        <v>24</v>
      </c>
    </row>
    <row r="9" spans="1:2" x14ac:dyDescent="0.35">
      <c r="A9" t="s">
        <v>0</v>
      </c>
      <c r="B9" t="s">
        <v>25</v>
      </c>
    </row>
    <row r="10" spans="1:2" x14ac:dyDescent="0.35">
      <c r="A10" t="s">
        <v>0</v>
      </c>
      <c r="B10" t="s">
        <v>26</v>
      </c>
    </row>
    <row r="11" spans="1:2" x14ac:dyDescent="0.35">
      <c r="A11" t="s">
        <v>0</v>
      </c>
      <c r="B11" t="s">
        <v>27</v>
      </c>
    </row>
    <row r="12" spans="1:2" x14ac:dyDescent="0.35">
      <c r="A12" t="s">
        <v>0</v>
      </c>
      <c r="B12" t="s">
        <v>28</v>
      </c>
    </row>
    <row r="13" spans="1:2" x14ac:dyDescent="0.35">
      <c r="A13" t="s">
        <v>0</v>
      </c>
      <c r="B13" t="s">
        <v>29</v>
      </c>
    </row>
    <row r="14" spans="1:2" x14ac:dyDescent="0.35">
      <c r="A14" t="s">
        <v>0</v>
      </c>
      <c r="B14" t="s">
        <v>30</v>
      </c>
    </row>
    <row r="15" spans="1:2" x14ac:dyDescent="0.35">
      <c r="A15" t="s">
        <v>0</v>
      </c>
      <c r="B15" t="s">
        <v>31</v>
      </c>
    </row>
    <row r="16" spans="1:2" x14ac:dyDescent="0.35">
      <c r="A16" t="s">
        <v>0</v>
      </c>
      <c r="B16" t="s">
        <v>32</v>
      </c>
    </row>
    <row r="17" spans="1:2" x14ac:dyDescent="0.35">
      <c r="A17" t="s">
        <v>0</v>
      </c>
      <c r="B17" t="s">
        <v>33</v>
      </c>
    </row>
    <row r="18" spans="1:2" x14ac:dyDescent="0.35">
      <c r="A18" t="s">
        <v>0</v>
      </c>
      <c r="B18" t="s">
        <v>34</v>
      </c>
    </row>
    <row r="19" spans="1:2" x14ac:dyDescent="0.35">
      <c r="A19" t="s">
        <v>0</v>
      </c>
      <c r="B19" t="s">
        <v>35</v>
      </c>
    </row>
    <row r="20" spans="1:2" x14ac:dyDescent="0.35">
      <c r="A20" t="s">
        <v>0</v>
      </c>
      <c r="B20" t="s">
        <v>36</v>
      </c>
    </row>
    <row r="21" spans="1:2" x14ac:dyDescent="0.35">
      <c r="A21" t="s">
        <v>1</v>
      </c>
      <c r="B21" t="s">
        <v>37</v>
      </c>
    </row>
    <row r="22" spans="1:2" x14ac:dyDescent="0.35">
      <c r="A22" t="s">
        <v>1</v>
      </c>
      <c r="B22" t="s">
        <v>38</v>
      </c>
    </row>
    <row r="23" spans="1:2" x14ac:dyDescent="0.35">
      <c r="A23" t="s">
        <v>1</v>
      </c>
      <c r="B23" t="s">
        <v>39</v>
      </c>
    </row>
    <row r="24" spans="1:2" x14ac:dyDescent="0.35">
      <c r="A24" t="s">
        <v>1</v>
      </c>
      <c r="B24" t="s">
        <v>40</v>
      </c>
    </row>
    <row r="25" spans="1:2" x14ac:dyDescent="0.35">
      <c r="A25" t="s">
        <v>2</v>
      </c>
      <c r="B25" t="s">
        <v>41</v>
      </c>
    </row>
    <row r="26" spans="1:2" x14ac:dyDescent="0.35">
      <c r="A26" t="s">
        <v>2</v>
      </c>
      <c r="B26" t="s">
        <v>42</v>
      </c>
    </row>
    <row r="27" spans="1:2" x14ac:dyDescent="0.35">
      <c r="A27" t="s">
        <v>3</v>
      </c>
      <c r="B27" t="s">
        <v>43</v>
      </c>
    </row>
    <row r="28" spans="1:2" x14ac:dyDescent="0.35">
      <c r="A28" t="s">
        <v>3</v>
      </c>
      <c r="B28" t="s">
        <v>44</v>
      </c>
    </row>
    <row r="29" spans="1:2" x14ac:dyDescent="0.35">
      <c r="A29" t="s">
        <v>3</v>
      </c>
      <c r="B29" t="s">
        <v>45</v>
      </c>
    </row>
    <row r="30" spans="1:2" x14ac:dyDescent="0.35">
      <c r="A30" t="s">
        <v>3</v>
      </c>
      <c r="B30" t="s">
        <v>46</v>
      </c>
    </row>
    <row r="31" spans="1:2" x14ac:dyDescent="0.35">
      <c r="A31" t="s">
        <v>3</v>
      </c>
      <c r="B31" t="s">
        <v>47</v>
      </c>
    </row>
    <row r="32" spans="1:2" x14ac:dyDescent="0.35">
      <c r="A32" t="s">
        <v>3</v>
      </c>
      <c r="B32" t="s">
        <v>48</v>
      </c>
    </row>
    <row r="33" spans="1:2" x14ac:dyDescent="0.35">
      <c r="A33" t="s">
        <v>3</v>
      </c>
      <c r="B33" t="s">
        <v>49</v>
      </c>
    </row>
    <row r="34" spans="1:2" x14ac:dyDescent="0.35">
      <c r="A34" t="s">
        <v>3</v>
      </c>
      <c r="B34" t="s">
        <v>50</v>
      </c>
    </row>
    <row r="35" spans="1:2" x14ac:dyDescent="0.35">
      <c r="A35" t="s">
        <v>3</v>
      </c>
      <c r="B35" t="s">
        <v>51</v>
      </c>
    </row>
    <row r="36" spans="1:2" x14ac:dyDescent="0.35">
      <c r="A36" t="s">
        <v>3</v>
      </c>
      <c r="B36" t="s">
        <v>52</v>
      </c>
    </row>
    <row r="37" spans="1:2" x14ac:dyDescent="0.35">
      <c r="A37" t="s">
        <v>4</v>
      </c>
      <c r="B37" t="s">
        <v>53</v>
      </c>
    </row>
    <row r="38" spans="1:2" x14ac:dyDescent="0.35">
      <c r="A38" t="s">
        <v>4</v>
      </c>
      <c r="B38" t="s">
        <v>54</v>
      </c>
    </row>
    <row r="39" spans="1:2" x14ac:dyDescent="0.35">
      <c r="A39" t="s">
        <v>4</v>
      </c>
      <c r="B39" t="s">
        <v>55</v>
      </c>
    </row>
    <row r="40" spans="1:2" x14ac:dyDescent="0.35">
      <c r="A40" t="s">
        <v>4</v>
      </c>
      <c r="B40" t="s">
        <v>56</v>
      </c>
    </row>
    <row r="41" spans="1:2" x14ac:dyDescent="0.35">
      <c r="A41" t="s">
        <v>4</v>
      </c>
      <c r="B41" t="s">
        <v>57</v>
      </c>
    </row>
    <row r="42" spans="1:2" x14ac:dyDescent="0.35">
      <c r="A42" t="s">
        <v>5</v>
      </c>
      <c r="B42" t="s">
        <v>58</v>
      </c>
    </row>
    <row r="43" spans="1:2" x14ac:dyDescent="0.35">
      <c r="A43" t="s">
        <v>5</v>
      </c>
      <c r="B43" t="s">
        <v>59</v>
      </c>
    </row>
    <row r="44" spans="1:2" x14ac:dyDescent="0.35">
      <c r="A44" t="s">
        <v>5</v>
      </c>
      <c r="B44" t="s">
        <v>60</v>
      </c>
    </row>
    <row r="45" spans="1:2" x14ac:dyDescent="0.35">
      <c r="A45" t="s">
        <v>5</v>
      </c>
      <c r="B45" t="s">
        <v>61</v>
      </c>
    </row>
    <row r="46" spans="1:2" x14ac:dyDescent="0.35">
      <c r="A46" t="s">
        <v>6</v>
      </c>
      <c r="B46" t="s">
        <v>62</v>
      </c>
    </row>
    <row r="47" spans="1:2" x14ac:dyDescent="0.35">
      <c r="A47" t="s">
        <v>6</v>
      </c>
      <c r="B47" t="s">
        <v>63</v>
      </c>
    </row>
    <row r="48" spans="1:2" x14ac:dyDescent="0.35">
      <c r="A48" t="s">
        <v>6</v>
      </c>
      <c r="B48" t="s">
        <v>64</v>
      </c>
    </row>
    <row r="49" spans="1:2" x14ac:dyDescent="0.35">
      <c r="A49" t="s">
        <v>6</v>
      </c>
      <c r="B49" t="s">
        <v>65</v>
      </c>
    </row>
    <row r="50" spans="1:2" x14ac:dyDescent="0.35">
      <c r="A50" t="s">
        <v>6</v>
      </c>
      <c r="B50" t="s">
        <v>66</v>
      </c>
    </row>
    <row r="51" spans="1:2" x14ac:dyDescent="0.35">
      <c r="A51" t="s">
        <v>6</v>
      </c>
      <c r="B51" t="s">
        <v>67</v>
      </c>
    </row>
    <row r="52" spans="1:2" x14ac:dyDescent="0.35">
      <c r="A52" t="s">
        <v>6</v>
      </c>
      <c r="B52" t="s">
        <v>68</v>
      </c>
    </row>
    <row r="53" spans="1:2" x14ac:dyDescent="0.35">
      <c r="A53" t="s">
        <v>6</v>
      </c>
      <c r="B53" t="s">
        <v>69</v>
      </c>
    </row>
    <row r="54" spans="1:2" x14ac:dyDescent="0.35">
      <c r="A54" t="s">
        <v>6</v>
      </c>
      <c r="B54" t="s">
        <v>70</v>
      </c>
    </row>
    <row r="55" spans="1:2" x14ac:dyDescent="0.35">
      <c r="A55" t="s">
        <v>6</v>
      </c>
      <c r="B55" t="s">
        <v>71</v>
      </c>
    </row>
    <row r="56" spans="1:2" x14ac:dyDescent="0.35">
      <c r="A56" t="s">
        <v>7</v>
      </c>
      <c r="B56" t="s">
        <v>72</v>
      </c>
    </row>
    <row r="57" spans="1:2" x14ac:dyDescent="0.35">
      <c r="A57" t="s">
        <v>7</v>
      </c>
      <c r="B57" t="s">
        <v>73</v>
      </c>
    </row>
    <row r="58" spans="1:2" x14ac:dyDescent="0.35">
      <c r="A58" t="s">
        <v>7</v>
      </c>
      <c r="B58" t="s">
        <v>74</v>
      </c>
    </row>
    <row r="59" spans="1:2" x14ac:dyDescent="0.35">
      <c r="A59" t="s">
        <v>7</v>
      </c>
      <c r="B59" t="s">
        <v>75</v>
      </c>
    </row>
    <row r="60" spans="1:2" x14ac:dyDescent="0.35">
      <c r="A60" t="s">
        <v>7</v>
      </c>
      <c r="B60" t="s">
        <v>76</v>
      </c>
    </row>
    <row r="61" spans="1:2" x14ac:dyDescent="0.35">
      <c r="A61" t="s">
        <v>7</v>
      </c>
      <c r="B61" t="s">
        <v>77</v>
      </c>
    </row>
    <row r="62" spans="1:2" x14ac:dyDescent="0.35">
      <c r="A62" t="s">
        <v>7</v>
      </c>
      <c r="B62" t="s">
        <v>78</v>
      </c>
    </row>
    <row r="63" spans="1:2" x14ac:dyDescent="0.35">
      <c r="A63" t="s">
        <v>7</v>
      </c>
      <c r="B63" t="s">
        <v>79</v>
      </c>
    </row>
    <row r="64" spans="1:2" x14ac:dyDescent="0.35">
      <c r="A64" t="s">
        <v>7</v>
      </c>
      <c r="B64" t="s">
        <v>80</v>
      </c>
    </row>
    <row r="65" spans="1:2" x14ac:dyDescent="0.35">
      <c r="A65" t="s">
        <v>8</v>
      </c>
      <c r="B65" t="s">
        <v>81</v>
      </c>
    </row>
    <row r="66" spans="1:2" x14ac:dyDescent="0.35">
      <c r="A66" t="s">
        <v>8</v>
      </c>
      <c r="B66" t="s">
        <v>82</v>
      </c>
    </row>
    <row r="67" spans="1:2" x14ac:dyDescent="0.35">
      <c r="A67" t="s">
        <v>8</v>
      </c>
      <c r="B67" t="s">
        <v>83</v>
      </c>
    </row>
    <row r="68" spans="1:2" x14ac:dyDescent="0.35">
      <c r="A68" t="s">
        <v>8</v>
      </c>
      <c r="B68" t="s">
        <v>84</v>
      </c>
    </row>
    <row r="69" spans="1:2" x14ac:dyDescent="0.35">
      <c r="A69" t="s">
        <v>8</v>
      </c>
      <c r="B69" t="s">
        <v>85</v>
      </c>
    </row>
    <row r="70" spans="1:2" x14ac:dyDescent="0.35">
      <c r="A70" t="s">
        <v>9</v>
      </c>
      <c r="B70" t="s">
        <v>86</v>
      </c>
    </row>
    <row r="71" spans="1:2" x14ac:dyDescent="0.35">
      <c r="A71" t="s">
        <v>9</v>
      </c>
      <c r="B71" t="s">
        <v>87</v>
      </c>
    </row>
    <row r="72" spans="1:2" x14ac:dyDescent="0.35">
      <c r="A72" t="s">
        <v>9</v>
      </c>
      <c r="B72" t="s">
        <v>67</v>
      </c>
    </row>
    <row r="73" spans="1:2" x14ac:dyDescent="0.35">
      <c r="A73" t="s">
        <v>9</v>
      </c>
      <c r="B73" t="s">
        <v>88</v>
      </c>
    </row>
    <row r="74" spans="1:2" x14ac:dyDescent="0.35">
      <c r="A74" t="s">
        <v>9</v>
      </c>
      <c r="B74" t="s">
        <v>89</v>
      </c>
    </row>
    <row r="75" spans="1:2" x14ac:dyDescent="0.35">
      <c r="A75" t="s">
        <v>9</v>
      </c>
      <c r="B75" t="s">
        <v>90</v>
      </c>
    </row>
    <row r="76" spans="1:2" x14ac:dyDescent="0.35">
      <c r="A76" t="s">
        <v>10</v>
      </c>
      <c r="B76" t="s">
        <v>91</v>
      </c>
    </row>
    <row r="77" spans="1:2" x14ac:dyDescent="0.35">
      <c r="A77" t="s">
        <v>10</v>
      </c>
      <c r="B77" t="s">
        <v>92</v>
      </c>
    </row>
    <row r="78" spans="1:2" x14ac:dyDescent="0.35">
      <c r="A78" t="s">
        <v>10</v>
      </c>
      <c r="B78" t="s">
        <v>93</v>
      </c>
    </row>
    <row r="79" spans="1:2" x14ac:dyDescent="0.35">
      <c r="A79" t="s">
        <v>10</v>
      </c>
      <c r="B79" t="s">
        <v>94</v>
      </c>
    </row>
    <row r="80" spans="1:2" x14ac:dyDescent="0.35">
      <c r="A80" t="s">
        <v>10</v>
      </c>
      <c r="B80" t="s">
        <v>95</v>
      </c>
    </row>
    <row r="81" spans="1:2" x14ac:dyDescent="0.35">
      <c r="A81" t="s">
        <v>10</v>
      </c>
      <c r="B81" t="s">
        <v>96</v>
      </c>
    </row>
    <row r="82" spans="1:2" x14ac:dyDescent="0.35">
      <c r="A82" t="s">
        <v>10</v>
      </c>
      <c r="B82" t="s">
        <v>97</v>
      </c>
    </row>
    <row r="83" spans="1:2" x14ac:dyDescent="0.35">
      <c r="A83" t="s">
        <v>10</v>
      </c>
      <c r="B83" t="s">
        <v>98</v>
      </c>
    </row>
    <row r="84" spans="1:2" x14ac:dyDescent="0.35">
      <c r="A84" t="s">
        <v>11</v>
      </c>
      <c r="B84" t="s">
        <v>99</v>
      </c>
    </row>
    <row r="85" spans="1:2" x14ac:dyDescent="0.35">
      <c r="A85" t="s">
        <v>11</v>
      </c>
      <c r="B85" t="s">
        <v>100</v>
      </c>
    </row>
    <row r="86" spans="1:2" x14ac:dyDescent="0.35">
      <c r="A86" t="s">
        <v>11</v>
      </c>
      <c r="B86" t="s">
        <v>101</v>
      </c>
    </row>
    <row r="87" spans="1:2" x14ac:dyDescent="0.35">
      <c r="A87" t="s">
        <v>11</v>
      </c>
      <c r="B87" t="s">
        <v>102</v>
      </c>
    </row>
    <row r="88" spans="1:2" x14ac:dyDescent="0.35">
      <c r="A88" t="s">
        <v>11</v>
      </c>
      <c r="B88" t="s">
        <v>103</v>
      </c>
    </row>
    <row r="89" spans="1:2" x14ac:dyDescent="0.35">
      <c r="A89" t="s">
        <v>11</v>
      </c>
      <c r="B89" t="s">
        <v>68</v>
      </c>
    </row>
    <row r="90" spans="1:2" x14ac:dyDescent="0.35">
      <c r="A90" t="s">
        <v>12</v>
      </c>
      <c r="B90" t="s">
        <v>104</v>
      </c>
    </row>
    <row r="91" spans="1:2" x14ac:dyDescent="0.35">
      <c r="A91" t="s">
        <v>12</v>
      </c>
      <c r="B91" t="s">
        <v>105</v>
      </c>
    </row>
    <row r="92" spans="1:2" x14ac:dyDescent="0.35">
      <c r="A92" t="s">
        <v>12</v>
      </c>
      <c r="B92" t="s">
        <v>106</v>
      </c>
    </row>
    <row r="93" spans="1:2" x14ac:dyDescent="0.35">
      <c r="A93" t="s">
        <v>12</v>
      </c>
      <c r="B93" t="s">
        <v>107</v>
      </c>
    </row>
    <row r="94" spans="1:2" x14ac:dyDescent="0.35">
      <c r="A94" t="s">
        <v>12</v>
      </c>
      <c r="B94" t="s">
        <v>108</v>
      </c>
    </row>
    <row r="95" spans="1:2" x14ac:dyDescent="0.35">
      <c r="A95" t="s">
        <v>13</v>
      </c>
      <c r="B95" t="s">
        <v>109</v>
      </c>
    </row>
    <row r="96" spans="1:2" x14ac:dyDescent="0.35">
      <c r="A96" t="s">
        <v>14</v>
      </c>
      <c r="B96" t="s">
        <v>110</v>
      </c>
    </row>
    <row r="97" spans="1:2" x14ac:dyDescent="0.35">
      <c r="A97" t="s">
        <v>14</v>
      </c>
      <c r="B97" t="s">
        <v>111</v>
      </c>
    </row>
    <row r="98" spans="1:2" x14ac:dyDescent="0.35">
      <c r="A98" t="s">
        <v>14</v>
      </c>
      <c r="B98" t="s">
        <v>112</v>
      </c>
    </row>
    <row r="99" spans="1:2" x14ac:dyDescent="0.35">
      <c r="A99" t="s">
        <v>14</v>
      </c>
      <c r="B99" t="s">
        <v>113</v>
      </c>
    </row>
    <row r="100" spans="1:2" x14ac:dyDescent="0.35">
      <c r="A100" t="s">
        <v>14</v>
      </c>
      <c r="B100" t="s">
        <v>114</v>
      </c>
    </row>
    <row r="101" spans="1:2" x14ac:dyDescent="0.35">
      <c r="A101" t="s">
        <v>15</v>
      </c>
      <c r="B101" t="s">
        <v>115</v>
      </c>
    </row>
    <row r="102" spans="1:2" x14ac:dyDescent="0.35">
      <c r="A102" t="s">
        <v>15</v>
      </c>
      <c r="B102" t="s">
        <v>116</v>
      </c>
    </row>
    <row r="103" spans="1:2" x14ac:dyDescent="0.35">
      <c r="A103" t="s">
        <v>15</v>
      </c>
      <c r="B103" t="s">
        <v>117</v>
      </c>
    </row>
  </sheetData>
  <autoFilter ref="A1:B103" xr:uid="{3045BCB8-19B1-49E3-A8DD-8D0A6135201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3195-B50A-47F0-9A41-C5D1CF9D648E}">
  <dimension ref="A1:E138"/>
  <sheetViews>
    <sheetView workbookViewId="0">
      <selection activeCell="C6" sqref="C6"/>
    </sheetView>
  </sheetViews>
  <sheetFormatPr baseColWidth="10" defaultRowHeight="14.5" x14ac:dyDescent="0.35"/>
  <cols>
    <col min="2" max="2" width="81.26953125" customWidth="1"/>
  </cols>
  <sheetData>
    <row r="1" spans="1:5" x14ac:dyDescent="0.35">
      <c r="A1" t="s">
        <v>467</v>
      </c>
      <c r="B1" t="s">
        <v>466</v>
      </c>
      <c r="C1" t="s">
        <v>467</v>
      </c>
      <c r="D1" t="s">
        <v>468</v>
      </c>
      <c r="E1" t="s">
        <v>469</v>
      </c>
    </row>
    <row r="2" spans="1:5" x14ac:dyDescent="0.35">
      <c r="A2" t="s">
        <v>329</v>
      </c>
      <c r="B2" t="s">
        <v>118</v>
      </c>
      <c r="C2" t="s">
        <v>329</v>
      </c>
      <c r="D2" t="s">
        <v>118</v>
      </c>
      <c r="E2">
        <f>LEN(D2)</f>
        <v>104</v>
      </c>
    </row>
    <row r="3" spans="1:5" x14ac:dyDescent="0.35">
      <c r="A3" t="s">
        <v>330</v>
      </c>
      <c r="B3" t="s">
        <v>119</v>
      </c>
      <c r="C3" t="s">
        <v>330</v>
      </c>
      <c r="D3" t="s">
        <v>119</v>
      </c>
      <c r="E3">
        <f t="shared" ref="E3:E66" si="0">LEN(D3)</f>
        <v>108</v>
      </c>
    </row>
    <row r="4" spans="1:5" x14ac:dyDescent="0.35">
      <c r="A4" t="s">
        <v>331</v>
      </c>
      <c r="B4" t="s">
        <v>120</v>
      </c>
      <c r="C4" t="s">
        <v>331</v>
      </c>
      <c r="D4" t="s">
        <v>258</v>
      </c>
      <c r="E4">
        <f t="shared" si="0"/>
        <v>68</v>
      </c>
    </row>
    <row r="5" spans="1:5" x14ac:dyDescent="0.35">
      <c r="A5" t="s">
        <v>332</v>
      </c>
      <c r="B5" t="s">
        <v>121</v>
      </c>
      <c r="C5" t="s">
        <v>332</v>
      </c>
      <c r="D5" t="s">
        <v>259</v>
      </c>
      <c r="E5">
        <f t="shared" si="0"/>
        <v>88</v>
      </c>
    </row>
    <row r="6" spans="1:5" x14ac:dyDescent="0.35">
      <c r="A6" t="s">
        <v>333</v>
      </c>
      <c r="B6" t="s">
        <v>122</v>
      </c>
      <c r="C6" t="s">
        <v>333</v>
      </c>
      <c r="D6" t="s">
        <v>122</v>
      </c>
      <c r="E6">
        <f t="shared" si="0"/>
        <v>74</v>
      </c>
    </row>
    <row r="7" spans="1:5" x14ac:dyDescent="0.35">
      <c r="A7" t="s">
        <v>334</v>
      </c>
      <c r="B7" t="s">
        <v>123</v>
      </c>
      <c r="C7" t="s">
        <v>334</v>
      </c>
      <c r="D7" t="s">
        <v>123</v>
      </c>
      <c r="E7">
        <f t="shared" si="0"/>
        <v>50</v>
      </c>
    </row>
    <row r="8" spans="1:5" x14ac:dyDescent="0.35">
      <c r="A8" t="s">
        <v>335</v>
      </c>
      <c r="B8" t="s">
        <v>124</v>
      </c>
      <c r="C8" t="s">
        <v>335</v>
      </c>
      <c r="D8" t="s">
        <v>124</v>
      </c>
      <c r="E8">
        <f t="shared" si="0"/>
        <v>96</v>
      </c>
    </row>
    <row r="9" spans="1:5" x14ac:dyDescent="0.35">
      <c r="A9" t="s">
        <v>336</v>
      </c>
      <c r="B9" t="s">
        <v>125</v>
      </c>
      <c r="C9" t="s">
        <v>336</v>
      </c>
      <c r="D9" t="s">
        <v>260</v>
      </c>
      <c r="E9">
        <f t="shared" si="0"/>
        <v>109</v>
      </c>
    </row>
    <row r="10" spans="1:5" x14ac:dyDescent="0.35">
      <c r="A10" t="s">
        <v>337</v>
      </c>
      <c r="B10" t="s">
        <v>126</v>
      </c>
      <c r="C10" t="s">
        <v>337</v>
      </c>
      <c r="D10" t="s">
        <v>126</v>
      </c>
      <c r="E10">
        <f t="shared" si="0"/>
        <v>81</v>
      </c>
    </row>
    <row r="11" spans="1:5" x14ac:dyDescent="0.35">
      <c r="A11" t="s">
        <v>338</v>
      </c>
      <c r="B11" t="s">
        <v>127</v>
      </c>
      <c r="C11" t="s">
        <v>338</v>
      </c>
      <c r="D11" t="s">
        <v>127</v>
      </c>
      <c r="E11">
        <f t="shared" si="0"/>
        <v>96</v>
      </c>
    </row>
    <row r="12" spans="1:5" x14ac:dyDescent="0.35">
      <c r="A12" t="s">
        <v>339</v>
      </c>
      <c r="B12" t="s">
        <v>128</v>
      </c>
      <c r="C12" t="s">
        <v>339</v>
      </c>
      <c r="D12" t="s">
        <v>261</v>
      </c>
      <c r="E12">
        <f t="shared" si="0"/>
        <v>83</v>
      </c>
    </row>
    <row r="13" spans="1:5" x14ac:dyDescent="0.35">
      <c r="A13" t="s">
        <v>403</v>
      </c>
      <c r="B13" t="s">
        <v>129</v>
      </c>
      <c r="C13" t="s">
        <v>403</v>
      </c>
      <c r="D13" t="s">
        <v>263</v>
      </c>
      <c r="E13">
        <f t="shared" si="0"/>
        <v>103</v>
      </c>
    </row>
    <row r="14" spans="1:5" x14ac:dyDescent="0.35">
      <c r="A14" t="s">
        <v>404</v>
      </c>
      <c r="B14" t="s">
        <v>130</v>
      </c>
      <c r="C14" t="s">
        <v>404</v>
      </c>
      <c r="D14" t="s">
        <v>130</v>
      </c>
      <c r="E14">
        <f t="shared" si="0"/>
        <v>84</v>
      </c>
    </row>
    <row r="15" spans="1:5" x14ac:dyDescent="0.35">
      <c r="A15" t="s">
        <v>405</v>
      </c>
      <c r="B15" t="s">
        <v>131</v>
      </c>
      <c r="C15" t="s">
        <v>405</v>
      </c>
      <c r="D15" t="s">
        <v>264</v>
      </c>
      <c r="E15">
        <f t="shared" si="0"/>
        <v>112</v>
      </c>
    </row>
    <row r="16" spans="1:5" x14ac:dyDescent="0.35">
      <c r="A16" t="s">
        <v>406</v>
      </c>
      <c r="B16" t="s">
        <v>132</v>
      </c>
      <c r="C16" t="s">
        <v>406</v>
      </c>
      <c r="D16" t="s">
        <v>132</v>
      </c>
      <c r="E16">
        <f t="shared" si="0"/>
        <v>91</v>
      </c>
    </row>
    <row r="17" spans="1:5" x14ac:dyDescent="0.35">
      <c r="A17" t="s">
        <v>407</v>
      </c>
      <c r="B17" t="s">
        <v>133</v>
      </c>
      <c r="C17" t="s">
        <v>407</v>
      </c>
      <c r="D17" t="s">
        <v>265</v>
      </c>
      <c r="E17">
        <f t="shared" si="0"/>
        <v>126</v>
      </c>
    </row>
    <row r="18" spans="1:5" x14ac:dyDescent="0.35">
      <c r="A18" t="s">
        <v>408</v>
      </c>
      <c r="B18" t="s">
        <v>134</v>
      </c>
      <c r="C18" t="s">
        <v>408</v>
      </c>
      <c r="D18" t="s">
        <v>266</v>
      </c>
      <c r="E18">
        <f t="shared" si="0"/>
        <v>101</v>
      </c>
    </row>
    <row r="19" spans="1:5" x14ac:dyDescent="0.35">
      <c r="A19" t="s">
        <v>462</v>
      </c>
      <c r="B19" t="s">
        <v>135</v>
      </c>
      <c r="C19" t="s">
        <v>462</v>
      </c>
      <c r="D19" t="s">
        <v>268</v>
      </c>
      <c r="E19">
        <f t="shared" si="0"/>
        <v>86</v>
      </c>
    </row>
    <row r="20" spans="1:5" x14ac:dyDescent="0.35">
      <c r="A20" t="s">
        <v>463</v>
      </c>
      <c r="B20" t="s">
        <v>136</v>
      </c>
      <c r="C20" t="s">
        <v>463</v>
      </c>
      <c r="D20" t="s">
        <v>269</v>
      </c>
      <c r="E20">
        <f t="shared" si="0"/>
        <v>77</v>
      </c>
    </row>
    <row r="21" spans="1:5" x14ac:dyDescent="0.35">
      <c r="A21" t="s">
        <v>464</v>
      </c>
      <c r="B21" t="s">
        <v>137</v>
      </c>
      <c r="C21" t="s">
        <v>464</v>
      </c>
      <c r="D21" t="s">
        <v>270</v>
      </c>
      <c r="E21">
        <f t="shared" si="0"/>
        <v>89</v>
      </c>
    </row>
    <row r="22" spans="1:5" x14ac:dyDescent="0.35">
      <c r="A22" t="s">
        <v>465</v>
      </c>
      <c r="B22" t="s">
        <v>138</v>
      </c>
      <c r="C22" t="s">
        <v>465</v>
      </c>
      <c r="D22" t="s">
        <v>271</v>
      </c>
      <c r="E22">
        <f t="shared" si="0"/>
        <v>95</v>
      </c>
    </row>
    <row r="23" spans="1:5" x14ac:dyDescent="0.35">
      <c r="A23" t="s">
        <v>351</v>
      </c>
      <c r="B23" t="s">
        <v>139</v>
      </c>
      <c r="C23" t="s">
        <v>351</v>
      </c>
      <c r="D23" t="s">
        <v>139</v>
      </c>
      <c r="E23">
        <f t="shared" si="0"/>
        <v>99</v>
      </c>
    </row>
    <row r="24" spans="1:5" x14ac:dyDescent="0.35">
      <c r="A24" t="s">
        <v>352</v>
      </c>
      <c r="B24" t="s">
        <v>140</v>
      </c>
      <c r="C24" t="s">
        <v>352</v>
      </c>
      <c r="D24" t="s">
        <v>140</v>
      </c>
      <c r="E24">
        <f t="shared" si="0"/>
        <v>73</v>
      </c>
    </row>
    <row r="25" spans="1:5" x14ac:dyDescent="0.35">
      <c r="A25" t="s">
        <v>353</v>
      </c>
      <c r="B25" t="s">
        <v>141</v>
      </c>
      <c r="C25" t="s">
        <v>353</v>
      </c>
      <c r="D25" t="s">
        <v>272</v>
      </c>
      <c r="E25">
        <f t="shared" si="0"/>
        <v>86</v>
      </c>
    </row>
    <row r="26" spans="1:5" x14ac:dyDescent="0.35">
      <c r="A26" t="s">
        <v>354</v>
      </c>
      <c r="B26" t="s">
        <v>142</v>
      </c>
      <c r="C26" t="s">
        <v>354</v>
      </c>
      <c r="D26" t="s">
        <v>142</v>
      </c>
      <c r="E26">
        <f t="shared" si="0"/>
        <v>89</v>
      </c>
    </row>
    <row r="27" spans="1:5" x14ac:dyDescent="0.35">
      <c r="A27" t="s">
        <v>355</v>
      </c>
      <c r="B27" t="s">
        <v>143</v>
      </c>
      <c r="C27" t="s">
        <v>355</v>
      </c>
      <c r="D27" t="s">
        <v>273</v>
      </c>
      <c r="E27">
        <f t="shared" si="0"/>
        <v>77</v>
      </c>
    </row>
    <row r="28" spans="1:5" x14ac:dyDescent="0.35">
      <c r="A28" t="s">
        <v>356</v>
      </c>
      <c r="B28" t="s">
        <v>144</v>
      </c>
      <c r="C28" t="s">
        <v>356</v>
      </c>
      <c r="D28" t="s">
        <v>274</v>
      </c>
      <c r="E28">
        <f t="shared" si="0"/>
        <v>83</v>
      </c>
    </row>
    <row r="29" spans="1:5" x14ac:dyDescent="0.35">
      <c r="A29" t="s">
        <v>429</v>
      </c>
      <c r="B29" t="s">
        <v>145</v>
      </c>
      <c r="C29" t="s">
        <v>429</v>
      </c>
      <c r="D29" t="s">
        <v>145</v>
      </c>
      <c r="E29">
        <f t="shared" si="0"/>
        <v>98</v>
      </c>
    </row>
    <row r="30" spans="1:5" x14ac:dyDescent="0.35">
      <c r="A30" t="s">
        <v>430</v>
      </c>
      <c r="B30" t="s">
        <v>146</v>
      </c>
      <c r="C30" t="s">
        <v>430</v>
      </c>
      <c r="D30" t="s">
        <v>146</v>
      </c>
      <c r="E30">
        <f t="shared" si="0"/>
        <v>13</v>
      </c>
    </row>
    <row r="31" spans="1:5" x14ac:dyDescent="0.35">
      <c r="A31" t="s">
        <v>431</v>
      </c>
      <c r="B31" t="s">
        <v>147</v>
      </c>
      <c r="C31" t="s">
        <v>431</v>
      </c>
      <c r="D31" t="s">
        <v>147</v>
      </c>
      <c r="E31">
        <f t="shared" si="0"/>
        <v>40</v>
      </c>
    </row>
    <row r="32" spans="1:5" x14ac:dyDescent="0.35">
      <c r="A32" t="s">
        <v>432</v>
      </c>
      <c r="B32" t="s">
        <v>148</v>
      </c>
      <c r="C32" t="s">
        <v>432</v>
      </c>
      <c r="D32" t="s">
        <v>148</v>
      </c>
      <c r="E32">
        <f t="shared" si="0"/>
        <v>11</v>
      </c>
    </row>
    <row r="33" spans="1:5" x14ac:dyDescent="0.35">
      <c r="A33" t="s">
        <v>433</v>
      </c>
      <c r="B33" t="s">
        <v>149</v>
      </c>
      <c r="C33" t="s">
        <v>433</v>
      </c>
      <c r="D33" t="s">
        <v>149</v>
      </c>
      <c r="E33">
        <f t="shared" si="0"/>
        <v>24</v>
      </c>
    </row>
    <row r="34" spans="1:5" x14ac:dyDescent="0.35">
      <c r="A34" t="s">
        <v>434</v>
      </c>
      <c r="B34" t="s">
        <v>95</v>
      </c>
      <c r="C34" t="s">
        <v>434</v>
      </c>
      <c r="D34" t="s">
        <v>95</v>
      </c>
      <c r="E34">
        <f t="shared" si="0"/>
        <v>4</v>
      </c>
    </row>
    <row r="35" spans="1:5" x14ac:dyDescent="0.35">
      <c r="A35" t="s">
        <v>435</v>
      </c>
      <c r="B35" t="s">
        <v>150</v>
      </c>
      <c r="C35" t="s">
        <v>435</v>
      </c>
      <c r="D35" t="s">
        <v>150</v>
      </c>
      <c r="E35">
        <f t="shared" si="0"/>
        <v>23</v>
      </c>
    </row>
    <row r="36" spans="1:5" x14ac:dyDescent="0.35">
      <c r="A36" t="s">
        <v>436</v>
      </c>
      <c r="B36" t="s">
        <v>151</v>
      </c>
      <c r="C36" t="s">
        <v>436</v>
      </c>
      <c r="D36" t="s">
        <v>151</v>
      </c>
      <c r="E36">
        <f t="shared" si="0"/>
        <v>17</v>
      </c>
    </row>
    <row r="37" spans="1:5" x14ac:dyDescent="0.35">
      <c r="A37" t="s">
        <v>437</v>
      </c>
      <c r="B37" t="s">
        <v>152</v>
      </c>
      <c r="C37" t="s">
        <v>437</v>
      </c>
      <c r="D37" t="s">
        <v>152</v>
      </c>
      <c r="E37">
        <f t="shared" si="0"/>
        <v>86</v>
      </c>
    </row>
    <row r="38" spans="1:5" x14ac:dyDescent="0.35">
      <c r="A38" t="s">
        <v>438</v>
      </c>
      <c r="B38" t="s">
        <v>153</v>
      </c>
      <c r="C38" t="s">
        <v>438</v>
      </c>
      <c r="D38" t="s">
        <v>153</v>
      </c>
      <c r="E38">
        <f t="shared" si="0"/>
        <v>57</v>
      </c>
    </row>
    <row r="39" spans="1:5" x14ac:dyDescent="0.35">
      <c r="A39" t="s">
        <v>439</v>
      </c>
      <c r="B39" t="s">
        <v>154</v>
      </c>
      <c r="C39" t="s">
        <v>439</v>
      </c>
      <c r="D39" t="s">
        <v>276</v>
      </c>
      <c r="E39">
        <f t="shared" si="0"/>
        <v>65</v>
      </c>
    </row>
    <row r="40" spans="1:5" x14ac:dyDescent="0.35">
      <c r="A40" t="s">
        <v>440</v>
      </c>
      <c r="B40" t="s">
        <v>155</v>
      </c>
      <c r="C40" t="s">
        <v>440</v>
      </c>
      <c r="D40" t="s">
        <v>155</v>
      </c>
      <c r="E40">
        <f t="shared" si="0"/>
        <v>89</v>
      </c>
    </row>
    <row r="41" spans="1:5" x14ac:dyDescent="0.35">
      <c r="A41" t="s">
        <v>441</v>
      </c>
      <c r="B41" t="s">
        <v>156</v>
      </c>
      <c r="C41" t="s">
        <v>441</v>
      </c>
      <c r="D41" t="s">
        <v>156</v>
      </c>
      <c r="E41">
        <f t="shared" si="0"/>
        <v>77</v>
      </c>
    </row>
    <row r="42" spans="1:5" x14ac:dyDescent="0.35">
      <c r="A42" t="s">
        <v>442</v>
      </c>
      <c r="B42" t="s">
        <v>157</v>
      </c>
      <c r="C42" t="s">
        <v>442</v>
      </c>
      <c r="D42" t="s">
        <v>277</v>
      </c>
      <c r="E42">
        <f t="shared" si="0"/>
        <v>85</v>
      </c>
    </row>
    <row r="43" spans="1:5" x14ac:dyDescent="0.35">
      <c r="A43" t="s">
        <v>443</v>
      </c>
      <c r="B43" t="s">
        <v>158</v>
      </c>
      <c r="C43" t="s">
        <v>443</v>
      </c>
      <c r="D43" t="s">
        <v>278</v>
      </c>
      <c r="E43">
        <f t="shared" si="0"/>
        <v>98</v>
      </c>
    </row>
    <row r="44" spans="1:5" x14ac:dyDescent="0.35">
      <c r="A44" t="s">
        <v>444</v>
      </c>
      <c r="B44" t="s">
        <v>159</v>
      </c>
      <c r="C44" t="s">
        <v>444</v>
      </c>
      <c r="D44" t="s">
        <v>159</v>
      </c>
      <c r="E44">
        <f t="shared" si="0"/>
        <v>86</v>
      </c>
    </row>
    <row r="45" spans="1:5" x14ac:dyDescent="0.35">
      <c r="A45" t="s">
        <v>445</v>
      </c>
      <c r="B45" t="s">
        <v>160</v>
      </c>
      <c r="C45" t="s">
        <v>445</v>
      </c>
      <c r="D45" t="s">
        <v>279</v>
      </c>
      <c r="E45">
        <f t="shared" si="0"/>
        <v>94</v>
      </c>
    </row>
    <row r="46" spans="1:5" x14ac:dyDescent="0.35">
      <c r="A46" t="s">
        <v>446</v>
      </c>
      <c r="B46" t="s">
        <v>161</v>
      </c>
      <c r="C46" t="s">
        <v>446</v>
      </c>
      <c r="D46" t="s">
        <v>280</v>
      </c>
      <c r="E46">
        <f t="shared" si="0"/>
        <v>93</v>
      </c>
    </row>
    <row r="47" spans="1:5" x14ac:dyDescent="0.35">
      <c r="A47" t="s">
        <v>447</v>
      </c>
      <c r="B47" t="s">
        <v>162</v>
      </c>
      <c r="C47" t="s">
        <v>447</v>
      </c>
      <c r="D47" t="s">
        <v>162</v>
      </c>
      <c r="E47">
        <f t="shared" si="0"/>
        <v>79</v>
      </c>
    </row>
    <row r="48" spans="1:5" x14ac:dyDescent="0.35">
      <c r="A48" t="s">
        <v>448</v>
      </c>
      <c r="B48" t="s">
        <v>163</v>
      </c>
      <c r="C48" t="s">
        <v>448</v>
      </c>
      <c r="D48" t="s">
        <v>281</v>
      </c>
      <c r="E48">
        <f t="shared" si="0"/>
        <v>89</v>
      </c>
    </row>
    <row r="49" spans="1:5" x14ac:dyDescent="0.35">
      <c r="A49" t="s">
        <v>449</v>
      </c>
      <c r="B49" t="s">
        <v>164</v>
      </c>
      <c r="C49" t="s">
        <v>449</v>
      </c>
      <c r="D49" t="s">
        <v>282</v>
      </c>
      <c r="E49">
        <f t="shared" si="0"/>
        <v>89</v>
      </c>
    </row>
    <row r="50" spans="1:5" x14ac:dyDescent="0.35">
      <c r="A50" t="s">
        <v>450</v>
      </c>
      <c r="B50" t="s">
        <v>165</v>
      </c>
      <c r="C50" t="s">
        <v>450</v>
      </c>
      <c r="D50" t="s">
        <v>165</v>
      </c>
      <c r="E50">
        <f t="shared" si="0"/>
        <v>75</v>
      </c>
    </row>
    <row r="51" spans="1:5" x14ac:dyDescent="0.35">
      <c r="A51" t="s">
        <v>451</v>
      </c>
      <c r="B51" t="s">
        <v>166</v>
      </c>
      <c r="C51" t="s">
        <v>451</v>
      </c>
      <c r="D51" t="s">
        <v>283</v>
      </c>
      <c r="E51">
        <f t="shared" si="0"/>
        <v>85</v>
      </c>
    </row>
    <row r="52" spans="1:5" x14ac:dyDescent="0.35">
      <c r="A52" t="s">
        <v>452</v>
      </c>
      <c r="B52" t="s">
        <v>167</v>
      </c>
      <c r="C52" t="s">
        <v>452</v>
      </c>
      <c r="D52" t="s">
        <v>284</v>
      </c>
      <c r="E52">
        <f t="shared" si="0"/>
        <v>87</v>
      </c>
    </row>
    <row r="53" spans="1:5" x14ac:dyDescent="0.35">
      <c r="A53" t="s">
        <v>453</v>
      </c>
      <c r="B53" t="s">
        <v>168</v>
      </c>
      <c r="C53" t="s">
        <v>453</v>
      </c>
      <c r="D53" t="s">
        <v>168</v>
      </c>
      <c r="E53">
        <f t="shared" si="0"/>
        <v>73</v>
      </c>
    </row>
    <row r="54" spans="1:5" x14ac:dyDescent="0.35">
      <c r="A54" t="s">
        <v>454</v>
      </c>
      <c r="B54" t="s">
        <v>169</v>
      </c>
      <c r="C54" t="s">
        <v>454</v>
      </c>
      <c r="D54" t="s">
        <v>285</v>
      </c>
      <c r="E54">
        <f t="shared" si="0"/>
        <v>83</v>
      </c>
    </row>
    <row r="55" spans="1:5" x14ac:dyDescent="0.35">
      <c r="A55" t="s">
        <v>358</v>
      </c>
      <c r="B55" t="s">
        <v>170</v>
      </c>
      <c r="C55" t="s">
        <v>358</v>
      </c>
      <c r="D55" t="s">
        <v>170</v>
      </c>
      <c r="E55">
        <f t="shared" si="0"/>
        <v>72</v>
      </c>
    </row>
    <row r="56" spans="1:5" x14ac:dyDescent="0.35">
      <c r="A56" t="s">
        <v>359</v>
      </c>
      <c r="B56" t="s">
        <v>171</v>
      </c>
      <c r="C56" t="s">
        <v>359</v>
      </c>
      <c r="D56" t="s">
        <v>171</v>
      </c>
      <c r="E56">
        <f t="shared" si="0"/>
        <v>58</v>
      </c>
    </row>
    <row r="57" spans="1:5" x14ac:dyDescent="0.35">
      <c r="A57" t="s">
        <v>360</v>
      </c>
      <c r="B57" t="s">
        <v>172</v>
      </c>
      <c r="C57" t="s">
        <v>360</v>
      </c>
      <c r="D57" t="s">
        <v>287</v>
      </c>
      <c r="E57">
        <f t="shared" si="0"/>
        <v>68</v>
      </c>
    </row>
    <row r="58" spans="1:5" x14ac:dyDescent="0.35">
      <c r="A58" t="s">
        <v>361</v>
      </c>
      <c r="B58" t="s">
        <v>173</v>
      </c>
      <c r="C58" t="s">
        <v>361</v>
      </c>
      <c r="D58" t="s">
        <v>173</v>
      </c>
      <c r="E58">
        <f t="shared" si="0"/>
        <v>96</v>
      </c>
    </row>
    <row r="59" spans="1:5" x14ac:dyDescent="0.35">
      <c r="A59" t="s">
        <v>362</v>
      </c>
      <c r="B59" t="s">
        <v>174</v>
      </c>
      <c r="C59" t="s">
        <v>362</v>
      </c>
      <c r="D59" t="s">
        <v>174</v>
      </c>
      <c r="E59">
        <f t="shared" si="0"/>
        <v>84</v>
      </c>
    </row>
    <row r="60" spans="1:5" x14ac:dyDescent="0.35">
      <c r="A60" t="s">
        <v>363</v>
      </c>
      <c r="B60" t="s">
        <v>175</v>
      </c>
      <c r="C60" t="s">
        <v>363</v>
      </c>
      <c r="D60" t="s">
        <v>288</v>
      </c>
      <c r="E60">
        <f t="shared" si="0"/>
        <v>92</v>
      </c>
    </row>
    <row r="61" spans="1:5" x14ac:dyDescent="0.35">
      <c r="A61" t="s">
        <v>364</v>
      </c>
      <c r="B61" t="s">
        <v>176</v>
      </c>
      <c r="C61" t="s">
        <v>364</v>
      </c>
      <c r="D61" t="s">
        <v>176</v>
      </c>
      <c r="E61">
        <f t="shared" si="0"/>
        <v>96</v>
      </c>
    </row>
    <row r="62" spans="1:5" x14ac:dyDescent="0.35">
      <c r="A62" t="s">
        <v>365</v>
      </c>
      <c r="B62" t="s">
        <v>177</v>
      </c>
      <c r="C62" t="s">
        <v>365</v>
      </c>
      <c r="D62" t="s">
        <v>177</v>
      </c>
      <c r="E62">
        <f t="shared" si="0"/>
        <v>84</v>
      </c>
    </row>
    <row r="63" spans="1:5" x14ac:dyDescent="0.35">
      <c r="A63" t="s">
        <v>366</v>
      </c>
      <c r="B63" t="s">
        <v>178</v>
      </c>
      <c r="C63" t="s">
        <v>366</v>
      </c>
      <c r="D63" t="s">
        <v>289</v>
      </c>
      <c r="E63">
        <f t="shared" si="0"/>
        <v>92</v>
      </c>
    </row>
    <row r="64" spans="1:5" x14ac:dyDescent="0.35">
      <c r="A64" t="s">
        <v>367</v>
      </c>
      <c r="B64" t="s">
        <v>179</v>
      </c>
      <c r="C64" t="s">
        <v>367</v>
      </c>
      <c r="D64" t="s">
        <v>179</v>
      </c>
      <c r="E64">
        <f t="shared" si="0"/>
        <v>109</v>
      </c>
    </row>
    <row r="65" spans="1:5" x14ac:dyDescent="0.35">
      <c r="A65" t="s">
        <v>368</v>
      </c>
      <c r="B65" t="s">
        <v>180</v>
      </c>
      <c r="C65" t="s">
        <v>368</v>
      </c>
      <c r="D65" t="s">
        <v>180</v>
      </c>
      <c r="E65">
        <f t="shared" si="0"/>
        <v>89</v>
      </c>
    </row>
    <row r="66" spans="1:5" x14ac:dyDescent="0.35">
      <c r="A66" t="s">
        <v>369</v>
      </c>
      <c r="B66" t="s">
        <v>181</v>
      </c>
      <c r="C66" t="s">
        <v>369</v>
      </c>
      <c r="D66" t="s">
        <v>290</v>
      </c>
      <c r="E66">
        <f t="shared" si="0"/>
        <v>97</v>
      </c>
    </row>
    <row r="67" spans="1:5" x14ac:dyDescent="0.35">
      <c r="A67" t="s">
        <v>370</v>
      </c>
      <c r="B67" t="s">
        <v>182</v>
      </c>
      <c r="C67" t="s">
        <v>370</v>
      </c>
      <c r="D67" t="s">
        <v>182</v>
      </c>
      <c r="E67">
        <f t="shared" ref="E67:E130" si="1">LEN(D67)</f>
        <v>109</v>
      </c>
    </row>
    <row r="68" spans="1:5" x14ac:dyDescent="0.35">
      <c r="A68" t="s">
        <v>371</v>
      </c>
      <c r="B68" t="s">
        <v>183</v>
      </c>
      <c r="C68" t="s">
        <v>371</v>
      </c>
      <c r="D68" t="s">
        <v>183</v>
      </c>
      <c r="E68">
        <f t="shared" si="1"/>
        <v>95</v>
      </c>
    </row>
    <row r="69" spans="1:5" x14ac:dyDescent="0.35">
      <c r="A69" t="s">
        <v>372</v>
      </c>
      <c r="B69" t="s">
        <v>184</v>
      </c>
      <c r="C69" t="s">
        <v>372</v>
      </c>
      <c r="D69" t="s">
        <v>291</v>
      </c>
      <c r="E69">
        <f t="shared" si="1"/>
        <v>105</v>
      </c>
    </row>
    <row r="70" spans="1:5" x14ac:dyDescent="0.35">
      <c r="A70" t="s">
        <v>373</v>
      </c>
      <c r="B70" t="s">
        <v>185</v>
      </c>
      <c r="C70" t="s">
        <v>373</v>
      </c>
      <c r="D70" t="s">
        <v>292</v>
      </c>
      <c r="E70">
        <f t="shared" si="1"/>
        <v>95</v>
      </c>
    </row>
    <row r="71" spans="1:5" x14ac:dyDescent="0.35">
      <c r="A71" t="s">
        <v>374</v>
      </c>
      <c r="B71" t="s">
        <v>186</v>
      </c>
      <c r="C71" t="s">
        <v>374</v>
      </c>
      <c r="D71" t="s">
        <v>186</v>
      </c>
      <c r="E71">
        <f t="shared" si="1"/>
        <v>105</v>
      </c>
    </row>
    <row r="72" spans="1:5" x14ac:dyDescent="0.35">
      <c r="A72" t="s">
        <v>375</v>
      </c>
      <c r="B72" t="s">
        <v>187</v>
      </c>
      <c r="C72" t="s">
        <v>375</v>
      </c>
      <c r="D72" t="s">
        <v>293</v>
      </c>
      <c r="E72">
        <f t="shared" si="1"/>
        <v>113</v>
      </c>
    </row>
    <row r="73" spans="1:5" x14ac:dyDescent="0.35">
      <c r="A73" t="s">
        <v>376</v>
      </c>
      <c r="B73" t="s">
        <v>188</v>
      </c>
      <c r="C73" t="s">
        <v>376</v>
      </c>
      <c r="D73" t="s">
        <v>294</v>
      </c>
      <c r="E73">
        <f t="shared" si="1"/>
        <v>91</v>
      </c>
    </row>
    <row r="74" spans="1:5" x14ac:dyDescent="0.35">
      <c r="A74" t="s">
        <v>377</v>
      </c>
      <c r="B74" t="s">
        <v>189</v>
      </c>
      <c r="C74" t="s">
        <v>377</v>
      </c>
      <c r="D74" t="s">
        <v>255</v>
      </c>
      <c r="E74">
        <f t="shared" si="1"/>
        <v>94</v>
      </c>
    </row>
    <row r="75" spans="1:5" x14ac:dyDescent="0.35">
      <c r="A75" t="s">
        <v>378</v>
      </c>
      <c r="B75" t="s">
        <v>190</v>
      </c>
      <c r="C75" t="s">
        <v>378</v>
      </c>
      <c r="D75" t="s">
        <v>295</v>
      </c>
      <c r="E75">
        <f t="shared" si="1"/>
        <v>76</v>
      </c>
    </row>
    <row r="76" spans="1:5" x14ac:dyDescent="0.35">
      <c r="A76" t="s">
        <v>379</v>
      </c>
      <c r="B76" t="s">
        <v>191</v>
      </c>
      <c r="C76" t="s">
        <v>379</v>
      </c>
      <c r="D76" t="s">
        <v>296</v>
      </c>
      <c r="E76">
        <f t="shared" si="1"/>
        <v>112</v>
      </c>
    </row>
    <row r="77" spans="1:5" x14ac:dyDescent="0.35">
      <c r="A77" t="s">
        <v>380</v>
      </c>
      <c r="B77" t="s">
        <v>192</v>
      </c>
      <c r="C77" t="s">
        <v>380</v>
      </c>
      <c r="D77" t="s">
        <v>297</v>
      </c>
      <c r="E77">
        <f t="shared" si="1"/>
        <v>76</v>
      </c>
    </row>
    <row r="78" spans="1:5" x14ac:dyDescent="0.35">
      <c r="A78" t="s">
        <v>381</v>
      </c>
      <c r="B78" t="s">
        <v>193</v>
      </c>
      <c r="C78" t="s">
        <v>381</v>
      </c>
      <c r="D78" t="s">
        <v>298</v>
      </c>
      <c r="E78">
        <f t="shared" si="1"/>
        <v>86</v>
      </c>
    </row>
    <row r="79" spans="1:5" x14ac:dyDescent="0.35">
      <c r="A79" t="s">
        <v>382</v>
      </c>
      <c r="B79" t="s">
        <v>194</v>
      </c>
      <c r="C79" t="s">
        <v>382</v>
      </c>
      <c r="D79" t="s">
        <v>299</v>
      </c>
      <c r="E79">
        <f t="shared" si="1"/>
        <v>94</v>
      </c>
    </row>
    <row r="80" spans="1:5" x14ac:dyDescent="0.35">
      <c r="A80" t="s">
        <v>383</v>
      </c>
      <c r="B80" t="s">
        <v>195</v>
      </c>
      <c r="C80" t="s">
        <v>383</v>
      </c>
      <c r="D80" t="s">
        <v>300</v>
      </c>
      <c r="E80">
        <f t="shared" si="1"/>
        <v>78</v>
      </c>
    </row>
    <row r="81" spans="1:5" x14ac:dyDescent="0.35">
      <c r="A81" t="s">
        <v>384</v>
      </c>
      <c r="B81" t="s">
        <v>196</v>
      </c>
      <c r="C81" t="s">
        <v>384</v>
      </c>
      <c r="D81" t="s">
        <v>301</v>
      </c>
      <c r="E81">
        <f t="shared" si="1"/>
        <v>88</v>
      </c>
    </row>
    <row r="82" spans="1:5" x14ac:dyDescent="0.35">
      <c r="A82" t="s">
        <v>385</v>
      </c>
      <c r="B82" t="s">
        <v>197</v>
      </c>
      <c r="C82" t="s">
        <v>385</v>
      </c>
      <c r="D82" t="s">
        <v>302</v>
      </c>
      <c r="E82">
        <f t="shared" si="1"/>
        <v>96</v>
      </c>
    </row>
    <row r="83" spans="1:5" x14ac:dyDescent="0.35">
      <c r="A83" t="s">
        <v>386</v>
      </c>
      <c r="B83" t="s">
        <v>198</v>
      </c>
      <c r="C83" t="s">
        <v>386</v>
      </c>
      <c r="D83" t="s">
        <v>198</v>
      </c>
      <c r="E83">
        <f t="shared" si="1"/>
        <v>59</v>
      </c>
    </row>
    <row r="84" spans="1:5" x14ac:dyDescent="0.35">
      <c r="A84" t="s">
        <v>387</v>
      </c>
      <c r="B84" t="s">
        <v>199</v>
      </c>
      <c r="C84" t="s">
        <v>387</v>
      </c>
      <c r="D84" t="s">
        <v>199</v>
      </c>
      <c r="E84">
        <f t="shared" si="1"/>
        <v>28</v>
      </c>
    </row>
    <row r="85" spans="1:5" x14ac:dyDescent="0.35">
      <c r="A85" t="s">
        <v>388</v>
      </c>
      <c r="B85" t="s">
        <v>200</v>
      </c>
      <c r="C85" t="s">
        <v>388</v>
      </c>
      <c r="D85" t="s">
        <v>303</v>
      </c>
      <c r="E85">
        <f t="shared" si="1"/>
        <v>63</v>
      </c>
    </row>
    <row r="86" spans="1:5" x14ac:dyDescent="0.35">
      <c r="A86" t="s">
        <v>389</v>
      </c>
      <c r="B86" t="s">
        <v>201</v>
      </c>
      <c r="C86" t="s">
        <v>389</v>
      </c>
      <c r="D86" t="s">
        <v>304</v>
      </c>
      <c r="E86">
        <f t="shared" si="1"/>
        <v>73</v>
      </c>
    </row>
    <row r="87" spans="1:5" x14ac:dyDescent="0.35">
      <c r="A87" t="s">
        <v>390</v>
      </c>
      <c r="B87" t="s">
        <v>202</v>
      </c>
      <c r="C87" t="s">
        <v>390</v>
      </c>
      <c r="D87" t="s">
        <v>202</v>
      </c>
      <c r="E87">
        <f t="shared" si="1"/>
        <v>38</v>
      </c>
    </row>
    <row r="88" spans="1:5" x14ac:dyDescent="0.35">
      <c r="A88" t="s">
        <v>391</v>
      </c>
      <c r="B88" t="s">
        <v>203</v>
      </c>
      <c r="C88" t="s">
        <v>391</v>
      </c>
      <c r="D88" t="s">
        <v>203</v>
      </c>
      <c r="E88">
        <f t="shared" si="1"/>
        <v>62</v>
      </c>
    </row>
    <row r="89" spans="1:5" x14ac:dyDescent="0.35">
      <c r="A89" t="s">
        <v>392</v>
      </c>
      <c r="B89" t="s">
        <v>204</v>
      </c>
      <c r="C89" t="s">
        <v>392</v>
      </c>
      <c r="D89" t="s">
        <v>204</v>
      </c>
      <c r="E89">
        <f t="shared" si="1"/>
        <v>70</v>
      </c>
    </row>
    <row r="90" spans="1:5" x14ac:dyDescent="0.35">
      <c r="A90" t="s">
        <v>393</v>
      </c>
      <c r="B90" t="s">
        <v>205</v>
      </c>
      <c r="C90" t="s">
        <v>393</v>
      </c>
      <c r="D90" t="s">
        <v>305</v>
      </c>
      <c r="E90">
        <f t="shared" si="1"/>
        <v>80</v>
      </c>
    </row>
    <row r="91" spans="1:5" x14ac:dyDescent="0.35">
      <c r="A91" t="s">
        <v>394</v>
      </c>
      <c r="B91" t="s">
        <v>206</v>
      </c>
      <c r="C91" t="s">
        <v>394</v>
      </c>
      <c r="D91" t="s">
        <v>306</v>
      </c>
      <c r="E91">
        <f t="shared" si="1"/>
        <v>79</v>
      </c>
    </row>
    <row r="92" spans="1:5" x14ac:dyDescent="0.35">
      <c r="A92" t="s">
        <v>395</v>
      </c>
      <c r="B92" t="s">
        <v>207</v>
      </c>
      <c r="C92" t="s">
        <v>395</v>
      </c>
      <c r="D92" t="s">
        <v>207</v>
      </c>
      <c r="E92">
        <f t="shared" si="1"/>
        <v>84</v>
      </c>
    </row>
    <row r="93" spans="1:5" x14ac:dyDescent="0.35">
      <c r="A93" t="s">
        <v>396</v>
      </c>
      <c r="B93" t="s">
        <v>208</v>
      </c>
      <c r="C93" t="s">
        <v>396</v>
      </c>
      <c r="D93" t="s">
        <v>208</v>
      </c>
      <c r="E93">
        <f t="shared" si="1"/>
        <v>72</v>
      </c>
    </row>
    <row r="94" spans="1:5" x14ac:dyDescent="0.35">
      <c r="A94" t="s">
        <v>397</v>
      </c>
      <c r="B94" t="s">
        <v>209</v>
      </c>
      <c r="C94" t="s">
        <v>397</v>
      </c>
      <c r="D94" t="s">
        <v>307</v>
      </c>
      <c r="E94">
        <f t="shared" si="1"/>
        <v>82</v>
      </c>
    </row>
    <row r="95" spans="1:5" x14ac:dyDescent="0.35">
      <c r="A95" t="s">
        <v>398</v>
      </c>
      <c r="B95" t="s">
        <v>210</v>
      </c>
      <c r="C95" t="s">
        <v>398</v>
      </c>
      <c r="D95" t="s">
        <v>210</v>
      </c>
      <c r="E95">
        <f t="shared" si="1"/>
        <v>76</v>
      </c>
    </row>
    <row r="96" spans="1:5" x14ac:dyDescent="0.35">
      <c r="A96" t="s">
        <v>399</v>
      </c>
      <c r="B96" t="s">
        <v>211</v>
      </c>
      <c r="C96" t="s">
        <v>399</v>
      </c>
      <c r="D96" t="s">
        <v>211</v>
      </c>
      <c r="E96">
        <f t="shared" si="1"/>
        <v>80</v>
      </c>
    </row>
    <row r="97" spans="1:5" x14ac:dyDescent="0.35">
      <c r="A97" t="s">
        <v>400</v>
      </c>
      <c r="B97" t="s">
        <v>212</v>
      </c>
      <c r="C97" t="s">
        <v>400</v>
      </c>
      <c r="D97" t="s">
        <v>308</v>
      </c>
      <c r="E97">
        <f t="shared" si="1"/>
        <v>94</v>
      </c>
    </row>
    <row r="98" spans="1:5" x14ac:dyDescent="0.35">
      <c r="A98" t="s">
        <v>401</v>
      </c>
      <c r="B98" t="s">
        <v>213</v>
      </c>
      <c r="C98" t="s">
        <v>401</v>
      </c>
      <c r="D98" t="s">
        <v>213</v>
      </c>
      <c r="E98">
        <f t="shared" si="1"/>
        <v>49</v>
      </c>
    </row>
    <row r="99" spans="1:5" x14ac:dyDescent="0.35">
      <c r="A99" t="s">
        <v>402</v>
      </c>
      <c r="B99" t="s">
        <v>214</v>
      </c>
      <c r="C99" t="s">
        <v>402</v>
      </c>
      <c r="D99" t="s">
        <v>214</v>
      </c>
      <c r="E99">
        <f t="shared" si="1"/>
        <v>109</v>
      </c>
    </row>
    <row r="100" spans="1:5" x14ac:dyDescent="0.35">
      <c r="A100" t="s">
        <v>418</v>
      </c>
      <c r="B100" t="s">
        <v>215</v>
      </c>
      <c r="C100" t="s">
        <v>418</v>
      </c>
      <c r="D100" t="s">
        <v>215</v>
      </c>
      <c r="E100">
        <f t="shared" si="1"/>
        <v>74</v>
      </c>
    </row>
    <row r="101" spans="1:5" x14ac:dyDescent="0.35">
      <c r="A101" t="s">
        <v>419</v>
      </c>
      <c r="B101" t="s">
        <v>216</v>
      </c>
      <c r="C101" t="s">
        <v>419</v>
      </c>
      <c r="D101" t="s">
        <v>216</v>
      </c>
      <c r="E101">
        <f t="shared" si="1"/>
        <v>73</v>
      </c>
    </row>
    <row r="102" spans="1:5" x14ac:dyDescent="0.35">
      <c r="A102" t="s">
        <v>420</v>
      </c>
      <c r="B102" t="s">
        <v>217</v>
      </c>
      <c r="C102" t="s">
        <v>420</v>
      </c>
      <c r="D102" t="s">
        <v>310</v>
      </c>
      <c r="E102">
        <f t="shared" si="1"/>
        <v>70</v>
      </c>
    </row>
    <row r="103" spans="1:5" x14ac:dyDescent="0.35">
      <c r="A103" t="s">
        <v>421</v>
      </c>
      <c r="B103" t="s">
        <v>218</v>
      </c>
      <c r="C103" t="s">
        <v>421</v>
      </c>
      <c r="D103" t="s">
        <v>218</v>
      </c>
      <c r="E103">
        <f t="shared" si="1"/>
        <v>38</v>
      </c>
    </row>
    <row r="104" spans="1:5" x14ac:dyDescent="0.35">
      <c r="A104" t="s">
        <v>422</v>
      </c>
      <c r="B104" t="s">
        <v>219</v>
      </c>
      <c r="C104" t="s">
        <v>422</v>
      </c>
      <c r="D104" t="s">
        <v>219</v>
      </c>
      <c r="E104">
        <f t="shared" si="1"/>
        <v>54</v>
      </c>
    </row>
    <row r="105" spans="1:5" x14ac:dyDescent="0.35">
      <c r="A105" t="s">
        <v>423</v>
      </c>
      <c r="B105" t="s">
        <v>220</v>
      </c>
      <c r="C105" t="s">
        <v>423</v>
      </c>
      <c r="D105" t="s">
        <v>220</v>
      </c>
      <c r="E105">
        <f t="shared" si="1"/>
        <v>71</v>
      </c>
    </row>
    <row r="106" spans="1:5" x14ac:dyDescent="0.35">
      <c r="A106" t="s">
        <v>424</v>
      </c>
      <c r="B106" t="s">
        <v>221</v>
      </c>
      <c r="C106" t="s">
        <v>424</v>
      </c>
      <c r="D106" t="s">
        <v>311</v>
      </c>
      <c r="E106">
        <f t="shared" si="1"/>
        <v>66</v>
      </c>
    </row>
    <row r="107" spans="1:5" x14ac:dyDescent="0.35">
      <c r="A107" t="s">
        <v>425</v>
      </c>
      <c r="B107" t="s">
        <v>222</v>
      </c>
      <c r="C107" t="s">
        <v>425</v>
      </c>
      <c r="D107" t="s">
        <v>222</v>
      </c>
      <c r="E107">
        <f t="shared" si="1"/>
        <v>43</v>
      </c>
    </row>
    <row r="108" spans="1:5" x14ac:dyDescent="0.35">
      <c r="A108" t="s">
        <v>426</v>
      </c>
      <c r="B108" t="s">
        <v>223</v>
      </c>
      <c r="C108" t="s">
        <v>426</v>
      </c>
      <c r="D108" t="s">
        <v>312</v>
      </c>
      <c r="E108">
        <f t="shared" si="1"/>
        <v>54</v>
      </c>
    </row>
    <row r="109" spans="1:5" x14ac:dyDescent="0.35">
      <c r="A109" t="s">
        <v>427</v>
      </c>
      <c r="B109" t="s">
        <v>224</v>
      </c>
      <c r="C109" t="s">
        <v>427</v>
      </c>
      <c r="D109" t="s">
        <v>313</v>
      </c>
      <c r="E109">
        <f t="shared" si="1"/>
        <v>68</v>
      </c>
    </row>
    <row r="110" spans="1:5" x14ac:dyDescent="0.35">
      <c r="A110" t="s">
        <v>428</v>
      </c>
      <c r="B110" t="s">
        <v>225</v>
      </c>
      <c r="C110" t="s">
        <v>428</v>
      </c>
      <c r="D110" t="s">
        <v>314</v>
      </c>
      <c r="E110">
        <f t="shared" si="1"/>
        <v>116</v>
      </c>
    </row>
    <row r="111" spans="1:5" x14ac:dyDescent="0.35">
      <c r="A111" t="s">
        <v>409</v>
      </c>
      <c r="B111" t="s">
        <v>226</v>
      </c>
      <c r="C111" t="s">
        <v>409</v>
      </c>
      <c r="D111" t="s">
        <v>226</v>
      </c>
      <c r="E111">
        <f t="shared" si="1"/>
        <v>88</v>
      </c>
    </row>
    <row r="112" spans="1:5" x14ac:dyDescent="0.35">
      <c r="A112" t="s">
        <v>410</v>
      </c>
      <c r="B112" t="s">
        <v>227</v>
      </c>
      <c r="C112" t="s">
        <v>410</v>
      </c>
      <c r="D112" t="s">
        <v>227</v>
      </c>
      <c r="E112">
        <f t="shared" si="1"/>
        <v>102</v>
      </c>
    </row>
    <row r="113" spans="1:5" x14ac:dyDescent="0.35">
      <c r="A113" t="s">
        <v>411</v>
      </c>
      <c r="B113" t="s">
        <v>228</v>
      </c>
      <c r="C113" t="s">
        <v>411</v>
      </c>
      <c r="D113" t="s">
        <v>228</v>
      </c>
      <c r="E113">
        <f t="shared" si="1"/>
        <v>60</v>
      </c>
    </row>
    <row r="114" spans="1:5" x14ac:dyDescent="0.35">
      <c r="A114" t="s">
        <v>412</v>
      </c>
      <c r="B114" t="s">
        <v>229</v>
      </c>
      <c r="C114" t="s">
        <v>412</v>
      </c>
      <c r="D114" t="s">
        <v>315</v>
      </c>
      <c r="E114">
        <f t="shared" si="1"/>
        <v>94</v>
      </c>
    </row>
    <row r="115" spans="1:5" x14ac:dyDescent="0.35">
      <c r="A115" t="s">
        <v>455</v>
      </c>
      <c r="B115" t="s">
        <v>230</v>
      </c>
      <c r="C115" t="s">
        <v>455</v>
      </c>
      <c r="D115" t="s">
        <v>230</v>
      </c>
      <c r="E115">
        <f t="shared" si="1"/>
        <v>96</v>
      </c>
    </row>
    <row r="116" spans="1:5" x14ac:dyDescent="0.35">
      <c r="A116" t="s">
        <v>456</v>
      </c>
      <c r="B116" t="s">
        <v>231</v>
      </c>
      <c r="C116" t="s">
        <v>456</v>
      </c>
      <c r="D116" t="s">
        <v>231</v>
      </c>
      <c r="E116">
        <f t="shared" si="1"/>
        <v>68</v>
      </c>
    </row>
    <row r="117" spans="1:5" x14ac:dyDescent="0.35">
      <c r="A117" t="s">
        <v>457</v>
      </c>
      <c r="B117" t="s">
        <v>232</v>
      </c>
      <c r="C117" t="s">
        <v>457</v>
      </c>
      <c r="D117" t="s">
        <v>317</v>
      </c>
      <c r="E117">
        <f t="shared" si="1"/>
        <v>84</v>
      </c>
    </row>
    <row r="118" spans="1:5" x14ac:dyDescent="0.35">
      <c r="A118" t="s">
        <v>340</v>
      </c>
      <c r="B118" t="s">
        <v>233</v>
      </c>
      <c r="C118" t="s">
        <v>340</v>
      </c>
      <c r="D118" t="s">
        <v>233</v>
      </c>
      <c r="E118">
        <f t="shared" si="1"/>
        <v>92</v>
      </c>
    </row>
    <row r="119" spans="1:5" x14ac:dyDescent="0.35">
      <c r="A119" t="s">
        <v>341</v>
      </c>
      <c r="B119" t="s">
        <v>234</v>
      </c>
      <c r="C119" t="s">
        <v>341</v>
      </c>
      <c r="D119" t="s">
        <v>234</v>
      </c>
      <c r="E119">
        <f t="shared" si="1"/>
        <v>76</v>
      </c>
    </row>
    <row r="120" spans="1:5" x14ac:dyDescent="0.35">
      <c r="A120" t="s">
        <v>342</v>
      </c>
      <c r="B120" t="s">
        <v>235</v>
      </c>
      <c r="C120" t="s">
        <v>342</v>
      </c>
      <c r="D120" t="s">
        <v>235</v>
      </c>
      <c r="E120">
        <f t="shared" si="1"/>
        <v>79</v>
      </c>
    </row>
    <row r="121" spans="1:5" x14ac:dyDescent="0.35">
      <c r="A121" t="s">
        <v>343</v>
      </c>
      <c r="B121" t="s">
        <v>236</v>
      </c>
      <c r="C121" t="s">
        <v>343</v>
      </c>
      <c r="D121" t="s">
        <v>236</v>
      </c>
      <c r="E121">
        <f t="shared" si="1"/>
        <v>93</v>
      </c>
    </row>
    <row r="122" spans="1:5" x14ac:dyDescent="0.35">
      <c r="A122" t="s">
        <v>344</v>
      </c>
      <c r="B122" t="s">
        <v>237</v>
      </c>
      <c r="C122" t="s">
        <v>344</v>
      </c>
      <c r="D122" t="s">
        <v>237</v>
      </c>
      <c r="E122">
        <f t="shared" si="1"/>
        <v>76</v>
      </c>
    </row>
    <row r="123" spans="1:5" x14ac:dyDescent="0.35">
      <c r="A123" t="s">
        <v>345</v>
      </c>
      <c r="B123" t="s">
        <v>238</v>
      </c>
      <c r="C123" t="s">
        <v>345</v>
      </c>
      <c r="D123" t="s">
        <v>238</v>
      </c>
      <c r="E123">
        <f t="shared" si="1"/>
        <v>75</v>
      </c>
    </row>
    <row r="124" spans="1:5" x14ac:dyDescent="0.35">
      <c r="A124" t="s">
        <v>346</v>
      </c>
      <c r="B124" t="s">
        <v>239</v>
      </c>
      <c r="C124" t="s">
        <v>346</v>
      </c>
      <c r="D124" t="s">
        <v>319</v>
      </c>
      <c r="E124">
        <f t="shared" si="1"/>
        <v>102</v>
      </c>
    </row>
    <row r="125" spans="1:5" x14ac:dyDescent="0.35">
      <c r="A125" t="s">
        <v>458</v>
      </c>
      <c r="B125" t="s">
        <v>240</v>
      </c>
      <c r="C125" t="s">
        <v>458</v>
      </c>
      <c r="D125" t="s">
        <v>240</v>
      </c>
      <c r="E125">
        <f t="shared" si="1"/>
        <v>96</v>
      </c>
    </row>
    <row r="126" spans="1:5" x14ac:dyDescent="0.35">
      <c r="A126" t="s">
        <v>459</v>
      </c>
      <c r="B126" t="s">
        <v>241</v>
      </c>
      <c r="C126" t="s">
        <v>459</v>
      </c>
      <c r="D126" t="s">
        <v>241</v>
      </c>
      <c r="E126">
        <f t="shared" si="1"/>
        <v>96</v>
      </c>
    </row>
    <row r="127" spans="1:5" x14ac:dyDescent="0.35">
      <c r="A127" t="s">
        <v>460</v>
      </c>
      <c r="B127" t="s">
        <v>242</v>
      </c>
      <c r="C127" t="s">
        <v>460</v>
      </c>
      <c r="D127" t="s">
        <v>242</v>
      </c>
      <c r="E127">
        <f t="shared" si="1"/>
        <v>85</v>
      </c>
    </row>
    <row r="128" spans="1:5" x14ac:dyDescent="0.35">
      <c r="A128" t="s">
        <v>461</v>
      </c>
      <c r="B128" t="s">
        <v>243</v>
      </c>
      <c r="C128" t="s">
        <v>461</v>
      </c>
      <c r="D128" t="s">
        <v>321</v>
      </c>
      <c r="E128">
        <f t="shared" si="1"/>
        <v>90</v>
      </c>
    </row>
    <row r="129" spans="1:5" x14ac:dyDescent="0.35">
      <c r="A129" t="s">
        <v>413</v>
      </c>
      <c r="B129" t="s">
        <v>244</v>
      </c>
      <c r="C129" t="s">
        <v>413</v>
      </c>
      <c r="D129" t="s">
        <v>244</v>
      </c>
      <c r="E129">
        <f t="shared" si="1"/>
        <v>109</v>
      </c>
    </row>
    <row r="130" spans="1:5" x14ac:dyDescent="0.35">
      <c r="A130" t="s">
        <v>414</v>
      </c>
      <c r="B130" t="s">
        <v>245</v>
      </c>
      <c r="C130" t="s">
        <v>414</v>
      </c>
      <c r="D130" t="s">
        <v>245</v>
      </c>
      <c r="E130">
        <f t="shared" si="1"/>
        <v>99</v>
      </c>
    </row>
    <row r="131" spans="1:5" x14ac:dyDescent="0.35">
      <c r="A131" t="s">
        <v>415</v>
      </c>
      <c r="B131" t="s">
        <v>246</v>
      </c>
      <c r="C131" t="s">
        <v>415</v>
      </c>
      <c r="D131" t="s">
        <v>323</v>
      </c>
      <c r="E131">
        <f t="shared" ref="E131:E138" si="2">LEN(D131)</f>
        <v>129</v>
      </c>
    </row>
    <row r="132" spans="1:5" x14ac:dyDescent="0.35">
      <c r="A132" t="s">
        <v>416</v>
      </c>
      <c r="B132" t="s">
        <v>247</v>
      </c>
      <c r="C132" t="s">
        <v>416</v>
      </c>
      <c r="D132" t="s">
        <v>247</v>
      </c>
      <c r="E132">
        <f t="shared" si="2"/>
        <v>60</v>
      </c>
    </row>
    <row r="133" spans="1:5" x14ac:dyDescent="0.35">
      <c r="A133" t="s">
        <v>417</v>
      </c>
      <c r="B133" t="s">
        <v>248</v>
      </c>
      <c r="C133" t="s">
        <v>417</v>
      </c>
      <c r="D133" t="s">
        <v>324</v>
      </c>
      <c r="E133">
        <f t="shared" si="2"/>
        <v>133</v>
      </c>
    </row>
    <row r="134" spans="1:5" x14ac:dyDescent="0.35">
      <c r="A134" t="s">
        <v>347</v>
      </c>
      <c r="B134" t="s">
        <v>249</v>
      </c>
      <c r="C134" t="s">
        <v>347</v>
      </c>
      <c r="D134" t="s">
        <v>249</v>
      </c>
      <c r="E134">
        <f t="shared" si="2"/>
        <v>94</v>
      </c>
    </row>
    <row r="135" spans="1:5" x14ac:dyDescent="0.35">
      <c r="A135" t="s">
        <v>348</v>
      </c>
      <c r="B135" t="s">
        <v>250</v>
      </c>
      <c r="C135" t="s">
        <v>348</v>
      </c>
      <c r="D135" t="s">
        <v>250</v>
      </c>
      <c r="E135">
        <f t="shared" si="2"/>
        <v>75</v>
      </c>
    </row>
    <row r="136" spans="1:5" x14ac:dyDescent="0.35">
      <c r="A136" t="s">
        <v>349</v>
      </c>
      <c r="B136" t="s">
        <v>251</v>
      </c>
      <c r="C136" t="s">
        <v>349</v>
      </c>
      <c r="D136" t="s">
        <v>251</v>
      </c>
      <c r="E136">
        <f t="shared" si="2"/>
        <v>60</v>
      </c>
    </row>
    <row r="137" spans="1:5" x14ac:dyDescent="0.35">
      <c r="A137" t="s">
        <v>350</v>
      </c>
      <c r="B137" t="s">
        <v>252</v>
      </c>
      <c r="C137" t="s">
        <v>350</v>
      </c>
      <c r="D137" t="s">
        <v>326</v>
      </c>
      <c r="E137">
        <f t="shared" si="2"/>
        <v>78</v>
      </c>
    </row>
    <row r="138" spans="1:5" x14ac:dyDescent="0.35">
      <c r="A138" t="s">
        <v>357</v>
      </c>
      <c r="B138" t="s">
        <v>253</v>
      </c>
      <c r="C138" t="s">
        <v>357</v>
      </c>
      <c r="D138" t="s">
        <v>328</v>
      </c>
      <c r="E138">
        <f t="shared" si="2"/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FCA1-1D02-47EE-889F-FC487821CD90}">
  <dimension ref="A1:D138"/>
  <sheetViews>
    <sheetView topLeftCell="C111" workbookViewId="0">
      <selection activeCell="C125" sqref="C125"/>
    </sheetView>
  </sheetViews>
  <sheetFormatPr baseColWidth="10" defaultRowHeight="14.5" x14ac:dyDescent="0.35"/>
  <cols>
    <col min="2" max="2" width="37.36328125" customWidth="1"/>
    <col min="3" max="3" width="120.453125" customWidth="1"/>
  </cols>
  <sheetData>
    <row r="1" spans="1:4" x14ac:dyDescent="0.35">
      <c r="A1" t="s">
        <v>254</v>
      </c>
      <c r="B1" t="s">
        <v>256</v>
      </c>
      <c r="C1" t="s">
        <v>257</v>
      </c>
      <c r="D1" t="s">
        <v>254</v>
      </c>
    </row>
    <row r="2" spans="1:4" x14ac:dyDescent="0.35">
      <c r="A2" t="s">
        <v>329</v>
      </c>
      <c r="B2" t="s">
        <v>0</v>
      </c>
      <c r="C2" t="s">
        <v>118</v>
      </c>
      <c r="D2" t="s">
        <v>329</v>
      </c>
    </row>
    <row r="3" spans="1:4" x14ac:dyDescent="0.35">
      <c r="A3" t="s">
        <v>330</v>
      </c>
      <c r="B3" t="s">
        <v>0</v>
      </c>
      <c r="C3" t="s">
        <v>119</v>
      </c>
      <c r="D3" t="s">
        <v>330</v>
      </c>
    </row>
    <row r="4" spans="1:4" x14ac:dyDescent="0.35">
      <c r="A4" t="s">
        <v>331</v>
      </c>
      <c r="B4" t="s">
        <v>0</v>
      </c>
      <c r="C4" t="s">
        <v>258</v>
      </c>
      <c r="D4" t="s">
        <v>331</v>
      </c>
    </row>
    <row r="5" spans="1:4" x14ac:dyDescent="0.35">
      <c r="A5" t="s">
        <v>332</v>
      </c>
      <c r="B5" t="s">
        <v>0</v>
      </c>
      <c r="C5" t="s">
        <v>259</v>
      </c>
      <c r="D5" t="s">
        <v>332</v>
      </c>
    </row>
    <row r="6" spans="1:4" x14ac:dyDescent="0.35">
      <c r="A6" t="s">
        <v>333</v>
      </c>
      <c r="B6" t="s">
        <v>0</v>
      </c>
      <c r="C6" t="s">
        <v>122</v>
      </c>
      <c r="D6" t="s">
        <v>333</v>
      </c>
    </row>
    <row r="7" spans="1:4" x14ac:dyDescent="0.35">
      <c r="A7" t="s">
        <v>334</v>
      </c>
      <c r="B7" t="s">
        <v>0</v>
      </c>
      <c r="C7" t="s">
        <v>123</v>
      </c>
      <c r="D7" t="s">
        <v>334</v>
      </c>
    </row>
    <row r="8" spans="1:4" x14ac:dyDescent="0.35">
      <c r="A8" t="s">
        <v>335</v>
      </c>
      <c r="B8" t="s">
        <v>0</v>
      </c>
      <c r="C8" t="s">
        <v>124</v>
      </c>
      <c r="D8" t="s">
        <v>335</v>
      </c>
    </row>
    <row r="9" spans="1:4" x14ac:dyDescent="0.35">
      <c r="A9" t="s">
        <v>336</v>
      </c>
      <c r="B9" t="s">
        <v>0</v>
      </c>
      <c r="C9" t="s">
        <v>260</v>
      </c>
      <c r="D9" t="s">
        <v>336</v>
      </c>
    </row>
    <row r="10" spans="1:4" x14ac:dyDescent="0.35">
      <c r="A10" t="s">
        <v>337</v>
      </c>
      <c r="B10" t="s">
        <v>0</v>
      </c>
      <c r="C10" t="s">
        <v>126</v>
      </c>
      <c r="D10" t="s">
        <v>337</v>
      </c>
    </row>
    <row r="11" spans="1:4" x14ac:dyDescent="0.35">
      <c r="A11" t="s">
        <v>338</v>
      </c>
      <c r="B11" t="s">
        <v>0</v>
      </c>
      <c r="C11" t="s">
        <v>127</v>
      </c>
      <c r="D11" t="s">
        <v>338</v>
      </c>
    </row>
    <row r="12" spans="1:4" x14ac:dyDescent="0.35">
      <c r="A12" t="s">
        <v>339</v>
      </c>
      <c r="B12" s="1" t="s">
        <v>0</v>
      </c>
      <c r="C12" s="1" t="s">
        <v>261</v>
      </c>
      <c r="D12" t="s">
        <v>339</v>
      </c>
    </row>
    <row r="13" spans="1:4" x14ac:dyDescent="0.35">
      <c r="A13" t="s">
        <v>340</v>
      </c>
      <c r="B13" t="s">
        <v>318</v>
      </c>
      <c r="C13" t="s">
        <v>233</v>
      </c>
      <c r="D13" t="s">
        <v>340</v>
      </c>
    </row>
    <row r="14" spans="1:4" x14ac:dyDescent="0.35">
      <c r="A14" t="s">
        <v>341</v>
      </c>
      <c r="B14" t="s">
        <v>318</v>
      </c>
      <c r="C14" t="s">
        <v>234</v>
      </c>
      <c r="D14" t="s">
        <v>341</v>
      </c>
    </row>
    <row r="15" spans="1:4" x14ac:dyDescent="0.35">
      <c r="A15" t="s">
        <v>342</v>
      </c>
      <c r="B15" t="s">
        <v>318</v>
      </c>
      <c r="C15" t="s">
        <v>235</v>
      </c>
      <c r="D15" t="s">
        <v>342</v>
      </c>
    </row>
    <row r="16" spans="1:4" x14ac:dyDescent="0.35">
      <c r="A16" t="s">
        <v>343</v>
      </c>
      <c r="B16" t="s">
        <v>318</v>
      </c>
      <c r="C16" t="s">
        <v>236</v>
      </c>
      <c r="D16" t="s">
        <v>343</v>
      </c>
    </row>
    <row r="17" spans="1:4" x14ac:dyDescent="0.35">
      <c r="A17" t="s">
        <v>344</v>
      </c>
      <c r="B17" t="s">
        <v>318</v>
      </c>
      <c r="C17" t="s">
        <v>237</v>
      </c>
      <c r="D17" t="s">
        <v>344</v>
      </c>
    </row>
    <row r="18" spans="1:4" x14ac:dyDescent="0.35">
      <c r="A18" t="s">
        <v>345</v>
      </c>
      <c r="B18" t="s">
        <v>318</v>
      </c>
      <c r="C18" t="s">
        <v>238</v>
      </c>
      <c r="D18" t="s">
        <v>345</v>
      </c>
    </row>
    <row r="19" spans="1:4" x14ac:dyDescent="0.35">
      <c r="A19" t="s">
        <v>346</v>
      </c>
      <c r="B19" t="s">
        <v>318</v>
      </c>
      <c r="C19" t="s">
        <v>319</v>
      </c>
      <c r="D19" t="s">
        <v>346</v>
      </c>
    </row>
    <row r="20" spans="1:4" x14ac:dyDescent="0.35">
      <c r="A20" t="s">
        <v>347</v>
      </c>
      <c r="B20" t="s">
        <v>325</v>
      </c>
      <c r="C20" t="s">
        <v>249</v>
      </c>
      <c r="D20" t="s">
        <v>347</v>
      </c>
    </row>
    <row r="21" spans="1:4" x14ac:dyDescent="0.35">
      <c r="A21" t="s">
        <v>348</v>
      </c>
      <c r="B21" t="s">
        <v>325</v>
      </c>
      <c r="C21" t="s">
        <v>250</v>
      </c>
      <c r="D21" t="s">
        <v>348</v>
      </c>
    </row>
    <row r="22" spans="1:4" x14ac:dyDescent="0.35">
      <c r="A22" t="s">
        <v>349</v>
      </c>
      <c r="B22" t="s">
        <v>325</v>
      </c>
      <c r="C22" t="s">
        <v>251</v>
      </c>
      <c r="D22" t="s">
        <v>349</v>
      </c>
    </row>
    <row r="23" spans="1:4" x14ac:dyDescent="0.35">
      <c r="A23" t="s">
        <v>350</v>
      </c>
      <c r="B23" t="s">
        <v>325</v>
      </c>
      <c r="C23" t="s">
        <v>326</v>
      </c>
      <c r="D23" t="s">
        <v>350</v>
      </c>
    </row>
    <row r="24" spans="1:4" x14ac:dyDescent="0.35">
      <c r="A24" t="s">
        <v>351</v>
      </c>
      <c r="B24" t="s">
        <v>3</v>
      </c>
      <c r="C24" t="s">
        <v>139</v>
      </c>
      <c r="D24" t="s">
        <v>351</v>
      </c>
    </row>
    <row r="25" spans="1:4" x14ac:dyDescent="0.35">
      <c r="A25" t="s">
        <v>352</v>
      </c>
      <c r="B25" t="s">
        <v>3</v>
      </c>
      <c r="C25" t="s">
        <v>140</v>
      </c>
      <c r="D25" t="s">
        <v>352</v>
      </c>
    </row>
    <row r="26" spans="1:4" x14ac:dyDescent="0.35">
      <c r="A26" t="s">
        <v>353</v>
      </c>
      <c r="B26" t="s">
        <v>3</v>
      </c>
      <c r="C26" t="s">
        <v>272</v>
      </c>
      <c r="D26" t="s">
        <v>353</v>
      </c>
    </row>
    <row r="27" spans="1:4" x14ac:dyDescent="0.35">
      <c r="A27" t="s">
        <v>354</v>
      </c>
      <c r="B27" t="s">
        <v>3</v>
      </c>
      <c r="C27" t="s">
        <v>142</v>
      </c>
      <c r="D27" t="s">
        <v>354</v>
      </c>
    </row>
    <row r="28" spans="1:4" x14ac:dyDescent="0.35">
      <c r="A28" t="s">
        <v>355</v>
      </c>
      <c r="B28" t="s">
        <v>3</v>
      </c>
      <c r="C28" t="s">
        <v>273</v>
      </c>
      <c r="D28" t="s">
        <v>355</v>
      </c>
    </row>
    <row r="29" spans="1:4" x14ac:dyDescent="0.35">
      <c r="A29" t="s">
        <v>356</v>
      </c>
      <c r="B29" s="1" t="s">
        <v>3</v>
      </c>
      <c r="C29" s="1" t="s">
        <v>274</v>
      </c>
      <c r="D29" t="s">
        <v>356</v>
      </c>
    </row>
    <row r="30" spans="1:4" x14ac:dyDescent="0.35">
      <c r="A30" t="s">
        <v>357</v>
      </c>
      <c r="B30" t="s">
        <v>327</v>
      </c>
      <c r="C30" t="s">
        <v>328</v>
      </c>
      <c r="D30" t="s">
        <v>357</v>
      </c>
    </row>
    <row r="31" spans="1:4" x14ac:dyDescent="0.35">
      <c r="A31" t="s">
        <v>358</v>
      </c>
      <c r="B31" t="s">
        <v>286</v>
      </c>
      <c r="C31" t="s">
        <v>170</v>
      </c>
      <c r="D31" t="s">
        <v>358</v>
      </c>
    </row>
    <row r="32" spans="1:4" x14ac:dyDescent="0.35">
      <c r="A32" t="s">
        <v>359</v>
      </c>
      <c r="B32" t="s">
        <v>286</v>
      </c>
      <c r="C32" t="s">
        <v>171</v>
      </c>
      <c r="D32" t="s">
        <v>359</v>
      </c>
    </row>
    <row r="33" spans="1:4" x14ac:dyDescent="0.35">
      <c r="A33" t="s">
        <v>360</v>
      </c>
      <c r="B33" t="s">
        <v>286</v>
      </c>
      <c r="C33" t="s">
        <v>287</v>
      </c>
      <c r="D33" t="s">
        <v>360</v>
      </c>
    </row>
    <row r="34" spans="1:4" x14ac:dyDescent="0.35">
      <c r="A34" t="s">
        <v>361</v>
      </c>
      <c r="B34" t="s">
        <v>286</v>
      </c>
      <c r="C34" t="s">
        <v>173</v>
      </c>
      <c r="D34" t="s">
        <v>361</v>
      </c>
    </row>
    <row r="35" spans="1:4" x14ac:dyDescent="0.35">
      <c r="A35" t="s">
        <v>362</v>
      </c>
      <c r="B35" t="s">
        <v>286</v>
      </c>
      <c r="C35" t="s">
        <v>174</v>
      </c>
      <c r="D35" t="s">
        <v>362</v>
      </c>
    </row>
    <row r="36" spans="1:4" x14ac:dyDescent="0.35">
      <c r="A36" t="s">
        <v>363</v>
      </c>
      <c r="B36" t="s">
        <v>286</v>
      </c>
      <c r="C36" t="s">
        <v>288</v>
      </c>
      <c r="D36" t="s">
        <v>363</v>
      </c>
    </row>
    <row r="37" spans="1:4" x14ac:dyDescent="0.35">
      <c r="A37" t="s">
        <v>364</v>
      </c>
      <c r="B37" t="s">
        <v>286</v>
      </c>
      <c r="C37" t="s">
        <v>176</v>
      </c>
      <c r="D37" t="s">
        <v>364</v>
      </c>
    </row>
    <row r="38" spans="1:4" x14ac:dyDescent="0.35">
      <c r="A38" t="s">
        <v>365</v>
      </c>
      <c r="B38" t="s">
        <v>286</v>
      </c>
      <c r="C38" t="s">
        <v>177</v>
      </c>
      <c r="D38" t="s">
        <v>365</v>
      </c>
    </row>
    <row r="39" spans="1:4" x14ac:dyDescent="0.35">
      <c r="A39" t="s">
        <v>366</v>
      </c>
      <c r="B39" t="s">
        <v>286</v>
      </c>
      <c r="C39" t="s">
        <v>289</v>
      </c>
      <c r="D39" t="s">
        <v>366</v>
      </c>
    </row>
    <row r="40" spans="1:4" x14ac:dyDescent="0.35">
      <c r="A40" t="s">
        <v>367</v>
      </c>
      <c r="B40" t="s">
        <v>286</v>
      </c>
      <c r="C40" t="s">
        <v>179</v>
      </c>
      <c r="D40" t="s">
        <v>367</v>
      </c>
    </row>
    <row r="41" spans="1:4" x14ac:dyDescent="0.35">
      <c r="A41" t="s">
        <v>368</v>
      </c>
      <c r="B41" t="s">
        <v>286</v>
      </c>
      <c r="C41" t="s">
        <v>180</v>
      </c>
      <c r="D41" t="s">
        <v>368</v>
      </c>
    </row>
    <row r="42" spans="1:4" x14ac:dyDescent="0.35">
      <c r="A42" t="s">
        <v>369</v>
      </c>
      <c r="B42" t="s">
        <v>286</v>
      </c>
      <c r="C42" t="s">
        <v>290</v>
      </c>
      <c r="D42" t="s">
        <v>369</v>
      </c>
    </row>
    <row r="43" spans="1:4" x14ac:dyDescent="0.35">
      <c r="A43" t="s">
        <v>370</v>
      </c>
      <c r="B43" t="s">
        <v>286</v>
      </c>
      <c r="C43" t="s">
        <v>182</v>
      </c>
      <c r="D43" t="s">
        <v>370</v>
      </c>
    </row>
    <row r="44" spans="1:4" x14ac:dyDescent="0.35">
      <c r="A44" t="s">
        <v>371</v>
      </c>
      <c r="B44" t="s">
        <v>286</v>
      </c>
      <c r="C44" t="s">
        <v>183</v>
      </c>
      <c r="D44" t="s">
        <v>371</v>
      </c>
    </row>
    <row r="45" spans="1:4" x14ac:dyDescent="0.35">
      <c r="A45" t="s">
        <v>372</v>
      </c>
      <c r="B45" t="s">
        <v>286</v>
      </c>
      <c r="C45" t="s">
        <v>291</v>
      </c>
      <c r="D45" t="s">
        <v>372</v>
      </c>
    </row>
    <row r="46" spans="1:4" x14ac:dyDescent="0.35">
      <c r="A46" t="s">
        <v>373</v>
      </c>
      <c r="B46" t="s">
        <v>286</v>
      </c>
      <c r="C46" t="s">
        <v>292</v>
      </c>
      <c r="D46" t="s">
        <v>373</v>
      </c>
    </row>
    <row r="47" spans="1:4" x14ac:dyDescent="0.35">
      <c r="A47" t="s">
        <v>374</v>
      </c>
      <c r="B47" t="s">
        <v>286</v>
      </c>
      <c r="C47" t="s">
        <v>186</v>
      </c>
      <c r="D47" t="s">
        <v>374</v>
      </c>
    </row>
    <row r="48" spans="1:4" x14ac:dyDescent="0.35">
      <c r="A48" t="s">
        <v>375</v>
      </c>
      <c r="B48" t="s">
        <v>286</v>
      </c>
      <c r="C48" t="s">
        <v>293</v>
      </c>
      <c r="D48" t="s">
        <v>375</v>
      </c>
    </row>
    <row r="49" spans="1:4" x14ac:dyDescent="0.35">
      <c r="A49" t="s">
        <v>376</v>
      </c>
      <c r="B49" t="s">
        <v>286</v>
      </c>
      <c r="C49" t="s">
        <v>294</v>
      </c>
      <c r="D49" t="s">
        <v>376</v>
      </c>
    </row>
    <row r="50" spans="1:4" x14ac:dyDescent="0.35">
      <c r="A50" t="s">
        <v>377</v>
      </c>
      <c r="B50" t="s">
        <v>286</v>
      </c>
      <c r="C50" t="s">
        <v>255</v>
      </c>
      <c r="D50" t="s">
        <v>377</v>
      </c>
    </row>
    <row r="51" spans="1:4" x14ac:dyDescent="0.35">
      <c r="A51" t="s">
        <v>378</v>
      </c>
      <c r="B51" t="s">
        <v>286</v>
      </c>
      <c r="C51" t="s">
        <v>295</v>
      </c>
      <c r="D51" t="s">
        <v>378</v>
      </c>
    </row>
    <row r="52" spans="1:4" x14ac:dyDescent="0.35">
      <c r="A52" t="s">
        <v>379</v>
      </c>
      <c r="B52" t="s">
        <v>286</v>
      </c>
      <c r="C52" t="s">
        <v>296</v>
      </c>
      <c r="D52" t="s">
        <v>379</v>
      </c>
    </row>
    <row r="53" spans="1:4" x14ac:dyDescent="0.35">
      <c r="A53" t="s">
        <v>380</v>
      </c>
      <c r="B53" t="s">
        <v>286</v>
      </c>
      <c r="C53" t="s">
        <v>297</v>
      </c>
      <c r="D53" t="s">
        <v>380</v>
      </c>
    </row>
    <row r="54" spans="1:4" x14ac:dyDescent="0.35">
      <c r="A54" t="s">
        <v>381</v>
      </c>
      <c r="B54" t="s">
        <v>286</v>
      </c>
      <c r="C54" t="s">
        <v>298</v>
      </c>
      <c r="D54" t="s">
        <v>381</v>
      </c>
    </row>
    <row r="55" spans="1:4" x14ac:dyDescent="0.35">
      <c r="A55" t="s">
        <v>382</v>
      </c>
      <c r="B55" t="s">
        <v>286</v>
      </c>
      <c r="C55" t="s">
        <v>299</v>
      </c>
      <c r="D55" t="s">
        <v>382</v>
      </c>
    </row>
    <row r="56" spans="1:4" x14ac:dyDescent="0.35">
      <c r="A56" t="s">
        <v>383</v>
      </c>
      <c r="B56" t="s">
        <v>286</v>
      </c>
      <c r="C56" t="s">
        <v>300</v>
      </c>
      <c r="D56" t="s">
        <v>383</v>
      </c>
    </row>
    <row r="57" spans="1:4" x14ac:dyDescent="0.35">
      <c r="A57" t="s">
        <v>384</v>
      </c>
      <c r="B57" t="s">
        <v>286</v>
      </c>
      <c r="C57" t="s">
        <v>301</v>
      </c>
      <c r="D57" t="s">
        <v>384</v>
      </c>
    </row>
    <row r="58" spans="1:4" x14ac:dyDescent="0.35">
      <c r="A58" t="s">
        <v>385</v>
      </c>
      <c r="B58" t="s">
        <v>286</v>
      </c>
      <c r="C58" t="s">
        <v>302</v>
      </c>
      <c r="D58" t="s">
        <v>385</v>
      </c>
    </row>
    <row r="59" spans="1:4" x14ac:dyDescent="0.35">
      <c r="A59" t="s">
        <v>386</v>
      </c>
      <c r="B59" t="s">
        <v>286</v>
      </c>
      <c r="C59" t="s">
        <v>198</v>
      </c>
      <c r="D59" t="s">
        <v>386</v>
      </c>
    </row>
    <row r="60" spans="1:4" x14ac:dyDescent="0.35">
      <c r="A60" t="s">
        <v>387</v>
      </c>
      <c r="B60" t="s">
        <v>286</v>
      </c>
      <c r="C60" t="s">
        <v>199</v>
      </c>
      <c r="D60" t="s">
        <v>387</v>
      </c>
    </row>
    <row r="61" spans="1:4" x14ac:dyDescent="0.35">
      <c r="A61" t="s">
        <v>388</v>
      </c>
      <c r="B61" t="s">
        <v>286</v>
      </c>
      <c r="C61" t="s">
        <v>303</v>
      </c>
      <c r="D61" t="s">
        <v>388</v>
      </c>
    </row>
    <row r="62" spans="1:4" x14ac:dyDescent="0.35">
      <c r="A62" t="s">
        <v>389</v>
      </c>
      <c r="B62" t="s">
        <v>286</v>
      </c>
      <c r="C62" t="s">
        <v>304</v>
      </c>
      <c r="D62" t="s">
        <v>389</v>
      </c>
    </row>
    <row r="63" spans="1:4" x14ac:dyDescent="0.35">
      <c r="A63" t="s">
        <v>390</v>
      </c>
      <c r="B63" t="s">
        <v>286</v>
      </c>
      <c r="C63" t="s">
        <v>202</v>
      </c>
      <c r="D63" t="s">
        <v>390</v>
      </c>
    </row>
    <row r="64" spans="1:4" x14ac:dyDescent="0.35">
      <c r="A64" t="s">
        <v>391</v>
      </c>
      <c r="B64" t="s">
        <v>286</v>
      </c>
      <c r="C64" t="s">
        <v>203</v>
      </c>
      <c r="D64" t="s">
        <v>391</v>
      </c>
    </row>
    <row r="65" spans="1:4" x14ac:dyDescent="0.35">
      <c r="A65" t="s">
        <v>392</v>
      </c>
      <c r="B65" t="s">
        <v>286</v>
      </c>
      <c r="C65" t="s">
        <v>204</v>
      </c>
      <c r="D65" t="s">
        <v>392</v>
      </c>
    </row>
    <row r="66" spans="1:4" x14ac:dyDescent="0.35">
      <c r="A66" t="s">
        <v>393</v>
      </c>
      <c r="B66" t="s">
        <v>286</v>
      </c>
      <c r="C66" t="s">
        <v>305</v>
      </c>
      <c r="D66" t="s">
        <v>393</v>
      </c>
    </row>
    <row r="67" spans="1:4" x14ac:dyDescent="0.35">
      <c r="A67" t="s">
        <v>394</v>
      </c>
      <c r="B67" t="s">
        <v>286</v>
      </c>
      <c r="C67" t="s">
        <v>306</v>
      </c>
      <c r="D67" t="s">
        <v>394</v>
      </c>
    </row>
    <row r="68" spans="1:4" x14ac:dyDescent="0.35">
      <c r="A68" t="s">
        <v>395</v>
      </c>
      <c r="B68" t="s">
        <v>286</v>
      </c>
      <c r="C68" t="s">
        <v>207</v>
      </c>
      <c r="D68" t="s">
        <v>395</v>
      </c>
    </row>
    <row r="69" spans="1:4" x14ac:dyDescent="0.35">
      <c r="A69" t="s">
        <v>396</v>
      </c>
      <c r="B69" t="s">
        <v>286</v>
      </c>
      <c r="C69" t="s">
        <v>208</v>
      </c>
      <c r="D69" t="s">
        <v>396</v>
      </c>
    </row>
    <row r="70" spans="1:4" x14ac:dyDescent="0.35">
      <c r="A70" t="s">
        <v>397</v>
      </c>
      <c r="B70" t="s">
        <v>286</v>
      </c>
      <c r="C70" t="s">
        <v>307</v>
      </c>
      <c r="D70" t="s">
        <v>397</v>
      </c>
    </row>
    <row r="71" spans="1:4" x14ac:dyDescent="0.35">
      <c r="A71" t="s">
        <v>398</v>
      </c>
      <c r="B71" t="s">
        <v>286</v>
      </c>
      <c r="C71" t="s">
        <v>210</v>
      </c>
      <c r="D71" t="s">
        <v>398</v>
      </c>
    </row>
    <row r="72" spans="1:4" x14ac:dyDescent="0.35">
      <c r="A72" t="s">
        <v>399</v>
      </c>
      <c r="B72" t="s">
        <v>286</v>
      </c>
      <c r="C72" t="s">
        <v>211</v>
      </c>
      <c r="D72" t="s">
        <v>399</v>
      </c>
    </row>
    <row r="73" spans="1:4" x14ac:dyDescent="0.35">
      <c r="A73" t="s">
        <v>400</v>
      </c>
      <c r="B73" t="s">
        <v>286</v>
      </c>
      <c r="C73" t="s">
        <v>308</v>
      </c>
      <c r="D73" t="s">
        <v>400</v>
      </c>
    </row>
    <row r="74" spans="1:4" x14ac:dyDescent="0.35">
      <c r="A74" t="s">
        <v>401</v>
      </c>
      <c r="B74" t="s">
        <v>286</v>
      </c>
      <c r="C74" t="s">
        <v>213</v>
      </c>
      <c r="D74" t="s">
        <v>401</v>
      </c>
    </row>
    <row r="75" spans="1:4" x14ac:dyDescent="0.35">
      <c r="A75" t="s">
        <v>402</v>
      </c>
      <c r="B75" t="s">
        <v>286</v>
      </c>
      <c r="C75" t="s">
        <v>214</v>
      </c>
      <c r="D75" t="s">
        <v>402</v>
      </c>
    </row>
    <row r="76" spans="1:4" x14ac:dyDescent="0.35">
      <c r="A76" t="s">
        <v>403</v>
      </c>
      <c r="B76" t="s">
        <v>262</v>
      </c>
      <c r="C76" t="s">
        <v>263</v>
      </c>
      <c r="D76" t="s">
        <v>403</v>
      </c>
    </row>
    <row r="77" spans="1:4" x14ac:dyDescent="0.35">
      <c r="A77" t="s">
        <v>404</v>
      </c>
      <c r="B77" t="s">
        <v>262</v>
      </c>
      <c r="C77" t="s">
        <v>130</v>
      </c>
      <c r="D77" t="s">
        <v>404</v>
      </c>
    </row>
    <row r="78" spans="1:4" x14ac:dyDescent="0.35">
      <c r="A78" t="s">
        <v>405</v>
      </c>
      <c r="B78" t="s">
        <v>262</v>
      </c>
      <c r="C78" t="s">
        <v>264</v>
      </c>
      <c r="D78" t="s">
        <v>405</v>
      </c>
    </row>
    <row r="79" spans="1:4" x14ac:dyDescent="0.35">
      <c r="A79" t="s">
        <v>406</v>
      </c>
      <c r="B79" t="s">
        <v>262</v>
      </c>
      <c r="C79" t="s">
        <v>132</v>
      </c>
      <c r="D79" t="s">
        <v>406</v>
      </c>
    </row>
    <row r="80" spans="1:4" x14ac:dyDescent="0.35">
      <c r="A80" t="s">
        <v>407</v>
      </c>
      <c r="B80" t="s">
        <v>262</v>
      </c>
      <c r="C80" t="s">
        <v>265</v>
      </c>
      <c r="D80" t="s">
        <v>407</v>
      </c>
    </row>
    <row r="81" spans="1:4" x14ac:dyDescent="0.35">
      <c r="A81" t="s">
        <v>408</v>
      </c>
      <c r="B81" s="1" t="s">
        <v>262</v>
      </c>
      <c r="C81" s="1" t="s">
        <v>266</v>
      </c>
      <c r="D81" t="s">
        <v>408</v>
      </c>
    </row>
    <row r="82" spans="1:4" x14ac:dyDescent="0.35">
      <c r="A82" t="s">
        <v>409</v>
      </c>
      <c r="B82" t="s">
        <v>4</v>
      </c>
      <c r="C82" t="s">
        <v>226</v>
      </c>
      <c r="D82" t="s">
        <v>409</v>
      </c>
    </row>
    <row r="83" spans="1:4" x14ac:dyDescent="0.35">
      <c r="A83" t="s">
        <v>410</v>
      </c>
      <c r="B83" t="s">
        <v>4</v>
      </c>
      <c r="C83" t="s">
        <v>227</v>
      </c>
      <c r="D83" t="s">
        <v>410</v>
      </c>
    </row>
    <row r="84" spans="1:4" x14ac:dyDescent="0.35">
      <c r="A84" t="s">
        <v>411</v>
      </c>
      <c r="B84" t="s">
        <v>4</v>
      </c>
      <c r="C84" t="s">
        <v>228</v>
      </c>
      <c r="D84" t="s">
        <v>411</v>
      </c>
    </row>
    <row r="85" spans="1:4" x14ac:dyDescent="0.35">
      <c r="A85" t="s">
        <v>412</v>
      </c>
      <c r="B85" t="s">
        <v>4</v>
      </c>
      <c r="C85" t="s">
        <v>315</v>
      </c>
      <c r="D85" t="s">
        <v>412</v>
      </c>
    </row>
    <row r="86" spans="1:4" x14ac:dyDescent="0.35">
      <c r="A86" t="s">
        <v>413</v>
      </c>
      <c r="B86" t="s">
        <v>322</v>
      </c>
      <c r="C86" t="s">
        <v>244</v>
      </c>
      <c r="D86" t="s">
        <v>413</v>
      </c>
    </row>
    <row r="87" spans="1:4" x14ac:dyDescent="0.35">
      <c r="A87" t="s">
        <v>414</v>
      </c>
      <c r="B87" t="s">
        <v>322</v>
      </c>
      <c r="C87" t="s">
        <v>245</v>
      </c>
      <c r="D87" t="s">
        <v>414</v>
      </c>
    </row>
    <row r="88" spans="1:4" x14ac:dyDescent="0.35">
      <c r="A88" t="s">
        <v>415</v>
      </c>
      <c r="B88" t="s">
        <v>322</v>
      </c>
      <c r="C88" t="s">
        <v>323</v>
      </c>
      <c r="D88" t="s">
        <v>415</v>
      </c>
    </row>
    <row r="89" spans="1:4" x14ac:dyDescent="0.35">
      <c r="A89" t="s">
        <v>416</v>
      </c>
      <c r="B89" t="s">
        <v>322</v>
      </c>
      <c r="C89" t="s">
        <v>247</v>
      </c>
      <c r="D89" t="s">
        <v>416</v>
      </c>
    </row>
    <row r="90" spans="1:4" x14ac:dyDescent="0.35">
      <c r="A90" t="s">
        <v>417</v>
      </c>
      <c r="B90" t="s">
        <v>322</v>
      </c>
      <c r="C90" t="s">
        <v>324</v>
      </c>
      <c r="D90" t="s">
        <v>417</v>
      </c>
    </row>
    <row r="91" spans="1:4" x14ac:dyDescent="0.35">
      <c r="A91" t="s">
        <v>418</v>
      </c>
      <c r="B91" t="s">
        <v>309</v>
      </c>
      <c r="C91" t="s">
        <v>215</v>
      </c>
      <c r="D91" t="s">
        <v>418</v>
      </c>
    </row>
    <row r="92" spans="1:4" x14ac:dyDescent="0.35">
      <c r="A92" t="s">
        <v>419</v>
      </c>
      <c r="B92" t="s">
        <v>309</v>
      </c>
      <c r="C92" t="s">
        <v>216</v>
      </c>
      <c r="D92" t="s">
        <v>419</v>
      </c>
    </row>
    <row r="93" spans="1:4" x14ac:dyDescent="0.35">
      <c r="A93" t="s">
        <v>420</v>
      </c>
      <c r="B93" t="s">
        <v>309</v>
      </c>
      <c r="C93" t="s">
        <v>310</v>
      </c>
      <c r="D93" t="s">
        <v>420</v>
      </c>
    </row>
    <row r="94" spans="1:4" x14ac:dyDescent="0.35">
      <c r="A94" t="s">
        <v>421</v>
      </c>
      <c r="B94" t="s">
        <v>309</v>
      </c>
      <c r="C94" t="s">
        <v>218</v>
      </c>
      <c r="D94" t="s">
        <v>421</v>
      </c>
    </row>
    <row r="95" spans="1:4" x14ac:dyDescent="0.35">
      <c r="A95" t="s">
        <v>422</v>
      </c>
      <c r="B95" t="s">
        <v>309</v>
      </c>
      <c r="C95" t="s">
        <v>219</v>
      </c>
      <c r="D95" t="s">
        <v>422</v>
      </c>
    </row>
    <row r="96" spans="1:4" x14ac:dyDescent="0.35">
      <c r="A96" t="s">
        <v>423</v>
      </c>
      <c r="B96" t="s">
        <v>309</v>
      </c>
      <c r="C96" t="s">
        <v>220</v>
      </c>
      <c r="D96" t="s">
        <v>423</v>
      </c>
    </row>
    <row r="97" spans="1:4" x14ac:dyDescent="0.35">
      <c r="A97" t="s">
        <v>424</v>
      </c>
      <c r="B97" t="s">
        <v>309</v>
      </c>
      <c r="C97" t="s">
        <v>311</v>
      </c>
      <c r="D97" t="s">
        <v>424</v>
      </c>
    </row>
    <row r="98" spans="1:4" x14ac:dyDescent="0.35">
      <c r="A98" t="s">
        <v>425</v>
      </c>
      <c r="B98" t="s">
        <v>309</v>
      </c>
      <c r="C98" t="s">
        <v>222</v>
      </c>
      <c r="D98" t="s">
        <v>425</v>
      </c>
    </row>
    <row r="99" spans="1:4" x14ac:dyDescent="0.35">
      <c r="A99" t="s">
        <v>426</v>
      </c>
      <c r="B99" t="s">
        <v>309</v>
      </c>
      <c r="C99" t="s">
        <v>312</v>
      </c>
      <c r="D99" t="s">
        <v>426</v>
      </c>
    </row>
    <row r="100" spans="1:4" x14ac:dyDescent="0.35">
      <c r="A100" t="s">
        <v>427</v>
      </c>
      <c r="B100" t="s">
        <v>309</v>
      </c>
      <c r="C100" t="s">
        <v>313</v>
      </c>
      <c r="D100" t="s">
        <v>427</v>
      </c>
    </row>
    <row r="101" spans="1:4" x14ac:dyDescent="0.35">
      <c r="A101" t="s">
        <v>428</v>
      </c>
      <c r="B101" t="s">
        <v>309</v>
      </c>
      <c r="C101" t="s">
        <v>314</v>
      </c>
      <c r="D101" t="s">
        <v>428</v>
      </c>
    </row>
    <row r="102" spans="1:4" x14ac:dyDescent="0.35">
      <c r="A102" t="s">
        <v>429</v>
      </c>
      <c r="B102" t="s">
        <v>275</v>
      </c>
      <c r="C102" t="s">
        <v>145</v>
      </c>
      <c r="D102" t="s">
        <v>429</v>
      </c>
    </row>
    <row r="103" spans="1:4" x14ac:dyDescent="0.35">
      <c r="A103" t="s">
        <v>430</v>
      </c>
      <c r="B103" t="s">
        <v>275</v>
      </c>
      <c r="C103" t="s">
        <v>146</v>
      </c>
      <c r="D103" t="s">
        <v>430</v>
      </c>
    </row>
    <row r="104" spans="1:4" x14ac:dyDescent="0.35">
      <c r="A104" t="s">
        <v>431</v>
      </c>
      <c r="B104" t="s">
        <v>275</v>
      </c>
      <c r="C104" t="s">
        <v>147</v>
      </c>
      <c r="D104" t="s">
        <v>431</v>
      </c>
    </row>
    <row r="105" spans="1:4" x14ac:dyDescent="0.35">
      <c r="A105" t="s">
        <v>432</v>
      </c>
      <c r="B105" t="s">
        <v>275</v>
      </c>
      <c r="C105" t="s">
        <v>148</v>
      </c>
      <c r="D105" t="s">
        <v>432</v>
      </c>
    </row>
    <row r="106" spans="1:4" x14ac:dyDescent="0.35">
      <c r="A106" t="s">
        <v>433</v>
      </c>
      <c r="B106" t="s">
        <v>275</v>
      </c>
      <c r="C106" t="s">
        <v>149</v>
      </c>
      <c r="D106" t="s">
        <v>433</v>
      </c>
    </row>
    <row r="107" spans="1:4" x14ac:dyDescent="0.35">
      <c r="A107" t="s">
        <v>434</v>
      </c>
      <c r="B107" t="s">
        <v>275</v>
      </c>
      <c r="C107" t="s">
        <v>95</v>
      </c>
      <c r="D107" t="s">
        <v>434</v>
      </c>
    </row>
    <row r="108" spans="1:4" x14ac:dyDescent="0.35">
      <c r="A108" t="s">
        <v>435</v>
      </c>
      <c r="B108" t="s">
        <v>275</v>
      </c>
      <c r="C108" t="s">
        <v>150</v>
      </c>
      <c r="D108" t="s">
        <v>435</v>
      </c>
    </row>
    <row r="109" spans="1:4" x14ac:dyDescent="0.35">
      <c r="A109" t="s">
        <v>436</v>
      </c>
      <c r="B109" t="s">
        <v>275</v>
      </c>
      <c r="C109" t="s">
        <v>151</v>
      </c>
      <c r="D109" t="s">
        <v>436</v>
      </c>
    </row>
    <row r="110" spans="1:4" x14ac:dyDescent="0.35">
      <c r="A110" t="s">
        <v>437</v>
      </c>
      <c r="B110" t="s">
        <v>275</v>
      </c>
      <c r="C110" t="s">
        <v>152</v>
      </c>
      <c r="D110" t="s">
        <v>437</v>
      </c>
    </row>
    <row r="111" spans="1:4" x14ac:dyDescent="0.35">
      <c r="A111" t="s">
        <v>438</v>
      </c>
      <c r="B111" t="s">
        <v>275</v>
      </c>
      <c r="C111" t="s">
        <v>153</v>
      </c>
      <c r="D111" t="s">
        <v>438</v>
      </c>
    </row>
    <row r="112" spans="1:4" x14ac:dyDescent="0.35">
      <c r="A112" t="s">
        <v>439</v>
      </c>
      <c r="B112" s="1" t="s">
        <v>275</v>
      </c>
      <c r="C112" s="1" t="s">
        <v>276</v>
      </c>
      <c r="D112" t="s">
        <v>439</v>
      </c>
    </row>
    <row r="113" spans="1:4" x14ac:dyDescent="0.35">
      <c r="A113" t="s">
        <v>440</v>
      </c>
      <c r="B113" t="s">
        <v>275</v>
      </c>
      <c r="C113" t="s">
        <v>155</v>
      </c>
      <c r="D113" t="s">
        <v>440</v>
      </c>
    </row>
    <row r="114" spans="1:4" x14ac:dyDescent="0.35">
      <c r="A114" t="s">
        <v>441</v>
      </c>
      <c r="B114" t="s">
        <v>275</v>
      </c>
      <c r="C114" t="s">
        <v>156</v>
      </c>
      <c r="D114" t="s">
        <v>441</v>
      </c>
    </row>
    <row r="115" spans="1:4" x14ac:dyDescent="0.35">
      <c r="A115" t="s">
        <v>442</v>
      </c>
      <c r="B115" s="1" t="s">
        <v>275</v>
      </c>
      <c r="C115" s="1" t="s">
        <v>277</v>
      </c>
      <c r="D115" t="s">
        <v>442</v>
      </c>
    </row>
    <row r="116" spans="1:4" x14ac:dyDescent="0.35">
      <c r="A116" t="s">
        <v>443</v>
      </c>
      <c r="B116" t="s">
        <v>275</v>
      </c>
      <c r="C116" t="s">
        <v>278</v>
      </c>
      <c r="D116" t="s">
        <v>443</v>
      </c>
    </row>
    <row r="117" spans="1:4" x14ac:dyDescent="0.35">
      <c r="A117" t="s">
        <v>444</v>
      </c>
      <c r="B117" t="s">
        <v>275</v>
      </c>
      <c r="C117" t="s">
        <v>159</v>
      </c>
      <c r="D117" t="s">
        <v>444</v>
      </c>
    </row>
    <row r="118" spans="1:4" x14ac:dyDescent="0.35">
      <c r="A118" t="s">
        <v>445</v>
      </c>
      <c r="B118" t="s">
        <v>275</v>
      </c>
      <c r="C118" t="s">
        <v>279</v>
      </c>
      <c r="D118" t="s">
        <v>445</v>
      </c>
    </row>
    <row r="119" spans="1:4" x14ac:dyDescent="0.35">
      <c r="A119" t="s">
        <v>446</v>
      </c>
      <c r="B119" t="s">
        <v>275</v>
      </c>
      <c r="C119" t="s">
        <v>280</v>
      </c>
      <c r="D119" t="s">
        <v>446</v>
      </c>
    </row>
    <row r="120" spans="1:4" x14ac:dyDescent="0.35">
      <c r="A120" t="s">
        <v>447</v>
      </c>
      <c r="B120" t="s">
        <v>275</v>
      </c>
      <c r="C120" t="s">
        <v>162</v>
      </c>
      <c r="D120" t="s">
        <v>447</v>
      </c>
    </row>
    <row r="121" spans="1:4" x14ac:dyDescent="0.35">
      <c r="A121" t="s">
        <v>448</v>
      </c>
      <c r="B121" t="s">
        <v>275</v>
      </c>
      <c r="C121" t="s">
        <v>281</v>
      </c>
      <c r="D121" t="s">
        <v>448</v>
      </c>
    </row>
    <row r="122" spans="1:4" x14ac:dyDescent="0.35">
      <c r="A122" t="s">
        <v>449</v>
      </c>
      <c r="B122" t="s">
        <v>275</v>
      </c>
      <c r="C122" t="s">
        <v>282</v>
      </c>
      <c r="D122" t="s">
        <v>449</v>
      </c>
    </row>
    <row r="123" spans="1:4" x14ac:dyDescent="0.35">
      <c r="A123" t="s">
        <v>450</v>
      </c>
      <c r="B123" t="s">
        <v>275</v>
      </c>
      <c r="C123" t="s">
        <v>165</v>
      </c>
      <c r="D123" t="s">
        <v>450</v>
      </c>
    </row>
    <row r="124" spans="1:4" x14ac:dyDescent="0.35">
      <c r="A124" t="s">
        <v>451</v>
      </c>
      <c r="B124" t="s">
        <v>275</v>
      </c>
      <c r="C124" t="s">
        <v>283</v>
      </c>
      <c r="D124" t="s">
        <v>451</v>
      </c>
    </row>
    <row r="125" spans="1:4" x14ac:dyDescent="0.35">
      <c r="A125" t="s">
        <v>452</v>
      </c>
      <c r="B125" t="s">
        <v>275</v>
      </c>
      <c r="C125" t="s">
        <v>284</v>
      </c>
      <c r="D125" t="s">
        <v>452</v>
      </c>
    </row>
    <row r="126" spans="1:4" x14ac:dyDescent="0.35">
      <c r="A126" t="s">
        <v>453</v>
      </c>
      <c r="B126" t="s">
        <v>275</v>
      </c>
      <c r="C126" t="s">
        <v>168</v>
      </c>
      <c r="D126" t="s">
        <v>453</v>
      </c>
    </row>
    <row r="127" spans="1:4" x14ac:dyDescent="0.35">
      <c r="A127" t="s">
        <v>454</v>
      </c>
      <c r="B127" t="s">
        <v>275</v>
      </c>
      <c r="C127" t="s">
        <v>285</v>
      </c>
      <c r="D127" t="s">
        <v>454</v>
      </c>
    </row>
    <row r="128" spans="1:4" x14ac:dyDescent="0.35">
      <c r="A128" t="s">
        <v>455</v>
      </c>
      <c r="B128" t="s">
        <v>316</v>
      </c>
      <c r="C128" t="s">
        <v>230</v>
      </c>
      <c r="D128" t="s">
        <v>455</v>
      </c>
    </row>
    <row r="129" spans="1:4" x14ac:dyDescent="0.35">
      <c r="A129" t="s">
        <v>456</v>
      </c>
      <c r="B129" t="s">
        <v>316</v>
      </c>
      <c r="C129" t="s">
        <v>231</v>
      </c>
      <c r="D129" t="s">
        <v>456</v>
      </c>
    </row>
    <row r="130" spans="1:4" x14ac:dyDescent="0.35">
      <c r="A130" t="s">
        <v>457</v>
      </c>
      <c r="B130" t="s">
        <v>316</v>
      </c>
      <c r="C130" t="s">
        <v>317</v>
      </c>
      <c r="D130" t="s">
        <v>457</v>
      </c>
    </row>
    <row r="131" spans="1:4" x14ac:dyDescent="0.35">
      <c r="A131" t="s">
        <v>458</v>
      </c>
      <c r="B131" t="s">
        <v>320</v>
      </c>
      <c r="C131" t="s">
        <v>240</v>
      </c>
      <c r="D131" t="s">
        <v>458</v>
      </c>
    </row>
    <row r="132" spans="1:4" x14ac:dyDescent="0.35">
      <c r="A132" t="s">
        <v>459</v>
      </c>
      <c r="B132" t="s">
        <v>320</v>
      </c>
      <c r="C132" t="s">
        <v>241</v>
      </c>
      <c r="D132" t="s">
        <v>459</v>
      </c>
    </row>
    <row r="133" spans="1:4" x14ac:dyDescent="0.35">
      <c r="A133" t="s">
        <v>460</v>
      </c>
      <c r="B133" t="s">
        <v>320</v>
      </c>
      <c r="C133" t="s">
        <v>242</v>
      </c>
      <c r="D133" t="s">
        <v>460</v>
      </c>
    </row>
    <row r="134" spans="1:4" x14ac:dyDescent="0.35">
      <c r="A134" t="s">
        <v>461</v>
      </c>
      <c r="B134" t="s">
        <v>320</v>
      </c>
      <c r="C134" t="s">
        <v>321</v>
      </c>
      <c r="D134" t="s">
        <v>461</v>
      </c>
    </row>
    <row r="135" spans="1:4" x14ac:dyDescent="0.35">
      <c r="A135" t="s">
        <v>462</v>
      </c>
      <c r="B135" t="s">
        <v>267</v>
      </c>
      <c r="C135" t="s">
        <v>268</v>
      </c>
      <c r="D135" t="s">
        <v>462</v>
      </c>
    </row>
    <row r="136" spans="1:4" x14ac:dyDescent="0.35">
      <c r="A136" t="s">
        <v>463</v>
      </c>
      <c r="B136" t="s">
        <v>267</v>
      </c>
      <c r="C136" t="s">
        <v>269</v>
      </c>
      <c r="D136" t="s">
        <v>463</v>
      </c>
    </row>
    <row r="137" spans="1:4" x14ac:dyDescent="0.35">
      <c r="A137" t="s">
        <v>464</v>
      </c>
      <c r="B137" t="s">
        <v>267</v>
      </c>
      <c r="C137" t="s">
        <v>270</v>
      </c>
      <c r="D137" t="s">
        <v>464</v>
      </c>
    </row>
    <row r="138" spans="1:4" x14ac:dyDescent="0.35">
      <c r="A138" t="s">
        <v>465</v>
      </c>
      <c r="B138" s="1" t="s">
        <v>267</v>
      </c>
      <c r="C138" s="1" t="s">
        <v>271</v>
      </c>
      <c r="D138" t="s">
        <v>465</v>
      </c>
    </row>
  </sheetData>
  <autoFilter ref="A1:D138" xr:uid="{8FFDFCA1-1D02-47EE-889F-FC487821CD90}"/>
  <sortState xmlns:xlrd2="http://schemas.microsoft.com/office/spreadsheetml/2017/richdata2" ref="A2:C138">
    <sortCondition ref="B2:B13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E9D1-13E4-4B38-9C02-16F08F6297BA}">
  <dimension ref="A1:C121"/>
  <sheetViews>
    <sheetView topLeftCell="A101" workbookViewId="0">
      <selection activeCell="C113" sqref="C113"/>
    </sheetView>
  </sheetViews>
  <sheetFormatPr baseColWidth="10" defaultRowHeight="14.5" x14ac:dyDescent="0.35"/>
  <cols>
    <col min="1" max="1" width="56.1796875" customWidth="1"/>
  </cols>
  <sheetData>
    <row r="1" spans="1:3" x14ac:dyDescent="0.35">
      <c r="A1" t="s">
        <v>257</v>
      </c>
      <c r="B1" t="s">
        <v>467</v>
      </c>
      <c r="C1" t="s">
        <v>468</v>
      </c>
    </row>
    <row r="2" spans="1:3" x14ac:dyDescent="0.35">
      <c r="A2" t="s">
        <v>470</v>
      </c>
      <c r="B2" t="s">
        <v>329</v>
      </c>
      <c r="C2" t="s">
        <v>574</v>
      </c>
    </row>
    <row r="3" spans="1:3" x14ac:dyDescent="0.35">
      <c r="A3" t="s">
        <v>471</v>
      </c>
      <c r="B3" t="s">
        <v>330</v>
      </c>
      <c r="C3" t="s">
        <v>471</v>
      </c>
    </row>
    <row r="4" spans="1:3" x14ac:dyDescent="0.35">
      <c r="A4" t="s">
        <v>472</v>
      </c>
      <c r="B4" t="s">
        <v>331</v>
      </c>
      <c r="C4" t="s">
        <v>472</v>
      </c>
    </row>
    <row r="5" spans="1:3" x14ac:dyDescent="0.35">
      <c r="A5" t="s">
        <v>473</v>
      </c>
      <c r="B5" t="s">
        <v>332</v>
      </c>
      <c r="C5" t="s">
        <v>473</v>
      </c>
    </row>
    <row r="6" spans="1:3" x14ac:dyDescent="0.35">
      <c r="A6" t="s">
        <v>474</v>
      </c>
      <c r="B6" t="s">
        <v>333</v>
      </c>
      <c r="C6" t="s">
        <v>474</v>
      </c>
    </row>
    <row r="7" spans="1:3" x14ac:dyDescent="0.35">
      <c r="A7" t="s">
        <v>475</v>
      </c>
      <c r="B7" t="s">
        <v>334</v>
      </c>
      <c r="C7" t="s">
        <v>575</v>
      </c>
    </row>
    <row r="8" spans="1:3" x14ac:dyDescent="0.35">
      <c r="A8" t="s">
        <v>476</v>
      </c>
      <c r="B8" t="s">
        <v>335</v>
      </c>
      <c r="C8" t="s">
        <v>576</v>
      </c>
    </row>
    <row r="9" spans="1:3" x14ac:dyDescent="0.35">
      <c r="A9" t="s">
        <v>477</v>
      </c>
      <c r="B9" t="s">
        <v>336</v>
      </c>
      <c r="C9" t="s">
        <v>477</v>
      </c>
    </row>
    <row r="10" spans="1:3" x14ac:dyDescent="0.35">
      <c r="A10" t="s">
        <v>478</v>
      </c>
      <c r="B10" t="s">
        <v>337</v>
      </c>
      <c r="C10" t="s">
        <v>478</v>
      </c>
    </row>
    <row r="11" spans="1:3" x14ac:dyDescent="0.35">
      <c r="A11" t="s">
        <v>128</v>
      </c>
      <c r="B11" t="s">
        <v>338</v>
      </c>
      <c r="C11" t="s">
        <v>261</v>
      </c>
    </row>
    <row r="12" spans="1:3" x14ac:dyDescent="0.35">
      <c r="A12" t="s">
        <v>479</v>
      </c>
      <c r="B12" t="s">
        <v>403</v>
      </c>
      <c r="C12" t="s">
        <v>577</v>
      </c>
    </row>
    <row r="13" spans="1:3" x14ac:dyDescent="0.35">
      <c r="A13" t="s">
        <v>480</v>
      </c>
      <c r="B13" t="s">
        <v>404</v>
      </c>
      <c r="C13" t="s">
        <v>480</v>
      </c>
    </row>
    <row r="14" spans="1:3" x14ac:dyDescent="0.35">
      <c r="A14" t="s">
        <v>481</v>
      </c>
      <c r="B14" t="s">
        <v>405</v>
      </c>
      <c r="C14" t="s">
        <v>481</v>
      </c>
    </row>
    <row r="15" spans="1:3" x14ac:dyDescent="0.35">
      <c r="A15" t="s">
        <v>482</v>
      </c>
      <c r="B15" t="s">
        <v>406</v>
      </c>
      <c r="C15" t="s">
        <v>482</v>
      </c>
    </row>
    <row r="16" spans="1:3" x14ac:dyDescent="0.35">
      <c r="A16" t="s">
        <v>483</v>
      </c>
      <c r="B16" t="s">
        <v>407</v>
      </c>
      <c r="C16" t="s">
        <v>483</v>
      </c>
    </row>
    <row r="17" spans="1:3" x14ac:dyDescent="0.35">
      <c r="A17" t="s">
        <v>484</v>
      </c>
      <c r="B17" t="s">
        <v>408</v>
      </c>
      <c r="C17" t="s">
        <v>484</v>
      </c>
    </row>
    <row r="18" spans="1:3" x14ac:dyDescent="0.35">
      <c r="A18" t="s">
        <v>485</v>
      </c>
      <c r="B18" t="s">
        <v>606</v>
      </c>
      <c r="C18" t="s">
        <v>485</v>
      </c>
    </row>
    <row r="19" spans="1:3" x14ac:dyDescent="0.35">
      <c r="A19" t="s">
        <v>486</v>
      </c>
      <c r="B19" t="s">
        <v>607</v>
      </c>
      <c r="C19" t="s">
        <v>486</v>
      </c>
    </row>
    <row r="20" spans="1:3" x14ac:dyDescent="0.35">
      <c r="A20" t="s">
        <v>134</v>
      </c>
      <c r="B20" t="s">
        <v>608</v>
      </c>
      <c r="C20" t="s">
        <v>578</v>
      </c>
    </row>
    <row r="21" spans="1:3" x14ac:dyDescent="0.35">
      <c r="A21" t="s">
        <v>487</v>
      </c>
      <c r="B21" t="s">
        <v>351</v>
      </c>
      <c r="C21" t="s">
        <v>579</v>
      </c>
    </row>
    <row r="22" spans="1:3" x14ac:dyDescent="0.35">
      <c r="A22" t="s">
        <v>141</v>
      </c>
      <c r="B22" t="s">
        <v>352</v>
      </c>
      <c r="C22" t="s">
        <v>141</v>
      </c>
    </row>
    <row r="23" spans="1:3" x14ac:dyDescent="0.35">
      <c r="A23" t="s">
        <v>488</v>
      </c>
      <c r="B23" t="s">
        <v>353</v>
      </c>
      <c r="C23" t="s">
        <v>488</v>
      </c>
    </row>
    <row r="24" spans="1:3" x14ac:dyDescent="0.35">
      <c r="A24" t="s">
        <v>489</v>
      </c>
      <c r="B24" t="s">
        <v>354</v>
      </c>
      <c r="C24" t="s">
        <v>489</v>
      </c>
    </row>
    <row r="25" spans="1:3" x14ac:dyDescent="0.35">
      <c r="A25" t="s">
        <v>144</v>
      </c>
      <c r="B25" t="s">
        <v>355</v>
      </c>
      <c r="C25" t="s">
        <v>580</v>
      </c>
    </row>
    <row r="26" spans="1:3" x14ac:dyDescent="0.35">
      <c r="A26" t="s">
        <v>490</v>
      </c>
      <c r="B26" t="s">
        <v>409</v>
      </c>
      <c r="C26" t="s">
        <v>490</v>
      </c>
    </row>
    <row r="27" spans="1:3" x14ac:dyDescent="0.35">
      <c r="A27" t="s">
        <v>491</v>
      </c>
      <c r="B27" t="s">
        <v>410</v>
      </c>
      <c r="C27" t="s">
        <v>491</v>
      </c>
    </row>
    <row r="28" spans="1:3" x14ac:dyDescent="0.35">
      <c r="A28" t="s">
        <v>492</v>
      </c>
      <c r="B28" t="s">
        <v>411</v>
      </c>
      <c r="C28" t="s">
        <v>492</v>
      </c>
    </row>
    <row r="29" spans="1:3" x14ac:dyDescent="0.35">
      <c r="A29" t="s">
        <v>493</v>
      </c>
      <c r="B29" t="s">
        <v>412</v>
      </c>
      <c r="C29" t="s">
        <v>493</v>
      </c>
    </row>
    <row r="30" spans="1:3" x14ac:dyDescent="0.35">
      <c r="A30" t="s">
        <v>494</v>
      </c>
      <c r="B30" t="s">
        <v>609</v>
      </c>
      <c r="C30" t="s">
        <v>494</v>
      </c>
    </row>
    <row r="31" spans="1:3" x14ac:dyDescent="0.35">
      <c r="A31" t="s">
        <v>495</v>
      </c>
      <c r="B31" t="s">
        <v>610</v>
      </c>
      <c r="C31" t="s">
        <v>495</v>
      </c>
    </row>
    <row r="32" spans="1:3" x14ac:dyDescent="0.35">
      <c r="A32" t="s">
        <v>496</v>
      </c>
      <c r="B32" t="s">
        <v>611</v>
      </c>
      <c r="C32" t="s">
        <v>496</v>
      </c>
    </row>
    <row r="33" spans="1:3" x14ac:dyDescent="0.35">
      <c r="A33" t="s">
        <v>497</v>
      </c>
      <c r="B33" t="s">
        <v>612</v>
      </c>
      <c r="C33" t="s">
        <v>497</v>
      </c>
    </row>
    <row r="34" spans="1:3" x14ac:dyDescent="0.35">
      <c r="A34" t="s">
        <v>498</v>
      </c>
      <c r="B34" t="s">
        <v>613</v>
      </c>
      <c r="C34" t="s">
        <v>498</v>
      </c>
    </row>
    <row r="35" spans="1:3" x14ac:dyDescent="0.35">
      <c r="A35" t="s">
        <v>499</v>
      </c>
      <c r="B35" t="s">
        <v>374</v>
      </c>
      <c r="C35" t="s">
        <v>499</v>
      </c>
    </row>
    <row r="36" spans="1:3" x14ac:dyDescent="0.35">
      <c r="A36" t="s">
        <v>500</v>
      </c>
      <c r="B36" t="s">
        <v>615</v>
      </c>
      <c r="C36" t="s">
        <v>500</v>
      </c>
    </row>
    <row r="37" spans="1:3" x14ac:dyDescent="0.35">
      <c r="A37" t="s">
        <v>501</v>
      </c>
      <c r="B37" t="s">
        <v>616</v>
      </c>
      <c r="C37" t="s">
        <v>501</v>
      </c>
    </row>
    <row r="38" spans="1:3" x14ac:dyDescent="0.35">
      <c r="A38" t="s">
        <v>502</v>
      </c>
      <c r="B38" t="s">
        <v>617</v>
      </c>
      <c r="C38" t="s">
        <v>502</v>
      </c>
    </row>
    <row r="39" spans="1:3" x14ac:dyDescent="0.35">
      <c r="A39" t="s">
        <v>503</v>
      </c>
      <c r="B39" t="s">
        <v>618</v>
      </c>
      <c r="C39" t="s">
        <v>503</v>
      </c>
    </row>
    <row r="40" spans="1:3" x14ac:dyDescent="0.35">
      <c r="A40" t="s">
        <v>504</v>
      </c>
      <c r="B40" t="s">
        <v>619</v>
      </c>
      <c r="C40" t="s">
        <v>581</v>
      </c>
    </row>
    <row r="41" spans="1:3" x14ac:dyDescent="0.35">
      <c r="A41" t="s">
        <v>505</v>
      </c>
      <c r="B41" t="s">
        <v>600</v>
      </c>
      <c r="C41" t="s">
        <v>582</v>
      </c>
    </row>
    <row r="42" spans="1:3" x14ac:dyDescent="0.35">
      <c r="A42" t="s">
        <v>506</v>
      </c>
      <c r="B42" t="s">
        <v>623</v>
      </c>
      <c r="C42" t="s">
        <v>506</v>
      </c>
    </row>
    <row r="43" spans="1:3" x14ac:dyDescent="0.35">
      <c r="A43" t="s">
        <v>507</v>
      </c>
      <c r="B43" t="s">
        <v>624</v>
      </c>
      <c r="C43" t="s">
        <v>583</v>
      </c>
    </row>
    <row r="44" spans="1:3" x14ac:dyDescent="0.35">
      <c r="A44" t="s">
        <v>508</v>
      </c>
      <c r="B44" t="s">
        <v>462</v>
      </c>
      <c r="C44" t="s">
        <v>584</v>
      </c>
    </row>
    <row r="45" spans="1:3" x14ac:dyDescent="0.35">
      <c r="A45" t="s">
        <v>509</v>
      </c>
      <c r="B45" t="s">
        <v>463</v>
      </c>
      <c r="C45" t="s">
        <v>585</v>
      </c>
    </row>
    <row r="46" spans="1:3" x14ac:dyDescent="0.35">
      <c r="A46" t="s">
        <v>510</v>
      </c>
      <c r="B46" t="s">
        <v>464</v>
      </c>
      <c r="C46" t="s">
        <v>586</v>
      </c>
    </row>
    <row r="47" spans="1:3" x14ac:dyDescent="0.35">
      <c r="A47" t="s">
        <v>511</v>
      </c>
      <c r="B47" t="s">
        <v>413</v>
      </c>
      <c r="C47" t="s">
        <v>587</v>
      </c>
    </row>
    <row r="48" spans="1:3" x14ac:dyDescent="0.35">
      <c r="A48" t="s">
        <v>512</v>
      </c>
      <c r="B48" t="s">
        <v>414</v>
      </c>
      <c r="C48" t="s">
        <v>588</v>
      </c>
    </row>
    <row r="49" spans="1:3" x14ac:dyDescent="0.35">
      <c r="A49" t="s">
        <v>513</v>
      </c>
      <c r="B49" t="s">
        <v>415</v>
      </c>
      <c r="C49" t="s">
        <v>589</v>
      </c>
    </row>
    <row r="50" spans="1:3" x14ac:dyDescent="0.35">
      <c r="A50" t="s">
        <v>136</v>
      </c>
      <c r="B50" t="s">
        <v>465</v>
      </c>
      <c r="C50" t="s">
        <v>136</v>
      </c>
    </row>
    <row r="51" spans="1:3" x14ac:dyDescent="0.35">
      <c r="A51" t="s">
        <v>514</v>
      </c>
      <c r="B51" t="s">
        <v>625</v>
      </c>
      <c r="C51" t="s">
        <v>514</v>
      </c>
    </row>
    <row r="52" spans="1:3" x14ac:dyDescent="0.35">
      <c r="A52" t="s">
        <v>138</v>
      </c>
      <c r="B52" t="s">
        <v>626</v>
      </c>
      <c r="C52" t="s">
        <v>590</v>
      </c>
    </row>
    <row r="53" spans="1:3" x14ac:dyDescent="0.35">
      <c r="A53" t="s">
        <v>515</v>
      </c>
      <c r="B53" t="s">
        <v>458</v>
      </c>
      <c r="C53" t="s">
        <v>591</v>
      </c>
    </row>
    <row r="54" spans="1:3" x14ac:dyDescent="0.35">
      <c r="A54" t="s">
        <v>516</v>
      </c>
      <c r="B54" t="s">
        <v>459</v>
      </c>
      <c r="C54" t="s">
        <v>592</v>
      </c>
    </row>
    <row r="55" spans="1:3" x14ac:dyDescent="0.35">
      <c r="A55" t="s">
        <v>517</v>
      </c>
      <c r="B55" t="s">
        <v>460</v>
      </c>
      <c r="C55" t="s">
        <v>517</v>
      </c>
    </row>
    <row r="56" spans="1:3" x14ac:dyDescent="0.35">
      <c r="A56" t="s">
        <v>518</v>
      </c>
      <c r="B56" t="s">
        <v>340</v>
      </c>
      <c r="C56" t="s">
        <v>518</v>
      </c>
    </row>
    <row r="57" spans="1:3" x14ac:dyDescent="0.35">
      <c r="A57" t="s">
        <v>519</v>
      </c>
      <c r="B57" t="s">
        <v>341</v>
      </c>
      <c r="C57" t="s">
        <v>593</v>
      </c>
    </row>
    <row r="58" spans="1:3" x14ac:dyDescent="0.35">
      <c r="A58" t="s">
        <v>520</v>
      </c>
      <c r="B58" t="s">
        <v>342</v>
      </c>
      <c r="C58" t="s">
        <v>520</v>
      </c>
    </row>
    <row r="59" spans="1:3" x14ac:dyDescent="0.35">
      <c r="A59" t="s">
        <v>521</v>
      </c>
      <c r="B59" t="s">
        <v>343</v>
      </c>
      <c r="C59" t="s">
        <v>521</v>
      </c>
    </row>
    <row r="60" spans="1:3" x14ac:dyDescent="0.35">
      <c r="A60" t="s">
        <v>522</v>
      </c>
      <c r="B60" t="s">
        <v>344</v>
      </c>
      <c r="C60" t="s">
        <v>522</v>
      </c>
    </row>
    <row r="61" spans="1:3" x14ac:dyDescent="0.35">
      <c r="A61" t="s">
        <v>523</v>
      </c>
      <c r="B61" t="s">
        <v>418</v>
      </c>
      <c r="C61" t="s">
        <v>594</v>
      </c>
    </row>
    <row r="62" spans="1:3" x14ac:dyDescent="0.35">
      <c r="A62" t="s">
        <v>524</v>
      </c>
      <c r="B62" t="s">
        <v>419</v>
      </c>
      <c r="C62" t="s">
        <v>524</v>
      </c>
    </row>
    <row r="63" spans="1:3" x14ac:dyDescent="0.35">
      <c r="A63" t="s">
        <v>525</v>
      </c>
      <c r="B63" t="s">
        <v>420</v>
      </c>
      <c r="C63" t="s">
        <v>525</v>
      </c>
    </row>
    <row r="64" spans="1:3" x14ac:dyDescent="0.35">
      <c r="A64" t="s">
        <v>526</v>
      </c>
      <c r="B64" t="s">
        <v>421</v>
      </c>
      <c r="C64" t="s">
        <v>526</v>
      </c>
    </row>
    <row r="65" spans="1:3" x14ac:dyDescent="0.35">
      <c r="A65" t="s">
        <v>527</v>
      </c>
      <c r="B65" t="s">
        <v>422</v>
      </c>
      <c r="C65" t="s">
        <v>527</v>
      </c>
    </row>
    <row r="66" spans="1:3" x14ac:dyDescent="0.35">
      <c r="A66" t="s">
        <v>528</v>
      </c>
      <c r="B66" t="s">
        <v>423</v>
      </c>
      <c r="C66" t="s">
        <v>528</v>
      </c>
    </row>
    <row r="67" spans="1:3" x14ac:dyDescent="0.35">
      <c r="A67" t="s">
        <v>529</v>
      </c>
      <c r="B67" t="s">
        <v>424</v>
      </c>
      <c r="C67" t="s">
        <v>529</v>
      </c>
    </row>
    <row r="68" spans="1:3" x14ac:dyDescent="0.35">
      <c r="A68" t="s">
        <v>530</v>
      </c>
      <c r="B68" t="s">
        <v>425</v>
      </c>
      <c r="C68" t="s">
        <v>595</v>
      </c>
    </row>
    <row r="69" spans="1:3" x14ac:dyDescent="0.35">
      <c r="A69" t="s">
        <v>531</v>
      </c>
      <c r="B69" t="s">
        <v>426</v>
      </c>
      <c r="C69" t="s">
        <v>596</v>
      </c>
    </row>
    <row r="70" spans="1:3" x14ac:dyDescent="0.35">
      <c r="A70" t="s">
        <v>532</v>
      </c>
      <c r="B70" t="s">
        <v>427</v>
      </c>
      <c r="C70" t="s">
        <v>597</v>
      </c>
    </row>
    <row r="71" spans="1:3" x14ac:dyDescent="0.35">
      <c r="A71" t="s">
        <v>533</v>
      </c>
      <c r="B71" t="s">
        <v>428</v>
      </c>
      <c r="C71" t="s">
        <v>598</v>
      </c>
    </row>
    <row r="72" spans="1:3" x14ac:dyDescent="0.35">
      <c r="A72" t="s">
        <v>534</v>
      </c>
      <c r="B72" t="s">
        <v>620</v>
      </c>
      <c r="C72" t="s">
        <v>534</v>
      </c>
    </row>
    <row r="73" spans="1:3" x14ac:dyDescent="0.35">
      <c r="A73" t="s">
        <v>535</v>
      </c>
      <c r="B73" t="s">
        <v>621</v>
      </c>
      <c r="C73" t="s">
        <v>535</v>
      </c>
    </row>
    <row r="74" spans="1:3" x14ac:dyDescent="0.35">
      <c r="A74" t="s">
        <v>536</v>
      </c>
      <c r="B74" t="s">
        <v>622</v>
      </c>
      <c r="C74" t="s">
        <v>536</v>
      </c>
    </row>
    <row r="75" spans="1:3" x14ac:dyDescent="0.35">
      <c r="A75" t="s">
        <v>537</v>
      </c>
      <c r="B75" t="s">
        <v>358</v>
      </c>
      <c r="C75" t="s">
        <v>537</v>
      </c>
    </row>
    <row r="76" spans="1:3" x14ac:dyDescent="0.35">
      <c r="A76" t="s">
        <v>538</v>
      </c>
      <c r="B76" t="s">
        <v>359</v>
      </c>
      <c r="C76" t="s">
        <v>538</v>
      </c>
    </row>
    <row r="77" spans="1:3" x14ac:dyDescent="0.35">
      <c r="A77" t="s">
        <v>539</v>
      </c>
      <c r="B77" t="s">
        <v>360</v>
      </c>
      <c r="C77" t="s">
        <v>539</v>
      </c>
    </row>
    <row r="78" spans="1:3" x14ac:dyDescent="0.35">
      <c r="A78" t="s">
        <v>540</v>
      </c>
      <c r="B78" t="s">
        <v>361</v>
      </c>
      <c r="C78" t="s">
        <v>540</v>
      </c>
    </row>
    <row r="79" spans="1:3" x14ac:dyDescent="0.35">
      <c r="A79" t="s">
        <v>541</v>
      </c>
      <c r="B79" t="s">
        <v>362</v>
      </c>
      <c r="C79" t="s">
        <v>541</v>
      </c>
    </row>
    <row r="80" spans="1:3" x14ac:dyDescent="0.35">
      <c r="A80" t="s">
        <v>542</v>
      </c>
      <c r="B80" t="s">
        <v>363</v>
      </c>
      <c r="C80" t="s">
        <v>542</v>
      </c>
    </row>
    <row r="81" spans="1:3" x14ac:dyDescent="0.35">
      <c r="A81" t="s">
        <v>543</v>
      </c>
      <c r="B81" t="s">
        <v>364</v>
      </c>
      <c r="C81" t="s">
        <v>543</v>
      </c>
    </row>
    <row r="82" spans="1:3" x14ac:dyDescent="0.35">
      <c r="A82" t="s">
        <v>544</v>
      </c>
      <c r="B82" t="s">
        <v>365</v>
      </c>
      <c r="C82" t="s">
        <v>544</v>
      </c>
    </row>
    <row r="83" spans="1:3" x14ac:dyDescent="0.35">
      <c r="A83" t="s">
        <v>545</v>
      </c>
      <c r="B83" t="s">
        <v>366</v>
      </c>
      <c r="C83" t="s">
        <v>545</v>
      </c>
    </row>
    <row r="84" spans="1:3" x14ac:dyDescent="0.35">
      <c r="A84" t="s">
        <v>546</v>
      </c>
      <c r="B84" t="s">
        <v>367</v>
      </c>
      <c r="C84" t="s">
        <v>546</v>
      </c>
    </row>
    <row r="85" spans="1:3" x14ac:dyDescent="0.35">
      <c r="A85" t="s">
        <v>547</v>
      </c>
      <c r="B85" t="s">
        <v>368</v>
      </c>
      <c r="C85" t="s">
        <v>547</v>
      </c>
    </row>
    <row r="86" spans="1:3" x14ac:dyDescent="0.35">
      <c r="A86" t="s">
        <v>548</v>
      </c>
      <c r="B86" t="s">
        <v>369</v>
      </c>
      <c r="C86" t="s">
        <v>548</v>
      </c>
    </row>
    <row r="87" spans="1:3" x14ac:dyDescent="0.35">
      <c r="A87" t="s">
        <v>549</v>
      </c>
      <c r="B87" t="s">
        <v>370</v>
      </c>
      <c r="C87" t="s">
        <v>549</v>
      </c>
    </row>
    <row r="88" spans="1:3" x14ac:dyDescent="0.35">
      <c r="A88" t="s">
        <v>550</v>
      </c>
      <c r="B88" t="s">
        <v>371</v>
      </c>
      <c r="C88" t="s">
        <v>550</v>
      </c>
    </row>
    <row r="89" spans="1:3" x14ac:dyDescent="0.35">
      <c r="A89" t="s">
        <v>551</v>
      </c>
      <c r="B89" t="s">
        <v>372</v>
      </c>
      <c r="C89" t="s">
        <v>551</v>
      </c>
    </row>
    <row r="90" spans="1:3" x14ac:dyDescent="0.35">
      <c r="A90" t="s">
        <v>552</v>
      </c>
      <c r="B90" t="s">
        <v>373</v>
      </c>
      <c r="C90" t="s">
        <v>552</v>
      </c>
    </row>
    <row r="91" spans="1:3" x14ac:dyDescent="0.35">
      <c r="A91" t="s">
        <v>499</v>
      </c>
      <c r="B91" t="s">
        <v>374</v>
      </c>
      <c r="C91" t="s">
        <v>499</v>
      </c>
    </row>
    <row r="92" spans="1:3" x14ac:dyDescent="0.35">
      <c r="A92" t="s">
        <v>543</v>
      </c>
      <c r="B92" t="s">
        <v>364</v>
      </c>
      <c r="C92" t="s">
        <v>543</v>
      </c>
    </row>
    <row r="93" spans="1:3" x14ac:dyDescent="0.35">
      <c r="A93" t="s">
        <v>544</v>
      </c>
      <c r="B93" t="s">
        <v>365</v>
      </c>
      <c r="C93" t="s">
        <v>544</v>
      </c>
    </row>
    <row r="94" spans="1:3" x14ac:dyDescent="0.35">
      <c r="A94" t="s">
        <v>545</v>
      </c>
      <c r="B94" t="s">
        <v>366</v>
      </c>
      <c r="C94" t="s">
        <v>545</v>
      </c>
    </row>
    <row r="95" spans="1:3" x14ac:dyDescent="0.35">
      <c r="A95" t="s">
        <v>546</v>
      </c>
      <c r="B95" t="s">
        <v>367</v>
      </c>
      <c r="C95" t="s">
        <v>546</v>
      </c>
    </row>
    <row r="96" spans="1:3" x14ac:dyDescent="0.35">
      <c r="A96" t="s">
        <v>547</v>
      </c>
      <c r="B96" t="s">
        <v>368</v>
      </c>
      <c r="C96" t="s">
        <v>547</v>
      </c>
    </row>
    <row r="97" spans="1:3" x14ac:dyDescent="0.35">
      <c r="A97" t="s">
        <v>548</v>
      </c>
      <c r="B97" t="s">
        <v>369</v>
      </c>
      <c r="C97" t="s">
        <v>548</v>
      </c>
    </row>
    <row r="98" spans="1:3" x14ac:dyDescent="0.35">
      <c r="A98" t="s">
        <v>549</v>
      </c>
      <c r="B98" t="s">
        <v>370</v>
      </c>
      <c r="C98" t="s">
        <v>549</v>
      </c>
    </row>
    <row r="99" spans="1:3" x14ac:dyDescent="0.35">
      <c r="A99" t="s">
        <v>550</v>
      </c>
      <c r="B99" t="s">
        <v>371</v>
      </c>
      <c r="C99" t="s">
        <v>550</v>
      </c>
    </row>
    <row r="100" spans="1:3" x14ac:dyDescent="0.35">
      <c r="A100" t="s">
        <v>551</v>
      </c>
      <c r="B100" t="s">
        <v>372</v>
      </c>
      <c r="C100" t="s">
        <v>551</v>
      </c>
    </row>
    <row r="101" spans="1:3" x14ac:dyDescent="0.35">
      <c r="A101" t="s">
        <v>552</v>
      </c>
      <c r="B101" t="s">
        <v>373</v>
      </c>
      <c r="C101" t="s">
        <v>552</v>
      </c>
    </row>
    <row r="102" spans="1:3" x14ac:dyDescent="0.35">
      <c r="A102" t="s">
        <v>553</v>
      </c>
      <c r="B102" t="s">
        <v>385</v>
      </c>
      <c r="C102" t="s">
        <v>553</v>
      </c>
    </row>
    <row r="103" spans="1:3" x14ac:dyDescent="0.35">
      <c r="A103" t="s">
        <v>554</v>
      </c>
      <c r="B103" t="s">
        <v>386</v>
      </c>
      <c r="C103" t="s">
        <v>554</v>
      </c>
    </row>
    <row r="104" spans="1:3" x14ac:dyDescent="0.35">
      <c r="A104" t="s">
        <v>555</v>
      </c>
      <c r="B104" t="s">
        <v>387</v>
      </c>
      <c r="C104" t="s">
        <v>555</v>
      </c>
    </row>
    <row r="105" spans="1:3" x14ac:dyDescent="0.35">
      <c r="A105" t="s">
        <v>556</v>
      </c>
      <c r="B105" t="s">
        <v>388</v>
      </c>
      <c r="C105" t="s">
        <v>556</v>
      </c>
    </row>
    <row r="106" spans="1:3" x14ac:dyDescent="0.35">
      <c r="A106" t="s">
        <v>557</v>
      </c>
      <c r="B106" t="s">
        <v>389</v>
      </c>
      <c r="C106" t="s">
        <v>557</v>
      </c>
    </row>
    <row r="107" spans="1:3" x14ac:dyDescent="0.35">
      <c r="A107" t="s">
        <v>558</v>
      </c>
      <c r="B107" t="s">
        <v>390</v>
      </c>
      <c r="C107" t="s">
        <v>558</v>
      </c>
    </row>
    <row r="108" spans="1:3" x14ac:dyDescent="0.35">
      <c r="A108" t="s">
        <v>559</v>
      </c>
      <c r="B108" t="s">
        <v>391</v>
      </c>
      <c r="C108" t="s">
        <v>559</v>
      </c>
    </row>
    <row r="109" spans="1:3" x14ac:dyDescent="0.35">
      <c r="A109" t="s">
        <v>560</v>
      </c>
      <c r="B109" t="s">
        <v>392</v>
      </c>
      <c r="C109" t="s">
        <v>560</v>
      </c>
    </row>
    <row r="110" spans="1:3" x14ac:dyDescent="0.35">
      <c r="A110" t="s">
        <v>561</v>
      </c>
      <c r="B110" t="s">
        <v>393</v>
      </c>
      <c r="C110" t="s">
        <v>561</v>
      </c>
    </row>
    <row r="111" spans="1:3" x14ac:dyDescent="0.35">
      <c r="A111" t="s">
        <v>562</v>
      </c>
      <c r="B111" t="s">
        <v>394</v>
      </c>
      <c r="C111" t="s">
        <v>562</v>
      </c>
    </row>
    <row r="112" spans="1:3" x14ac:dyDescent="0.35">
      <c r="A112" t="s">
        <v>563</v>
      </c>
      <c r="B112" t="s">
        <v>395</v>
      </c>
      <c r="C112" t="s">
        <v>563</v>
      </c>
    </row>
    <row r="113" spans="1:3" x14ac:dyDescent="0.35">
      <c r="A113" t="s">
        <v>564</v>
      </c>
      <c r="B113" t="s">
        <v>396</v>
      </c>
      <c r="C113" t="s">
        <v>564</v>
      </c>
    </row>
    <row r="114" spans="1:3" x14ac:dyDescent="0.35">
      <c r="A114" t="s">
        <v>565</v>
      </c>
      <c r="B114" t="s">
        <v>397</v>
      </c>
      <c r="C114" t="s">
        <v>565</v>
      </c>
    </row>
    <row r="115" spans="1:3" x14ac:dyDescent="0.35">
      <c r="A115" t="s">
        <v>566</v>
      </c>
      <c r="B115" t="s">
        <v>398</v>
      </c>
      <c r="C115" t="s">
        <v>566</v>
      </c>
    </row>
    <row r="116" spans="1:3" x14ac:dyDescent="0.35">
      <c r="A116" t="s">
        <v>567</v>
      </c>
      <c r="B116" t="s">
        <v>399</v>
      </c>
      <c r="C116" t="s">
        <v>567</v>
      </c>
    </row>
    <row r="117" spans="1:3" x14ac:dyDescent="0.35">
      <c r="A117" t="s">
        <v>568</v>
      </c>
      <c r="B117" t="s">
        <v>400</v>
      </c>
      <c r="C117" t="s">
        <v>568</v>
      </c>
    </row>
    <row r="118" spans="1:3" x14ac:dyDescent="0.35">
      <c r="A118" t="s">
        <v>569</v>
      </c>
      <c r="B118" t="s">
        <v>601</v>
      </c>
      <c r="C118" t="s">
        <v>569</v>
      </c>
    </row>
    <row r="119" spans="1:3" x14ac:dyDescent="0.35">
      <c r="A119" t="s">
        <v>214</v>
      </c>
      <c r="B119" t="s">
        <v>603</v>
      </c>
      <c r="C119" t="s">
        <v>214</v>
      </c>
    </row>
    <row r="120" spans="1:3" x14ac:dyDescent="0.35">
      <c r="A120" t="s">
        <v>570</v>
      </c>
      <c r="B120" t="s">
        <v>604</v>
      </c>
      <c r="C120" t="s">
        <v>570</v>
      </c>
    </row>
    <row r="121" spans="1:3" x14ac:dyDescent="0.35">
      <c r="A121" t="s">
        <v>571</v>
      </c>
      <c r="B121" t="s">
        <v>605</v>
      </c>
      <c r="C121" t="s">
        <v>571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F65B-E04B-4AB4-A9E1-998185D0A836}">
  <dimension ref="A1:D121"/>
  <sheetViews>
    <sheetView topLeftCell="A21" workbookViewId="0">
      <selection activeCell="C37" sqref="C37"/>
    </sheetView>
  </sheetViews>
  <sheetFormatPr baseColWidth="10" defaultRowHeight="14.5" x14ac:dyDescent="0.35"/>
  <cols>
    <col min="2" max="2" width="28.453125" customWidth="1"/>
    <col min="3" max="3" width="94.54296875" customWidth="1"/>
  </cols>
  <sheetData>
    <row r="1" spans="1:4" x14ac:dyDescent="0.35">
      <c r="A1" t="s">
        <v>254</v>
      </c>
      <c r="B1" t="s">
        <v>602</v>
      </c>
      <c r="C1" t="s">
        <v>627</v>
      </c>
      <c r="D1" t="s">
        <v>254</v>
      </c>
    </row>
    <row r="2" spans="1:4" x14ac:dyDescent="0.35">
      <c r="A2" t="s">
        <v>329</v>
      </c>
      <c r="B2" t="s">
        <v>0</v>
      </c>
      <c r="C2" t="s">
        <v>574</v>
      </c>
      <c r="D2" t="s">
        <v>329</v>
      </c>
    </row>
    <row r="3" spans="1:4" x14ac:dyDescent="0.35">
      <c r="A3" t="s">
        <v>330</v>
      </c>
      <c r="B3" t="s">
        <v>0</v>
      </c>
      <c r="C3" t="s">
        <v>471</v>
      </c>
      <c r="D3" t="s">
        <v>330</v>
      </c>
    </row>
    <row r="4" spans="1:4" x14ac:dyDescent="0.35">
      <c r="A4" t="s">
        <v>331</v>
      </c>
      <c r="B4" t="s">
        <v>0</v>
      </c>
      <c r="C4" t="s">
        <v>472</v>
      </c>
      <c r="D4" t="s">
        <v>331</v>
      </c>
    </row>
    <row r="5" spans="1:4" x14ac:dyDescent="0.35">
      <c r="A5" t="s">
        <v>332</v>
      </c>
      <c r="B5" t="s">
        <v>0</v>
      </c>
      <c r="C5" t="s">
        <v>473</v>
      </c>
      <c r="D5" t="s">
        <v>332</v>
      </c>
    </row>
    <row r="6" spans="1:4" x14ac:dyDescent="0.35">
      <c r="A6" t="s">
        <v>333</v>
      </c>
      <c r="B6" t="s">
        <v>0</v>
      </c>
      <c r="C6" t="s">
        <v>474</v>
      </c>
      <c r="D6" t="s">
        <v>333</v>
      </c>
    </row>
    <row r="7" spans="1:4" x14ac:dyDescent="0.35">
      <c r="A7" t="s">
        <v>334</v>
      </c>
      <c r="B7" t="s">
        <v>0</v>
      </c>
      <c r="C7" t="s">
        <v>575</v>
      </c>
      <c r="D7" t="s">
        <v>334</v>
      </c>
    </row>
    <row r="8" spans="1:4" x14ac:dyDescent="0.35">
      <c r="A8" t="s">
        <v>335</v>
      </c>
      <c r="B8" t="s">
        <v>0</v>
      </c>
      <c r="C8" t="s">
        <v>576</v>
      </c>
      <c r="D8" t="s">
        <v>335</v>
      </c>
    </row>
    <row r="9" spans="1:4" x14ac:dyDescent="0.35">
      <c r="A9" t="s">
        <v>336</v>
      </c>
      <c r="B9" t="s">
        <v>0</v>
      </c>
      <c r="C9" t="s">
        <v>477</v>
      </c>
      <c r="D9" t="s">
        <v>336</v>
      </c>
    </row>
    <row r="10" spans="1:4" x14ac:dyDescent="0.35">
      <c r="A10" t="s">
        <v>337</v>
      </c>
      <c r="B10" t="s">
        <v>0</v>
      </c>
      <c r="C10" t="s">
        <v>478</v>
      </c>
      <c r="D10" t="s">
        <v>337</v>
      </c>
    </row>
    <row r="11" spans="1:4" x14ac:dyDescent="0.35">
      <c r="A11" t="s">
        <v>338</v>
      </c>
      <c r="B11" t="s">
        <v>0</v>
      </c>
      <c r="C11" t="s">
        <v>261</v>
      </c>
      <c r="D11" t="s">
        <v>338</v>
      </c>
    </row>
    <row r="12" spans="1:4" x14ac:dyDescent="0.35">
      <c r="A12" t="s">
        <v>340</v>
      </c>
      <c r="B12" t="s">
        <v>318</v>
      </c>
      <c r="C12" t="s">
        <v>518</v>
      </c>
      <c r="D12" t="s">
        <v>340</v>
      </c>
    </row>
    <row r="13" spans="1:4" x14ac:dyDescent="0.35">
      <c r="A13" t="s">
        <v>341</v>
      </c>
      <c r="B13" t="s">
        <v>318</v>
      </c>
      <c r="C13" t="s">
        <v>593</v>
      </c>
      <c r="D13" t="s">
        <v>341</v>
      </c>
    </row>
    <row r="14" spans="1:4" x14ac:dyDescent="0.35">
      <c r="A14" t="s">
        <v>342</v>
      </c>
      <c r="B14" t="s">
        <v>318</v>
      </c>
      <c r="C14" t="s">
        <v>520</v>
      </c>
      <c r="D14" t="s">
        <v>342</v>
      </c>
    </row>
    <row r="15" spans="1:4" x14ac:dyDescent="0.35">
      <c r="A15" t="s">
        <v>343</v>
      </c>
      <c r="B15" t="s">
        <v>318</v>
      </c>
      <c r="C15" t="s">
        <v>521</v>
      </c>
      <c r="D15" t="s">
        <v>343</v>
      </c>
    </row>
    <row r="16" spans="1:4" x14ac:dyDescent="0.35">
      <c r="A16" t="s">
        <v>344</v>
      </c>
      <c r="B16" t="s">
        <v>318</v>
      </c>
      <c r="C16" t="s">
        <v>522</v>
      </c>
      <c r="D16" t="s">
        <v>344</v>
      </c>
    </row>
    <row r="17" spans="1:4" x14ac:dyDescent="0.35">
      <c r="A17" t="s">
        <v>351</v>
      </c>
      <c r="B17" t="s">
        <v>3</v>
      </c>
      <c r="C17" t="s">
        <v>579</v>
      </c>
      <c r="D17" t="s">
        <v>351</v>
      </c>
    </row>
    <row r="18" spans="1:4" x14ac:dyDescent="0.35">
      <c r="A18" t="s">
        <v>352</v>
      </c>
      <c r="B18" t="s">
        <v>3</v>
      </c>
      <c r="C18" t="s">
        <v>141</v>
      </c>
      <c r="D18" t="s">
        <v>352</v>
      </c>
    </row>
    <row r="19" spans="1:4" x14ac:dyDescent="0.35">
      <c r="A19" t="s">
        <v>353</v>
      </c>
      <c r="B19" t="s">
        <v>3</v>
      </c>
      <c r="C19" t="s">
        <v>488</v>
      </c>
      <c r="D19" t="s">
        <v>353</v>
      </c>
    </row>
    <row r="20" spans="1:4" x14ac:dyDescent="0.35">
      <c r="A20" t="s">
        <v>354</v>
      </c>
      <c r="B20" t="s">
        <v>3</v>
      </c>
      <c r="C20" t="s">
        <v>489</v>
      </c>
      <c r="D20" t="s">
        <v>354</v>
      </c>
    </row>
    <row r="21" spans="1:4" x14ac:dyDescent="0.35">
      <c r="A21" t="s">
        <v>355</v>
      </c>
      <c r="B21" t="s">
        <v>3</v>
      </c>
      <c r="C21" t="s">
        <v>580</v>
      </c>
      <c r="D21" t="s">
        <v>355</v>
      </c>
    </row>
    <row r="22" spans="1:4" x14ac:dyDescent="0.35">
      <c r="A22" t="s">
        <v>358</v>
      </c>
      <c r="B22" t="s">
        <v>286</v>
      </c>
      <c r="C22" t="s">
        <v>537</v>
      </c>
      <c r="D22" t="s">
        <v>358</v>
      </c>
    </row>
    <row r="23" spans="1:4" x14ac:dyDescent="0.35">
      <c r="A23" t="s">
        <v>359</v>
      </c>
      <c r="B23" t="s">
        <v>286</v>
      </c>
      <c r="C23" t="s">
        <v>538</v>
      </c>
      <c r="D23" t="s">
        <v>359</v>
      </c>
    </row>
    <row r="24" spans="1:4" x14ac:dyDescent="0.35">
      <c r="A24" t="s">
        <v>360</v>
      </c>
      <c r="B24" t="s">
        <v>286</v>
      </c>
      <c r="C24" t="s">
        <v>539</v>
      </c>
      <c r="D24" t="s">
        <v>360</v>
      </c>
    </row>
    <row r="25" spans="1:4" x14ac:dyDescent="0.35">
      <c r="A25" t="s">
        <v>361</v>
      </c>
      <c r="B25" t="s">
        <v>286</v>
      </c>
      <c r="C25" t="s">
        <v>540</v>
      </c>
      <c r="D25" t="s">
        <v>361</v>
      </c>
    </row>
    <row r="26" spans="1:4" x14ac:dyDescent="0.35">
      <c r="A26" t="s">
        <v>362</v>
      </c>
      <c r="B26" t="s">
        <v>286</v>
      </c>
      <c r="C26" t="s">
        <v>541</v>
      </c>
      <c r="D26" t="s">
        <v>362</v>
      </c>
    </row>
    <row r="27" spans="1:4" x14ac:dyDescent="0.35">
      <c r="A27" t="s">
        <v>363</v>
      </c>
      <c r="B27" t="s">
        <v>286</v>
      </c>
      <c r="C27" t="s">
        <v>542</v>
      </c>
      <c r="D27" t="s">
        <v>363</v>
      </c>
    </row>
    <row r="28" spans="1:4" x14ac:dyDescent="0.35">
      <c r="A28" t="s">
        <v>364</v>
      </c>
      <c r="B28" t="s">
        <v>286</v>
      </c>
      <c r="C28" t="s">
        <v>543</v>
      </c>
      <c r="D28" t="s">
        <v>364</v>
      </c>
    </row>
    <row r="29" spans="1:4" x14ac:dyDescent="0.35">
      <c r="A29" t="s">
        <v>365</v>
      </c>
      <c r="B29" t="s">
        <v>286</v>
      </c>
      <c r="C29" t="s">
        <v>544</v>
      </c>
      <c r="D29" t="s">
        <v>365</v>
      </c>
    </row>
    <row r="30" spans="1:4" x14ac:dyDescent="0.35">
      <c r="A30" t="s">
        <v>366</v>
      </c>
      <c r="B30" t="s">
        <v>286</v>
      </c>
      <c r="C30" t="s">
        <v>545</v>
      </c>
      <c r="D30" t="s">
        <v>366</v>
      </c>
    </row>
    <row r="31" spans="1:4" x14ac:dyDescent="0.35">
      <c r="A31" t="s">
        <v>367</v>
      </c>
      <c r="B31" t="s">
        <v>286</v>
      </c>
      <c r="C31" t="s">
        <v>546</v>
      </c>
      <c r="D31" t="s">
        <v>367</v>
      </c>
    </row>
    <row r="32" spans="1:4" x14ac:dyDescent="0.35">
      <c r="A32" t="s">
        <v>368</v>
      </c>
      <c r="B32" t="s">
        <v>286</v>
      </c>
      <c r="C32" t="s">
        <v>547</v>
      </c>
      <c r="D32" t="s">
        <v>368</v>
      </c>
    </row>
    <row r="33" spans="1:4" x14ac:dyDescent="0.35">
      <c r="A33" t="s">
        <v>369</v>
      </c>
      <c r="B33" t="s">
        <v>286</v>
      </c>
      <c r="C33" t="s">
        <v>548</v>
      </c>
      <c r="D33" t="s">
        <v>369</v>
      </c>
    </row>
    <row r="34" spans="1:4" x14ac:dyDescent="0.35">
      <c r="A34" t="s">
        <v>370</v>
      </c>
      <c r="B34" t="s">
        <v>286</v>
      </c>
      <c r="C34" t="s">
        <v>549</v>
      </c>
      <c r="D34" t="s">
        <v>370</v>
      </c>
    </row>
    <row r="35" spans="1:4" x14ac:dyDescent="0.35">
      <c r="A35" t="s">
        <v>371</v>
      </c>
      <c r="B35" t="s">
        <v>286</v>
      </c>
      <c r="C35" t="s">
        <v>550</v>
      </c>
      <c r="D35" t="s">
        <v>371</v>
      </c>
    </row>
    <row r="36" spans="1:4" x14ac:dyDescent="0.35">
      <c r="A36" t="s">
        <v>372</v>
      </c>
      <c r="B36" t="s">
        <v>286</v>
      </c>
      <c r="C36" t="s">
        <v>551</v>
      </c>
      <c r="D36" t="s">
        <v>372</v>
      </c>
    </row>
    <row r="37" spans="1:4" x14ac:dyDescent="0.35">
      <c r="A37" t="s">
        <v>373</v>
      </c>
      <c r="B37" t="s">
        <v>286</v>
      </c>
      <c r="C37" t="s">
        <v>552</v>
      </c>
      <c r="D37" t="s">
        <v>373</v>
      </c>
    </row>
    <row r="38" spans="1:4" x14ac:dyDescent="0.35">
      <c r="A38" t="s">
        <v>374</v>
      </c>
      <c r="B38" t="s">
        <v>286</v>
      </c>
      <c r="C38" t="s">
        <v>499</v>
      </c>
      <c r="D38" t="s">
        <v>374</v>
      </c>
    </row>
    <row r="39" spans="1:4" x14ac:dyDescent="0.35">
      <c r="A39" t="s">
        <v>375</v>
      </c>
      <c r="B39" t="s">
        <v>286</v>
      </c>
      <c r="C39" t="s">
        <v>543</v>
      </c>
      <c r="D39" t="s">
        <v>375</v>
      </c>
    </row>
    <row r="40" spans="1:4" x14ac:dyDescent="0.35">
      <c r="A40" t="s">
        <v>376</v>
      </c>
      <c r="B40" t="s">
        <v>286</v>
      </c>
      <c r="C40" t="s">
        <v>544</v>
      </c>
      <c r="D40" t="s">
        <v>376</v>
      </c>
    </row>
    <row r="41" spans="1:4" x14ac:dyDescent="0.35">
      <c r="A41" t="s">
        <v>377</v>
      </c>
      <c r="B41" t="s">
        <v>286</v>
      </c>
      <c r="C41" t="s">
        <v>545</v>
      </c>
      <c r="D41" t="s">
        <v>377</v>
      </c>
    </row>
    <row r="42" spans="1:4" x14ac:dyDescent="0.35">
      <c r="A42" t="s">
        <v>378</v>
      </c>
      <c r="B42" t="s">
        <v>286</v>
      </c>
      <c r="C42" t="s">
        <v>546</v>
      </c>
      <c r="D42" t="s">
        <v>378</v>
      </c>
    </row>
    <row r="43" spans="1:4" x14ac:dyDescent="0.35">
      <c r="A43" t="s">
        <v>379</v>
      </c>
      <c r="B43" t="s">
        <v>286</v>
      </c>
      <c r="C43" t="s">
        <v>547</v>
      </c>
      <c r="D43" t="s">
        <v>379</v>
      </c>
    </row>
    <row r="44" spans="1:4" x14ac:dyDescent="0.35">
      <c r="A44" t="s">
        <v>380</v>
      </c>
      <c r="B44" t="s">
        <v>286</v>
      </c>
      <c r="C44" t="s">
        <v>548</v>
      </c>
      <c r="D44" t="s">
        <v>380</v>
      </c>
    </row>
    <row r="45" spans="1:4" x14ac:dyDescent="0.35">
      <c r="A45" t="s">
        <v>381</v>
      </c>
      <c r="B45" t="s">
        <v>286</v>
      </c>
      <c r="C45" t="s">
        <v>549</v>
      </c>
      <c r="D45" t="s">
        <v>381</v>
      </c>
    </row>
    <row r="46" spans="1:4" x14ac:dyDescent="0.35">
      <c r="A46" t="s">
        <v>382</v>
      </c>
      <c r="B46" t="s">
        <v>286</v>
      </c>
      <c r="C46" t="s">
        <v>550</v>
      </c>
      <c r="D46" t="s">
        <v>382</v>
      </c>
    </row>
    <row r="47" spans="1:4" x14ac:dyDescent="0.35">
      <c r="A47" t="s">
        <v>383</v>
      </c>
      <c r="B47" t="s">
        <v>286</v>
      </c>
      <c r="C47" t="s">
        <v>551</v>
      </c>
      <c r="D47" t="s">
        <v>383</v>
      </c>
    </row>
    <row r="48" spans="1:4" x14ac:dyDescent="0.35">
      <c r="A48" t="s">
        <v>384</v>
      </c>
      <c r="B48" t="s">
        <v>286</v>
      </c>
      <c r="C48" t="s">
        <v>552</v>
      </c>
      <c r="D48" t="s">
        <v>384</v>
      </c>
    </row>
    <row r="49" spans="1:4" x14ac:dyDescent="0.35">
      <c r="A49" t="s">
        <v>385</v>
      </c>
      <c r="B49" t="s">
        <v>286</v>
      </c>
      <c r="C49" t="s">
        <v>553</v>
      </c>
      <c r="D49" t="s">
        <v>385</v>
      </c>
    </row>
    <row r="50" spans="1:4" x14ac:dyDescent="0.35">
      <c r="A50" t="s">
        <v>386</v>
      </c>
      <c r="B50" t="s">
        <v>286</v>
      </c>
      <c r="C50" t="s">
        <v>554</v>
      </c>
      <c r="D50" t="s">
        <v>386</v>
      </c>
    </row>
    <row r="51" spans="1:4" x14ac:dyDescent="0.35">
      <c r="A51" t="s">
        <v>387</v>
      </c>
      <c r="B51" t="s">
        <v>286</v>
      </c>
      <c r="C51" t="s">
        <v>555</v>
      </c>
      <c r="D51" t="s">
        <v>387</v>
      </c>
    </row>
    <row r="52" spans="1:4" x14ac:dyDescent="0.35">
      <c r="A52" t="s">
        <v>388</v>
      </c>
      <c r="B52" t="s">
        <v>286</v>
      </c>
      <c r="C52" t="s">
        <v>556</v>
      </c>
      <c r="D52" t="s">
        <v>388</v>
      </c>
    </row>
    <row r="53" spans="1:4" x14ac:dyDescent="0.35">
      <c r="A53" t="s">
        <v>389</v>
      </c>
      <c r="B53" t="s">
        <v>286</v>
      </c>
      <c r="C53" t="s">
        <v>557</v>
      </c>
      <c r="D53" t="s">
        <v>389</v>
      </c>
    </row>
    <row r="54" spans="1:4" x14ac:dyDescent="0.35">
      <c r="A54" t="s">
        <v>390</v>
      </c>
      <c r="B54" t="s">
        <v>286</v>
      </c>
      <c r="C54" t="s">
        <v>558</v>
      </c>
      <c r="D54" t="s">
        <v>390</v>
      </c>
    </row>
    <row r="55" spans="1:4" x14ac:dyDescent="0.35">
      <c r="A55" t="s">
        <v>391</v>
      </c>
      <c r="B55" t="s">
        <v>286</v>
      </c>
      <c r="C55" t="s">
        <v>559</v>
      </c>
      <c r="D55" t="s">
        <v>391</v>
      </c>
    </row>
    <row r="56" spans="1:4" x14ac:dyDescent="0.35">
      <c r="A56" t="s">
        <v>392</v>
      </c>
      <c r="B56" t="s">
        <v>286</v>
      </c>
      <c r="C56" t="s">
        <v>560</v>
      </c>
      <c r="D56" t="s">
        <v>392</v>
      </c>
    </row>
    <row r="57" spans="1:4" x14ac:dyDescent="0.35">
      <c r="A57" t="s">
        <v>393</v>
      </c>
      <c r="B57" t="s">
        <v>286</v>
      </c>
      <c r="C57" t="s">
        <v>561</v>
      </c>
      <c r="D57" t="s">
        <v>393</v>
      </c>
    </row>
    <row r="58" spans="1:4" x14ac:dyDescent="0.35">
      <c r="A58" t="s">
        <v>394</v>
      </c>
      <c r="B58" t="s">
        <v>286</v>
      </c>
      <c r="C58" t="s">
        <v>562</v>
      </c>
      <c r="D58" t="s">
        <v>394</v>
      </c>
    </row>
    <row r="59" spans="1:4" x14ac:dyDescent="0.35">
      <c r="A59" t="s">
        <v>395</v>
      </c>
      <c r="B59" t="s">
        <v>286</v>
      </c>
      <c r="C59" t="s">
        <v>563</v>
      </c>
      <c r="D59" t="s">
        <v>395</v>
      </c>
    </row>
    <row r="60" spans="1:4" x14ac:dyDescent="0.35">
      <c r="A60" t="s">
        <v>396</v>
      </c>
      <c r="B60" t="s">
        <v>286</v>
      </c>
      <c r="C60" t="s">
        <v>564</v>
      </c>
      <c r="D60" t="s">
        <v>396</v>
      </c>
    </row>
    <row r="61" spans="1:4" x14ac:dyDescent="0.35">
      <c r="A61" t="s">
        <v>397</v>
      </c>
      <c r="B61" t="s">
        <v>286</v>
      </c>
      <c r="C61" t="s">
        <v>565</v>
      </c>
      <c r="D61" t="s">
        <v>397</v>
      </c>
    </row>
    <row r="62" spans="1:4" x14ac:dyDescent="0.35">
      <c r="A62" t="s">
        <v>398</v>
      </c>
      <c r="B62" t="s">
        <v>286</v>
      </c>
      <c r="C62" t="s">
        <v>566</v>
      </c>
      <c r="D62" t="s">
        <v>398</v>
      </c>
    </row>
    <row r="63" spans="1:4" x14ac:dyDescent="0.35">
      <c r="A63" t="s">
        <v>399</v>
      </c>
      <c r="B63" t="s">
        <v>286</v>
      </c>
      <c r="C63" t="s">
        <v>567</v>
      </c>
      <c r="D63" t="s">
        <v>399</v>
      </c>
    </row>
    <row r="64" spans="1:4" x14ac:dyDescent="0.35">
      <c r="A64" t="s">
        <v>400</v>
      </c>
      <c r="B64" t="s">
        <v>286</v>
      </c>
      <c r="C64" t="s">
        <v>568</v>
      </c>
      <c r="D64" t="s">
        <v>400</v>
      </c>
    </row>
    <row r="65" spans="1:4" x14ac:dyDescent="0.35">
      <c r="A65" t="s">
        <v>601</v>
      </c>
      <c r="B65" t="s">
        <v>599</v>
      </c>
      <c r="C65" t="s">
        <v>569</v>
      </c>
      <c r="D65" t="s">
        <v>601</v>
      </c>
    </row>
    <row r="66" spans="1:4" x14ac:dyDescent="0.35">
      <c r="A66" t="s">
        <v>603</v>
      </c>
      <c r="B66" t="s">
        <v>599</v>
      </c>
      <c r="C66" t="s">
        <v>214</v>
      </c>
      <c r="D66" t="s">
        <v>603</v>
      </c>
    </row>
    <row r="67" spans="1:4" x14ac:dyDescent="0.35">
      <c r="A67" t="s">
        <v>604</v>
      </c>
      <c r="B67" t="s">
        <v>599</v>
      </c>
      <c r="C67" t="s">
        <v>570</v>
      </c>
      <c r="D67" t="s">
        <v>604</v>
      </c>
    </row>
    <row r="68" spans="1:4" x14ac:dyDescent="0.35">
      <c r="A68" t="s">
        <v>605</v>
      </c>
      <c r="B68" t="s">
        <v>599</v>
      </c>
      <c r="C68" t="s">
        <v>571</v>
      </c>
      <c r="D68" t="s">
        <v>605</v>
      </c>
    </row>
    <row r="69" spans="1:4" x14ac:dyDescent="0.35">
      <c r="A69" t="s">
        <v>403</v>
      </c>
      <c r="B69" t="s">
        <v>262</v>
      </c>
      <c r="C69" t="s">
        <v>577</v>
      </c>
      <c r="D69" t="s">
        <v>403</v>
      </c>
    </row>
    <row r="70" spans="1:4" x14ac:dyDescent="0.35">
      <c r="A70" t="s">
        <v>404</v>
      </c>
      <c r="B70" t="s">
        <v>262</v>
      </c>
      <c r="C70" t="s">
        <v>480</v>
      </c>
      <c r="D70" t="s">
        <v>404</v>
      </c>
    </row>
    <row r="71" spans="1:4" x14ac:dyDescent="0.35">
      <c r="A71" t="s">
        <v>405</v>
      </c>
      <c r="B71" t="s">
        <v>262</v>
      </c>
      <c r="C71" t="s">
        <v>481</v>
      </c>
      <c r="D71" t="s">
        <v>405</v>
      </c>
    </row>
    <row r="72" spans="1:4" x14ac:dyDescent="0.35">
      <c r="A72" t="s">
        <v>406</v>
      </c>
      <c r="B72" t="s">
        <v>262</v>
      </c>
      <c r="C72" t="s">
        <v>482</v>
      </c>
      <c r="D72" t="s">
        <v>406</v>
      </c>
    </row>
    <row r="73" spans="1:4" x14ac:dyDescent="0.35">
      <c r="A73" t="s">
        <v>407</v>
      </c>
      <c r="B73" t="s">
        <v>262</v>
      </c>
      <c r="C73" t="s">
        <v>483</v>
      </c>
      <c r="D73" t="s">
        <v>407</v>
      </c>
    </row>
    <row r="74" spans="1:4" x14ac:dyDescent="0.35">
      <c r="A74" t="s">
        <v>408</v>
      </c>
      <c r="B74" t="s">
        <v>262</v>
      </c>
      <c r="C74" t="s">
        <v>484</v>
      </c>
      <c r="D74" t="s">
        <v>408</v>
      </c>
    </row>
    <row r="75" spans="1:4" x14ac:dyDescent="0.35">
      <c r="A75" t="s">
        <v>606</v>
      </c>
      <c r="B75" t="s">
        <v>262</v>
      </c>
      <c r="C75" t="s">
        <v>485</v>
      </c>
      <c r="D75" t="s">
        <v>606</v>
      </c>
    </row>
    <row r="76" spans="1:4" x14ac:dyDescent="0.35">
      <c r="A76" t="s">
        <v>607</v>
      </c>
      <c r="B76" t="s">
        <v>262</v>
      </c>
      <c r="C76" t="s">
        <v>486</v>
      </c>
      <c r="D76" t="s">
        <v>607</v>
      </c>
    </row>
    <row r="77" spans="1:4" x14ac:dyDescent="0.35">
      <c r="A77" t="s">
        <v>608</v>
      </c>
      <c r="B77" t="s">
        <v>262</v>
      </c>
      <c r="C77" t="s">
        <v>578</v>
      </c>
      <c r="D77" t="s">
        <v>608</v>
      </c>
    </row>
    <row r="78" spans="1:4" x14ac:dyDescent="0.35">
      <c r="A78" t="s">
        <v>409</v>
      </c>
      <c r="B78" t="s">
        <v>4</v>
      </c>
      <c r="C78" t="s">
        <v>490</v>
      </c>
      <c r="D78" t="s">
        <v>409</v>
      </c>
    </row>
    <row r="79" spans="1:4" x14ac:dyDescent="0.35">
      <c r="A79" t="s">
        <v>410</v>
      </c>
      <c r="B79" t="s">
        <v>4</v>
      </c>
      <c r="C79" t="s">
        <v>491</v>
      </c>
      <c r="D79" t="s">
        <v>410</v>
      </c>
    </row>
    <row r="80" spans="1:4" x14ac:dyDescent="0.35">
      <c r="A80" t="s">
        <v>411</v>
      </c>
      <c r="B80" t="s">
        <v>4</v>
      </c>
      <c r="C80" t="s">
        <v>492</v>
      </c>
      <c r="D80" t="s">
        <v>411</v>
      </c>
    </row>
    <row r="81" spans="1:4" x14ac:dyDescent="0.35">
      <c r="A81" t="s">
        <v>412</v>
      </c>
      <c r="B81" t="s">
        <v>4</v>
      </c>
      <c r="C81" t="s">
        <v>493</v>
      </c>
      <c r="D81" t="s">
        <v>412</v>
      </c>
    </row>
    <row r="82" spans="1:4" x14ac:dyDescent="0.35">
      <c r="A82" t="s">
        <v>609</v>
      </c>
      <c r="B82" t="s">
        <v>4</v>
      </c>
      <c r="C82" t="s">
        <v>494</v>
      </c>
      <c r="D82" t="s">
        <v>609</v>
      </c>
    </row>
    <row r="83" spans="1:4" x14ac:dyDescent="0.35">
      <c r="A83" t="s">
        <v>610</v>
      </c>
      <c r="B83" t="s">
        <v>4</v>
      </c>
      <c r="C83" t="s">
        <v>495</v>
      </c>
      <c r="D83" t="s">
        <v>610</v>
      </c>
    </row>
    <row r="84" spans="1:4" x14ac:dyDescent="0.35">
      <c r="A84" t="s">
        <v>611</v>
      </c>
      <c r="B84" t="s">
        <v>4</v>
      </c>
      <c r="C84" t="s">
        <v>496</v>
      </c>
      <c r="D84" t="s">
        <v>611</v>
      </c>
    </row>
    <row r="85" spans="1:4" x14ac:dyDescent="0.35">
      <c r="A85" t="s">
        <v>612</v>
      </c>
      <c r="B85" t="s">
        <v>4</v>
      </c>
      <c r="C85" t="s">
        <v>497</v>
      </c>
      <c r="D85" t="s">
        <v>612</v>
      </c>
    </row>
    <row r="86" spans="1:4" x14ac:dyDescent="0.35">
      <c r="A86" t="s">
        <v>613</v>
      </c>
      <c r="B86" t="s">
        <v>4</v>
      </c>
      <c r="C86" t="s">
        <v>498</v>
      </c>
      <c r="D86" t="s">
        <v>613</v>
      </c>
    </row>
    <row r="87" spans="1:4" x14ac:dyDescent="0.35">
      <c r="A87" t="s">
        <v>614</v>
      </c>
      <c r="B87" t="s">
        <v>4</v>
      </c>
      <c r="C87" t="s">
        <v>499</v>
      </c>
      <c r="D87" t="s">
        <v>614</v>
      </c>
    </row>
    <row r="88" spans="1:4" x14ac:dyDescent="0.35">
      <c r="A88" t="s">
        <v>615</v>
      </c>
      <c r="B88" t="s">
        <v>4</v>
      </c>
      <c r="C88" t="s">
        <v>500</v>
      </c>
      <c r="D88" t="s">
        <v>615</v>
      </c>
    </row>
    <row r="89" spans="1:4" x14ac:dyDescent="0.35">
      <c r="A89" t="s">
        <v>616</v>
      </c>
      <c r="B89" t="s">
        <v>4</v>
      </c>
      <c r="C89" t="s">
        <v>501</v>
      </c>
      <c r="D89" t="s">
        <v>616</v>
      </c>
    </row>
    <row r="90" spans="1:4" x14ac:dyDescent="0.35">
      <c r="A90" t="s">
        <v>617</v>
      </c>
      <c r="B90" t="s">
        <v>4</v>
      </c>
      <c r="C90" t="s">
        <v>502</v>
      </c>
      <c r="D90" t="s">
        <v>617</v>
      </c>
    </row>
    <row r="91" spans="1:4" x14ac:dyDescent="0.35">
      <c r="A91" t="s">
        <v>618</v>
      </c>
      <c r="B91" t="s">
        <v>4</v>
      </c>
      <c r="C91" t="s">
        <v>503</v>
      </c>
      <c r="D91" t="s">
        <v>618</v>
      </c>
    </row>
    <row r="92" spans="1:4" x14ac:dyDescent="0.35">
      <c r="A92" t="s">
        <v>619</v>
      </c>
      <c r="B92" t="s">
        <v>4</v>
      </c>
      <c r="C92" t="s">
        <v>581</v>
      </c>
      <c r="D92" t="s">
        <v>619</v>
      </c>
    </row>
    <row r="93" spans="1:4" x14ac:dyDescent="0.35">
      <c r="A93" t="s">
        <v>413</v>
      </c>
      <c r="B93" t="s">
        <v>322</v>
      </c>
      <c r="C93" t="s">
        <v>587</v>
      </c>
      <c r="D93" t="s">
        <v>413</v>
      </c>
    </row>
    <row r="94" spans="1:4" x14ac:dyDescent="0.35">
      <c r="A94" t="s">
        <v>414</v>
      </c>
      <c r="B94" t="s">
        <v>322</v>
      </c>
      <c r="C94" t="s">
        <v>588</v>
      </c>
      <c r="D94" t="s">
        <v>414</v>
      </c>
    </row>
    <row r="95" spans="1:4" x14ac:dyDescent="0.35">
      <c r="A95" t="s">
        <v>415</v>
      </c>
      <c r="B95" t="s">
        <v>322</v>
      </c>
      <c r="C95" t="s">
        <v>589</v>
      </c>
      <c r="D95" t="s">
        <v>415</v>
      </c>
    </row>
    <row r="96" spans="1:4" x14ac:dyDescent="0.35">
      <c r="A96" t="s">
        <v>418</v>
      </c>
      <c r="B96" t="s">
        <v>309</v>
      </c>
      <c r="C96" t="s">
        <v>594</v>
      </c>
      <c r="D96" t="s">
        <v>418</v>
      </c>
    </row>
    <row r="97" spans="1:4" x14ac:dyDescent="0.35">
      <c r="A97" t="s">
        <v>419</v>
      </c>
      <c r="B97" t="s">
        <v>309</v>
      </c>
      <c r="C97" t="s">
        <v>524</v>
      </c>
      <c r="D97" t="s">
        <v>419</v>
      </c>
    </row>
    <row r="98" spans="1:4" x14ac:dyDescent="0.35">
      <c r="A98" t="s">
        <v>420</v>
      </c>
      <c r="B98" t="s">
        <v>309</v>
      </c>
      <c r="C98" t="s">
        <v>525</v>
      </c>
      <c r="D98" t="s">
        <v>420</v>
      </c>
    </row>
    <row r="99" spans="1:4" x14ac:dyDescent="0.35">
      <c r="A99" t="s">
        <v>421</v>
      </c>
      <c r="B99" t="s">
        <v>309</v>
      </c>
      <c r="C99" t="s">
        <v>526</v>
      </c>
      <c r="D99" t="s">
        <v>421</v>
      </c>
    </row>
    <row r="100" spans="1:4" x14ac:dyDescent="0.35">
      <c r="A100" t="s">
        <v>422</v>
      </c>
      <c r="B100" t="s">
        <v>309</v>
      </c>
      <c r="C100" t="s">
        <v>527</v>
      </c>
      <c r="D100" t="s">
        <v>422</v>
      </c>
    </row>
    <row r="101" spans="1:4" x14ac:dyDescent="0.35">
      <c r="A101" t="s">
        <v>423</v>
      </c>
      <c r="B101" t="s">
        <v>309</v>
      </c>
      <c r="C101" t="s">
        <v>528</v>
      </c>
      <c r="D101" t="s">
        <v>423</v>
      </c>
    </row>
    <row r="102" spans="1:4" x14ac:dyDescent="0.35">
      <c r="A102" t="s">
        <v>424</v>
      </c>
      <c r="B102" t="s">
        <v>309</v>
      </c>
      <c r="C102" t="s">
        <v>529</v>
      </c>
      <c r="D102" t="s">
        <v>424</v>
      </c>
    </row>
    <row r="103" spans="1:4" x14ac:dyDescent="0.35">
      <c r="A103" t="s">
        <v>425</v>
      </c>
      <c r="B103" t="s">
        <v>309</v>
      </c>
      <c r="C103" t="s">
        <v>595</v>
      </c>
      <c r="D103" t="s">
        <v>425</v>
      </c>
    </row>
    <row r="104" spans="1:4" x14ac:dyDescent="0.35">
      <c r="A104" t="s">
        <v>426</v>
      </c>
      <c r="B104" t="s">
        <v>309</v>
      </c>
      <c r="C104" t="s">
        <v>596</v>
      </c>
      <c r="D104" t="s">
        <v>426</v>
      </c>
    </row>
    <row r="105" spans="1:4" x14ac:dyDescent="0.35">
      <c r="A105" t="s">
        <v>427</v>
      </c>
      <c r="B105" t="s">
        <v>309</v>
      </c>
      <c r="C105" t="s">
        <v>597</v>
      </c>
      <c r="D105" t="s">
        <v>427</v>
      </c>
    </row>
    <row r="106" spans="1:4" x14ac:dyDescent="0.35">
      <c r="A106" t="s">
        <v>428</v>
      </c>
      <c r="B106" t="s">
        <v>309</v>
      </c>
      <c r="C106" t="s">
        <v>598</v>
      </c>
      <c r="D106" t="s">
        <v>428</v>
      </c>
    </row>
    <row r="107" spans="1:4" x14ac:dyDescent="0.35">
      <c r="A107" t="s">
        <v>620</v>
      </c>
      <c r="B107" t="s">
        <v>309</v>
      </c>
      <c r="C107" t="s">
        <v>534</v>
      </c>
      <c r="D107" t="s">
        <v>620</v>
      </c>
    </row>
    <row r="108" spans="1:4" x14ac:dyDescent="0.35">
      <c r="A108" t="s">
        <v>621</v>
      </c>
      <c r="B108" t="s">
        <v>309</v>
      </c>
      <c r="C108" t="s">
        <v>535</v>
      </c>
      <c r="D108" t="s">
        <v>621</v>
      </c>
    </row>
    <row r="109" spans="1:4" x14ac:dyDescent="0.35">
      <c r="A109" t="s">
        <v>622</v>
      </c>
      <c r="B109" t="s">
        <v>309</v>
      </c>
      <c r="C109" t="s">
        <v>536</v>
      </c>
      <c r="D109" t="s">
        <v>622</v>
      </c>
    </row>
    <row r="110" spans="1:4" x14ac:dyDescent="0.35">
      <c r="A110" t="s">
        <v>600</v>
      </c>
      <c r="B110" t="s">
        <v>316</v>
      </c>
      <c r="C110" t="s">
        <v>582</v>
      </c>
      <c r="D110" t="s">
        <v>600</v>
      </c>
    </row>
    <row r="111" spans="1:4" x14ac:dyDescent="0.35">
      <c r="A111" t="s">
        <v>623</v>
      </c>
      <c r="B111" t="s">
        <v>316</v>
      </c>
      <c r="C111" t="s">
        <v>506</v>
      </c>
      <c r="D111" t="s">
        <v>623</v>
      </c>
    </row>
    <row r="112" spans="1:4" x14ac:dyDescent="0.35">
      <c r="A112" t="s">
        <v>624</v>
      </c>
      <c r="B112" t="s">
        <v>316</v>
      </c>
      <c r="C112" t="s">
        <v>583</v>
      </c>
      <c r="D112" t="s">
        <v>624</v>
      </c>
    </row>
    <row r="113" spans="1:4" x14ac:dyDescent="0.35">
      <c r="A113" t="s">
        <v>458</v>
      </c>
      <c r="B113" t="s">
        <v>320</v>
      </c>
      <c r="C113" t="s">
        <v>591</v>
      </c>
      <c r="D113" t="s">
        <v>458</v>
      </c>
    </row>
    <row r="114" spans="1:4" x14ac:dyDescent="0.35">
      <c r="A114" t="s">
        <v>459</v>
      </c>
      <c r="B114" t="s">
        <v>320</v>
      </c>
      <c r="C114" t="s">
        <v>592</v>
      </c>
      <c r="D114" t="s">
        <v>459</v>
      </c>
    </row>
    <row r="115" spans="1:4" x14ac:dyDescent="0.35">
      <c r="A115" t="s">
        <v>460</v>
      </c>
      <c r="B115" t="s">
        <v>320</v>
      </c>
      <c r="C115" t="s">
        <v>517</v>
      </c>
      <c r="D115" t="s">
        <v>460</v>
      </c>
    </row>
    <row r="116" spans="1:4" x14ac:dyDescent="0.35">
      <c r="A116" t="s">
        <v>462</v>
      </c>
      <c r="B116" t="s">
        <v>267</v>
      </c>
      <c r="C116" t="s">
        <v>584</v>
      </c>
      <c r="D116" t="s">
        <v>462</v>
      </c>
    </row>
    <row r="117" spans="1:4" x14ac:dyDescent="0.35">
      <c r="A117" t="s">
        <v>463</v>
      </c>
      <c r="B117" t="s">
        <v>267</v>
      </c>
      <c r="C117" t="s">
        <v>585</v>
      </c>
      <c r="D117" t="s">
        <v>463</v>
      </c>
    </row>
    <row r="118" spans="1:4" x14ac:dyDescent="0.35">
      <c r="A118" t="s">
        <v>464</v>
      </c>
      <c r="B118" t="s">
        <v>267</v>
      </c>
      <c r="C118" t="s">
        <v>586</v>
      </c>
      <c r="D118" t="s">
        <v>464</v>
      </c>
    </row>
    <row r="119" spans="1:4" x14ac:dyDescent="0.35">
      <c r="A119" t="s">
        <v>465</v>
      </c>
      <c r="B119" t="s">
        <v>267</v>
      </c>
      <c r="C119" t="s">
        <v>136</v>
      </c>
      <c r="D119" t="s">
        <v>465</v>
      </c>
    </row>
    <row r="120" spans="1:4" x14ac:dyDescent="0.35">
      <c r="A120" t="s">
        <v>625</v>
      </c>
      <c r="B120" t="s">
        <v>267</v>
      </c>
      <c r="C120" t="s">
        <v>514</v>
      </c>
      <c r="D120" t="s">
        <v>625</v>
      </c>
    </row>
    <row r="121" spans="1:4" x14ac:dyDescent="0.35">
      <c r="A121" t="s">
        <v>626</v>
      </c>
      <c r="B121" t="s">
        <v>267</v>
      </c>
      <c r="C121" t="s">
        <v>590</v>
      </c>
      <c r="D121" t="s">
        <v>626</v>
      </c>
    </row>
  </sheetData>
  <sortState xmlns:xlrd2="http://schemas.microsoft.com/office/spreadsheetml/2017/richdata2" ref="A2:C121">
    <sortCondition ref="B2:B12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8C67-2AB9-43D3-928F-29219AFF3524}">
  <dimension ref="A1:C167"/>
  <sheetViews>
    <sheetView topLeftCell="A146" workbookViewId="0">
      <selection activeCell="B163" sqref="B163"/>
    </sheetView>
  </sheetViews>
  <sheetFormatPr baseColWidth="10" defaultRowHeight="14.5" x14ac:dyDescent="0.35"/>
  <cols>
    <col min="1" max="1" width="52.7265625" customWidth="1"/>
  </cols>
  <sheetData>
    <row r="1" spans="1:3" x14ac:dyDescent="0.35">
      <c r="A1" t="s">
        <v>827</v>
      </c>
      <c r="B1" t="s">
        <v>826</v>
      </c>
      <c r="C1" t="s">
        <v>828</v>
      </c>
    </row>
    <row r="2" spans="1:3" x14ac:dyDescent="0.35">
      <c r="A2" t="s">
        <v>723</v>
      </c>
      <c r="B2" t="s">
        <v>329</v>
      </c>
      <c r="C2" t="s">
        <v>723</v>
      </c>
    </row>
    <row r="3" spans="1:3" x14ac:dyDescent="0.35">
      <c r="A3" t="s">
        <v>724</v>
      </c>
      <c r="B3" t="s">
        <v>330</v>
      </c>
      <c r="C3" t="s">
        <v>724</v>
      </c>
    </row>
    <row r="4" spans="1:3" x14ac:dyDescent="0.35">
      <c r="A4" t="s">
        <v>628</v>
      </c>
      <c r="B4" t="s">
        <v>331</v>
      </c>
      <c r="C4" t="s">
        <v>628</v>
      </c>
    </row>
    <row r="5" spans="1:3" x14ac:dyDescent="0.35">
      <c r="A5" t="s">
        <v>725</v>
      </c>
      <c r="B5" t="s">
        <v>332</v>
      </c>
      <c r="C5" t="s">
        <v>725</v>
      </c>
    </row>
    <row r="6" spans="1:3" x14ac:dyDescent="0.35">
      <c r="A6" t="s">
        <v>726</v>
      </c>
      <c r="B6" t="s">
        <v>333</v>
      </c>
      <c r="C6" t="s">
        <v>726</v>
      </c>
    </row>
    <row r="7" spans="1:3" x14ac:dyDescent="0.35">
      <c r="A7" t="s">
        <v>727</v>
      </c>
      <c r="B7" t="s">
        <v>334</v>
      </c>
      <c r="C7" t="s">
        <v>727</v>
      </c>
    </row>
    <row r="8" spans="1:3" x14ac:dyDescent="0.35">
      <c r="A8" t="s">
        <v>728</v>
      </c>
      <c r="B8" t="s">
        <v>335</v>
      </c>
      <c r="C8" t="s">
        <v>728</v>
      </c>
    </row>
    <row r="9" spans="1:3" x14ac:dyDescent="0.35">
      <c r="A9" t="s">
        <v>729</v>
      </c>
      <c r="B9" t="s">
        <v>336</v>
      </c>
      <c r="C9" t="s">
        <v>729</v>
      </c>
    </row>
    <row r="10" spans="1:3" x14ac:dyDescent="0.35">
      <c r="A10" t="s">
        <v>629</v>
      </c>
      <c r="B10" t="s">
        <v>337</v>
      </c>
      <c r="C10" t="s">
        <v>629</v>
      </c>
    </row>
    <row r="11" spans="1:3" x14ac:dyDescent="0.35">
      <c r="A11" t="s">
        <v>630</v>
      </c>
      <c r="B11" t="s">
        <v>338</v>
      </c>
      <c r="C11" t="s">
        <v>630</v>
      </c>
    </row>
    <row r="12" spans="1:3" x14ac:dyDescent="0.35">
      <c r="A12" t="s">
        <v>631</v>
      </c>
      <c r="B12" t="s">
        <v>339</v>
      </c>
      <c r="C12" t="s">
        <v>631</v>
      </c>
    </row>
    <row r="13" spans="1:3" x14ac:dyDescent="0.35">
      <c r="A13" t="s">
        <v>632</v>
      </c>
      <c r="B13" t="s">
        <v>788</v>
      </c>
      <c r="C13" t="s">
        <v>632</v>
      </c>
    </row>
    <row r="14" spans="1:3" x14ac:dyDescent="0.35">
      <c r="A14" t="s">
        <v>633</v>
      </c>
      <c r="B14" t="s">
        <v>789</v>
      </c>
      <c r="C14" t="s">
        <v>633</v>
      </c>
    </row>
    <row r="15" spans="1:3" x14ac:dyDescent="0.35">
      <c r="A15" t="s">
        <v>634</v>
      </c>
      <c r="B15" t="s">
        <v>790</v>
      </c>
      <c r="C15" t="s">
        <v>634</v>
      </c>
    </row>
    <row r="16" spans="1:3" x14ac:dyDescent="0.35">
      <c r="A16" t="s">
        <v>730</v>
      </c>
      <c r="B16" t="s">
        <v>429</v>
      </c>
      <c r="C16" t="s">
        <v>741</v>
      </c>
    </row>
    <row r="17" spans="1:3" x14ac:dyDescent="0.35">
      <c r="A17" t="s">
        <v>731</v>
      </c>
      <c r="B17" t="s">
        <v>430</v>
      </c>
      <c r="C17" t="s">
        <v>731</v>
      </c>
    </row>
    <row r="18" spans="1:3" x14ac:dyDescent="0.35">
      <c r="A18" t="s">
        <v>732</v>
      </c>
      <c r="B18" t="s">
        <v>431</v>
      </c>
      <c r="C18" t="s">
        <v>732</v>
      </c>
    </row>
    <row r="19" spans="1:3" x14ac:dyDescent="0.35">
      <c r="A19" t="s">
        <v>733</v>
      </c>
      <c r="B19" t="s">
        <v>432</v>
      </c>
      <c r="C19" t="s">
        <v>733</v>
      </c>
    </row>
    <row r="20" spans="1:3" x14ac:dyDescent="0.35">
      <c r="A20" t="s">
        <v>261</v>
      </c>
      <c r="B20" t="s">
        <v>791</v>
      </c>
      <c r="C20" t="s">
        <v>261</v>
      </c>
    </row>
    <row r="21" spans="1:3" x14ac:dyDescent="0.35">
      <c r="A21" t="s">
        <v>635</v>
      </c>
      <c r="B21" t="s">
        <v>792</v>
      </c>
      <c r="C21" t="s">
        <v>635</v>
      </c>
    </row>
    <row r="22" spans="1:3" x14ac:dyDescent="0.35">
      <c r="A22" t="s">
        <v>577</v>
      </c>
      <c r="B22" t="s">
        <v>403</v>
      </c>
      <c r="C22" t="s">
        <v>577</v>
      </c>
    </row>
    <row r="23" spans="1:3" x14ac:dyDescent="0.35">
      <c r="A23" t="s">
        <v>480</v>
      </c>
      <c r="B23" t="s">
        <v>404</v>
      </c>
      <c r="C23" t="s">
        <v>480</v>
      </c>
    </row>
    <row r="24" spans="1:3" x14ac:dyDescent="0.35">
      <c r="A24" t="s">
        <v>481</v>
      </c>
      <c r="B24" t="s">
        <v>405</v>
      </c>
      <c r="C24" t="s">
        <v>481</v>
      </c>
    </row>
    <row r="25" spans="1:3" x14ac:dyDescent="0.35">
      <c r="A25" t="s">
        <v>482</v>
      </c>
      <c r="B25" t="s">
        <v>406</v>
      </c>
      <c r="C25" t="s">
        <v>482</v>
      </c>
    </row>
    <row r="26" spans="1:3" x14ac:dyDescent="0.35">
      <c r="A26" t="s">
        <v>483</v>
      </c>
      <c r="B26" t="s">
        <v>407</v>
      </c>
      <c r="C26" t="s">
        <v>483</v>
      </c>
    </row>
    <row r="27" spans="1:3" x14ac:dyDescent="0.35">
      <c r="A27" t="s">
        <v>484</v>
      </c>
      <c r="B27" t="s">
        <v>408</v>
      </c>
      <c r="C27" t="s">
        <v>484</v>
      </c>
    </row>
    <row r="28" spans="1:3" x14ac:dyDescent="0.35">
      <c r="A28" t="s">
        <v>485</v>
      </c>
      <c r="B28" t="s">
        <v>606</v>
      </c>
      <c r="C28" t="s">
        <v>485</v>
      </c>
    </row>
    <row r="29" spans="1:3" x14ac:dyDescent="0.35">
      <c r="A29" t="s">
        <v>486</v>
      </c>
      <c r="B29" t="s">
        <v>607</v>
      </c>
      <c r="C29" t="s">
        <v>486</v>
      </c>
    </row>
    <row r="30" spans="1:3" x14ac:dyDescent="0.35">
      <c r="A30" t="s">
        <v>579</v>
      </c>
      <c r="B30" t="s">
        <v>351</v>
      </c>
      <c r="C30" t="s">
        <v>579</v>
      </c>
    </row>
    <row r="31" spans="1:3" x14ac:dyDescent="0.35">
      <c r="A31" t="s">
        <v>141</v>
      </c>
      <c r="B31" t="s">
        <v>352</v>
      </c>
      <c r="C31" t="s">
        <v>141</v>
      </c>
    </row>
    <row r="32" spans="1:3" x14ac:dyDescent="0.35">
      <c r="A32" t="s">
        <v>488</v>
      </c>
      <c r="B32" t="s">
        <v>353</v>
      </c>
      <c r="C32" t="s">
        <v>488</v>
      </c>
    </row>
    <row r="33" spans="1:3" x14ac:dyDescent="0.35">
      <c r="A33" t="s">
        <v>636</v>
      </c>
      <c r="B33" t="s">
        <v>354</v>
      </c>
      <c r="C33" t="s">
        <v>636</v>
      </c>
    </row>
    <row r="34" spans="1:3" x14ac:dyDescent="0.35">
      <c r="A34" t="s">
        <v>490</v>
      </c>
      <c r="B34" t="s">
        <v>409</v>
      </c>
      <c r="C34" t="s">
        <v>490</v>
      </c>
    </row>
    <row r="35" spans="1:3" x14ac:dyDescent="0.35">
      <c r="A35" t="s">
        <v>637</v>
      </c>
      <c r="B35" t="s">
        <v>410</v>
      </c>
      <c r="C35" t="s">
        <v>637</v>
      </c>
    </row>
    <row r="36" spans="1:3" x14ac:dyDescent="0.35">
      <c r="A36" t="s">
        <v>491</v>
      </c>
      <c r="B36" t="s">
        <v>411</v>
      </c>
      <c r="C36" t="s">
        <v>491</v>
      </c>
    </row>
    <row r="37" spans="1:3" x14ac:dyDescent="0.35">
      <c r="A37" t="s">
        <v>492</v>
      </c>
      <c r="B37" t="s">
        <v>412</v>
      </c>
      <c r="C37" t="s">
        <v>492</v>
      </c>
    </row>
    <row r="38" spans="1:3" x14ac:dyDescent="0.35">
      <c r="A38" t="s">
        <v>493</v>
      </c>
      <c r="B38" t="s">
        <v>609</v>
      </c>
      <c r="C38" t="s">
        <v>493</v>
      </c>
    </row>
    <row r="39" spans="1:3" x14ac:dyDescent="0.35">
      <c r="A39" t="s">
        <v>494</v>
      </c>
      <c r="B39" t="s">
        <v>610</v>
      </c>
      <c r="C39" t="s">
        <v>494</v>
      </c>
    </row>
    <row r="40" spans="1:3" x14ac:dyDescent="0.35">
      <c r="A40" t="s">
        <v>495</v>
      </c>
      <c r="B40" t="s">
        <v>611</v>
      </c>
      <c r="C40" t="s">
        <v>495</v>
      </c>
    </row>
    <row r="41" spans="1:3" x14ac:dyDescent="0.35">
      <c r="A41" t="s">
        <v>496</v>
      </c>
      <c r="B41" t="s">
        <v>612</v>
      </c>
      <c r="C41" t="s">
        <v>496</v>
      </c>
    </row>
    <row r="42" spans="1:3" x14ac:dyDescent="0.35">
      <c r="A42" t="s">
        <v>497</v>
      </c>
      <c r="B42" t="s">
        <v>613</v>
      </c>
      <c r="C42" t="s">
        <v>497</v>
      </c>
    </row>
    <row r="43" spans="1:3" x14ac:dyDescent="0.35">
      <c r="A43" t="s">
        <v>498</v>
      </c>
      <c r="B43" t="s">
        <v>614</v>
      </c>
      <c r="C43" t="s">
        <v>498</v>
      </c>
    </row>
    <row r="44" spans="1:3" x14ac:dyDescent="0.35">
      <c r="A44" t="s">
        <v>638</v>
      </c>
      <c r="B44" t="s">
        <v>615</v>
      </c>
      <c r="C44" t="s">
        <v>638</v>
      </c>
    </row>
    <row r="45" spans="1:3" x14ac:dyDescent="0.35">
      <c r="A45" t="s">
        <v>499</v>
      </c>
      <c r="B45" t="s">
        <v>616</v>
      </c>
      <c r="C45" t="s">
        <v>499</v>
      </c>
    </row>
    <row r="46" spans="1:3" x14ac:dyDescent="0.35">
      <c r="A46" t="s">
        <v>500</v>
      </c>
      <c r="B46" t="s">
        <v>617</v>
      </c>
      <c r="C46" t="s">
        <v>500</v>
      </c>
    </row>
    <row r="47" spans="1:3" x14ac:dyDescent="0.35">
      <c r="A47" t="s">
        <v>501</v>
      </c>
      <c r="B47" t="s">
        <v>618</v>
      </c>
      <c r="C47" t="s">
        <v>501</v>
      </c>
    </row>
    <row r="48" spans="1:3" x14ac:dyDescent="0.35">
      <c r="A48" t="s">
        <v>502</v>
      </c>
      <c r="B48" t="s">
        <v>619</v>
      </c>
      <c r="C48" t="s">
        <v>502</v>
      </c>
    </row>
    <row r="49" spans="1:3" x14ac:dyDescent="0.35">
      <c r="A49" t="s">
        <v>503</v>
      </c>
      <c r="B49" t="s">
        <v>821</v>
      </c>
      <c r="C49" t="s">
        <v>503</v>
      </c>
    </row>
    <row r="50" spans="1:3" x14ac:dyDescent="0.35">
      <c r="A50" t="s">
        <v>639</v>
      </c>
      <c r="B50" t="s">
        <v>822</v>
      </c>
      <c r="C50" t="s">
        <v>639</v>
      </c>
    </row>
    <row r="51" spans="1:3" x14ac:dyDescent="0.35">
      <c r="A51" t="s">
        <v>582</v>
      </c>
      <c r="B51" t="s">
        <v>600</v>
      </c>
      <c r="C51" t="s">
        <v>582</v>
      </c>
    </row>
    <row r="52" spans="1:3" x14ac:dyDescent="0.35">
      <c r="A52" t="s">
        <v>640</v>
      </c>
      <c r="B52" t="s">
        <v>623</v>
      </c>
      <c r="C52" t="s">
        <v>640</v>
      </c>
    </row>
    <row r="53" spans="1:3" x14ac:dyDescent="0.35">
      <c r="A53" t="s">
        <v>641</v>
      </c>
      <c r="B53" t="s">
        <v>624</v>
      </c>
      <c r="C53" t="s">
        <v>746</v>
      </c>
    </row>
    <row r="54" spans="1:3" x14ac:dyDescent="0.35">
      <c r="A54" t="s">
        <v>642</v>
      </c>
      <c r="B54" t="s">
        <v>462</v>
      </c>
      <c r="C54" t="s">
        <v>748</v>
      </c>
    </row>
    <row r="55" spans="1:3" x14ac:dyDescent="0.35">
      <c r="A55" t="s">
        <v>643</v>
      </c>
      <c r="B55" t="s">
        <v>463</v>
      </c>
      <c r="C55" t="s">
        <v>749</v>
      </c>
    </row>
    <row r="56" spans="1:3" x14ac:dyDescent="0.35">
      <c r="A56" t="s">
        <v>644</v>
      </c>
      <c r="B56" t="s">
        <v>464</v>
      </c>
      <c r="C56" t="s">
        <v>750</v>
      </c>
    </row>
    <row r="57" spans="1:3" x14ac:dyDescent="0.35">
      <c r="A57" t="s">
        <v>645</v>
      </c>
      <c r="B57" t="s">
        <v>465</v>
      </c>
      <c r="C57" t="s">
        <v>751</v>
      </c>
    </row>
    <row r="58" spans="1:3" x14ac:dyDescent="0.35">
      <c r="A58" t="s">
        <v>646</v>
      </c>
      <c r="B58" t="s">
        <v>413</v>
      </c>
      <c r="C58" t="s">
        <v>754</v>
      </c>
    </row>
    <row r="59" spans="1:3" x14ac:dyDescent="0.35">
      <c r="A59" t="s">
        <v>647</v>
      </c>
      <c r="B59" t="s">
        <v>414</v>
      </c>
      <c r="C59" t="s">
        <v>755</v>
      </c>
    </row>
    <row r="60" spans="1:3" x14ac:dyDescent="0.35">
      <c r="A60" t="s">
        <v>648</v>
      </c>
      <c r="B60" t="s">
        <v>415</v>
      </c>
      <c r="C60" t="s">
        <v>756</v>
      </c>
    </row>
    <row r="61" spans="1:3" x14ac:dyDescent="0.35">
      <c r="A61" t="s">
        <v>649</v>
      </c>
      <c r="B61" t="s">
        <v>625</v>
      </c>
      <c r="C61" t="s">
        <v>649</v>
      </c>
    </row>
    <row r="62" spans="1:3" x14ac:dyDescent="0.35">
      <c r="A62" t="s">
        <v>650</v>
      </c>
      <c r="B62" t="s">
        <v>626</v>
      </c>
      <c r="C62" t="s">
        <v>650</v>
      </c>
    </row>
    <row r="63" spans="1:3" x14ac:dyDescent="0.35">
      <c r="A63" t="s">
        <v>651</v>
      </c>
      <c r="B63" t="s">
        <v>823</v>
      </c>
      <c r="C63" t="s">
        <v>651</v>
      </c>
    </row>
    <row r="64" spans="1:3" x14ac:dyDescent="0.35">
      <c r="A64" t="s">
        <v>652</v>
      </c>
      <c r="B64" t="s">
        <v>824</v>
      </c>
      <c r="C64" t="s">
        <v>652</v>
      </c>
    </row>
    <row r="65" spans="1:3" x14ac:dyDescent="0.35">
      <c r="A65" t="s">
        <v>653</v>
      </c>
      <c r="B65" t="s">
        <v>416</v>
      </c>
      <c r="C65" t="s">
        <v>757</v>
      </c>
    </row>
    <row r="66" spans="1:3" x14ac:dyDescent="0.35">
      <c r="A66" t="s">
        <v>654</v>
      </c>
      <c r="B66" t="s">
        <v>458</v>
      </c>
      <c r="C66" t="s">
        <v>759</v>
      </c>
    </row>
    <row r="67" spans="1:3" x14ac:dyDescent="0.35">
      <c r="A67" t="s">
        <v>655</v>
      </c>
      <c r="B67" t="s">
        <v>459</v>
      </c>
      <c r="C67" t="s">
        <v>760</v>
      </c>
    </row>
    <row r="68" spans="1:3" x14ac:dyDescent="0.35">
      <c r="A68" t="s">
        <v>656</v>
      </c>
      <c r="B68" t="s">
        <v>460</v>
      </c>
      <c r="C68" t="s">
        <v>761</v>
      </c>
    </row>
    <row r="69" spans="1:3" x14ac:dyDescent="0.35">
      <c r="A69" t="s">
        <v>518</v>
      </c>
      <c r="B69" t="s">
        <v>340</v>
      </c>
      <c r="C69" t="s">
        <v>518</v>
      </c>
    </row>
    <row r="70" spans="1:3" x14ac:dyDescent="0.35">
      <c r="A70" t="s">
        <v>657</v>
      </c>
      <c r="B70" t="s">
        <v>341</v>
      </c>
      <c r="C70" t="s">
        <v>657</v>
      </c>
    </row>
    <row r="71" spans="1:3" x14ac:dyDescent="0.35">
      <c r="A71" t="s">
        <v>658</v>
      </c>
      <c r="B71" t="s">
        <v>342</v>
      </c>
      <c r="C71" t="s">
        <v>658</v>
      </c>
    </row>
    <row r="72" spans="1:3" x14ac:dyDescent="0.35">
      <c r="A72" t="s">
        <v>659</v>
      </c>
      <c r="B72" t="s">
        <v>343</v>
      </c>
      <c r="C72" t="s">
        <v>659</v>
      </c>
    </row>
    <row r="73" spans="1:3" x14ac:dyDescent="0.35">
      <c r="A73" t="s">
        <v>660</v>
      </c>
      <c r="B73" t="s">
        <v>344</v>
      </c>
      <c r="C73" t="s">
        <v>660</v>
      </c>
    </row>
    <row r="74" spans="1:3" x14ac:dyDescent="0.35">
      <c r="A74" t="s">
        <v>661</v>
      </c>
      <c r="B74" t="s">
        <v>345</v>
      </c>
      <c r="C74" t="s">
        <v>661</v>
      </c>
    </row>
    <row r="75" spans="1:3" x14ac:dyDescent="0.35">
      <c r="A75" t="s">
        <v>662</v>
      </c>
      <c r="B75" t="s">
        <v>346</v>
      </c>
      <c r="C75" t="s">
        <v>662</v>
      </c>
    </row>
    <row r="76" spans="1:3" x14ac:dyDescent="0.35">
      <c r="A76" t="s">
        <v>663</v>
      </c>
      <c r="B76" t="s">
        <v>793</v>
      </c>
      <c r="C76" t="s">
        <v>663</v>
      </c>
    </row>
    <row r="77" spans="1:3" x14ac:dyDescent="0.35">
      <c r="A77" t="s">
        <v>664</v>
      </c>
      <c r="B77" t="s">
        <v>794</v>
      </c>
      <c r="C77" t="s">
        <v>664</v>
      </c>
    </row>
    <row r="78" spans="1:3" x14ac:dyDescent="0.35">
      <c r="A78" t="s">
        <v>665</v>
      </c>
      <c r="B78" t="s">
        <v>795</v>
      </c>
      <c r="C78" t="s">
        <v>665</v>
      </c>
    </row>
    <row r="79" spans="1:3" x14ac:dyDescent="0.35">
      <c r="A79" t="s">
        <v>666</v>
      </c>
      <c r="B79" t="s">
        <v>796</v>
      </c>
      <c r="C79" t="s">
        <v>666</v>
      </c>
    </row>
    <row r="80" spans="1:3" x14ac:dyDescent="0.35">
      <c r="A80" t="s">
        <v>667</v>
      </c>
      <c r="B80" t="s">
        <v>797</v>
      </c>
      <c r="C80" t="s">
        <v>667</v>
      </c>
    </row>
    <row r="81" spans="1:3" x14ac:dyDescent="0.35">
      <c r="A81" t="s">
        <v>668</v>
      </c>
      <c r="B81" t="s">
        <v>798</v>
      </c>
      <c r="C81" t="s">
        <v>668</v>
      </c>
    </row>
    <row r="82" spans="1:3" x14ac:dyDescent="0.35">
      <c r="A82" t="s">
        <v>669</v>
      </c>
      <c r="B82" t="s">
        <v>799</v>
      </c>
      <c r="C82" t="s">
        <v>669</v>
      </c>
    </row>
    <row r="83" spans="1:3" x14ac:dyDescent="0.35">
      <c r="A83" t="s">
        <v>670</v>
      </c>
      <c r="B83" t="s">
        <v>800</v>
      </c>
      <c r="C83" t="s">
        <v>670</v>
      </c>
    </row>
    <row r="84" spans="1:3" x14ac:dyDescent="0.35">
      <c r="A84" t="s">
        <v>671</v>
      </c>
      <c r="B84" t="s">
        <v>801</v>
      </c>
      <c r="C84" t="s">
        <v>763</v>
      </c>
    </row>
    <row r="85" spans="1:3" x14ac:dyDescent="0.35">
      <c r="A85" t="s">
        <v>672</v>
      </c>
      <c r="B85" t="s">
        <v>802</v>
      </c>
      <c r="C85" t="s">
        <v>672</v>
      </c>
    </row>
    <row r="86" spans="1:3" x14ac:dyDescent="0.35">
      <c r="A86" t="s">
        <v>673</v>
      </c>
      <c r="B86" t="s">
        <v>803</v>
      </c>
      <c r="C86" t="s">
        <v>673</v>
      </c>
    </row>
    <row r="87" spans="1:3" x14ac:dyDescent="0.35">
      <c r="A87" t="s">
        <v>674</v>
      </c>
      <c r="B87" t="s">
        <v>804</v>
      </c>
      <c r="C87" t="s">
        <v>674</v>
      </c>
    </row>
    <row r="88" spans="1:3" x14ac:dyDescent="0.35">
      <c r="A88" t="s">
        <v>675</v>
      </c>
      <c r="B88" t="s">
        <v>786</v>
      </c>
      <c r="C88" t="s">
        <v>766</v>
      </c>
    </row>
    <row r="89" spans="1:3" x14ac:dyDescent="0.35">
      <c r="A89" t="s">
        <v>524</v>
      </c>
      <c r="B89" t="s">
        <v>805</v>
      </c>
      <c r="C89" t="s">
        <v>524</v>
      </c>
    </row>
    <row r="90" spans="1:3" x14ac:dyDescent="0.35">
      <c r="A90" t="s">
        <v>525</v>
      </c>
      <c r="B90" t="s">
        <v>806</v>
      </c>
      <c r="C90" t="s">
        <v>525</v>
      </c>
    </row>
    <row r="91" spans="1:3" x14ac:dyDescent="0.35">
      <c r="A91" t="s">
        <v>526</v>
      </c>
      <c r="B91" t="s">
        <v>807</v>
      </c>
      <c r="C91" t="s">
        <v>526</v>
      </c>
    </row>
    <row r="92" spans="1:3" x14ac:dyDescent="0.35">
      <c r="A92" t="s">
        <v>527</v>
      </c>
      <c r="B92" t="s">
        <v>808</v>
      </c>
      <c r="C92" t="s">
        <v>527</v>
      </c>
    </row>
    <row r="93" spans="1:3" x14ac:dyDescent="0.35">
      <c r="A93" t="s">
        <v>676</v>
      </c>
      <c r="B93" t="s">
        <v>809</v>
      </c>
      <c r="C93" t="s">
        <v>676</v>
      </c>
    </row>
    <row r="94" spans="1:3" x14ac:dyDescent="0.35">
      <c r="A94" t="s">
        <v>677</v>
      </c>
      <c r="B94" t="s">
        <v>810</v>
      </c>
      <c r="C94" t="s">
        <v>677</v>
      </c>
    </row>
    <row r="95" spans="1:3" x14ac:dyDescent="0.35">
      <c r="A95" t="s">
        <v>678</v>
      </c>
      <c r="B95" t="s">
        <v>811</v>
      </c>
      <c r="C95" t="s">
        <v>767</v>
      </c>
    </row>
    <row r="96" spans="1:3" x14ac:dyDescent="0.35">
      <c r="A96" t="s">
        <v>679</v>
      </c>
      <c r="B96" t="s">
        <v>812</v>
      </c>
      <c r="C96" t="s">
        <v>768</v>
      </c>
    </row>
    <row r="97" spans="1:3" x14ac:dyDescent="0.35">
      <c r="A97" t="s">
        <v>680</v>
      </c>
      <c r="B97" t="s">
        <v>813</v>
      </c>
      <c r="C97" t="s">
        <v>769</v>
      </c>
    </row>
    <row r="98" spans="1:3" x14ac:dyDescent="0.35">
      <c r="A98" t="s">
        <v>681</v>
      </c>
      <c r="B98" t="s">
        <v>814</v>
      </c>
      <c r="C98" t="s">
        <v>681</v>
      </c>
    </row>
    <row r="99" spans="1:3" x14ac:dyDescent="0.35">
      <c r="A99" t="s">
        <v>682</v>
      </c>
      <c r="B99" t="s">
        <v>601</v>
      </c>
      <c r="C99" t="s">
        <v>682</v>
      </c>
    </row>
    <row r="100" spans="1:3" x14ac:dyDescent="0.35">
      <c r="A100" t="s">
        <v>683</v>
      </c>
      <c r="B100" t="s">
        <v>815</v>
      </c>
      <c r="C100" t="s">
        <v>683</v>
      </c>
    </row>
    <row r="101" spans="1:3" x14ac:dyDescent="0.35">
      <c r="A101" t="s">
        <v>734</v>
      </c>
      <c r="B101" t="s">
        <v>816</v>
      </c>
      <c r="C101" t="s">
        <v>535</v>
      </c>
    </row>
    <row r="102" spans="1:3" x14ac:dyDescent="0.35">
      <c r="A102" t="s">
        <v>684</v>
      </c>
      <c r="B102" t="s">
        <v>817</v>
      </c>
      <c r="C102" t="s">
        <v>684</v>
      </c>
    </row>
    <row r="103" spans="1:3" x14ac:dyDescent="0.35">
      <c r="A103" t="s">
        <v>146</v>
      </c>
      <c r="B103" t="s">
        <v>433</v>
      </c>
      <c r="C103" t="s">
        <v>146</v>
      </c>
    </row>
    <row r="104" spans="1:3" x14ac:dyDescent="0.35">
      <c r="A104" t="s">
        <v>685</v>
      </c>
      <c r="B104" t="s">
        <v>434</v>
      </c>
      <c r="C104" t="s">
        <v>685</v>
      </c>
    </row>
    <row r="105" spans="1:3" x14ac:dyDescent="0.35">
      <c r="A105" t="s">
        <v>148</v>
      </c>
      <c r="B105" t="s">
        <v>435</v>
      </c>
      <c r="C105" t="s">
        <v>148</v>
      </c>
    </row>
    <row r="106" spans="1:3" x14ac:dyDescent="0.35">
      <c r="A106" t="s">
        <v>686</v>
      </c>
      <c r="B106" t="s">
        <v>436</v>
      </c>
      <c r="C106" t="s">
        <v>686</v>
      </c>
    </row>
    <row r="107" spans="1:3" x14ac:dyDescent="0.35">
      <c r="A107" t="s">
        <v>95</v>
      </c>
      <c r="B107" t="s">
        <v>437</v>
      </c>
      <c r="C107" t="s">
        <v>95</v>
      </c>
    </row>
    <row r="108" spans="1:3" x14ac:dyDescent="0.35">
      <c r="A108" t="s">
        <v>687</v>
      </c>
      <c r="B108" t="s">
        <v>438</v>
      </c>
      <c r="C108" t="s">
        <v>687</v>
      </c>
    </row>
    <row r="109" spans="1:3" x14ac:dyDescent="0.35">
      <c r="A109" t="s">
        <v>688</v>
      </c>
      <c r="B109" t="s">
        <v>439</v>
      </c>
      <c r="C109" t="s">
        <v>688</v>
      </c>
    </row>
    <row r="110" spans="1:3" x14ac:dyDescent="0.35">
      <c r="A110" t="s">
        <v>689</v>
      </c>
      <c r="B110" t="s">
        <v>825</v>
      </c>
      <c r="C110" t="s">
        <v>689</v>
      </c>
    </row>
    <row r="111" spans="1:3" x14ac:dyDescent="0.35">
      <c r="A111" t="s">
        <v>690</v>
      </c>
      <c r="B111" t="s">
        <v>440</v>
      </c>
      <c r="C111" t="s">
        <v>690</v>
      </c>
    </row>
    <row r="112" spans="1:3" x14ac:dyDescent="0.35">
      <c r="A112" t="s">
        <v>691</v>
      </c>
      <c r="B112" t="s">
        <v>441</v>
      </c>
      <c r="C112" t="s">
        <v>691</v>
      </c>
    </row>
    <row r="113" spans="1:3" x14ac:dyDescent="0.35">
      <c r="A113" t="s">
        <v>692</v>
      </c>
      <c r="B113" t="s">
        <v>442</v>
      </c>
      <c r="C113" t="s">
        <v>771</v>
      </c>
    </row>
    <row r="114" spans="1:3" x14ac:dyDescent="0.35">
      <c r="A114" t="s">
        <v>693</v>
      </c>
      <c r="B114" t="s">
        <v>443</v>
      </c>
      <c r="C114" t="s">
        <v>772</v>
      </c>
    </row>
    <row r="115" spans="1:3" x14ac:dyDescent="0.35">
      <c r="A115" t="s">
        <v>735</v>
      </c>
      <c r="B115" t="s">
        <v>444</v>
      </c>
      <c r="C115" t="s">
        <v>773</v>
      </c>
    </row>
    <row r="116" spans="1:3" x14ac:dyDescent="0.35">
      <c r="A116" t="s">
        <v>694</v>
      </c>
      <c r="B116" t="s">
        <v>445</v>
      </c>
      <c r="C116" t="s">
        <v>158</v>
      </c>
    </row>
    <row r="117" spans="1:3" x14ac:dyDescent="0.35">
      <c r="A117" t="s">
        <v>695</v>
      </c>
      <c r="B117" t="s">
        <v>446</v>
      </c>
      <c r="C117" t="s">
        <v>161</v>
      </c>
    </row>
    <row r="118" spans="1:3" x14ac:dyDescent="0.35">
      <c r="A118" t="s">
        <v>696</v>
      </c>
      <c r="B118" t="s">
        <v>447</v>
      </c>
      <c r="C118" t="s">
        <v>164</v>
      </c>
    </row>
    <row r="119" spans="1:3" x14ac:dyDescent="0.35">
      <c r="A119" t="s">
        <v>697</v>
      </c>
      <c r="B119" t="s">
        <v>448</v>
      </c>
      <c r="C119" t="s">
        <v>167</v>
      </c>
    </row>
    <row r="120" spans="1:3" x14ac:dyDescent="0.35">
      <c r="A120" t="s">
        <v>698</v>
      </c>
      <c r="B120" t="s">
        <v>358</v>
      </c>
      <c r="C120" t="s">
        <v>698</v>
      </c>
    </row>
    <row r="121" spans="1:3" x14ac:dyDescent="0.35">
      <c r="A121" t="s">
        <v>699</v>
      </c>
      <c r="B121" t="s">
        <v>359</v>
      </c>
      <c r="C121" t="s">
        <v>699</v>
      </c>
    </row>
    <row r="122" spans="1:3" x14ac:dyDescent="0.35">
      <c r="A122" t="s">
        <v>700</v>
      </c>
      <c r="B122" t="s">
        <v>360</v>
      </c>
      <c r="C122" t="s">
        <v>700</v>
      </c>
    </row>
    <row r="123" spans="1:3" x14ac:dyDescent="0.35">
      <c r="A123" t="s">
        <v>701</v>
      </c>
      <c r="B123" t="s">
        <v>361</v>
      </c>
      <c r="C123" t="s">
        <v>701</v>
      </c>
    </row>
    <row r="124" spans="1:3" x14ac:dyDescent="0.35">
      <c r="A124" t="s">
        <v>702</v>
      </c>
      <c r="B124" t="s">
        <v>362</v>
      </c>
      <c r="C124" t="s">
        <v>702</v>
      </c>
    </row>
    <row r="125" spans="1:3" x14ac:dyDescent="0.35">
      <c r="A125" t="s">
        <v>703</v>
      </c>
      <c r="B125" t="s">
        <v>363</v>
      </c>
      <c r="C125" t="s">
        <v>703</v>
      </c>
    </row>
    <row r="126" spans="1:3" x14ac:dyDescent="0.35">
      <c r="A126" t="s">
        <v>704</v>
      </c>
      <c r="B126" t="s">
        <v>364</v>
      </c>
      <c r="C126" t="s">
        <v>704</v>
      </c>
    </row>
    <row r="127" spans="1:3" x14ac:dyDescent="0.35">
      <c r="A127" t="s">
        <v>705</v>
      </c>
      <c r="B127" t="s">
        <v>365</v>
      </c>
      <c r="C127" t="s">
        <v>705</v>
      </c>
    </row>
    <row r="128" spans="1:3" x14ac:dyDescent="0.35">
      <c r="A128" t="s">
        <v>547</v>
      </c>
      <c r="B128" t="s">
        <v>366</v>
      </c>
      <c r="C128" t="s">
        <v>547</v>
      </c>
    </row>
    <row r="129" spans="1:3" x14ac:dyDescent="0.35">
      <c r="A129" t="s">
        <v>706</v>
      </c>
      <c r="B129" t="s">
        <v>367</v>
      </c>
      <c r="C129" t="s">
        <v>706</v>
      </c>
    </row>
    <row r="130" spans="1:3" x14ac:dyDescent="0.35">
      <c r="A130" t="s">
        <v>707</v>
      </c>
      <c r="B130" t="s">
        <v>368</v>
      </c>
      <c r="C130" t="s">
        <v>707</v>
      </c>
    </row>
    <row r="131" spans="1:3" x14ac:dyDescent="0.35">
      <c r="A131" t="s">
        <v>677</v>
      </c>
      <c r="B131" t="s">
        <v>810</v>
      </c>
      <c r="C131" t="s">
        <v>677</v>
      </c>
    </row>
    <row r="132" spans="1:3" x14ac:dyDescent="0.35">
      <c r="A132" t="s">
        <v>698</v>
      </c>
      <c r="B132" t="s">
        <v>358</v>
      </c>
      <c r="C132" t="s">
        <v>698</v>
      </c>
    </row>
    <row r="133" spans="1:3" x14ac:dyDescent="0.35">
      <c r="A133" t="s">
        <v>699</v>
      </c>
      <c r="B133" t="s">
        <v>359</v>
      </c>
      <c r="C133" t="s">
        <v>699</v>
      </c>
    </row>
    <row r="134" spans="1:3" x14ac:dyDescent="0.35">
      <c r="A134" t="s">
        <v>700</v>
      </c>
      <c r="B134" t="s">
        <v>360</v>
      </c>
      <c r="C134" t="s">
        <v>700</v>
      </c>
    </row>
    <row r="135" spans="1:3" x14ac:dyDescent="0.35">
      <c r="A135" t="s">
        <v>701</v>
      </c>
      <c r="B135" t="s">
        <v>361</v>
      </c>
      <c r="C135" t="s">
        <v>701</v>
      </c>
    </row>
    <row r="136" spans="1:3" x14ac:dyDescent="0.35">
      <c r="A136" t="s">
        <v>702</v>
      </c>
      <c r="B136" t="s">
        <v>362</v>
      </c>
      <c r="C136" t="s">
        <v>702</v>
      </c>
    </row>
    <row r="137" spans="1:3" x14ac:dyDescent="0.35">
      <c r="A137" t="s">
        <v>703</v>
      </c>
      <c r="B137" t="s">
        <v>363</v>
      </c>
      <c r="C137" t="s">
        <v>703</v>
      </c>
    </row>
    <row r="138" spans="1:3" x14ac:dyDescent="0.35">
      <c r="A138" t="s">
        <v>704</v>
      </c>
      <c r="B138" t="s">
        <v>364</v>
      </c>
      <c r="C138" t="s">
        <v>704</v>
      </c>
    </row>
    <row r="139" spans="1:3" x14ac:dyDescent="0.35">
      <c r="A139" t="s">
        <v>705</v>
      </c>
      <c r="B139" t="s">
        <v>365</v>
      </c>
      <c r="C139" t="s">
        <v>705</v>
      </c>
    </row>
    <row r="140" spans="1:3" x14ac:dyDescent="0.35">
      <c r="A140" t="s">
        <v>547</v>
      </c>
      <c r="B140" t="s">
        <v>366</v>
      </c>
      <c r="C140" t="s">
        <v>547</v>
      </c>
    </row>
    <row r="141" spans="1:3" x14ac:dyDescent="0.35">
      <c r="A141" t="s">
        <v>706</v>
      </c>
      <c r="B141" t="s">
        <v>367</v>
      </c>
      <c r="C141" t="s">
        <v>706</v>
      </c>
    </row>
    <row r="142" spans="1:3" x14ac:dyDescent="0.35">
      <c r="A142" t="s">
        <v>707</v>
      </c>
      <c r="B142" t="s">
        <v>368</v>
      </c>
      <c r="C142" t="s">
        <v>707</v>
      </c>
    </row>
    <row r="143" spans="1:3" x14ac:dyDescent="0.35">
      <c r="A143" t="s">
        <v>708</v>
      </c>
      <c r="B143" t="s">
        <v>381</v>
      </c>
      <c r="C143" t="s">
        <v>708</v>
      </c>
    </row>
    <row r="144" spans="1:3" x14ac:dyDescent="0.35">
      <c r="A144" t="s">
        <v>709</v>
      </c>
      <c r="B144" t="s">
        <v>382</v>
      </c>
      <c r="C144" t="s">
        <v>709</v>
      </c>
    </row>
    <row r="145" spans="1:3" x14ac:dyDescent="0.35">
      <c r="A145" t="s">
        <v>710</v>
      </c>
      <c r="B145" t="s">
        <v>383</v>
      </c>
      <c r="C145" t="s">
        <v>775</v>
      </c>
    </row>
    <row r="146" spans="1:3" x14ac:dyDescent="0.35">
      <c r="A146" t="s">
        <v>711</v>
      </c>
      <c r="B146" t="s">
        <v>384</v>
      </c>
      <c r="C146" t="s">
        <v>711</v>
      </c>
    </row>
    <row r="147" spans="1:3" x14ac:dyDescent="0.35">
      <c r="A147" t="s">
        <v>557</v>
      </c>
      <c r="B147" t="s">
        <v>385</v>
      </c>
      <c r="C147" t="s">
        <v>557</v>
      </c>
    </row>
    <row r="148" spans="1:3" x14ac:dyDescent="0.35">
      <c r="A148" t="s">
        <v>558</v>
      </c>
      <c r="B148" t="s">
        <v>386</v>
      </c>
      <c r="C148" t="s">
        <v>558</v>
      </c>
    </row>
    <row r="149" spans="1:3" x14ac:dyDescent="0.35">
      <c r="A149" t="s">
        <v>712</v>
      </c>
      <c r="B149" t="s">
        <v>387</v>
      </c>
      <c r="C149" t="s">
        <v>712</v>
      </c>
    </row>
    <row r="150" spans="1:3" x14ac:dyDescent="0.35">
      <c r="A150" t="s">
        <v>713</v>
      </c>
      <c r="B150" t="s">
        <v>388</v>
      </c>
      <c r="C150" t="s">
        <v>713</v>
      </c>
    </row>
    <row r="151" spans="1:3" x14ac:dyDescent="0.35">
      <c r="A151" t="s">
        <v>677</v>
      </c>
      <c r="B151" t="s">
        <v>810</v>
      </c>
      <c r="C151" t="s">
        <v>677</v>
      </c>
    </row>
    <row r="152" spans="1:3" x14ac:dyDescent="0.35">
      <c r="A152" t="s">
        <v>714</v>
      </c>
      <c r="B152" t="s">
        <v>390</v>
      </c>
      <c r="C152" t="s">
        <v>777</v>
      </c>
    </row>
    <row r="153" spans="1:3" x14ac:dyDescent="0.35">
      <c r="A153" t="s">
        <v>563</v>
      </c>
      <c r="B153" t="s">
        <v>391</v>
      </c>
      <c r="C153" t="s">
        <v>563</v>
      </c>
    </row>
    <row r="154" spans="1:3" x14ac:dyDescent="0.35">
      <c r="A154" t="s">
        <v>564</v>
      </c>
      <c r="B154" t="s">
        <v>392</v>
      </c>
      <c r="C154" t="s">
        <v>564</v>
      </c>
    </row>
    <row r="155" spans="1:3" x14ac:dyDescent="0.35">
      <c r="A155" t="s">
        <v>565</v>
      </c>
      <c r="B155" t="s">
        <v>393</v>
      </c>
      <c r="C155" t="s">
        <v>565</v>
      </c>
    </row>
    <row r="156" spans="1:3" x14ac:dyDescent="0.35">
      <c r="A156" t="s">
        <v>566</v>
      </c>
      <c r="B156" t="s">
        <v>394</v>
      </c>
      <c r="C156" t="s">
        <v>566</v>
      </c>
    </row>
    <row r="157" spans="1:3" x14ac:dyDescent="0.35">
      <c r="A157" t="s">
        <v>677</v>
      </c>
      <c r="B157" t="s">
        <v>810</v>
      </c>
      <c r="C157" t="s">
        <v>677</v>
      </c>
    </row>
    <row r="158" spans="1:3" x14ac:dyDescent="0.35">
      <c r="A158" t="s">
        <v>715</v>
      </c>
      <c r="B158" t="s">
        <v>396</v>
      </c>
      <c r="C158" t="s">
        <v>779</v>
      </c>
    </row>
    <row r="159" spans="1:3" x14ac:dyDescent="0.35">
      <c r="A159" t="s">
        <v>716</v>
      </c>
      <c r="B159" t="s">
        <v>397</v>
      </c>
      <c r="C159" t="s">
        <v>716</v>
      </c>
    </row>
    <row r="160" spans="1:3" x14ac:dyDescent="0.35">
      <c r="A160" t="s">
        <v>717</v>
      </c>
      <c r="B160" t="s">
        <v>398</v>
      </c>
      <c r="C160" t="s">
        <v>781</v>
      </c>
    </row>
    <row r="161" spans="1:3" x14ac:dyDescent="0.35">
      <c r="A161" t="s">
        <v>718</v>
      </c>
      <c r="B161" t="s">
        <v>603</v>
      </c>
      <c r="C161" t="s">
        <v>782</v>
      </c>
    </row>
    <row r="162" spans="1:3" x14ac:dyDescent="0.35">
      <c r="A162" t="s">
        <v>719</v>
      </c>
      <c r="B162" t="s">
        <v>449</v>
      </c>
      <c r="C162" t="s">
        <v>783</v>
      </c>
    </row>
    <row r="163" spans="1:3" x14ac:dyDescent="0.35">
      <c r="A163" t="s">
        <v>736</v>
      </c>
      <c r="B163" t="s">
        <v>604</v>
      </c>
      <c r="C163" t="s">
        <v>784</v>
      </c>
    </row>
    <row r="164" spans="1:3" x14ac:dyDescent="0.35">
      <c r="A164" t="s">
        <v>737</v>
      </c>
      <c r="B164" t="s">
        <v>605</v>
      </c>
      <c r="C164" t="s">
        <v>785</v>
      </c>
    </row>
    <row r="165" spans="1:3" x14ac:dyDescent="0.35">
      <c r="A165" t="s">
        <v>720</v>
      </c>
      <c r="B165" t="s">
        <v>818</v>
      </c>
      <c r="C165" t="s">
        <v>720</v>
      </c>
    </row>
    <row r="166" spans="1:3" x14ac:dyDescent="0.35">
      <c r="A166" t="s">
        <v>721</v>
      </c>
      <c r="B166" t="s">
        <v>819</v>
      </c>
      <c r="C166" t="s">
        <v>721</v>
      </c>
    </row>
    <row r="167" spans="1:3" x14ac:dyDescent="0.35">
      <c r="A167" t="s">
        <v>722</v>
      </c>
      <c r="B167" t="s">
        <v>820</v>
      </c>
      <c r="C167" t="s">
        <v>722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183E-527C-48B7-82E1-C80D86F3EF17}">
  <dimension ref="A1:D167"/>
  <sheetViews>
    <sheetView topLeftCell="A37" workbookViewId="0">
      <selection activeCell="C47" sqref="C47"/>
    </sheetView>
  </sheetViews>
  <sheetFormatPr baseColWidth="10" defaultRowHeight="14.5" x14ac:dyDescent="0.35"/>
  <cols>
    <col min="2" max="2" width="28.1796875" customWidth="1"/>
    <col min="3" max="3" width="61.7265625" customWidth="1"/>
  </cols>
  <sheetData>
    <row r="1" spans="1:4" x14ac:dyDescent="0.35">
      <c r="A1" t="s">
        <v>254</v>
      </c>
      <c r="B1" t="s">
        <v>738</v>
      </c>
      <c r="C1" t="s">
        <v>573</v>
      </c>
    </row>
    <row r="2" spans="1:4" x14ac:dyDescent="0.35">
      <c r="A2" t="s">
        <v>329</v>
      </c>
      <c r="B2" t="s">
        <v>0</v>
      </c>
      <c r="C2" t="s">
        <v>723</v>
      </c>
      <c r="D2" t="s">
        <v>329</v>
      </c>
    </row>
    <row r="3" spans="1:4" x14ac:dyDescent="0.35">
      <c r="A3" t="s">
        <v>330</v>
      </c>
      <c r="B3" t="s">
        <v>0</v>
      </c>
      <c r="C3" t="s">
        <v>724</v>
      </c>
      <c r="D3" t="s">
        <v>330</v>
      </c>
    </row>
    <row r="4" spans="1:4" x14ac:dyDescent="0.35">
      <c r="A4" t="s">
        <v>331</v>
      </c>
      <c r="B4" t="s">
        <v>0</v>
      </c>
      <c r="C4" t="s">
        <v>628</v>
      </c>
      <c r="D4" t="s">
        <v>331</v>
      </c>
    </row>
    <row r="5" spans="1:4" x14ac:dyDescent="0.35">
      <c r="A5" t="s">
        <v>332</v>
      </c>
      <c r="B5" t="s">
        <v>0</v>
      </c>
      <c r="C5" t="s">
        <v>725</v>
      </c>
      <c r="D5" t="s">
        <v>332</v>
      </c>
    </row>
    <row r="6" spans="1:4" x14ac:dyDescent="0.35">
      <c r="A6" t="s">
        <v>333</v>
      </c>
      <c r="B6" t="s">
        <v>0</v>
      </c>
      <c r="C6" t="s">
        <v>726</v>
      </c>
      <c r="D6" t="s">
        <v>333</v>
      </c>
    </row>
    <row r="7" spans="1:4" x14ac:dyDescent="0.35">
      <c r="A7" t="s">
        <v>334</v>
      </c>
      <c r="B7" t="s">
        <v>0</v>
      </c>
      <c r="C7" t="s">
        <v>727</v>
      </c>
      <c r="D7" t="s">
        <v>334</v>
      </c>
    </row>
    <row r="8" spans="1:4" x14ac:dyDescent="0.35">
      <c r="A8" t="s">
        <v>335</v>
      </c>
      <c r="B8" t="s">
        <v>0</v>
      </c>
      <c r="C8" t="s">
        <v>728</v>
      </c>
      <c r="D8" t="s">
        <v>335</v>
      </c>
    </row>
    <row r="9" spans="1:4" x14ac:dyDescent="0.35">
      <c r="A9" t="s">
        <v>336</v>
      </c>
      <c r="B9" t="s">
        <v>0</v>
      </c>
      <c r="C9" t="s">
        <v>729</v>
      </c>
      <c r="D9" t="s">
        <v>336</v>
      </c>
    </row>
    <row r="10" spans="1:4" x14ac:dyDescent="0.35">
      <c r="A10" t="s">
        <v>337</v>
      </c>
      <c r="B10" t="s">
        <v>0</v>
      </c>
      <c r="C10" t="s">
        <v>629</v>
      </c>
      <c r="D10" t="s">
        <v>337</v>
      </c>
    </row>
    <row r="11" spans="1:4" x14ac:dyDescent="0.35">
      <c r="A11" t="s">
        <v>338</v>
      </c>
      <c r="B11" t="s">
        <v>0</v>
      </c>
      <c r="C11" t="s">
        <v>630</v>
      </c>
      <c r="D11" t="s">
        <v>338</v>
      </c>
    </row>
    <row r="12" spans="1:4" x14ac:dyDescent="0.35">
      <c r="A12" t="s">
        <v>339</v>
      </c>
      <c r="B12" t="s">
        <v>0</v>
      </c>
      <c r="C12" t="s">
        <v>631</v>
      </c>
      <c r="D12" t="s">
        <v>339</v>
      </c>
    </row>
    <row r="13" spans="1:4" x14ac:dyDescent="0.35">
      <c r="A13" t="s">
        <v>788</v>
      </c>
      <c r="B13" t="s">
        <v>0</v>
      </c>
      <c r="C13" t="s">
        <v>632</v>
      </c>
      <c r="D13" t="s">
        <v>788</v>
      </c>
    </row>
    <row r="14" spans="1:4" x14ac:dyDescent="0.35">
      <c r="A14" t="s">
        <v>789</v>
      </c>
      <c r="B14" t="s">
        <v>0</v>
      </c>
      <c r="C14" t="s">
        <v>633</v>
      </c>
      <c r="D14" t="s">
        <v>789</v>
      </c>
    </row>
    <row r="15" spans="1:4" x14ac:dyDescent="0.35">
      <c r="A15" t="s">
        <v>790</v>
      </c>
      <c r="B15" t="s">
        <v>0</v>
      </c>
      <c r="C15" t="s">
        <v>634</v>
      </c>
      <c r="D15" t="s">
        <v>790</v>
      </c>
    </row>
    <row r="16" spans="1:4" x14ac:dyDescent="0.35">
      <c r="A16" t="s">
        <v>791</v>
      </c>
      <c r="B16" t="s">
        <v>0</v>
      </c>
      <c r="C16" t="s">
        <v>261</v>
      </c>
      <c r="D16" t="s">
        <v>791</v>
      </c>
    </row>
    <row r="17" spans="1:4" x14ac:dyDescent="0.35">
      <c r="A17" t="s">
        <v>792</v>
      </c>
      <c r="B17" t="s">
        <v>0</v>
      </c>
      <c r="C17" t="s">
        <v>635</v>
      </c>
      <c r="D17" t="s">
        <v>792</v>
      </c>
    </row>
    <row r="18" spans="1:4" x14ac:dyDescent="0.35">
      <c r="A18" t="s">
        <v>340</v>
      </c>
      <c r="B18" t="s">
        <v>318</v>
      </c>
      <c r="C18" t="s">
        <v>518</v>
      </c>
      <c r="D18" t="s">
        <v>340</v>
      </c>
    </row>
    <row r="19" spans="1:4" x14ac:dyDescent="0.35">
      <c r="A19" t="s">
        <v>341</v>
      </c>
      <c r="B19" t="s">
        <v>318</v>
      </c>
      <c r="C19" t="s">
        <v>657</v>
      </c>
      <c r="D19" t="s">
        <v>341</v>
      </c>
    </row>
    <row r="20" spans="1:4" x14ac:dyDescent="0.35">
      <c r="A20" t="s">
        <v>342</v>
      </c>
      <c r="B20" t="s">
        <v>318</v>
      </c>
      <c r="C20" t="s">
        <v>658</v>
      </c>
      <c r="D20" t="s">
        <v>342</v>
      </c>
    </row>
    <row r="21" spans="1:4" x14ac:dyDescent="0.35">
      <c r="A21" t="s">
        <v>343</v>
      </c>
      <c r="B21" t="s">
        <v>318</v>
      </c>
      <c r="C21" t="s">
        <v>659</v>
      </c>
      <c r="D21" t="s">
        <v>343</v>
      </c>
    </row>
    <row r="22" spans="1:4" x14ac:dyDescent="0.35">
      <c r="A22" t="s">
        <v>344</v>
      </c>
      <c r="B22" t="s">
        <v>318</v>
      </c>
      <c r="C22" t="s">
        <v>660</v>
      </c>
      <c r="D22" t="s">
        <v>344</v>
      </c>
    </row>
    <row r="23" spans="1:4" x14ac:dyDescent="0.35">
      <c r="A23" t="s">
        <v>345</v>
      </c>
      <c r="B23" t="s">
        <v>318</v>
      </c>
      <c r="C23" t="s">
        <v>661</v>
      </c>
      <c r="D23" t="s">
        <v>345</v>
      </c>
    </row>
    <row r="24" spans="1:4" x14ac:dyDescent="0.35">
      <c r="A24" t="s">
        <v>346</v>
      </c>
      <c r="B24" t="s">
        <v>318</v>
      </c>
      <c r="C24" t="s">
        <v>662</v>
      </c>
      <c r="D24" t="s">
        <v>346</v>
      </c>
    </row>
    <row r="25" spans="1:4" x14ac:dyDescent="0.35">
      <c r="A25" t="s">
        <v>793</v>
      </c>
      <c r="B25" t="s">
        <v>318</v>
      </c>
      <c r="C25" t="s">
        <v>663</v>
      </c>
      <c r="D25" t="s">
        <v>793</v>
      </c>
    </row>
    <row r="26" spans="1:4" x14ac:dyDescent="0.35">
      <c r="A26" t="s">
        <v>794</v>
      </c>
      <c r="B26" t="s">
        <v>318</v>
      </c>
      <c r="C26" t="s">
        <v>664</v>
      </c>
      <c r="D26" t="s">
        <v>794</v>
      </c>
    </row>
    <row r="27" spans="1:4" x14ac:dyDescent="0.35">
      <c r="A27" t="s">
        <v>795</v>
      </c>
      <c r="B27" t="s">
        <v>318</v>
      </c>
      <c r="C27" t="s">
        <v>665</v>
      </c>
      <c r="D27" t="s">
        <v>795</v>
      </c>
    </row>
    <row r="28" spans="1:4" x14ac:dyDescent="0.35">
      <c r="A28" t="s">
        <v>796</v>
      </c>
      <c r="B28" t="s">
        <v>318</v>
      </c>
      <c r="C28" t="s">
        <v>666</v>
      </c>
      <c r="D28" t="s">
        <v>796</v>
      </c>
    </row>
    <row r="29" spans="1:4" x14ac:dyDescent="0.35">
      <c r="A29" t="s">
        <v>797</v>
      </c>
      <c r="B29" t="s">
        <v>318</v>
      </c>
      <c r="C29" t="s">
        <v>667</v>
      </c>
      <c r="D29" t="s">
        <v>797</v>
      </c>
    </row>
    <row r="30" spans="1:4" x14ac:dyDescent="0.35">
      <c r="A30" t="s">
        <v>798</v>
      </c>
      <c r="B30" t="s">
        <v>318</v>
      </c>
      <c r="C30" t="s">
        <v>668</v>
      </c>
      <c r="D30" t="s">
        <v>798</v>
      </c>
    </row>
    <row r="31" spans="1:4" x14ac:dyDescent="0.35">
      <c r="A31" t="s">
        <v>799</v>
      </c>
      <c r="B31" t="s">
        <v>318</v>
      </c>
      <c r="C31" t="s">
        <v>669</v>
      </c>
      <c r="D31" t="s">
        <v>799</v>
      </c>
    </row>
    <row r="32" spans="1:4" x14ac:dyDescent="0.35">
      <c r="A32" t="s">
        <v>800</v>
      </c>
      <c r="B32" t="s">
        <v>318</v>
      </c>
      <c r="C32" t="s">
        <v>670</v>
      </c>
      <c r="D32" t="s">
        <v>800</v>
      </c>
    </row>
    <row r="33" spans="1:4" x14ac:dyDescent="0.35">
      <c r="A33" t="s">
        <v>801</v>
      </c>
      <c r="B33" t="s">
        <v>318</v>
      </c>
      <c r="C33" t="s">
        <v>763</v>
      </c>
      <c r="D33" t="s">
        <v>801</v>
      </c>
    </row>
    <row r="34" spans="1:4" x14ac:dyDescent="0.35">
      <c r="A34" t="s">
        <v>802</v>
      </c>
      <c r="B34" t="s">
        <v>318</v>
      </c>
      <c r="C34" t="s">
        <v>672</v>
      </c>
      <c r="D34" t="s">
        <v>802</v>
      </c>
    </row>
    <row r="35" spans="1:4" x14ac:dyDescent="0.35">
      <c r="A35" t="s">
        <v>803</v>
      </c>
      <c r="B35" t="s">
        <v>318</v>
      </c>
      <c r="C35" t="s">
        <v>673</v>
      </c>
      <c r="D35" t="s">
        <v>803</v>
      </c>
    </row>
    <row r="36" spans="1:4" x14ac:dyDescent="0.35">
      <c r="A36" t="s">
        <v>804</v>
      </c>
      <c r="B36" t="s">
        <v>318</v>
      </c>
      <c r="C36" t="s">
        <v>674</v>
      </c>
      <c r="D36" t="s">
        <v>804</v>
      </c>
    </row>
    <row r="37" spans="1:4" x14ac:dyDescent="0.35">
      <c r="A37" t="s">
        <v>351</v>
      </c>
      <c r="B37" t="s">
        <v>3</v>
      </c>
      <c r="C37" t="s">
        <v>579</v>
      </c>
      <c r="D37" t="s">
        <v>351</v>
      </c>
    </row>
    <row r="38" spans="1:4" x14ac:dyDescent="0.35">
      <c r="A38" t="s">
        <v>352</v>
      </c>
      <c r="B38" t="s">
        <v>3</v>
      </c>
      <c r="C38" t="s">
        <v>141</v>
      </c>
      <c r="D38" t="s">
        <v>352</v>
      </c>
    </row>
    <row r="39" spans="1:4" x14ac:dyDescent="0.35">
      <c r="A39" t="s">
        <v>353</v>
      </c>
      <c r="B39" t="s">
        <v>3</v>
      </c>
      <c r="C39" t="s">
        <v>488</v>
      </c>
      <c r="D39" t="s">
        <v>353</v>
      </c>
    </row>
    <row r="40" spans="1:4" x14ac:dyDescent="0.35">
      <c r="A40" t="s">
        <v>354</v>
      </c>
      <c r="B40" t="s">
        <v>3</v>
      </c>
      <c r="C40" t="s">
        <v>636</v>
      </c>
      <c r="D40" t="s">
        <v>354</v>
      </c>
    </row>
    <row r="41" spans="1:4" x14ac:dyDescent="0.35">
      <c r="A41" t="s">
        <v>786</v>
      </c>
      <c r="B41" t="s">
        <v>765</v>
      </c>
      <c r="C41" t="s">
        <v>766</v>
      </c>
      <c r="D41" t="s">
        <v>786</v>
      </c>
    </row>
    <row r="42" spans="1:4" x14ac:dyDescent="0.35">
      <c r="A42" t="s">
        <v>805</v>
      </c>
      <c r="B42" t="s">
        <v>765</v>
      </c>
      <c r="C42" t="s">
        <v>524</v>
      </c>
      <c r="D42" t="s">
        <v>805</v>
      </c>
    </row>
    <row r="43" spans="1:4" x14ac:dyDescent="0.35">
      <c r="A43" t="s">
        <v>806</v>
      </c>
      <c r="B43" t="s">
        <v>765</v>
      </c>
      <c r="C43" t="s">
        <v>525</v>
      </c>
      <c r="D43" t="s">
        <v>806</v>
      </c>
    </row>
    <row r="44" spans="1:4" x14ac:dyDescent="0.35">
      <c r="A44" t="s">
        <v>807</v>
      </c>
      <c r="B44" t="s">
        <v>765</v>
      </c>
      <c r="C44" t="s">
        <v>526</v>
      </c>
      <c r="D44" t="s">
        <v>807</v>
      </c>
    </row>
    <row r="45" spans="1:4" x14ac:dyDescent="0.35">
      <c r="A45" t="s">
        <v>808</v>
      </c>
      <c r="B45" t="s">
        <v>765</v>
      </c>
      <c r="C45" t="s">
        <v>527</v>
      </c>
      <c r="D45" t="s">
        <v>808</v>
      </c>
    </row>
    <row r="46" spans="1:4" x14ac:dyDescent="0.35">
      <c r="A46" t="s">
        <v>809</v>
      </c>
      <c r="B46" t="s">
        <v>765</v>
      </c>
      <c r="C46" t="s">
        <v>676</v>
      </c>
      <c r="D46" t="s">
        <v>809</v>
      </c>
    </row>
    <row r="47" spans="1:4" x14ac:dyDescent="0.35">
      <c r="A47" t="s">
        <v>810</v>
      </c>
      <c r="B47" t="s">
        <v>765</v>
      </c>
      <c r="C47" t="s">
        <v>677</v>
      </c>
      <c r="D47" t="s">
        <v>810</v>
      </c>
    </row>
    <row r="48" spans="1:4" x14ac:dyDescent="0.35">
      <c r="A48" t="s">
        <v>811</v>
      </c>
      <c r="B48" t="s">
        <v>765</v>
      </c>
      <c r="C48" t="s">
        <v>767</v>
      </c>
      <c r="D48" t="s">
        <v>811</v>
      </c>
    </row>
    <row r="49" spans="1:4" x14ac:dyDescent="0.35">
      <c r="A49" t="s">
        <v>812</v>
      </c>
      <c r="B49" t="s">
        <v>765</v>
      </c>
      <c r="C49" t="s">
        <v>768</v>
      </c>
      <c r="D49" t="s">
        <v>812</v>
      </c>
    </row>
    <row r="50" spans="1:4" x14ac:dyDescent="0.35">
      <c r="A50" t="s">
        <v>813</v>
      </c>
      <c r="B50" t="s">
        <v>765</v>
      </c>
      <c r="C50" t="s">
        <v>769</v>
      </c>
      <c r="D50" t="s">
        <v>813</v>
      </c>
    </row>
    <row r="51" spans="1:4" x14ac:dyDescent="0.35">
      <c r="A51" t="s">
        <v>814</v>
      </c>
      <c r="B51" t="s">
        <v>765</v>
      </c>
      <c r="C51" t="s">
        <v>681</v>
      </c>
      <c r="D51" t="s">
        <v>814</v>
      </c>
    </row>
    <row r="52" spans="1:4" x14ac:dyDescent="0.35">
      <c r="A52" t="s">
        <v>815</v>
      </c>
      <c r="B52" t="s">
        <v>765</v>
      </c>
      <c r="C52" t="s">
        <v>683</v>
      </c>
      <c r="D52" t="s">
        <v>815</v>
      </c>
    </row>
    <row r="53" spans="1:4" x14ac:dyDescent="0.35">
      <c r="A53" t="s">
        <v>816</v>
      </c>
      <c r="B53" t="s">
        <v>765</v>
      </c>
      <c r="C53" t="s">
        <v>535</v>
      </c>
      <c r="D53" t="s">
        <v>816</v>
      </c>
    </row>
    <row r="54" spans="1:4" x14ac:dyDescent="0.35">
      <c r="A54" t="s">
        <v>817</v>
      </c>
      <c r="B54" t="s">
        <v>765</v>
      </c>
      <c r="C54" t="s">
        <v>684</v>
      </c>
      <c r="D54" t="s">
        <v>817</v>
      </c>
    </row>
    <row r="55" spans="1:4" x14ac:dyDescent="0.35">
      <c r="A55" t="s">
        <v>358</v>
      </c>
      <c r="B55" t="s">
        <v>286</v>
      </c>
      <c r="C55" t="s">
        <v>698</v>
      </c>
      <c r="D55" t="s">
        <v>358</v>
      </c>
    </row>
    <row r="56" spans="1:4" x14ac:dyDescent="0.35">
      <c r="A56" t="s">
        <v>359</v>
      </c>
      <c r="B56" t="s">
        <v>286</v>
      </c>
      <c r="C56" t="s">
        <v>699</v>
      </c>
      <c r="D56" t="s">
        <v>359</v>
      </c>
    </row>
    <row r="57" spans="1:4" x14ac:dyDescent="0.35">
      <c r="A57" t="s">
        <v>360</v>
      </c>
      <c r="B57" t="s">
        <v>286</v>
      </c>
      <c r="C57" t="s">
        <v>700</v>
      </c>
      <c r="D57" t="s">
        <v>360</v>
      </c>
    </row>
    <row r="58" spans="1:4" x14ac:dyDescent="0.35">
      <c r="A58" t="s">
        <v>361</v>
      </c>
      <c r="B58" t="s">
        <v>286</v>
      </c>
      <c r="C58" t="s">
        <v>701</v>
      </c>
      <c r="D58" t="s">
        <v>361</v>
      </c>
    </row>
    <row r="59" spans="1:4" x14ac:dyDescent="0.35">
      <c r="A59" t="s">
        <v>362</v>
      </c>
      <c r="B59" t="s">
        <v>286</v>
      </c>
      <c r="C59" t="s">
        <v>702</v>
      </c>
      <c r="D59" t="s">
        <v>362</v>
      </c>
    </row>
    <row r="60" spans="1:4" x14ac:dyDescent="0.35">
      <c r="A60" t="s">
        <v>363</v>
      </c>
      <c r="B60" t="s">
        <v>286</v>
      </c>
      <c r="C60" t="s">
        <v>703</v>
      </c>
      <c r="D60" t="s">
        <v>363</v>
      </c>
    </row>
    <row r="61" spans="1:4" x14ac:dyDescent="0.35">
      <c r="A61" t="s">
        <v>364</v>
      </c>
      <c r="B61" t="s">
        <v>286</v>
      </c>
      <c r="C61" t="s">
        <v>704</v>
      </c>
      <c r="D61" t="s">
        <v>364</v>
      </c>
    </row>
    <row r="62" spans="1:4" x14ac:dyDescent="0.35">
      <c r="A62" t="s">
        <v>365</v>
      </c>
      <c r="B62" t="s">
        <v>286</v>
      </c>
      <c r="C62" t="s">
        <v>705</v>
      </c>
      <c r="D62" t="s">
        <v>365</v>
      </c>
    </row>
    <row r="63" spans="1:4" x14ac:dyDescent="0.35">
      <c r="A63" t="s">
        <v>366</v>
      </c>
      <c r="B63" t="s">
        <v>286</v>
      </c>
      <c r="C63" t="s">
        <v>547</v>
      </c>
      <c r="D63" t="s">
        <v>366</v>
      </c>
    </row>
    <row r="64" spans="1:4" x14ac:dyDescent="0.35">
      <c r="A64" t="s">
        <v>367</v>
      </c>
      <c r="B64" t="s">
        <v>286</v>
      </c>
      <c r="C64" t="s">
        <v>706</v>
      </c>
      <c r="D64" t="s">
        <v>367</v>
      </c>
    </row>
    <row r="65" spans="1:4" x14ac:dyDescent="0.35">
      <c r="A65" t="s">
        <v>368</v>
      </c>
      <c r="B65" t="s">
        <v>286</v>
      </c>
      <c r="C65" t="s">
        <v>707</v>
      </c>
      <c r="D65" t="s">
        <v>368</v>
      </c>
    </row>
    <row r="66" spans="1:4" x14ac:dyDescent="0.35">
      <c r="A66" t="s">
        <v>369</v>
      </c>
      <c r="B66" t="s">
        <v>286</v>
      </c>
      <c r="C66" t="s">
        <v>677</v>
      </c>
      <c r="D66" t="s">
        <v>369</v>
      </c>
    </row>
    <row r="67" spans="1:4" x14ac:dyDescent="0.35">
      <c r="A67" t="s">
        <v>370</v>
      </c>
      <c r="B67" t="s">
        <v>286</v>
      </c>
      <c r="C67" t="s">
        <v>698</v>
      </c>
      <c r="D67" t="s">
        <v>370</v>
      </c>
    </row>
    <row r="68" spans="1:4" x14ac:dyDescent="0.35">
      <c r="A68" t="s">
        <v>371</v>
      </c>
      <c r="B68" t="s">
        <v>286</v>
      </c>
      <c r="C68" t="s">
        <v>699</v>
      </c>
      <c r="D68" t="s">
        <v>371</v>
      </c>
    </row>
    <row r="69" spans="1:4" x14ac:dyDescent="0.35">
      <c r="A69" t="s">
        <v>372</v>
      </c>
      <c r="B69" t="s">
        <v>286</v>
      </c>
      <c r="C69" t="s">
        <v>700</v>
      </c>
      <c r="D69" t="s">
        <v>372</v>
      </c>
    </row>
    <row r="70" spans="1:4" x14ac:dyDescent="0.35">
      <c r="A70" t="s">
        <v>373</v>
      </c>
      <c r="B70" t="s">
        <v>286</v>
      </c>
      <c r="C70" t="s">
        <v>701</v>
      </c>
      <c r="D70" t="s">
        <v>373</v>
      </c>
    </row>
    <row r="71" spans="1:4" x14ac:dyDescent="0.35">
      <c r="A71" t="s">
        <v>374</v>
      </c>
      <c r="B71" t="s">
        <v>286</v>
      </c>
      <c r="C71" t="s">
        <v>702</v>
      </c>
      <c r="D71" t="s">
        <v>374</v>
      </c>
    </row>
    <row r="72" spans="1:4" x14ac:dyDescent="0.35">
      <c r="A72" t="s">
        <v>375</v>
      </c>
      <c r="B72" t="s">
        <v>286</v>
      </c>
      <c r="C72" t="s">
        <v>703</v>
      </c>
      <c r="D72" t="s">
        <v>375</v>
      </c>
    </row>
    <row r="73" spans="1:4" x14ac:dyDescent="0.35">
      <c r="A73" t="s">
        <v>376</v>
      </c>
      <c r="B73" t="s">
        <v>286</v>
      </c>
      <c r="C73" t="s">
        <v>704</v>
      </c>
      <c r="D73" t="s">
        <v>376</v>
      </c>
    </row>
    <row r="74" spans="1:4" x14ac:dyDescent="0.35">
      <c r="A74" t="s">
        <v>377</v>
      </c>
      <c r="B74" t="s">
        <v>286</v>
      </c>
      <c r="C74" t="s">
        <v>705</v>
      </c>
      <c r="D74" t="s">
        <v>377</v>
      </c>
    </row>
    <row r="75" spans="1:4" x14ac:dyDescent="0.35">
      <c r="A75" t="s">
        <v>378</v>
      </c>
      <c r="B75" t="s">
        <v>286</v>
      </c>
      <c r="C75" t="s">
        <v>547</v>
      </c>
      <c r="D75" t="s">
        <v>378</v>
      </c>
    </row>
    <row r="76" spans="1:4" x14ac:dyDescent="0.35">
      <c r="A76" t="s">
        <v>379</v>
      </c>
      <c r="B76" t="s">
        <v>286</v>
      </c>
      <c r="C76" t="s">
        <v>706</v>
      </c>
      <c r="D76" t="s">
        <v>379</v>
      </c>
    </row>
    <row r="77" spans="1:4" x14ac:dyDescent="0.35">
      <c r="A77" t="s">
        <v>380</v>
      </c>
      <c r="B77" t="s">
        <v>286</v>
      </c>
      <c r="C77" t="s">
        <v>707</v>
      </c>
      <c r="D77" t="s">
        <v>380</v>
      </c>
    </row>
    <row r="78" spans="1:4" x14ac:dyDescent="0.35">
      <c r="A78" t="s">
        <v>381</v>
      </c>
      <c r="B78" t="s">
        <v>286</v>
      </c>
      <c r="C78" t="s">
        <v>708</v>
      </c>
      <c r="D78" t="s">
        <v>381</v>
      </c>
    </row>
    <row r="79" spans="1:4" x14ac:dyDescent="0.35">
      <c r="A79" t="s">
        <v>382</v>
      </c>
      <c r="B79" t="s">
        <v>286</v>
      </c>
      <c r="C79" t="s">
        <v>709</v>
      </c>
      <c r="D79" t="s">
        <v>382</v>
      </c>
    </row>
    <row r="80" spans="1:4" x14ac:dyDescent="0.35">
      <c r="A80" t="s">
        <v>383</v>
      </c>
      <c r="B80" t="s">
        <v>286</v>
      </c>
      <c r="C80" t="s">
        <v>775</v>
      </c>
      <c r="D80" t="s">
        <v>383</v>
      </c>
    </row>
    <row r="81" spans="1:4" x14ac:dyDescent="0.35">
      <c r="A81" t="s">
        <v>384</v>
      </c>
      <c r="B81" t="s">
        <v>286</v>
      </c>
      <c r="C81" t="s">
        <v>711</v>
      </c>
      <c r="D81" t="s">
        <v>384</v>
      </c>
    </row>
    <row r="82" spans="1:4" x14ac:dyDescent="0.35">
      <c r="A82" t="s">
        <v>385</v>
      </c>
      <c r="B82" t="s">
        <v>286</v>
      </c>
      <c r="C82" t="s">
        <v>557</v>
      </c>
      <c r="D82" t="s">
        <v>385</v>
      </c>
    </row>
    <row r="83" spans="1:4" x14ac:dyDescent="0.35">
      <c r="A83" t="s">
        <v>386</v>
      </c>
      <c r="B83" t="s">
        <v>286</v>
      </c>
      <c r="C83" t="s">
        <v>558</v>
      </c>
      <c r="D83" t="s">
        <v>386</v>
      </c>
    </row>
    <row r="84" spans="1:4" x14ac:dyDescent="0.35">
      <c r="A84" t="s">
        <v>387</v>
      </c>
      <c r="B84" t="s">
        <v>286</v>
      </c>
      <c r="C84" t="s">
        <v>712</v>
      </c>
      <c r="D84" t="s">
        <v>387</v>
      </c>
    </row>
    <row r="85" spans="1:4" x14ac:dyDescent="0.35">
      <c r="A85" t="s">
        <v>388</v>
      </c>
      <c r="B85" t="s">
        <v>286</v>
      </c>
      <c r="C85" t="s">
        <v>713</v>
      </c>
      <c r="D85" t="s">
        <v>388</v>
      </c>
    </row>
    <row r="86" spans="1:4" x14ac:dyDescent="0.35">
      <c r="A86" t="s">
        <v>389</v>
      </c>
      <c r="B86" t="s">
        <v>286</v>
      </c>
      <c r="C86" t="s">
        <v>677</v>
      </c>
      <c r="D86" t="s">
        <v>389</v>
      </c>
    </row>
    <row r="87" spans="1:4" x14ac:dyDescent="0.35">
      <c r="A87" t="s">
        <v>390</v>
      </c>
      <c r="B87" t="s">
        <v>286</v>
      </c>
      <c r="C87" t="s">
        <v>777</v>
      </c>
      <c r="D87" t="s">
        <v>390</v>
      </c>
    </row>
    <row r="88" spans="1:4" x14ac:dyDescent="0.35">
      <c r="A88" t="s">
        <v>391</v>
      </c>
      <c r="B88" t="s">
        <v>286</v>
      </c>
      <c r="C88" t="s">
        <v>563</v>
      </c>
      <c r="D88" t="s">
        <v>391</v>
      </c>
    </row>
    <row r="89" spans="1:4" x14ac:dyDescent="0.35">
      <c r="A89" t="s">
        <v>392</v>
      </c>
      <c r="B89" t="s">
        <v>286</v>
      </c>
      <c r="C89" t="s">
        <v>564</v>
      </c>
      <c r="D89" t="s">
        <v>392</v>
      </c>
    </row>
    <row r="90" spans="1:4" x14ac:dyDescent="0.35">
      <c r="A90" t="s">
        <v>393</v>
      </c>
      <c r="B90" t="s">
        <v>286</v>
      </c>
      <c r="C90" t="s">
        <v>565</v>
      </c>
      <c r="D90" t="s">
        <v>393</v>
      </c>
    </row>
    <row r="91" spans="1:4" x14ac:dyDescent="0.35">
      <c r="A91" t="s">
        <v>394</v>
      </c>
      <c r="B91" t="s">
        <v>286</v>
      </c>
      <c r="C91" t="s">
        <v>566</v>
      </c>
      <c r="D91" t="s">
        <v>394</v>
      </c>
    </row>
    <row r="92" spans="1:4" x14ac:dyDescent="0.35">
      <c r="A92" t="s">
        <v>395</v>
      </c>
      <c r="B92" t="s">
        <v>286</v>
      </c>
      <c r="C92" t="s">
        <v>677</v>
      </c>
      <c r="D92" t="s">
        <v>395</v>
      </c>
    </row>
    <row r="93" spans="1:4" x14ac:dyDescent="0.35">
      <c r="A93" t="s">
        <v>396</v>
      </c>
      <c r="B93" t="s">
        <v>286</v>
      </c>
      <c r="C93" t="s">
        <v>779</v>
      </c>
      <c r="D93" t="s">
        <v>396</v>
      </c>
    </row>
    <row r="94" spans="1:4" x14ac:dyDescent="0.35">
      <c r="A94" t="s">
        <v>397</v>
      </c>
      <c r="B94" t="s">
        <v>286</v>
      </c>
      <c r="C94" t="s">
        <v>716</v>
      </c>
      <c r="D94" t="s">
        <v>397</v>
      </c>
    </row>
    <row r="95" spans="1:4" x14ac:dyDescent="0.35">
      <c r="A95" t="s">
        <v>398</v>
      </c>
      <c r="B95" t="s">
        <v>286</v>
      </c>
      <c r="C95" t="s">
        <v>781</v>
      </c>
      <c r="D95" t="s">
        <v>398</v>
      </c>
    </row>
    <row r="96" spans="1:4" x14ac:dyDescent="0.35">
      <c r="A96" t="s">
        <v>601</v>
      </c>
      <c r="B96" t="s">
        <v>599</v>
      </c>
      <c r="C96" t="s">
        <v>682</v>
      </c>
      <c r="D96" t="s">
        <v>601</v>
      </c>
    </row>
    <row r="97" spans="1:4" x14ac:dyDescent="0.35">
      <c r="A97" t="s">
        <v>603</v>
      </c>
      <c r="B97" t="s">
        <v>599</v>
      </c>
      <c r="C97" t="s">
        <v>782</v>
      </c>
      <c r="D97" t="s">
        <v>603</v>
      </c>
    </row>
    <row r="98" spans="1:4" x14ac:dyDescent="0.35">
      <c r="A98" t="s">
        <v>604</v>
      </c>
      <c r="B98" t="s">
        <v>599</v>
      </c>
      <c r="C98" t="s">
        <v>784</v>
      </c>
      <c r="D98" t="s">
        <v>604</v>
      </c>
    </row>
    <row r="99" spans="1:4" x14ac:dyDescent="0.35">
      <c r="A99" t="s">
        <v>605</v>
      </c>
      <c r="B99" t="s">
        <v>599</v>
      </c>
      <c r="C99" t="s">
        <v>785</v>
      </c>
      <c r="D99" t="s">
        <v>605</v>
      </c>
    </row>
    <row r="100" spans="1:4" x14ac:dyDescent="0.35">
      <c r="A100" t="s">
        <v>818</v>
      </c>
      <c r="B100" t="s">
        <v>599</v>
      </c>
      <c r="C100" t="s">
        <v>720</v>
      </c>
      <c r="D100" t="s">
        <v>818</v>
      </c>
    </row>
    <row r="101" spans="1:4" x14ac:dyDescent="0.35">
      <c r="A101" t="s">
        <v>819</v>
      </c>
      <c r="B101" t="s">
        <v>599</v>
      </c>
      <c r="C101" t="s">
        <v>721</v>
      </c>
      <c r="D101" t="s">
        <v>819</v>
      </c>
    </row>
    <row r="102" spans="1:4" x14ac:dyDescent="0.35">
      <c r="A102" t="s">
        <v>820</v>
      </c>
      <c r="B102" t="s">
        <v>599</v>
      </c>
      <c r="C102" t="s">
        <v>722</v>
      </c>
      <c r="D102" t="s">
        <v>820</v>
      </c>
    </row>
    <row r="103" spans="1:4" x14ac:dyDescent="0.35">
      <c r="A103" t="s">
        <v>403</v>
      </c>
      <c r="B103" t="s">
        <v>262</v>
      </c>
      <c r="C103" t="s">
        <v>577</v>
      </c>
      <c r="D103" t="s">
        <v>403</v>
      </c>
    </row>
    <row r="104" spans="1:4" x14ac:dyDescent="0.35">
      <c r="A104" t="s">
        <v>404</v>
      </c>
      <c r="B104" t="s">
        <v>262</v>
      </c>
      <c r="C104" t="s">
        <v>480</v>
      </c>
      <c r="D104" t="s">
        <v>404</v>
      </c>
    </row>
    <row r="105" spans="1:4" x14ac:dyDescent="0.35">
      <c r="A105" t="s">
        <v>405</v>
      </c>
      <c r="B105" t="s">
        <v>262</v>
      </c>
      <c r="C105" t="s">
        <v>481</v>
      </c>
      <c r="D105" t="s">
        <v>405</v>
      </c>
    </row>
    <row r="106" spans="1:4" x14ac:dyDescent="0.35">
      <c r="A106" t="s">
        <v>406</v>
      </c>
      <c r="B106" t="s">
        <v>262</v>
      </c>
      <c r="C106" t="s">
        <v>482</v>
      </c>
      <c r="D106" t="s">
        <v>406</v>
      </c>
    </row>
    <row r="107" spans="1:4" x14ac:dyDescent="0.35">
      <c r="A107" t="s">
        <v>407</v>
      </c>
      <c r="B107" t="s">
        <v>262</v>
      </c>
      <c r="C107" t="s">
        <v>483</v>
      </c>
      <c r="D107" t="s">
        <v>407</v>
      </c>
    </row>
    <row r="108" spans="1:4" x14ac:dyDescent="0.35">
      <c r="A108" t="s">
        <v>408</v>
      </c>
      <c r="B108" t="s">
        <v>262</v>
      </c>
      <c r="C108" t="s">
        <v>484</v>
      </c>
      <c r="D108" t="s">
        <v>408</v>
      </c>
    </row>
    <row r="109" spans="1:4" x14ac:dyDescent="0.35">
      <c r="A109" t="s">
        <v>606</v>
      </c>
      <c r="B109" t="s">
        <v>262</v>
      </c>
      <c r="C109" t="s">
        <v>485</v>
      </c>
      <c r="D109" t="s">
        <v>606</v>
      </c>
    </row>
    <row r="110" spans="1:4" x14ac:dyDescent="0.35">
      <c r="A110" t="s">
        <v>607</v>
      </c>
      <c r="B110" t="s">
        <v>262</v>
      </c>
      <c r="C110" t="s">
        <v>486</v>
      </c>
      <c r="D110" t="s">
        <v>607</v>
      </c>
    </row>
    <row r="111" spans="1:4" x14ac:dyDescent="0.35">
      <c r="A111" t="s">
        <v>409</v>
      </c>
      <c r="B111" t="s">
        <v>4</v>
      </c>
      <c r="C111" t="s">
        <v>490</v>
      </c>
      <c r="D111" t="s">
        <v>409</v>
      </c>
    </row>
    <row r="112" spans="1:4" x14ac:dyDescent="0.35">
      <c r="A112" t="s">
        <v>410</v>
      </c>
      <c r="B112" t="s">
        <v>4</v>
      </c>
      <c r="C112" t="s">
        <v>637</v>
      </c>
      <c r="D112" t="s">
        <v>410</v>
      </c>
    </row>
    <row r="113" spans="1:4" x14ac:dyDescent="0.35">
      <c r="A113" t="s">
        <v>411</v>
      </c>
      <c r="B113" t="s">
        <v>4</v>
      </c>
      <c r="C113" t="s">
        <v>491</v>
      </c>
      <c r="D113" t="s">
        <v>411</v>
      </c>
    </row>
    <row r="114" spans="1:4" x14ac:dyDescent="0.35">
      <c r="A114" t="s">
        <v>412</v>
      </c>
      <c r="B114" t="s">
        <v>4</v>
      </c>
      <c r="C114" t="s">
        <v>492</v>
      </c>
      <c r="D114" t="s">
        <v>412</v>
      </c>
    </row>
    <row r="115" spans="1:4" x14ac:dyDescent="0.35">
      <c r="A115" t="s">
        <v>609</v>
      </c>
      <c r="B115" t="s">
        <v>4</v>
      </c>
      <c r="C115" t="s">
        <v>493</v>
      </c>
      <c r="D115" t="s">
        <v>609</v>
      </c>
    </row>
    <row r="116" spans="1:4" x14ac:dyDescent="0.35">
      <c r="A116" t="s">
        <v>610</v>
      </c>
      <c r="B116" t="s">
        <v>4</v>
      </c>
      <c r="C116" t="s">
        <v>494</v>
      </c>
      <c r="D116" t="s">
        <v>610</v>
      </c>
    </row>
    <row r="117" spans="1:4" x14ac:dyDescent="0.35">
      <c r="A117" t="s">
        <v>611</v>
      </c>
      <c r="B117" t="s">
        <v>4</v>
      </c>
      <c r="C117" t="s">
        <v>495</v>
      </c>
      <c r="D117" t="s">
        <v>611</v>
      </c>
    </row>
    <row r="118" spans="1:4" x14ac:dyDescent="0.35">
      <c r="A118" t="s">
        <v>612</v>
      </c>
      <c r="B118" t="s">
        <v>4</v>
      </c>
      <c r="C118" t="s">
        <v>496</v>
      </c>
      <c r="D118" t="s">
        <v>612</v>
      </c>
    </row>
    <row r="119" spans="1:4" x14ac:dyDescent="0.35">
      <c r="A119" t="s">
        <v>613</v>
      </c>
      <c r="B119" t="s">
        <v>4</v>
      </c>
      <c r="C119" t="s">
        <v>497</v>
      </c>
      <c r="D119" t="s">
        <v>613</v>
      </c>
    </row>
    <row r="120" spans="1:4" x14ac:dyDescent="0.35">
      <c r="A120" t="s">
        <v>614</v>
      </c>
      <c r="B120" t="s">
        <v>4</v>
      </c>
      <c r="C120" t="s">
        <v>498</v>
      </c>
      <c r="D120" t="s">
        <v>614</v>
      </c>
    </row>
    <row r="121" spans="1:4" x14ac:dyDescent="0.35">
      <c r="A121" t="s">
        <v>615</v>
      </c>
      <c r="B121" t="s">
        <v>4</v>
      </c>
      <c r="C121" t="s">
        <v>638</v>
      </c>
      <c r="D121" t="s">
        <v>615</v>
      </c>
    </row>
    <row r="122" spans="1:4" x14ac:dyDescent="0.35">
      <c r="A122" t="s">
        <v>616</v>
      </c>
      <c r="B122" t="s">
        <v>4</v>
      </c>
      <c r="C122" t="s">
        <v>499</v>
      </c>
      <c r="D122" t="s">
        <v>616</v>
      </c>
    </row>
    <row r="123" spans="1:4" x14ac:dyDescent="0.35">
      <c r="A123" t="s">
        <v>617</v>
      </c>
      <c r="B123" t="s">
        <v>4</v>
      </c>
      <c r="C123" t="s">
        <v>500</v>
      </c>
      <c r="D123" t="s">
        <v>617</v>
      </c>
    </row>
    <row r="124" spans="1:4" x14ac:dyDescent="0.35">
      <c r="A124" t="s">
        <v>618</v>
      </c>
      <c r="B124" t="s">
        <v>4</v>
      </c>
      <c r="C124" t="s">
        <v>501</v>
      </c>
      <c r="D124" t="s">
        <v>618</v>
      </c>
    </row>
    <row r="125" spans="1:4" x14ac:dyDescent="0.35">
      <c r="A125" t="s">
        <v>619</v>
      </c>
      <c r="B125" t="s">
        <v>4</v>
      </c>
      <c r="C125" t="s">
        <v>502</v>
      </c>
      <c r="D125" t="s">
        <v>619</v>
      </c>
    </row>
    <row r="126" spans="1:4" x14ac:dyDescent="0.35">
      <c r="A126" t="s">
        <v>821</v>
      </c>
      <c r="B126" t="s">
        <v>4</v>
      </c>
      <c r="C126" t="s">
        <v>503</v>
      </c>
      <c r="D126" t="s">
        <v>821</v>
      </c>
    </row>
    <row r="127" spans="1:4" x14ac:dyDescent="0.35">
      <c r="A127" t="s">
        <v>822</v>
      </c>
      <c r="B127" t="s">
        <v>4</v>
      </c>
      <c r="C127" t="s">
        <v>639</v>
      </c>
      <c r="D127" t="s">
        <v>822</v>
      </c>
    </row>
    <row r="128" spans="1:4" x14ac:dyDescent="0.35">
      <c r="A128" t="s">
        <v>413</v>
      </c>
      <c r="B128" t="s">
        <v>753</v>
      </c>
      <c r="C128" t="s">
        <v>754</v>
      </c>
      <c r="D128" t="s">
        <v>413</v>
      </c>
    </row>
    <row r="129" spans="1:4" x14ac:dyDescent="0.35">
      <c r="A129" t="s">
        <v>414</v>
      </c>
      <c r="B129" t="s">
        <v>753</v>
      </c>
      <c r="C129" t="s">
        <v>755</v>
      </c>
      <c r="D129" t="s">
        <v>414</v>
      </c>
    </row>
    <row r="130" spans="1:4" x14ac:dyDescent="0.35">
      <c r="A130" t="s">
        <v>415</v>
      </c>
      <c r="B130" t="s">
        <v>753</v>
      </c>
      <c r="C130" t="s">
        <v>756</v>
      </c>
      <c r="D130" t="s">
        <v>415</v>
      </c>
    </row>
    <row r="131" spans="1:4" x14ac:dyDescent="0.35">
      <c r="A131" t="s">
        <v>416</v>
      </c>
      <c r="B131" t="s">
        <v>753</v>
      </c>
      <c r="C131" t="s">
        <v>757</v>
      </c>
      <c r="D131" t="s">
        <v>416</v>
      </c>
    </row>
    <row r="132" spans="1:4" x14ac:dyDescent="0.35">
      <c r="A132" t="s">
        <v>429</v>
      </c>
      <c r="B132" t="s">
        <v>275</v>
      </c>
      <c r="C132" t="s">
        <v>741</v>
      </c>
      <c r="D132" t="s">
        <v>429</v>
      </c>
    </row>
    <row r="133" spans="1:4" x14ac:dyDescent="0.35">
      <c r="A133" t="s">
        <v>430</v>
      </c>
      <c r="B133" t="s">
        <v>275</v>
      </c>
      <c r="C133" t="s">
        <v>731</v>
      </c>
      <c r="D133" t="s">
        <v>430</v>
      </c>
    </row>
    <row r="134" spans="1:4" x14ac:dyDescent="0.35">
      <c r="A134" t="s">
        <v>431</v>
      </c>
      <c r="B134" t="s">
        <v>275</v>
      </c>
      <c r="C134" t="s">
        <v>732</v>
      </c>
      <c r="D134" t="s">
        <v>431</v>
      </c>
    </row>
    <row r="135" spans="1:4" x14ac:dyDescent="0.35">
      <c r="A135" t="s">
        <v>432</v>
      </c>
      <c r="B135" t="s">
        <v>275</v>
      </c>
      <c r="C135" t="s">
        <v>733</v>
      </c>
      <c r="D135" t="s">
        <v>432</v>
      </c>
    </row>
    <row r="136" spans="1:4" x14ac:dyDescent="0.35">
      <c r="A136" t="s">
        <v>433</v>
      </c>
      <c r="B136" t="s">
        <v>275</v>
      </c>
      <c r="C136" t="s">
        <v>146</v>
      </c>
      <c r="D136" t="s">
        <v>433</v>
      </c>
    </row>
    <row r="137" spans="1:4" x14ac:dyDescent="0.35">
      <c r="A137" t="s">
        <v>434</v>
      </c>
      <c r="B137" t="s">
        <v>275</v>
      </c>
      <c r="C137" t="s">
        <v>685</v>
      </c>
      <c r="D137" t="s">
        <v>434</v>
      </c>
    </row>
    <row r="138" spans="1:4" x14ac:dyDescent="0.35">
      <c r="A138" t="s">
        <v>435</v>
      </c>
      <c r="B138" t="s">
        <v>275</v>
      </c>
      <c r="C138" t="s">
        <v>148</v>
      </c>
      <c r="D138" t="s">
        <v>435</v>
      </c>
    </row>
    <row r="139" spans="1:4" x14ac:dyDescent="0.35">
      <c r="A139" t="s">
        <v>436</v>
      </c>
      <c r="B139" t="s">
        <v>275</v>
      </c>
      <c r="C139" t="s">
        <v>686</v>
      </c>
      <c r="D139" t="s">
        <v>436</v>
      </c>
    </row>
    <row r="140" spans="1:4" x14ac:dyDescent="0.35">
      <c r="A140" t="s">
        <v>437</v>
      </c>
      <c r="B140" t="s">
        <v>275</v>
      </c>
      <c r="C140" t="s">
        <v>95</v>
      </c>
      <c r="D140" t="s">
        <v>437</v>
      </c>
    </row>
    <row r="141" spans="1:4" x14ac:dyDescent="0.35">
      <c r="A141" t="s">
        <v>438</v>
      </c>
      <c r="B141" t="s">
        <v>275</v>
      </c>
      <c r="C141" t="s">
        <v>687</v>
      </c>
      <c r="D141" t="s">
        <v>438</v>
      </c>
    </row>
    <row r="142" spans="1:4" x14ac:dyDescent="0.35">
      <c r="A142" t="s">
        <v>439</v>
      </c>
      <c r="B142" t="s">
        <v>275</v>
      </c>
      <c r="C142" t="s">
        <v>688</v>
      </c>
      <c r="D142" t="s">
        <v>439</v>
      </c>
    </row>
    <row r="143" spans="1:4" x14ac:dyDescent="0.35">
      <c r="A143" t="s">
        <v>440</v>
      </c>
      <c r="B143" t="s">
        <v>275</v>
      </c>
      <c r="C143" t="s">
        <v>690</v>
      </c>
      <c r="D143" t="s">
        <v>440</v>
      </c>
    </row>
    <row r="144" spans="1:4" x14ac:dyDescent="0.35">
      <c r="A144" t="s">
        <v>441</v>
      </c>
      <c r="B144" t="s">
        <v>275</v>
      </c>
      <c r="C144" t="s">
        <v>691</v>
      </c>
      <c r="D144" t="s">
        <v>441</v>
      </c>
    </row>
    <row r="145" spans="1:4" x14ac:dyDescent="0.35">
      <c r="A145" t="s">
        <v>442</v>
      </c>
      <c r="B145" t="s">
        <v>275</v>
      </c>
      <c r="C145" t="s">
        <v>771</v>
      </c>
      <c r="D145" t="s">
        <v>442</v>
      </c>
    </row>
    <row r="146" spans="1:4" x14ac:dyDescent="0.35">
      <c r="A146" t="s">
        <v>443</v>
      </c>
      <c r="B146" t="s">
        <v>275</v>
      </c>
      <c r="C146" t="s">
        <v>772</v>
      </c>
      <c r="D146" t="s">
        <v>443</v>
      </c>
    </row>
    <row r="147" spans="1:4" x14ac:dyDescent="0.35">
      <c r="A147" t="s">
        <v>444</v>
      </c>
      <c r="B147" t="s">
        <v>275</v>
      </c>
      <c r="C147" t="s">
        <v>773</v>
      </c>
      <c r="D147" t="s">
        <v>444</v>
      </c>
    </row>
    <row r="148" spans="1:4" x14ac:dyDescent="0.35">
      <c r="A148" t="s">
        <v>445</v>
      </c>
      <c r="B148" t="s">
        <v>275</v>
      </c>
      <c r="C148" t="s">
        <v>158</v>
      </c>
      <c r="D148" t="s">
        <v>445</v>
      </c>
    </row>
    <row r="149" spans="1:4" x14ac:dyDescent="0.35">
      <c r="A149" t="s">
        <v>446</v>
      </c>
      <c r="B149" t="s">
        <v>275</v>
      </c>
      <c r="C149" t="s">
        <v>161</v>
      </c>
      <c r="D149" t="s">
        <v>446</v>
      </c>
    </row>
    <row r="150" spans="1:4" x14ac:dyDescent="0.35">
      <c r="A150" t="s">
        <v>447</v>
      </c>
      <c r="B150" t="s">
        <v>275</v>
      </c>
      <c r="C150" t="s">
        <v>164</v>
      </c>
      <c r="D150" t="s">
        <v>447</v>
      </c>
    </row>
    <row r="151" spans="1:4" x14ac:dyDescent="0.35">
      <c r="A151" t="s">
        <v>448</v>
      </c>
      <c r="B151" t="s">
        <v>275</v>
      </c>
      <c r="C151" t="s">
        <v>167</v>
      </c>
      <c r="D151" t="s">
        <v>448</v>
      </c>
    </row>
    <row r="152" spans="1:4" x14ac:dyDescent="0.35">
      <c r="A152" t="s">
        <v>449</v>
      </c>
      <c r="B152" t="s">
        <v>275</v>
      </c>
      <c r="C152" t="s">
        <v>783</v>
      </c>
      <c r="D152" t="s">
        <v>449</v>
      </c>
    </row>
    <row r="153" spans="1:4" x14ac:dyDescent="0.35">
      <c r="A153" t="s">
        <v>600</v>
      </c>
      <c r="B153" t="s">
        <v>316</v>
      </c>
      <c r="C153" t="s">
        <v>582</v>
      </c>
      <c r="D153" t="s">
        <v>600</v>
      </c>
    </row>
    <row r="154" spans="1:4" x14ac:dyDescent="0.35">
      <c r="A154" t="s">
        <v>623</v>
      </c>
      <c r="B154" t="s">
        <v>316</v>
      </c>
      <c r="C154" t="s">
        <v>640</v>
      </c>
      <c r="D154" t="s">
        <v>623</v>
      </c>
    </row>
    <row r="155" spans="1:4" x14ac:dyDescent="0.35">
      <c r="A155" t="s">
        <v>624</v>
      </c>
      <c r="B155" t="s">
        <v>316</v>
      </c>
      <c r="C155" t="s">
        <v>746</v>
      </c>
      <c r="D155" t="s">
        <v>624</v>
      </c>
    </row>
    <row r="156" spans="1:4" x14ac:dyDescent="0.35">
      <c r="A156" t="s">
        <v>458</v>
      </c>
      <c r="B156" t="s">
        <v>320</v>
      </c>
      <c r="C156" t="s">
        <v>759</v>
      </c>
      <c r="D156" t="s">
        <v>458</v>
      </c>
    </row>
    <row r="157" spans="1:4" x14ac:dyDescent="0.35">
      <c r="A157" t="s">
        <v>459</v>
      </c>
      <c r="B157" t="s">
        <v>320</v>
      </c>
      <c r="C157" t="s">
        <v>760</v>
      </c>
      <c r="D157" t="s">
        <v>459</v>
      </c>
    </row>
    <row r="158" spans="1:4" x14ac:dyDescent="0.35">
      <c r="A158" t="s">
        <v>460</v>
      </c>
      <c r="B158" t="s">
        <v>320</v>
      </c>
      <c r="C158" t="s">
        <v>761</v>
      </c>
      <c r="D158" t="s">
        <v>460</v>
      </c>
    </row>
    <row r="159" spans="1:4" x14ac:dyDescent="0.35">
      <c r="A159" t="s">
        <v>462</v>
      </c>
      <c r="B159" t="s">
        <v>267</v>
      </c>
      <c r="C159" t="s">
        <v>748</v>
      </c>
      <c r="D159" t="s">
        <v>462</v>
      </c>
    </row>
    <row r="160" spans="1:4" x14ac:dyDescent="0.35">
      <c r="A160" t="s">
        <v>463</v>
      </c>
      <c r="B160" t="s">
        <v>267</v>
      </c>
      <c r="C160" t="s">
        <v>749</v>
      </c>
      <c r="D160" t="s">
        <v>463</v>
      </c>
    </row>
    <row r="161" spans="1:4" x14ac:dyDescent="0.35">
      <c r="A161" t="s">
        <v>464</v>
      </c>
      <c r="B161" t="s">
        <v>267</v>
      </c>
      <c r="C161" t="s">
        <v>750</v>
      </c>
      <c r="D161" t="s">
        <v>464</v>
      </c>
    </row>
    <row r="162" spans="1:4" x14ac:dyDescent="0.35">
      <c r="A162" t="s">
        <v>465</v>
      </c>
      <c r="B162" t="s">
        <v>267</v>
      </c>
      <c r="C162" t="s">
        <v>751</v>
      </c>
      <c r="D162" t="s">
        <v>465</v>
      </c>
    </row>
    <row r="163" spans="1:4" x14ac:dyDescent="0.35">
      <c r="A163" t="s">
        <v>625</v>
      </c>
      <c r="B163" t="s">
        <v>267</v>
      </c>
      <c r="C163" t="s">
        <v>649</v>
      </c>
      <c r="D163" t="s">
        <v>625</v>
      </c>
    </row>
    <row r="164" spans="1:4" x14ac:dyDescent="0.35">
      <c r="A164" t="s">
        <v>626</v>
      </c>
      <c r="B164" t="s">
        <v>267</v>
      </c>
      <c r="C164" t="s">
        <v>650</v>
      </c>
      <c r="D164" t="s">
        <v>626</v>
      </c>
    </row>
    <row r="165" spans="1:4" x14ac:dyDescent="0.35">
      <c r="A165" t="s">
        <v>823</v>
      </c>
      <c r="B165" t="s">
        <v>267</v>
      </c>
      <c r="C165" t="s">
        <v>651</v>
      </c>
      <c r="D165" t="s">
        <v>823</v>
      </c>
    </row>
    <row r="166" spans="1:4" x14ac:dyDescent="0.35">
      <c r="A166" t="s">
        <v>824</v>
      </c>
      <c r="B166" t="s">
        <v>267</v>
      </c>
      <c r="C166" t="s">
        <v>652</v>
      </c>
      <c r="D166" t="s">
        <v>824</v>
      </c>
    </row>
    <row r="167" spans="1:4" x14ac:dyDescent="0.35">
      <c r="A167" t="s">
        <v>825</v>
      </c>
      <c r="B167" t="s">
        <v>267</v>
      </c>
      <c r="C167" t="s">
        <v>689</v>
      </c>
      <c r="D167" t="s">
        <v>825</v>
      </c>
    </row>
  </sheetData>
  <sortState xmlns:xlrd2="http://schemas.microsoft.com/office/spreadsheetml/2017/richdata2" ref="A2:C167">
    <sortCondition ref="B2:B16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3E53-3E80-4DB1-B1CC-D982723854F6}">
  <dimension ref="A1:C161"/>
  <sheetViews>
    <sheetView workbookViewId="0">
      <selection sqref="A1:C1"/>
    </sheetView>
  </sheetViews>
  <sheetFormatPr baseColWidth="10" defaultRowHeight="14.5" x14ac:dyDescent="0.35"/>
  <cols>
    <col min="1" max="1" width="68.1796875" customWidth="1"/>
    <col min="3" max="3" width="87.7265625" customWidth="1"/>
  </cols>
  <sheetData>
    <row r="1" spans="1:3" x14ac:dyDescent="0.35">
      <c r="A1" s="2" t="s">
        <v>983</v>
      </c>
      <c r="B1" s="3" t="s">
        <v>984</v>
      </c>
      <c r="C1" s="4" t="s">
        <v>828</v>
      </c>
    </row>
    <row r="2" spans="1:3" x14ac:dyDescent="0.35">
      <c r="A2" s="5" t="s">
        <v>723</v>
      </c>
      <c r="B2" s="6" t="s">
        <v>329</v>
      </c>
      <c r="C2" s="7" t="s">
        <v>723</v>
      </c>
    </row>
    <row r="3" spans="1:3" x14ac:dyDescent="0.35">
      <c r="A3" s="5" t="s">
        <v>724</v>
      </c>
      <c r="B3" s="6" t="s">
        <v>330</v>
      </c>
      <c r="C3" s="7" t="s">
        <v>724</v>
      </c>
    </row>
    <row r="4" spans="1:3" x14ac:dyDescent="0.35">
      <c r="A4" s="5" t="s">
        <v>829</v>
      </c>
      <c r="B4" s="6" t="s">
        <v>331</v>
      </c>
      <c r="C4" s="7" t="s">
        <v>829</v>
      </c>
    </row>
    <row r="5" spans="1:3" x14ac:dyDescent="0.35">
      <c r="A5" s="5" t="s">
        <v>725</v>
      </c>
      <c r="B5" s="6" t="s">
        <v>332</v>
      </c>
      <c r="C5" s="7" t="s">
        <v>725</v>
      </c>
    </row>
    <row r="6" spans="1:3" x14ac:dyDescent="0.35">
      <c r="A6" s="5" t="s">
        <v>830</v>
      </c>
      <c r="B6" s="6" t="s">
        <v>333</v>
      </c>
      <c r="C6" s="7" t="s">
        <v>830</v>
      </c>
    </row>
    <row r="7" spans="1:3" x14ac:dyDescent="0.35">
      <c r="A7" s="5" t="s">
        <v>727</v>
      </c>
      <c r="B7" s="6" t="s">
        <v>334</v>
      </c>
      <c r="C7" s="7" t="s">
        <v>727</v>
      </c>
    </row>
    <row r="8" spans="1:3" x14ac:dyDescent="0.35">
      <c r="A8" s="5" t="s">
        <v>831</v>
      </c>
      <c r="B8" s="6" t="s">
        <v>335</v>
      </c>
      <c r="C8" s="7" t="s">
        <v>831</v>
      </c>
    </row>
    <row r="9" spans="1:3" x14ac:dyDescent="0.35">
      <c r="A9" s="5" t="s">
        <v>729</v>
      </c>
      <c r="B9" s="6" t="s">
        <v>336</v>
      </c>
      <c r="C9" s="7" t="s">
        <v>729</v>
      </c>
    </row>
    <row r="10" spans="1:3" x14ac:dyDescent="0.35">
      <c r="A10" s="5" t="s">
        <v>832</v>
      </c>
      <c r="B10" s="6" t="s">
        <v>413</v>
      </c>
      <c r="C10" s="7" t="s">
        <v>832</v>
      </c>
    </row>
    <row r="11" spans="1:3" x14ac:dyDescent="0.35">
      <c r="A11" s="5" t="s">
        <v>960</v>
      </c>
      <c r="B11" s="6" t="s">
        <v>337</v>
      </c>
      <c r="C11" s="7" t="s">
        <v>960</v>
      </c>
    </row>
    <row r="12" spans="1:3" x14ac:dyDescent="0.35">
      <c r="A12" s="5" t="s">
        <v>833</v>
      </c>
      <c r="B12" s="6" t="s">
        <v>338</v>
      </c>
      <c r="C12" s="7" t="s">
        <v>833</v>
      </c>
    </row>
    <row r="13" spans="1:3" x14ac:dyDescent="0.35">
      <c r="A13" s="5" t="s">
        <v>834</v>
      </c>
      <c r="B13" s="6" t="s">
        <v>339</v>
      </c>
      <c r="C13" s="7" t="s">
        <v>834</v>
      </c>
    </row>
    <row r="14" spans="1:3" x14ac:dyDescent="0.35">
      <c r="A14" s="5" t="s">
        <v>835</v>
      </c>
      <c r="B14" s="6" t="s">
        <v>788</v>
      </c>
      <c r="C14" s="7" t="s">
        <v>835</v>
      </c>
    </row>
    <row r="15" spans="1:3" x14ac:dyDescent="0.35">
      <c r="A15" s="5" t="s">
        <v>836</v>
      </c>
      <c r="B15" s="6" t="s">
        <v>789</v>
      </c>
      <c r="C15" s="7" t="s">
        <v>836</v>
      </c>
    </row>
    <row r="16" spans="1:3" x14ac:dyDescent="0.35">
      <c r="A16" s="5" t="s">
        <v>837</v>
      </c>
      <c r="B16" s="6" t="s">
        <v>414</v>
      </c>
      <c r="C16" s="7" t="s">
        <v>837</v>
      </c>
    </row>
    <row r="17" spans="1:3" x14ac:dyDescent="0.35">
      <c r="A17" s="5" t="s">
        <v>838</v>
      </c>
      <c r="B17" s="6" t="s">
        <v>347</v>
      </c>
      <c r="C17" s="7" t="s">
        <v>838</v>
      </c>
    </row>
    <row r="18" spans="1:3" x14ac:dyDescent="0.35">
      <c r="A18" s="5" t="s">
        <v>839</v>
      </c>
      <c r="B18" s="6" t="s">
        <v>790</v>
      </c>
      <c r="C18" s="7" t="s">
        <v>839</v>
      </c>
    </row>
    <row r="19" spans="1:3" x14ac:dyDescent="0.35">
      <c r="A19" s="5" t="s">
        <v>730</v>
      </c>
      <c r="B19" s="6" t="s">
        <v>976</v>
      </c>
      <c r="C19" s="7" t="s">
        <v>741</v>
      </c>
    </row>
    <row r="20" spans="1:3" x14ac:dyDescent="0.35">
      <c r="A20" s="5" t="s">
        <v>731</v>
      </c>
      <c r="B20" s="6" t="s">
        <v>977</v>
      </c>
      <c r="C20" s="7" t="s">
        <v>731</v>
      </c>
    </row>
    <row r="21" spans="1:3" x14ac:dyDescent="0.35">
      <c r="A21" s="5" t="s">
        <v>732</v>
      </c>
      <c r="B21" s="6" t="s">
        <v>978</v>
      </c>
      <c r="C21" s="7" t="s">
        <v>732</v>
      </c>
    </row>
    <row r="22" spans="1:3" x14ac:dyDescent="0.35">
      <c r="A22" s="5" t="s">
        <v>733</v>
      </c>
      <c r="B22" s="6" t="s">
        <v>979</v>
      </c>
      <c r="C22" s="7" t="s">
        <v>733</v>
      </c>
    </row>
    <row r="23" spans="1:3" x14ac:dyDescent="0.35">
      <c r="A23" s="5" t="s">
        <v>840</v>
      </c>
      <c r="B23" s="6" t="s">
        <v>980</v>
      </c>
      <c r="C23" s="7" t="s">
        <v>840</v>
      </c>
    </row>
    <row r="24" spans="1:3" x14ac:dyDescent="0.35">
      <c r="A24" s="5" t="s">
        <v>841</v>
      </c>
      <c r="B24" s="6" t="s">
        <v>791</v>
      </c>
      <c r="C24" s="7" t="s">
        <v>841</v>
      </c>
    </row>
    <row r="25" spans="1:3" x14ac:dyDescent="0.35">
      <c r="A25" s="5" t="s">
        <v>842</v>
      </c>
      <c r="B25" s="6" t="s">
        <v>792</v>
      </c>
      <c r="C25" s="7" t="s">
        <v>842</v>
      </c>
    </row>
    <row r="26" spans="1:3" x14ac:dyDescent="0.35">
      <c r="A26" s="5" t="s">
        <v>843</v>
      </c>
      <c r="B26" s="6" t="s">
        <v>965</v>
      </c>
      <c r="C26" s="7" t="s">
        <v>843</v>
      </c>
    </row>
    <row r="27" spans="1:3" x14ac:dyDescent="0.35">
      <c r="A27" s="5" t="s">
        <v>844</v>
      </c>
      <c r="B27" s="6" t="s">
        <v>966</v>
      </c>
      <c r="C27" s="7" t="s">
        <v>844</v>
      </c>
    </row>
    <row r="28" spans="1:3" x14ac:dyDescent="0.35">
      <c r="A28" s="5" t="s">
        <v>845</v>
      </c>
      <c r="B28" s="6" t="s">
        <v>967</v>
      </c>
      <c r="C28" s="7" t="s">
        <v>845</v>
      </c>
    </row>
    <row r="29" spans="1:3" x14ac:dyDescent="0.35">
      <c r="A29" s="5" t="s">
        <v>482</v>
      </c>
      <c r="B29" s="6" t="s">
        <v>968</v>
      </c>
      <c r="C29" s="7" t="s">
        <v>482</v>
      </c>
    </row>
    <row r="30" spans="1:3" x14ac:dyDescent="0.35">
      <c r="A30" s="5" t="s">
        <v>483</v>
      </c>
      <c r="B30" s="6" t="s">
        <v>969</v>
      </c>
      <c r="C30" s="7" t="s">
        <v>483</v>
      </c>
    </row>
    <row r="31" spans="1:3" x14ac:dyDescent="0.35">
      <c r="A31" s="5" t="s">
        <v>484</v>
      </c>
      <c r="B31" s="6" t="s">
        <v>970</v>
      </c>
      <c r="C31" s="7" t="s">
        <v>484</v>
      </c>
    </row>
    <row r="32" spans="1:3" x14ac:dyDescent="0.35">
      <c r="A32" s="5" t="s">
        <v>485</v>
      </c>
      <c r="B32" s="6" t="s">
        <v>971</v>
      </c>
      <c r="C32" s="7" t="s">
        <v>485</v>
      </c>
    </row>
    <row r="33" spans="1:3" x14ac:dyDescent="0.35">
      <c r="A33" s="5" t="s">
        <v>846</v>
      </c>
      <c r="B33" s="6" t="s">
        <v>972</v>
      </c>
      <c r="C33" s="7" t="s">
        <v>846</v>
      </c>
    </row>
    <row r="34" spans="1:3" x14ac:dyDescent="0.35">
      <c r="A34" s="5" t="s">
        <v>847</v>
      </c>
      <c r="B34" s="6" t="s">
        <v>973</v>
      </c>
      <c r="C34" s="7" t="s">
        <v>847</v>
      </c>
    </row>
    <row r="35" spans="1:3" x14ac:dyDescent="0.35">
      <c r="A35" s="5" t="s">
        <v>848</v>
      </c>
      <c r="B35" s="6" t="s">
        <v>974</v>
      </c>
      <c r="C35" s="7" t="s">
        <v>848</v>
      </c>
    </row>
    <row r="36" spans="1:3" x14ac:dyDescent="0.35">
      <c r="A36" s="5" t="s">
        <v>849</v>
      </c>
      <c r="B36" s="6" t="s">
        <v>351</v>
      </c>
      <c r="C36" s="7" t="s">
        <v>849</v>
      </c>
    </row>
    <row r="37" spans="1:3" x14ac:dyDescent="0.35">
      <c r="A37" s="5" t="s">
        <v>850</v>
      </c>
      <c r="B37" s="6" t="s">
        <v>352</v>
      </c>
      <c r="C37" s="7" t="s">
        <v>850</v>
      </c>
    </row>
    <row r="38" spans="1:3" x14ac:dyDescent="0.35">
      <c r="A38" s="5" t="s">
        <v>851</v>
      </c>
      <c r="B38" s="6" t="s">
        <v>353</v>
      </c>
      <c r="C38" s="7" t="s">
        <v>851</v>
      </c>
    </row>
    <row r="39" spans="1:3" x14ac:dyDescent="0.35">
      <c r="A39" s="5" t="s">
        <v>852</v>
      </c>
      <c r="B39" s="6" t="s">
        <v>354</v>
      </c>
      <c r="C39" s="7" t="s">
        <v>852</v>
      </c>
    </row>
    <row r="40" spans="1:3" x14ac:dyDescent="0.35">
      <c r="A40" s="5" t="s">
        <v>853</v>
      </c>
      <c r="B40" s="6" t="s">
        <v>409</v>
      </c>
      <c r="C40" s="7" t="s">
        <v>853</v>
      </c>
    </row>
    <row r="41" spans="1:3" x14ac:dyDescent="0.35">
      <c r="A41" s="5" t="s">
        <v>637</v>
      </c>
      <c r="B41" s="6" t="s">
        <v>410</v>
      </c>
      <c r="C41" s="7" t="s">
        <v>637</v>
      </c>
    </row>
    <row r="42" spans="1:3" x14ac:dyDescent="0.35">
      <c r="A42" s="5" t="s">
        <v>854</v>
      </c>
      <c r="B42" s="6" t="s">
        <v>411</v>
      </c>
      <c r="C42" s="7" t="s">
        <v>854</v>
      </c>
    </row>
    <row r="43" spans="1:3" x14ac:dyDescent="0.35">
      <c r="A43" s="5" t="s">
        <v>492</v>
      </c>
      <c r="B43" s="6" t="s">
        <v>412</v>
      </c>
      <c r="C43" s="7" t="s">
        <v>492</v>
      </c>
    </row>
    <row r="44" spans="1:3" x14ac:dyDescent="0.35">
      <c r="A44" s="5" t="s">
        <v>493</v>
      </c>
      <c r="B44" s="6" t="s">
        <v>609</v>
      </c>
      <c r="C44" s="7" t="s">
        <v>493</v>
      </c>
    </row>
    <row r="45" spans="1:3" x14ac:dyDescent="0.35">
      <c r="A45" s="5" t="s">
        <v>494</v>
      </c>
      <c r="B45" s="6" t="s">
        <v>610</v>
      </c>
      <c r="C45" s="7" t="s">
        <v>494</v>
      </c>
    </row>
    <row r="46" spans="1:3" x14ac:dyDescent="0.35">
      <c r="A46" s="5" t="s">
        <v>855</v>
      </c>
      <c r="B46" s="6" t="s">
        <v>611</v>
      </c>
      <c r="C46" s="7" t="s">
        <v>855</v>
      </c>
    </row>
    <row r="47" spans="1:3" x14ac:dyDescent="0.35">
      <c r="A47" s="5" t="s">
        <v>496</v>
      </c>
      <c r="B47" s="6" t="s">
        <v>612</v>
      </c>
      <c r="C47" s="7" t="s">
        <v>496</v>
      </c>
    </row>
    <row r="48" spans="1:3" x14ac:dyDescent="0.35">
      <c r="A48" s="5" t="s">
        <v>856</v>
      </c>
      <c r="B48" s="6" t="s">
        <v>613</v>
      </c>
      <c r="C48" s="7" t="s">
        <v>856</v>
      </c>
    </row>
    <row r="49" spans="1:3" x14ac:dyDescent="0.35">
      <c r="A49" s="5" t="s">
        <v>857</v>
      </c>
      <c r="B49" s="6" t="s">
        <v>614</v>
      </c>
      <c r="C49" s="7" t="s">
        <v>857</v>
      </c>
    </row>
    <row r="50" spans="1:3" x14ac:dyDescent="0.35">
      <c r="A50" s="5" t="s">
        <v>499</v>
      </c>
      <c r="B50" s="6" t="s">
        <v>615</v>
      </c>
      <c r="C50" s="7" t="s">
        <v>499</v>
      </c>
    </row>
    <row r="51" spans="1:3" x14ac:dyDescent="0.35">
      <c r="A51" s="5" t="s">
        <v>858</v>
      </c>
      <c r="B51" s="6" t="s">
        <v>616</v>
      </c>
      <c r="C51" s="7" t="s">
        <v>858</v>
      </c>
    </row>
    <row r="52" spans="1:3" x14ac:dyDescent="0.35">
      <c r="A52" s="5" t="s">
        <v>859</v>
      </c>
      <c r="B52" s="6" t="s">
        <v>617</v>
      </c>
      <c r="C52" s="7" t="s">
        <v>859</v>
      </c>
    </row>
    <row r="53" spans="1:3" x14ac:dyDescent="0.35">
      <c r="A53" s="5" t="s">
        <v>860</v>
      </c>
      <c r="B53" s="6" t="s">
        <v>618</v>
      </c>
      <c r="C53" s="7" t="s">
        <v>860</v>
      </c>
    </row>
    <row r="54" spans="1:3" x14ac:dyDescent="0.35">
      <c r="A54" s="5" t="s">
        <v>861</v>
      </c>
      <c r="B54" s="6" t="s">
        <v>619</v>
      </c>
      <c r="C54" s="7" t="s">
        <v>861</v>
      </c>
    </row>
    <row r="55" spans="1:3" x14ac:dyDescent="0.35">
      <c r="A55" s="5" t="s">
        <v>862</v>
      </c>
      <c r="B55" s="6" t="s">
        <v>821</v>
      </c>
      <c r="C55" s="7" t="s">
        <v>862</v>
      </c>
    </row>
    <row r="56" spans="1:3" x14ac:dyDescent="0.35">
      <c r="A56" s="5" t="s">
        <v>863</v>
      </c>
      <c r="B56" s="6" t="s">
        <v>600</v>
      </c>
      <c r="C56" s="7" t="s">
        <v>863</v>
      </c>
    </row>
    <row r="57" spans="1:3" x14ac:dyDescent="0.35">
      <c r="A57" s="5" t="s">
        <v>864</v>
      </c>
      <c r="B57" s="6" t="s">
        <v>623</v>
      </c>
      <c r="C57" s="7" t="s">
        <v>864</v>
      </c>
    </row>
    <row r="58" spans="1:3" x14ac:dyDescent="0.35">
      <c r="A58" s="5" t="s">
        <v>865</v>
      </c>
      <c r="B58" s="6" t="s">
        <v>624</v>
      </c>
      <c r="C58" s="7" t="s">
        <v>865</v>
      </c>
    </row>
    <row r="59" spans="1:3" x14ac:dyDescent="0.35">
      <c r="A59" s="5" t="s">
        <v>866</v>
      </c>
      <c r="B59" s="6" t="s">
        <v>462</v>
      </c>
      <c r="C59" s="7" t="s">
        <v>866</v>
      </c>
    </row>
    <row r="60" spans="1:3" x14ac:dyDescent="0.35">
      <c r="A60" s="5" t="s">
        <v>867</v>
      </c>
      <c r="B60" s="6" t="s">
        <v>463</v>
      </c>
      <c r="C60" s="7" t="s">
        <v>867</v>
      </c>
    </row>
    <row r="61" spans="1:3" x14ac:dyDescent="0.35">
      <c r="A61" s="5" t="s">
        <v>868</v>
      </c>
      <c r="B61" s="6" t="s">
        <v>415</v>
      </c>
      <c r="C61" s="7" t="s">
        <v>868</v>
      </c>
    </row>
    <row r="62" spans="1:3" x14ac:dyDescent="0.35">
      <c r="A62" s="5" t="s">
        <v>869</v>
      </c>
      <c r="B62" s="6" t="s">
        <v>464</v>
      </c>
      <c r="C62" s="7" t="s">
        <v>869</v>
      </c>
    </row>
    <row r="63" spans="1:3" x14ac:dyDescent="0.35">
      <c r="A63" s="5" t="s">
        <v>870</v>
      </c>
      <c r="B63" s="6" t="s">
        <v>465</v>
      </c>
      <c r="C63" s="7" t="s">
        <v>870</v>
      </c>
    </row>
    <row r="64" spans="1:3" x14ac:dyDescent="0.35">
      <c r="A64" s="5" t="s">
        <v>871</v>
      </c>
      <c r="B64" s="6" t="s">
        <v>625</v>
      </c>
      <c r="C64" s="7" t="s">
        <v>871</v>
      </c>
    </row>
    <row r="65" spans="1:3" x14ac:dyDescent="0.35">
      <c r="A65" s="5" t="s">
        <v>872</v>
      </c>
      <c r="B65" s="6" t="s">
        <v>626</v>
      </c>
      <c r="C65" s="7" t="s">
        <v>872</v>
      </c>
    </row>
    <row r="66" spans="1:3" x14ac:dyDescent="0.35">
      <c r="A66" s="5" t="s">
        <v>873</v>
      </c>
      <c r="B66" s="6" t="s">
        <v>823</v>
      </c>
      <c r="C66" s="7" t="s">
        <v>873</v>
      </c>
    </row>
    <row r="67" spans="1:3" x14ac:dyDescent="0.35">
      <c r="A67" s="5" t="s">
        <v>874</v>
      </c>
      <c r="B67" s="6" t="s">
        <v>824</v>
      </c>
      <c r="C67" s="7" t="s">
        <v>874</v>
      </c>
    </row>
    <row r="68" spans="1:3" x14ac:dyDescent="0.35">
      <c r="A68" s="5" t="s">
        <v>652</v>
      </c>
      <c r="B68" s="6" t="s">
        <v>825</v>
      </c>
      <c r="C68" s="7" t="s">
        <v>652</v>
      </c>
    </row>
    <row r="69" spans="1:3" x14ac:dyDescent="0.35">
      <c r="A69" s="5" t="s">
        <v>875</v>
      </c>
      <c r="B69" s="6" t="s">
        <v>981</v>
      </c>
      <c r="C69" s="7" t="s">
        <v>875</v>
      </c>
    </row>
    <row r="70" spans="1:3" x14ac:dyDescent="0.35">
      <c r="A70" s="5" t="s">
        <v>876</v>
      </c>
      <c r="B70" s="6" t="s">
        <v>458</v>
      </c>
      <c r="C70" s="7" t="s">
        <v>876</v>
      </c>
    </row>
    <row r="71" spans="1:3" x14ac:dyDescent="0.35">
      <c r="A71" s="5" t="s">
        <v>877</v>
      </c>
      <c r="B71" s="6" t="s">
        <v>459</v>
      </c>
      <c r="C71" s="7" t="s">
        <v>877</v>
      </c>
    </row>
    <row r="72" spans="1:3" x14ac:dyDescent="0.35">
      <c r="A72" s="5" t="s">
        <v>878</v>
      </c>
      <c r="B72" s="6" t="s">
        <v>460</v>
      </c>
      <c r="C72" s="7" t="s">
        <v>878</v>
      </c>
    </row>
    <row r="73" spans="1:3" x14ac:dyDescent="0.35">
      <c r="A73" s="5" t="s">
        <v>879</v>
      </c>
      <c r="B73" s="6" t="s">
        <v>340</v>
      </c>
      <c r="C73" s="7" t="s">
        <v>879</v>
      </c>
    </row>
    <row r="74" spans="1:3" x14ac:dyDescent="0.35">
      <c r="A74" s="5" t="s">
        <v>657</v>
      </c>
      <c r="B74" s="6" t="s">
        <v>341</v>
      </c>
      <c r="C74" s="7" t="s">
        <v>657</v>
      </c>
    </row>
    <row r="75" spans="1:3" x14ac:dyDescent="0.35">
      <c r="A75" s="5" t="s">
        <v>658</v>
      </c>
      <c r="B75" s="6" t="s">
        <v>342</v>
      </c>
      <c r="C75" s="7" t="s">
        <v>658</v>
      </c>
    </row>
    <row r="76" spans="1:3" x14ac:dyDescent="0.35">
      <c r="A76" s="5" t="s">
        <v>660</v>
      </c>
      <c r="B76" s="6" t="s">
        <v>343</v>
      </c>
      <c r="C76" s="7" t="s">
        <v>660</v>
      </c>
    </row>
    <row r="77" spans="1:3" x14ac:dyDescent="0.35">
      <c r="A77" s="5" t="s">
        <v>661</v>
      </c>
      <c r="B77" s="6" t="s">
        <v>344</v>
      </c>
      <c r="C77" s="7" t="s">
        <v>661</v>
      </c>
    </row>
    <row r="78" spans="1:3" x14ac:dyDescent="0.35">
      <c r="A78" s="5" t="s">
        <v>662</v>
      </c>
      <c r="B78" s="6" t="s">
        <v>345</v>
      </c>
      <c r="C78" s="7" t="s">
        <v>662</v>
      </c>
    </row>
    <row r="79" spans="1:3" x14ac:dyDescent="0.35">
      <c r="A79" s="5" t="s">
        <v>665</v>
      </c>
      <c r="B79" s="6" t="s">
        <v>346</v>
      </c>
      <c r="C79" s="7" t="s">
        <v>665</v>
      </c>
    </row>
    <row r="80" spans="1:3" x14ac:dyDescent="0.35">
      <c r="A80" s="5" t="s">
        <v>667</v>
      </c>
      <c r="B80" s="6" t="s">
        <v>793</v>
      </c>
      <c r="C80" s="7" t="s">
        <v>667</v>
      </c>
    </row>
    <row r="81" spans="1:3" x14ac:dyDescent="0.35">
      <c r="A81" s="5" t="s">
        <v>668</v>
      </c>
      <c r="B81" s="6" t="s">
        <v>794</v>
      </c>
      <c r="C81" s="7" t="s">
        <v>668</v>
      </c>
    </row>
    <row r="82" spans="1:3" x14ac:dyDescent="0.35">
      <c r="A82" s="5" t="s">
        <v>669</v>
      </c>
      <c r="B82" s="6" t="s">
        <v>795</v>
      </c>
      <c r="C82" s="7" t="s">
        <v>669</v>
      </c>
    </row>
    <row r="83" spans="1:3" x14ac:dyDescent="0.35">
      <c r="A83" s="5" t="s">
        <v>880</v>
      </c>
      <c r="B83" s="6" t="s">
        <v>796</v>
      </c>
      <c r="C83" s="7" t="s">
        <v>880</v>
      </c>
    </row>
    <row r="84" spans="1:3" x14ac:dyDescent="0.35">
      <c r="A84" s="5" t="s">
        <v>881</v>
      </c>
      <c r="B84" s="6" t="s">
        <v>797</v>
      </c>
      <c r="C84" s="7" t="s">
        <v>881</v>
      </c>
    </row>
    <row r="85" spans="1:3" x14ac:dyDescent="0.35">
      <c r="A85" s="5" t="s">
        <v>882</v>
      </c>
      <c r="B85" s="6" t="s">
        <v>798</v>
      </c>
      <c r="C85" s="7" t="s">
        <v>882</v>
      </c>
    </row>
    <row r="86" spans="1:3" x14ac:dyDescent="0.35">
      <c r="A86" s="5" t="s">
        <v>883</v>
      </c>
      <c r="B86" s="6" t="s">
        <v>799</v>
      </c>
      <c r="C86" s="7" t="s">
        <v>883</v>
      </c>
    </row>
    <row r="87" spans="1:3" x14ac:dyDescent="0.35">
      <c r="A87" s="5" t="s">
        <v>884</v>
      </c>
      <c r="B87" s="6" t="s">
        <v>800</v>
      </c>
      <c r="C87" s="7" t="s">
        <v>884</v>
      </c>
    </row>
    <row r="88" spans="1:3" x14ac:dyDescent="0.35">
      <c r="A88" s="5" t="s">
        <v>885</v>
      </c>
      <c r="B88" s="6" t="s">
        <v>418</v>
      </c>
      <c r="C88" s="7" t="s">
        <v>885</v>
      </c>
    </row>
    <row r="89" spans="1:3" x14ac:dyDescent="0.35">
      <c r="A89" s="5" t="s">
        <v>524</v>
      </c>
      <c r="B89" s="6" t="s">
        <v>419</v>
      </c>
      <c r="C89" s="7" t="s">
        <v>524</v>
      </c>
    </row>
    <row r="90" spans="1:3" x14ac:dyDescent="0.35">
      <c r="A90" s="5" t="s">
        <v>525</v>
      </c>
      <c r="B90" s="6" t="s">
        <v>420</v>
      </c>
      <c r="C90" s="7" t="s">
        <v>525</v>
      </c>
    </row>
    <row r="91" spans="1:3" x14ac:dyDescent="0.35">
      <c r="A91" s="5" t="s">
        <v>526</v>
      </c>
      <c r="B91" s="6" t="s">
        <v>421</v>
      </c>
      <c r="C91" s="7" t="s">
        <v>526</v>
      </c>
    </row>
    <row r="92" spans="1:3" x14ac:dyDescent="0.35">
      <c r="A92" s="5" t="s">
        <v>527</v>
      </c>
      <c r="B92" s="6" t="s">
        <v>422</v>
      </c>
      <c r="C92" s="7" t="s">
        <v>527</v>
      </c>
    </row>
    <row r="93" spans="1:3" x14ac:dyDescent="0.35">
      <c r="A93" s="5" t="s">
        <v>886</v>
      </c>
      <c r="B93" s="6" t="s">
        <v>423</v>
      </c>
      <c r="C93" s="7" t="s">
        <v>886</v>
      </c>
    </row>
    <row r="94" spans="1:3" x14ac:dyDescent="0.35">
      <c r="A94" s="5" t="s">
        <v>676</v>
      </c>
      <c r="B94" s="6" t="s">
        <v>378</v>
      </c>
      <c r="C94" s="7" t="s">
        <v>676</v>
      </c>
    </row>
    <row r="95" spans="1:3" x14ac:dyDescent="0.35">
      <c r="A95" s="5" t="s">
        <v>677</v>
      </c>
      <c r="B95" s="6" t="s">
        <v>369</v>
      </c>
      <c r="C95" s="7" t="s">
        <v>677</v>
      </c>
    </row>
    <row r="96" spans="1:3" x14ac:dyDescent="0.35">
      <c r="A96" s="5" t="s">
        <v>887</v>
      </c>
      <c r="B96" s="6" t="s">
        <v>426</v>
      </c>
      <c r="C96" s="7" t="s">
        <v>887</v>
      </c>
    </row>
    <row r="97" spans="1:3" x14ac:dyDescent="0.35">
      <c r="A97" s="5" t="s">
        <v>888</v>
      </c>
      <c r="B97" s="6" t="s">
        <v>427</v>
      </c>
      <c r="C97" s="7" t="s">
        <v>888</v>
      </c>
    </row>
    <row r="98" spans="1:3" x14ac:dyDescent="0.35">
      <c r="A98" s="5" t="s">
        <v>889</v>
      </c>
      <c r="B98" s="6" t="s">
        <v>428</v>
      </c>
      <c r="C98" s="7" t="s">
        <v>889</v>
      </c>
    </row>
    <row r="99" spans="1:3" x14ac:dyDescent="0.35">
      <c r="A99" s="5" t="s">
        <v>890</v>
      </c>
      <c r="B99" s="6" t="s">
        <v>620</v>
      </c>
      <c r="C99" s="7" t="s">
        <v>890</v>
      </c>
    </row>
    <row r="100" spans="1:3" x14ac:dyDescent="0.35">
      <c r="A100" s="5" t="s">
        <v>891</v>
      </c>
      <c r="B100" s="6" t="s">
        <v>621</v>
      </c>
      <c r="C100" s="7" t="s">
        <v>891</v>
      </c>
    </row>
    <row r="101" spans="1:3" x14ac:dyDescent="0.35">
      <c r="A101" s="5" t="s">
        <v>892</v>
      </c>
      <c r="B101" s="6" t="s">
        <v>622</v>
      </c>
      <c r="C101" s="7" t="s">
        <v>892</v>
      </c>
    </row>
    <row r="102" spans="1:3" x14ac:dyDescent="0.35">
      <c r="A102" s="5" t="s">
        <v>146</v>
      </c>
      <c r="B102" s="6" t="s">
        <v>429</v>
      </c>
      <c r="C102" s="7" t="s">
        <v>146</v>
      </c>
    </row>
    <row r="103" spans="1:3" x14ac:dyDescent="0.35">
      <c r="A103" s="5" t="s">
        <v>685</v>
      </c>
      <c r="B103" s="6" t="s">
        <v>430</v>
      </c>
      <c r="C103" s="7" t="s">
        <v>685</v>
      </c>
    </row>
    <row r="104" spans="1:3" x14ac:dyDescent="0.35">
      <c r="A104" s="5" t="s">
        <v>893</v>
      </c>
      <c r="B104" s="6" t="s">
        <v>431</v>
      </c>
      <c r="C104" s="7" t="s">
        <v>893</v>
      </c>
    </row>
    <row r="105" spans="1:3" x14ac:dyDescent="0.35">
      <c r="A105" s="5" t="s">
        <v>686</v>
      </c>
      <c r="B105" s="6" t="s">
        <v>432</v>
      </c>
      <c r="C105" s="7" t="s">
        <v>686</v>
      </c>
    </row>
    <row r="106" spans="1:3" x14ac:dyDescent="0.35">
      <c r="A106" s="5" t="s">
        <v>95</v>
      </c>
      <c r="B106" s="6" t="s">
        <v>433</v>
      </c>
      <c r="C106" s="7" t="s">
        <v>95</v>
      </c>
    </row>
    <row r="107" spans="1:3" x14ac:dyDescent="0.35">
      <c r="A107" s="5" t="s">
        <v>687</v>
      </c>
      <c r="B107" s="6" t="s">
        <v>434</v>
      </c>
      <c r="C107" s="7" t="s">
        <v>687</v>
      </c>
    </row>
    <row r="108" spans="1:3" x14ac:dyDescent="0.35">
      <c r="A108" s="5" t="s">
        <v>688</v>
      </c>
      <c r="B108" s="6" t="s">
        <v>435</v>
      </c>
      <c r="C108" s="7" t="s">
        <v>688</v>
      </c>
    </row>
    <row r="109" spans="1:3" x14ac:dyDescent="0.35">
      <c r="A109" s="5" t="s">
        <v>894</v>
      </c>
      <c r="B109" s="6" t="s">
        <v>982</v>
      </c>
      <c r="C109" s="7" t="s">
        <v>894</v>
      </c>
    </row>
    <row r="110" spans="1:3" x14ac:dyDescent="0.35">
      <c r="A110" s="5" t="s">
        <v>895</v>
      </c>
      <c r="B110" s="6" t="s">
        <v>436</v>
      </c>
      <c r="C110" s="7" t="s">
        <v>895</v>
      </c>
    </row>
    <row r="111" spans="1:3" x14ac:dyDescent="0.35">
      <c r="A111" s="5" t="s">
        <v>896</v>
      </c>
      <c r="B111" s="6" t="s">
        <v>437</v>
      </c>
      <c r="C111" s="7" t="s">
        <v>896</v>
      </c>
    </row>
    <row r="112" spans="1:3" x14ac:dyDescent="0.35">
      <c r="A112" s="5" t="s">
        <v>897</v>
      </c>
      <c r="B112" s="6" t="s">
        <v>438</v>
      </c>
      <c r="C112" s="7" t="s">
        <v>897</v>
      </c>
    </row>
    <row r="113" spans="1:3" x14ac:dyDescent="0.35">
      <c r="A113" s="5" t="s">
        <v>898</v>
      </c>
      <c r="B113" s="6" t="s">
        <v>439</v>
      </c>
      <c r="C113" s="7" t="s">
        <v>898</v>
      </c>
    </row>
    <row r="114" spans="1:3" x14ac:dyDescent="0.35">
      <c r="A114" s="5" t="s">
        <v>899</v>
      </c>
      <c r="B114" s="6" t="s">
        <v>440</v>
      </c>
      <c r="C114" s="7" t="s">
        <v>899</v>
      </c>
    </row>
    <row r="115" spans="1:3" x14ac:dyDescent="0.35">
      <c r="A115" s="5" t="s">
        <v>900</v>
      </c>
      <c r="B115" s="6" t="s">
        <v>441</v>
      </c>
      <c r="C115" s="7" t="s">
        <v>900</v>
      </c>
    </row>
    <row r="116" spans="1:3" x14ac:dyDescent="0.35">
      <c r="A116" s="5" t="s">
        <v>901</v>
      </c>
      <c r="B116" s="6" t="s">
        <v>442</v>
      </c>
      <c r="C116" s="7" t="s">
        <v>901</v>
      </c>
    </row>
    <row r="117" spans="1:3" x14ac:dyDescent="0.35">
      <c r="A117" s="5" t="s">
        <v>902</v>
      </c>
      <c r="B117" s="6" t="s">
        <v>443</v>
      </c>
      <c r="C117" s="7" t="s">
        <v>902</v>
      </c>
    </row>
    <row r="118" spans="1:3" x14ac:dyDescent="0.35">
      <c r="A118" s="5" t="s">
        <v>903</v>
      </c>
      <c r="B118" s="6" t="s">
        <v>444</v>
      </c>
      <c r="C118" s="7" t="s">
        <v>903</v>
      </c>
    </row>
    <row r="119" spans="1:3" x14ac:dyDescent="0.35">
      <c r="A119" s="5" t="s">
        <v>904</v>
      </c>
      <c r="B119" s="6" t="s">
        <v>445</v>
      </c>
      <c r="C119" s="7" t="s">
        <v>904</v>
      </c>
    </row>
    <row r="120" spans="1:3" x14ac:dyDescent="0.35">
      <c r="A120" s="5" t="s">
        <v>905</v>
      </c>
      <c r="B120" s="6" t="s">
        <v>446</v>
      </c>
      <c r="C120" s="7" t="s">
        <v>905</v>
      </c>
    </row>
    <row r="121" spans="1:3" x14ac:dyDescent="0.35">
      <c r="A121" s="5" t="s">
        <v>903</v>
      </c>
      <c r="B121" s="6" t="s">
        <v>444</v>
      </c>
      <c r="C121" s="7" t="s">
        <v>903</v>
      </c>
    </row>
    <row r="122" spans="1:3" x14ac:dyDescent="0.35">
      <c r="A122" s="5" t="s">
        <v>906</v>
      </c>
      <c r="B122" s="6" t="s">
        <v>448</v>
      </c>
      <c r="C122" s="7" t="s">
        <v>906</v>
      </c>
    </row>
    <row r="123" spans="1:3" x14ac:dyDescent="0.35">
      <c r="A123" s="5" t="s">
        <v>907</v>
      </c>
      <c r="B123" s="6" t="s">
        <v>449</v>
      </c>
      <c r="C123" s="7" t="s">
        <v>907</v>
      </c>
    </row>
    <row r="124" spans="1:3" x14ac:dyDescent="0.35">
      <c r="A124" s="5" t="s">
        <v>908</v>
      </c>
      <c r="B124" s="6" t="s">
        <v>450</v>
      </c>
      <c r="C124" s="7" t="s">
        <v>908</v>
      </c>
    </row>
    <row r="125" spans="1:3" x14ac:dyDescent="0.35">
      <c r="A125" s="5" t="s">
        <v>698</v>
      </c>
      <c r="B125" s="6" t="s">
        <v>358</v>
      </c>
      <c r="C125" s="7" t="s">
        <v>698</v>
      </c>
    </row>
    <row r="126" spans="1:3" x14ac:dyDescent="0.35">
      <c r="A126" s="5" t="s">
        <v>699</v>
      </c>
      <c r="B126" s="6" t="s">
        <v>359</v>
      </c>
      <c r="C126" s="7" t="s">
        <v>699</v>
      </c>
    </row>
    <row r="127" spans="1:3" x14ac:dyDescent="0.35">
      <c r="A127" s="5" t="s">
        <v>909</v>
      </c>
      <c r="B127" s="6" t="s">
        <v>360</v>
      </c>
      <c r="C127" s="7" t="s">
        <v>909</v>
      </c>
    </row>
    <row r="128" spans="1:3" x14ac:dyDescent="0.35">
      <c r="A128" s="5" t="s">
        <v>910</v>
      </c>
      <c r="B128" s="6" t="s">
        <v>361</v>
      </c>
      <c r="C128" s="7" t="s">
        <v>910</v>
      </c>
    </row>
    <row r="129" spans="1:3" x14ac:dyDescent="0.35">
      <c r="A129" s="5" t="s">
        <v>911</v>
      </c>
      <c r="B129" s="6" t="s">
        <v>362</v>
      </c>
      <c r="C129" s="7" t="s">
        <v>911</v>
      </c>
    </row>
    <row r="130" spans="1:3" x14ac:dyDescent="0.35">
      <c r="A130" s="5" t="s">
        <v>912</v>
      </c>
      <c r="B130" s="6" t="s">
        <v>363</v>
      </c>
      <c r="C130" s="7" t="s">
        <v>912</v>
      </c>
    </row>
    <row r="131" spans="1:3" x14ac:dyDescent="0.35">
      <c r="A131" s="5" t="s">
        <v>913</v>
      </c>
      <c r="B131" s="6" t="s">
        <v>364</v>
      </c>
      <c r="C131" s="7" t="s">
        <v>913</v>
      </c>
    </row>
    <row r="132" spans="1:3" x14ac:dyDescent="0.35">
      <c r="A132" s="5" t="s">
        <v>914</v>
      </c>
      <c r="B132" s="6" t="s">
        <v>365</v>
      </c>
      <c r="C132" s="7" t="s">
        <v>914</v>
      </c>
    </row>
    <row r="133" spans="1:3" x14ac:dyDescent="0.35">
      <c r="A133" s="5" t="s">
        <v>915</v>
      </c>
      <c r="B133" s="6" t="s">
        <v>366</v>
      </c>
      <c r="C133" s="7" t="s">
        <v>915</v>
      </c>
    </row>
    <row r="134" spans="1:3" x14ac:dyDescent="0.35">
      <c r="A134" s="5" t="s">
        <v>916</v>
      </c>
      <c r="B134" s="6" t="s">
        <v>367</v>
      </c>
      <c r="C134" s="7" t="s">
        <v>916</v>
      </c>
    </row>
    <row r="135" spans="1:3" x14ac:dyDescent="0.35">
      <c r="A135" s="5" t="s">
        <v>917</v>
      </c>
      <c r="B135" s="6" t="s">
        <v>368</v>
      </c>
      <c r="C135" s="7" t="s">
        <v>917</v>
      </c>
    </row>
    <row r="136" spans="1:3" x14ac:dyDescent="0.35">
      <c r="A136" s="5" t="s">
        <v>677</v>
      </c>
      <c r="B136" s="6" t="s">
        <v>369</v>
      </c>
      <c r="C136" s="7" t="s">
        <v>677</v>
      </c>
    </row>
    <row r="137" spans="1:3" x14ac:dyDescent="0.35">
      <c r="A137" s="5" t="s">
        <v>918</v>
      </c>
      <c r="B137" s="6" t="s">
        <v>370</v>
      </c>
      <c r="C137" s="7" t="s">
        <v>918</v>
      </c>
    </row>
    <row r="138" spans="1:3" x14ac:dyDescent="0.35">
      <c r="A138" s="5" t="s">
        <v>919</v>
      </c>
      <c r="B138" s="6" t="s">
        <v>371</v>
      </c>
      <c r="C138" s="7" t="s">
        <v>919</v>
      </c>
    </row>
    <row r="139" spans="1:3" x14ac:dyDescent="0.35">
      <c r="A139" s="5" t="s">
        <v>920</v>
      </c>
      <c r="B139" s="6" t="s">
        <v>372</v>
      </c>
      <c r="C139" s="7" t="s">
        <v>920</v>
      </c>
    </row>
    <row r="140" spans="1:3" x14ac:dyDescent="0.35">
      <c r="A140" s="5" t="s">
        <v>921</v>
      </c>
      <c r="B140" s="6" t="s">
        <v>373</v>
      </c>
      <c r="C140" s="7" t="s">
        <v>921</v>
      </c>
    </row>
    <row r="141" spans="1:3" x14ac:dyDescent="0.35">
      <c r="A141" s="5" t="s">
        <v>557</v>
      </c>
      <c r="B141" s="6" t="s">
        <v>374</v>
      </c>
      <c r="C141" s="7" t="s">
        <v>557</v>
      </c>
    </row>
    <row r="142" spans="1:3" x14ac:dyDescent="0.35">
      <c r="A142" s="5" t="s">
        <v>922</v>
      </c>
      <c r="B142" s="6" t="s">
        <v>375</v>
      </c>
      <c r="C142" s="7" t="s">
        <v>922</v>
      </c>
    </row>
    <row r="143" spans="1:3" x14ac:dyDescent="0.35">
      <c r="A143" s="5" t="s">
        <v>923</v>
      </c>
      <c r="B143" s="6" t="s">
        <v>376</v>
      </c>
      <c r="C143" s="7" t="s">
        <v>923</v>
      </c>
    </row>
    <row r="144" spans="1:3" x14ac:dyDescent="0.35">
      <c r="A144" s="5" t="s">
        <v>924</v>
      </c>
      <c r="B144" s="6" t="s">
        <v>377</v>
      </c>
      <c r="C144" s="7" t="s">
        <v>924</v>
      </c>
    </row>
    <row r="145" spans="1:3" x14ac:dyDescent="0.35">
      <c r="A145" s="5" t="s">
        <v>676</v>
      </c>
      <c r="B145" s="6" t="s">
        <v>378</v>
      </c>
      <c r="C145" s="7" t="s">
        <v>676</v>
      </c>
    </row>
    <row r="146" spans="1:3" x14ac:dyDescent="0.35">
      <c r="A146" s="5" t="s">
        <v>921</v>
      </c>
      <c r="B146" s="6" t="s">
        <v>373</v>
      </c>
      <c r="C146" s="7" t="s">
        <v>921</v>
      </c>
    </row>
    <row r="147" spans="1:3" x14ac:dyDescent="0.35">
      <c r="A147" s="5" t="s">
        <v>557</v>
      </c>
      <c r="B147" s="6" t="s">
        <v>374</v>
      </c>
      <c r="C147" s="7" t="s">
        <v>557</v>
      </c>
    </row>
    <row r="148" spans="1:3" x14ac:dyDescent="0.35">
      <c r="A148" s="5" t="s">
        <v>922</v>
      </c>
      <c r="B148" s="6" t="s">
        <v>375</v>
      </c>
      <c r="C148" s="7" t="s">
        <v>922</v>
      </c>
    </row>
    <row r="149" spans="1:3" x14ac:dyDescent="0.35">
      <c r="A149" s="5" t="s">
        <v>923</v>
      </c>
      <c r="B149" s="6" t="s">
        <v>376</v>
      </c>
      <c r="C149" s="7" t="s">
        <v>923</v>
      </c>
    </row>
    <row r="150" spans="1:3" x14ac:dyDescent="0.35">
      <c r="A150" s="5" t="s">
        <v>924</v>
      </c>
      <c r="B150" s="6" t="s">
        <v>377</v>
      </c>
      <c r="C150" s="7" t="s">
        <v>924</v>
      </c>
    </row>
    <row r="151" spans="1:3" x14ac:dyDescent="0.35">
      <c r="A151" s="5" t="s">
        <v>676</v>
      </c>
      <c r="B151" s="6" t="s">
        <v>378</v>
      </c>
      <c r="C151" s="7" t="s">
        <v>676</v>
      </c>
    </row>
    <row r="152" spans="1:3" x14ac:dyDescent="0.35">
      <c r="A152" s="5" t="s">
        <v>925</v>
      </c>
      <c r="B152" s="6" t="s">
        <v>385</v>
      </c>
      <c r="C152" s="7" t="s">
        <v>925</v>
      </c>
    </row>
    <row r="153" spans="1:3" x14ac:dyDescent="0.35">
      <c r="A153" s="5" t="s">
        <v>926</v>
      </c>
      <c r="B153" s="6" t="s">
        <v>386</v>
      </c>
      <c r="C153" s="7" t="s">
        <v>926</v>
      </c>
    </row>
    <row r="154" spans="1:3" x14ac:dyDescent="0.35">
      <c r="A154" s="5" t="s">
        <v>927</v>
      </c>
      <c r="B154" s="6" t="s">
        <v>387</v>
      </c>
      <c r="C154" s="7" t="s">
        <v>927</v>
      </c>
    </row>
    <row r="155" spans="1:3" x14ac:dyDescent="0.35">
      <c r="A155" s="5" t="s">
        <v>708</v>
      </c>
      <c r="B155" s="6" t="s">
        <v>388</v>
      </c>
      <c r="C155" s="7" t="s">
        <v>708</v>
      </c>
    </row>
    <row r="156" spans="1:3" x14ac:dyDescent="0.35">
      <c r="A156" s="5" t="s">
        <v>928</v>
      </c>
      <c r="B156" s="6" t="s">
        <v>389</v>
      </c>
      <c r="C156" s="7" t="s">
        <v>928</v>
      </c>
    </row>
    <row r="157" spans="1:3" x14ac:dyDescent="0.35">
      <c r="A157" s="5" t="s">
        <v>929</v>
      </c>
      <c r="B157" s="6" t="s">
        <v>390</v>
      </c>
      <c r="C157" s="7" t="s">
        <v>929</v>
      </c>
    </row>
    <row r="158" spans="1:3" x14ac:dyDescent="0.35">
      <c r="A158" s="5" t="s">
        <v>930</v>
      </c>
      <c r="B158" s="6" t="s">
        <v>975</v>
      </c>
      <c r="C158" s="7" t="s">
        <v>930</v>
      </c>
    </row>
    <row r="159" spans="1:3" x14ac:dyDescent="0.35">
      <c r="A159" s="5" t="s">
        <v>931</v>
      </c>
      <c r="B159" s="6" t="s">
        <v>391</v>
      </c>
      <c r="C159" s="7" t="s">
        <v>931</v>
      </c>
    </row>
    <row r="160" spans="1:3" x14ac:dyDescent="0.35">
      <c r="A160" s="5" t="s">
        <v>932</v>
      </c>
      <c r="B160" s="6" t="s">
        <v>964</v>
      </c>
      <c r="C160" s="7" t="s">
        <v>932</v>
      </c>
    </row>
    <row r="161" spans="1:3" ht="15" thickBot="1" x14ac:dyDescent="0.4">
      <c r="A161" s="8" t="s">
        <v>933</v>
      </c>
      <c r="B161" t="s">
        <v>601</v>
      </c>
      <c r="C161" s="9" t="s">
        <v>933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7BB5-087B-424F-AF44-BCE5773FD7A6}">
  <dimension ref="A1:D161"/>
  <sheetViews>
    <sheetView topLeftCell="A76" workbookViewId="0">
      <selection activeCell="A84" sqref="A84"/>
    </sheetView>
  </sheetViews>
  <sheetFormatPr baseColWidth="10" defaultRowHeight="14.5" x14ac:dyDescent="0.35"/>
  <cols>
    <col min="2" max="2" width="37.54296875" customWidth="1"/>
    <col min="3" max="3" width="71.26953125" customWidth="1"/>
  </cols>
  <sheetData>
    <row r="1" spans="1:4" x14ac:dyDescent="0.35">
      <c r="A1" t="s">
        <v>254</v>
      </c>
      <c r="B1" t="s">
        <v>934</v>
      </c>
      <c r="C1" t="s">
        <v>573</v>
      </c>
    </row>
    <row r="2" spans="1:4" x14ac:dyDescent="0.35">
      <c r="A2" t="s">
        <v>329</v>
      </c>
      <c r="B2" t="s">
        <v>0</v>
      </c>
      <c r="C2" t="s">
        <v>723</v>
      </c>
      <c r="D2" t="s">
        <v>329</v>
      </c>
    </row>
    <row r="3" spans="1:4" x14ac:dyDescent="0.35">
      <c r="A3" t="s">
        <v>330</v>
      </c>
      <c r="B3" t="s">
        <v>0</v>
      </c>
      <c r="C3" t="s">
        <v>724</v>
      </c>
      <c r="D3" t="s">
        <v>330</v>
      </c>
    </row>
    <row r="4" spans="1:4" x14ac:dyDescent="0.35">
      <c r="A4" t="s">
        <v>331</v>
      </c>
      <c r="B4" t="s">
        <v>0</v>
      </c>
      <c r="C4" t="s">
        <v>829</v>
      </c>
      <c r="D4" t="s">
        <v>331</v>
      </c>
    </row>
    <row r="5" spans="1:4" x14ac:dyDescent="0.35">
      <c r="A5" t="s">
        <v>332</v>
      </c>
      <c r="B5" t="s">
        <v>0</v>
      </c>
      <c r="C5" t="s">
        <v>725</v>
      </c>
      <c r="D5" t="s">
        <v>332</v>
      </c>
    </row>
    <row r="6" spans="1:4" x14ac:dyDescent="0.35">
      <c r="A6" t="s">
        <v>333</v>
      </c>
      <c r="B6" t="s">
        <v>0</v>
      </c>
      <c r="C6" t="s">
        <v>830</v>
      </c>
      <c r="D6" t="s">
        <v>333</v>
      </c>
    </row>
    <row r="7" spans="1:4" x14ac:dyDescent="0.35">
      <c r="A7" t="s">
        <v>334</v>
      </c>
      <c r="B7" t="s">
        <v>0</v>
      </c>
      <c r="C7" t="s">
        <v>727</v>
      </c>
      <c r="D7" t="s">
        <v>334</v>
      </c>
    </row>
    <row r="8" spans="1:4" x14ac:dyDescent="0.35">
      <c r="A8" t="s">
        <v>335</v>
      </c>
      <c r="B8" t="s">
        <v>0</v>
      </c>
      <c r="C8" t="s">
        <v>831</v>
      </c>
      <c r="D8" t="s">
        <v>335</v>
      </c>
    </row>
    <row r="9" spans="1:4" x14ac:dyDescent="0.35">
      <c r="A9" t="s">
        <v>336</v>
      </c>
      <c r="B9" t="s">
        <v>0</v>
      </c>
      <c r="C9" t="s">
        <v>729</v>
      </c>
      <c r="D9" t="s">
        <v>336</v>
      </c>
    </row>
    <row r="10" spans="1:4" x14ac:dyDescent="0.35">
      <c r="A10" t="s">
        <v>337</v>
      </c>
      <c r="B10" t="s">
        <v>0</v>
      </c>
      <c r="C10" t="s">
        <v>960</v>
      </c>
      <c r="D10" t="s">
        <v>337</v>
      </c>
    </row>
    <row r="11" spans="1:4" x14ac:dyDescent="0.35">
      <c r="A11" t="s">
        <v>338</v>
      </c>
      <c r="B11" t="s">
        <v>0</v>
      </c>
      <c r="C11" t="s">
        <v>833</v>
      </c>
      <c r="D11" t="s">
        <v>338</v>
      </c>
    </row>
    <row r="12" spans="1:4" x14ac:dyDescent="0.35">
      <c r="A12" t="s">
        <v>339</v>
      </c>
      <c r="B12" t="s">
        <v>0</v>
      </c>
      <c r="C12" t="s">
        <v>834</v>
      </c>
      <c r="D12" t="s">
        <v>339</v>
      </c>
    </row>
    <row r="13" spans="1:4" x14ac:dyDescent="0.35">
      <c r="A13" t="s">
        <v>788</v>
      </c>
      <c r="B13" t="s">
        <v>0</v>
      </c>
      <c r="C13" t="s">
        <v>835</v>
      </c>
      <c r="D13" t="s">
        <v>788</v>
      </c>
    </row>
    <row r="14" spans="1:4" x14ac:dyDescent="0.35">
      <c r="A14" t="s">
        <v>789</v>
      </c>
      <c r="B14" t="s">
        <v>0</v>
      </c>
      <c r="C14" t="s">
        <v>836</v>
      </c>
      <c r="D14" t="s">
        <v>789</v>
      </c>
    </row>
    <row r="15" spans="1:4" x14ac:dyDescent="0.35">
      <c r="A15" t="s">
        <v>790</v>
      </c>
      <c r="B15" t="s">
        <v>0</v>
      </c>
      <c r="C15" t="s">
        <v>839</v>
      </c>
      <c r="D15" t="s">
        <v>790</v>
      </c>
    </row>
    <row r="16" spans="1:4" x14ac:dyDescent="0.35">
      <c r="A16" t="s">
        <v>791</v>
      </c>
      <c r="B16" t="s">
        <v>0</v>
      </c>
      <c r="C16" t="s">
        <v>841</v>
      </c>
      <c r="D16" t="s">
        <v>791</v>
      </c>
    </row>
    <row r="17" spans="1:4" x14ac:dyDescent="0.35">
      <c r="A17" t="s">
        <v>792</v>
      </c>
      <c r="B17" t="s">
        <v>0</v>
      </c>
      <c r="C17" t="s">
        <v>842</v>
      </c>
      <c r="D17" t="s">
        <v>792</v>
      </c>
    </row>
    <row r="18" spans="1:4" x14ac:dyDescent="0.35">
      <c r="A18" t="s">
        <v>340</v>
      </c>
      <c r="B18" t="s">
        <v>318</v>
      </c>
      <c r="C18" t="s">
        <v>879</v>
      </c>
      <c r="D18" t="s">
        <v>340</v>
      </c>
    </row>
    <row r="19" spans="1:4" x14ac:dyDescent="0.35">
      <c r="A19" t="s">
        <v>341</v>
      </c>
      <c r="B19" t="s">
        <v>318</v>
      </c>
      <c r="C19" t="s">
        <v>657</v>
      </c>
      <c r="D19" t="s">
        <v>341</v>
      </c>
    </row>
    <row r="20" spans="1:4" x14ac:dyDescent="0.35">
      <c r="A20" t="s">
        <v>342</v>
      </c>
      <c r="B20" t="s">
        <v>318</v>
      </c>
      <c r="C20" t="s">
        <v>658</v>
      </c>
      <c r="D20" t="s">
        <v>342</v>
      </c>
    </row>
    <row r="21" spans="1:4" x14ac:dyDescent="0.35">
      <c r="A21" t="s">
        <v>343</v>
      </c>
      <c r="B21" t="s">
        <v>318</v>
      </c>
      <c r="C21" t="s">
        <v>660</v>
      </c>
      <c r="D21" t="s">
        <v>343</v>
      </c>
    </row>
    <row r="22" spans="1:4" x14ac:dyDescent="0.35">
      <c r="A22" t="s">
        <v>344</v>
      </c>
      <c r="B22" t="s">
        <v>318</v>
      </c>
      <c r="C22" t="s">
        <v>661</v>
      </c>
      <c r="D22" t="s">
        <v>344</v>
      </c>
    </row>
    <row r="23" spans="1:4" x14ac:dyDescent="0.35">
      <c r="A23" t="s">
        <v>345</v>
      </c>
      <c r="B23" t="s">
        <v>318</v>
      </c>
      <c r="C23" t="s">
        <v>662</v>
      </c>
      <c r="D23" t="s">
        <v>345</v>
      </c>
    </row>
    <row r="24" spans="1:4" x14ac:dyDescent="0.35">
      <c r="A24" t="s">
        <v>346</v>
      </c>
      <c r="B24" t="s">
        <v>318</v>
      </c>
      <c r="C24" t="s">
        <v>665</v>
      </c>
      <c r="D24" t="s">
        <v>346</v>
      </c>
    </row>
    <row r="25" spans="1:4" x14ac:dyDescent="0.35">
      <c r="A25" t="s">
        <v>793</v>
      </c>
      <c r="B25" t="s">
        <v>318</v>
      </c>
      <c r="C25" t="s">
        <v>667</v>
      </c>
      <c r="D25" t="s">
        <v>793</v>
      </c>
    </row>
    <row r="26" spans="1:4" x14ac:dyDescent="0.35">
      <c r="A26" t="s">
        <v>794</v>
      </c>
      <c r="B26" t="s">
        <v>318</v>
      </c>
      <c r="C26" t="s">
        <v>668</v>
      </c>
      <c r="D26" t="s">
        <v>794</v>
      </c>
    </row>
    <row r="27" spans="1:4" x14ac:dyDescent="0.35">
      <c r="A27" t="s">
        <v>795</v>
      </c>
      <c r="B27" t="s">
        <v>318</v>
      </c>
      <c r="C27" t="s">
        <v>669</v>
      </c>
      <c r="D27" t="s">
        <v>795</v>
      </c>
    </row>
    <row r="28" spans="1:4" x14ac:dyDescent="0.35">
      <c r="A28" t="s">
        <v>796</v>
      </c>
      <c r="B28" t="s">
        <v>318</v>
      </c>
      <c r="C28" t="s">
        <v>880</v>
      </c>
      <c r="D28" t="s">
        <v>796</v>
      </c>
    </row>
    <row r="29" spans="1:4" x14ac:dyDescent="0.35">
      <c r="A29" t="s">
        <v>797</v>
      </c>
      <c r="B29" t="s">
        <v>318</v>
      </c>
      <c r="C29" t="s">
        <v>881</v>
      </c>
      <c r="D29" t="s">
        <v>797</v>
      </c>
    </row>
    <row r="30" spans="1:4" x14ac:dyDescent="0.35">
      <c r="A30" t="s">
        <v>798</v>
      </c>
      <c r="B30" t="s">
        <v>318</v>
      </c>
      <c r="C30" t="s">
        <v>882</v>
      </c>
      <c r="D30" t="s">
        <v>798</v>
      </c>
    </row>
    <row r="31" spans="1:4" x14ac:dyDescent="0.35">
      <c r="A31" t="s">
        <v>799</v>
      </c>
      <c r="B31" t="s">
        <v>318</v>
      </c>
      <c r="C31" t="s">
        <v>883</v>
      </c>
      <c r="D31" t="s">
        <v>799</v>
      </c>
    </row>
    <row r="32" spans="1:4" x14ac:dyDescent="0.35">
      <c r="A32" t="s">
        <v>800</v>
      </c>
      <c r="B32" t="s">
        <v>318</v>
      </c>
      <c r="C32" t="s">
        <v>884</v>
      </c>
      <c r="D32" t="s">
        <v>800</v>
      </c>
    </row>
    <row r="33" spans="1:4" x14ac:dyDescent="0.35">
      <c r="A33" t="s">
        <v>347</v>
      </c>
      <c r="B33" t="s">
        <v>325</v>
      </c>
      <c r="C33" t="s">
        <v>838</v>
      </c>
      <c r="D33" t="s">
        <v>347</v>
      </c>
    </row>
    <row r="34" spans="1:4" x14ac:dyDescent="0.35">
      <c r="A34" t="s">
        <v>351</v>
      </c>
      <c r="B34" t="s">
        <v>3</v>
      </c>
      <c r="C34" t="s">
        <v>849</v>
      </c>
      <c r="D34" t="s">
        <v>351</v>
      </c>
    </row>
    <row r="35" spans="1:4" x14ac:dyDescent="0.35">
      <c r="A35" t="s">
        <v>352</v>
      </c>
      <c r="B35" t="s">
        <v>3</v>
      </c>
      <c r="C35" t="s">
        <v>850</v>
      </c>
      <c r="D35" t="s">
        <v>352</v>
      </c>
    </row>
    <row r="36" spans="1:4" x14ac:dyDescent="0.35">
      <c r="A36" t="s">
        <v>353</v>
      </c>
      <c r="B36" t="s">
        <v>3</v>
      </c>
      <c r="C36" t="s">
        <v>851</v>
      </c>
      <c r="D36" t="s">
        <v>353</v>
      </c>
    </row>
    <row r="37" spans="1:4" x14ac:dyDescent="0.35">
      <c r="A37" t="s">
        <v>354</v>
      </c>
      <c r="B37" t="s">
        <v>3</v>
      </c>
      <c r="C37" t="s">
        <v>852</v>
      </c>
      <c r="D37" t="s">
        <v>354</v>
      </c>
    </row>
    <row r="38" spans="1:4" x14ac:dyDescent="0.35">
      <c r="A38" t="s">
        <v>964</v>
      </c>
      <c r="B38" t="s">
        <v>327</v>
      </c>
      <c r="C38" t="s">
        <v>932</v>
      </c>
      <c r="D38" t="s">
        <v>964</v>
      </c>
    </row>
    <row r="39" spans="1:4" x14ac:dyDescent="0.35">
      <c r="A39" t="s">
        <v>965</v>
      </c>
      <c r="B39" t="s">
        <v>1</v>
      </c>
      <c r="C39" t="s">
        <v>843</v>
      </c>
      <c r="D39" t="s">
        <v>965</v>
      </c>
    </row>
    <row r="40" spans="1:4" x14ac:dyDescent="0.35">
      <c r="A40" t="s">
        <v>966</v>
      </c>
      <c r="B40" t="s">
        <v>1</v>
      </c>
      <c r="C40" t="s">
        <v>844</v>
      </c>
      <c r="D40" t="s">
        <v>966</v>
      </c>
    </row>
    <row r="41" spans="1:4" x14ac:dyDescent="0.35">
      <c r="A41" t="s">
        <v>967</v>
      </c>
      <c r="B41" t="s">
        <v>1</v>
      </c>
      <c r="C41" t="s">
        <v>845</v>
      </c>
      <c r="D41" t="s">
        <v>967</v>
      </c>
    </row>
    <row r="42" spans="1:4" x14ac:dyDescent="0.35">
      <c r="A42" t="s">
        <v>968</v>
      </c>
      <c r="B42" t="s">
        <v>1</v>
      </c>
      <c r="C42" t="s">
        <v>482</v>
      </c>
      <c r="D42" t="s">
        <v>968</v>
      </c>
    </row>
    <row r="43" spans="1:4" x14ac:dyDescent="0.35">
      <c r="A43" t="s">
        <v>969</v>
      </c>
      <c r="B43" t="s">
        <v>1</v>
      </c>
      <c r="C43" t="s">
        <v>483</v>
      </c>
      <c r="D43" t="s">
        <v>969</v>
      </c>
    </row>
    <row r="44" spans="1:4" x14ac:dyDescent="0.35">
      <c r="A44" t="s">
        <v>970</v>
      </c>
      <c r="B44" t="s">
        <v>1</v>
      </c>
      <c r="C44" t="s">
        <v>484</v>
      </c>
      <c r="D44" t="s">
        <v>970</v>
      </c>
    </row>
    <row r="45" spans="1:4" x14ac:dyDescent="0.35">
      <c r="A45" t="s">
        <v>971</v>
      </c>
      <c r="B45" t="s">
        <v>1</v>
      </c>
      <c r="C45" t="s">
        <v>485</v>
      </c>
      <c r="D45" t="s">
        <v>971</v>
      </c>
    </row>
    <row r="46" spans="1:4" x14ac:dyDescent="0.35">
      <c r="A46" t="s">
        <v>972</v>
      </c>
      <c r="B46" t="s">
        <v>1</v>
      </c>
      <c r="C46" t="s">
        <v>846</v>
      </c>
      <c r="D46" t="s">
        <v>972</v>
      </c>
    </row>
    <row r="47" spans="1:4" x14ac:dyDescent="0.35">
      <c r="A47" t="s">
        <v>973</v>
      </c>
      <c r="B47" t="s">
        <v>1</v>
      </c>
      <c r="C47" t="s">
        <v>847</v>
      </c>
      <c r="D47" t="s">
        <v>973</v>
      </c>
    </row>
    <row r="48" spans="1:4" x14ac:dyDescent="0.35">
      <c r="A48" t="s">
        <v>974</v>
      </c>
      <c r="B48" t="s">
        <v>1</v>
      </c>
      <c r="C48" t="s">
        <v>848</v>
      </c>
      <c r="D48" t="s">
        <v>974</v>
      </c>
    </row>
    <row r="49" spans="1:4" x14ac:dyDescent="0.35">
      <c r="A49" t="s">
        <v>358</v>
      </c>
      <c r="B49" t="s">
        <v>286</v>
      </c>
      <c r="C49" t="s">
        <v>698</v>
      </c>
      <c r="D49" t="s">
        <v>358</v>
      </c>
    </row>
    <row r="50" spans="1:4" x14ac:dyDescent="0.35">
      <c r="A50" t="s">
        <v>359</v>
      </c>
      <c r="B50" t="s">
        <v>286</v>
      </c>
      <c r="C50" t="s">
        <v>699</v>
      </c>
      <c r="D50" t="s">
        <v>359</v>
      </c>
    </row>
    <row r="51" spans="1:4" x14ac:dyDescent="0.35">
      <c r="A51" t="s">
        <v>360</v>
      </c>
      <c r="B51" t="s">
        <v>286</v>
      </c>
      <c r="C51" t="s">
        <v>909</v>
      </c>
      <c r="D51" t="s">
        <v>360</v>
      </c>
    </row>
    <row r="52" spans="1:4" x14ac:dyDescent="0.35">
      <c r="A52" t="s">
        <v>361</v>
      </c>
      <c r="B52" t="s">
        <v>286</v>
      </c>
      <c r="C52" t="s">
        <v>910</v>
      </c>
      <c r="D52" t="s">
        <v>361</v>
      </c>
    </row>
    <row r="53" spans="1:4" x14ac:dyDescent="0.35">
      <c r="A53" t="s">
        <v>362</v>
      </c>
      <c r="B53" t="s">
        <v>286</v>
      </c>
      <c r="C53" t="s">
        <v>911</v>
      </c>
      <c r="D53" t="s">
        <v>362</v>
      </c>
    </row>
    <row r="54" spans="1:4" x14ac:dyDescent="0.35">
      <c r="A54" t="s">
        <v>363</v>
      </c>
      <c r="B54" t="s">
        <v>286</v>
      </c>
      <c r="C54" t="s">
        <v>912</v>
      </c>
      <c r="D54" t="s">
        <v>363</v>
      </c>
    </row>
    <row r="55" spans="1:4" x14ac:dyDescent="0.35">
      <c r="A55" t="s">
        <v>364</v>
      </c>
      <c r="B55" t="s">
        <v>286</v>
      </c>
      <c r="C55" t="s">
        <v>913</v>
      </c>
      <c r="D55" t="s">
        <v>364</v>
      </c>
    </row>
    <row r="56" spans="1:4" x14ac:dyDescent="0.35">
      <c r="A56" t="s">
        <v>365</v>
      </c>
      <c r="B56" t="s">
        <v>286</v>
      </c>
      <c r="C56" t="s">
        <v>914</v>
      </c>
      <c r="D56" t="s">
        <v>365</v>
      </c>
    </row>
    <row r="57" spans="1:4" x14ac:dyDescent="0.35">
      <c r="A57" t="s">
        <v>366</v>
      </c>
      <c r="B57" t="s">
        <v>286</v>
      </c>
      <c r="C57" t="s">
        <v>915</v>
      </c>
      <c r="D57" t="s">
        <v>366</v>
      </c>
    </row>
    <row r="58" spans="1:4" x14ac:dyDescent="0.35">
      <c r="A58" t="s">
        <v>367</v>
      </c>
      <c r="B58" t="s">
        <v>286</v>
      </c>
      <c r="C58" t="s">
        <v>916</v>
      </c>
      <c r="D58" t="s">
        <v>367</v>
      </c>
    </row>
    <row r="59" spans="1:4" x14ac:dyDescent="0.35">
      <c r="A59" t="s">
        <v>368</v>
      </c>
      <c r="B59" t="s">
        <v>286</v>
      </c>
      <c r="C59" t="s">
        <v>917</v>
      </c>
      <c r="D59" t="s">
        <v>368</v>
      </c>
    </row>
    <row r="60" spans="1:4" x14ac:dyDescent="0.35">
      <c r="A60" t="s">
        <v>369</v>
      </c>
      <c r="B60" t="s">
        <v>286</v>
      </c>
      <c r="C60" t="s">
        <v>677</v>
      </c>
      <c r="D60" t="s">
        <v>369</v>
      </c>
    </row>
    <row r="61" spans="1:4" x14ac:dyDescent="0.35">
      <c r="A61" t="s">
        <v>370</v>
      </c>
      <c r="B61" t="s">
        <v>286</v>
      </c>
      <c r="C61" t="s">
        <v>918</v>
      </c>
      <c r="D61" t="s">
        <v>370</v>
      </c>
    </row>
    <row r="62" spans="1:4" x14ac:dyDescent="0.35">
      <c r="A62" t="s">
        <v>371</v>
      </c>
      <c r="B62" t="s">
        <v>286</v>
      </c>
      <c r="C62" t="s">
        <v>919</v>
      </c>
      <c r="D62" t="s">
        <v>371</v>
      </c>
    </row>
    <row r="63" spans="1:4" x14ac:dyDescent="0.35">
      <c r="A63" t="s">
        <v>372</v>
      </c>
      <c r="B63" t="s">
        <v>286</v>
      </c>
      <c r="C63" t="s">
        <v>920</v>
      </c>
      <c r="D63" t="s">
        <v>372</v>
      </c>
    </row>
    <row r="64" spans="1:4" x14ac:dyDescent="0.35">
      <c r="A64" t="s">
        <v>373</v>
      </c>
      <c r="B64" t="s">
        <v>286</v>
      </c>
      <c r="C64" t="s">
        <v>921</v>
      </c>
      <c r="D64" t="s">
        <v>373</v>
      </c>
    </row>
    <row r="65" spans="1:4" x14ac:dyDescent="0.35">
      <c r="A65" t="s">
        <v>374</v>
      </c>
      <c r="B65" t="s">
        <v>286</v>
      </c>
      <c r="C65" t="s">
        <v>557</v>
      </c>
      <c r="D65" t="s">
        <v>374</v>
      </c>
    </row>
    <row r="66" spans="1:4" x14ac:dyDescent="0.35">
      <c r="A66" t="s">
        <v>375</v>
      </c>
      <c r="B66" t="s">
        <v>286</v>
      </c>
      <c r="C66" t="s">
        <v>922</v>
      </c>
      <c r="D66" t="s">
        <v>375</v>
      </c>
    </row>
    <row r="67" spans="1:4" x14ac:dyDescent="0.35">
      <c r="A67" t="s">
        <v>376</v>
      </c>
      <c r="B67" t="s">
        <v>286</v>
      </c>
      <c r="C67" t="s">
        <v>923</v>
      </c>
      <c r="D67" t="s">
        <v>376</v>
      </c>
    </row>
    <row r="68" spans="1:4" x14ac:dyDescent="0.35">
      <c r="A68" t="s">
        <v>377</v>
      </c>
      <c r="B68" t="s">
        <v>286</v>
      </c>
      <c r="C68" t="s">
        <v>924</v>
      </c>
      <c r="D68" t="s">
        <v>377</v>
      </c>
    </row>
    <row r="69" spans="1:4" x14ac:dyDescent="0.35">
      <c r="A69" t="s">
        <v>378</v>
      </c>
      <c r="B69" t="s">
        <v>286</v>
      </c>
      <c r="C69" t="s">
        <v>676</v>
      </c>
      <c r="D69" t="s">
        <v>378</v>
      </c>
    </row>
    <row r="70" spans="1:4" x14ac:dyDescent="0.35">
      <c r="A70" t="s">
        <v>379</v>
      </c>
      <c r="B70" t="s">
        <v>286</v>
      </c>
      <c r="C70" t="s">
        <v>921</v>
      </c>
      <c r="D70" t="s">
        <v>379</v>
      </c>
    </row>
    <row r="71" spans="1:4" x14ac:dyDescent="0.35">
      <c r="A71" t="s">
        <v>380</v>
      </c>
      <c r="B71" t="s">
        <v>286</v>
      </c>
      <c r="C71" t="s">
        <v>557</v>
      </c>
      <c r="D71" t="s">
        <v>380</v>
      </c>
    </row>
    <row r="72" spans="1:4" x14ac:dyDescent="0.35">
      <c r="A72" t="s">
        <v>381</v>
      </c>
      <c r="B72" t="s">
        <v>286</v>
      </c>
      <c r="C72" t="s">
        <v>922</v>
      </c>
      <c r="D72" t="s">
        <v>381</v>
      </c>
    </row>
    <row r="73" spans="1:4" x14ac:dyDescent="0.35">
      <c r="A73" t="s">
        <v>382</v>
      </c>
      <c r="B73" t="s">
        <v>286</v>
      </c>
      <c r="C73" t="s">
        <v>923</v>
      </c>
      <c r="D73" t="s">
        <v>382</v>
      </c>
    </row>
    <row r="74" spans="1:4" x14ac:dyDescent="0.35">
      <c r="A74" t="s">
        <v>383</v>
      </c>
      <c r="B74" t="s">
        <v>286</v>
      </c>
      <c r="C74" t="s">
        <v>924</v>
      </c>
      <c r="D74" t="s">
        <v>383</v>
      </c>
    </row>
    <row r="75" spans="1:4" x14ac:dyDescent="0.35">
      <c r="A75" t="s">
        <v>384</v>
      </c>
      <c r="B75" t="s">
        <v>286</v>
      </c>
      <c r="C75" t="s">
        <v>676</v>
      </c>
      <c r="D75" t="s">
        <v>384</v>
      </c>
    </row>
    <row r="76" spans="1:4" x14ac:dyDescent="0.35">
      <c r="A76" t="s">
        <v>385</v>
      </c>
      <c r="B76" t="s">
        <v>286</v>
      </c>
      <c r="C76" t="s">
        <v>925</v>
      </c>
      <c r="D76" t="s">
        <v>385</v>
      </c>
    </row>
    <row r="77" spans="1:4" x14ac:dyDescent="0.35">
      <c r="A77" t="s">
        <v>386</v>
      </c>
      <c r="B77" t="s">
        <v>286</v>
      </c>
      <c r="C77" t="s">
        <v>926</v>
      </c>
      <c r="D77" t="s">
        <v>386</v>
      </c>
    </row>
    <row r="78" spans="1:4" x14ac:dyDescent="0.35">
      <c r="A78" t="s">
        <v>387</v>
      </c>
      <c r="B78" t="s">
        <v>286</v>
      </c>
      <c r="C78" t="s">
        <v>927</v>
      </c>
      <c r="D78" t="s">
        <v>387</v>
      </c>
    </row>
    <row r="79" spans="1:4" x14ac:dyDescent="0.35">
      <c r="A79" t="s">
        <v>388</v>
      </c>
      <c r="B79" t="s">
        <v>286</v>
      </c>
      <c r="C79" t="s">
        <v>708</v>
      </c>
      <c r="D79" t="s">
        <v>388</v>
      </c>
    </row>
    <row r="80" spans="1:4" x14ac:dyDescent="0.35">
      <c r="A80" t="s">
        <v>389</v>
      </c>
      <c r="B80" t="s">
        <v>286</v>
      </c>
      <c r="C80" t="s">
        <v>928</v>
      </c>
      <c r="D80" t="s">
        <v>389</v>
      </c>
    </row>
    <row r="81" spans="1:4" x14ac:dyDescent="0.35">
      <c r="A81" t="s">
        <v>390</v>
      </c>
      <c r="B81" t="s">
        <v>286</v>
      </c>
      <c r="C81" t="s">
        <v>929</v>
      </c>
      <c r="D81" t="s">
        <v>390</v>
      </c>
    </row>
    <row r="82" spans="1:4" x14ac:dyDescent="0.35">
      <c r="A82" t="s">
        <v>391</v>
      </c>
      <c r="B82" t="s">
        <v>286</v>
      </c>
      <c r="C82" t="s">
        <v>931</v>
      </c>
      <c r="D82" t="s">
        <v>391</v>
      </c>
    </row>
    <row r="83" spans="1:4" x14ac:dyDescent="0.35">
      <c r="A83" t="s">
        <v>975</v>
      </c>
      <c r="B83" t="s">
        <v>958</v>
      </c>
      <c r="C83" t="s">
        <v>930</v>
      </c>
      <c r="D83" t="s">
        <v>975</v>
      </c>
    </row>
    <row r="84" spans="1:4" x14ac:dyDescent="0.35">
      <c r="A84" t="s">
        <v>409</v>
      </c>
      <c r="B84" t="s">
        <v>4</v>
      </c>
      <c r="C84" t="s">
        <v>853</v>
      </c>
      <c r="D84" t="s">
        <v>409</v>
      </c>
    </row>
    <row r="85" spans="1:4" x14ac:dyDescent="0.35">
      <c r="A85" t="s">
        <v>410</v>
      </c>
      <c r="B85" t="s">
        <v>4</v>
      </c>
      <c r="C85" t="s">
        <v>637</v>
      </c>
      <c r="D85" t="s">
        <v>410</v>
      </c>
    </row>
    <row r="86" spans="1:4" x14ac:dyDescent="0.35">
      <c r="A86" t="s">
        <v>411</v>
      </c>
      <c r="B86" t="s">
        <v>4</v>
      </c>
      <c r="C86" t="s">
        <v>854</v>
      </c>
      <c r="D86" t="s">
        <v>411</v>
      </c>
    </row>
    <row r="87" spans="1:4" x14ac:dyDescent="0.35">
      <c r="A87" t="s">
        <v>412</v>
      </c>
      <c r="B87" t="s">
        <v>4</v>
      </c>
      <c r="C87" t="s">
        <v>492</v>
      </c>
      <c r="D87" t="s">
        <v>412</v>
      </c>
    </row>
    <row r="88" spans="1:4" x14ac:dyDescent="0.35">
      <c r="A88" t="s">
        <v>609</v>
      </c>
      <c r="B88" t="s">
        <v>4</v>
      </c>
      <c r="C88" t="s">
        <v>493</v>
      </c>
      <c r="D88" t="s">
        <v>609</v>
      </c>
    </row>
    <row r="89" spans="1:4" x14ac:dyDescent="0.35">
      <c r="A89" t="s">
        <v>610</v>
      </c>
      <c r="B89" t="s">
        <v>4</v>
      </c>
      <c r="C89" t="s">
        <v>494</v>
      </c>
      <c r="D89" t="s">
        <v>610</v>
      </c>
    </row>
    <row r="90" spans="1:4" x14ac:dyDescent="0.35">
      <c r="A90" t="s">
        <v>611</v>
      </c>
      <c r="B90" t="s">
        <v>4</v>
      </c>
      <c r="C90" t="s">
        <v>855</v>
      </c>
      <c r="D90" t="s">
        <v>611</v>
      </c>
    </row>
    <row r="91" spans="1:4" x14ac:dyDescent="0.35">
      <c r="A91" t="s">
        <v>612</v>
      </c>
      <c r="B91" t="s">
        <v>4</v>
      </c>
      <c r="C91" t="s">
        <v>496</v>
      </c>
      <c r="D91" t="s">
        <v>612</v>
      </c>
    </row>
    <row r="92" spans="1:4" x14ac:dyDescent="0.35">
      <c r="A92" t="s">
        <v>613</v>
      </c>
      <c r="B92" t="s">
        <v>4</v>
      </c>
      <c r="C92" t="s">
        <v>856</v>
      </c>
      <c r="D92" t="s">
        <v>613</v>
      </c>
    </row>
    <row r="93" spans="1:4" x14ac:dyDescent="0.35">
      <c r="A93" t="s">
        <v>614</v>
      </c>
      <c r="B93" t="s">
        <v>4</v>
      </c>
      <c r="C93" t="s">
        <v>857</v>
      </c>
      <c r="D93" t="s">
        <v>614</v>
      </c>
    </row>
    <row r="94" spans="1:4" x14ac:dyDescent="0.35">
      <c r="A94" t="s">
        <v>615</v>
      </c>
      <c r="B94" t="s">
        <v>4</v>
      </c>
      <c r="C94" t="s">
        <v>499</v>
      </c>
      <c r="D94" t="s">
        <v>615</v>
      </c>
    </row>
    <row r="95" spans="1:4" x14ac:dyDescent="0.35">
      <c r="A95" t="s">
        <v>616</v>
      </c>
      <c r="B95" t="s">
        <v>4</v>
      </c>
      <c r="C95" t="s">
        <v>858</v>
      </c>
      <c r="D95" t="s">
        <v>616</v>
      </c>
    </row>
    <row r="96" spans="1:4" x14ac:dyDescent="0.35">
      <c r="A96" t="s">
        <v>617</v>
      </c>
      <c r="B96" t="s">
        <v>4</v>
      </c>
      <c r="C96" t="s">
        <v>859</v>
      </c>
      <c r="D96" t="s">
        <v>617</v>
      </c>
    </row>
    <row r="97" spans="1:4" x14ac:dyDescent="0.35">
      <c r="A97" t="s">
        <v>618</v>
      </c>
      <c r="B97" t="s">
        <v>4</v>
      </c>
      <c r="C97" t="s">
        <v>860</v>
      </c>
      <c r="D97" t="s">
        <v>618</v>
      </c>
    </row>
    <row r="98" spans="1:4" x14ac:dyDescent="0.35">
      <c r="A98" t="s">
        <v>619</v>
      </c>
      <c r="B98" t="s">
        <v>4</v>
      </c>
      <c r="C98" t="s">
        <v>861</v>
      </c>
      <c r="D98" t="s">
        <v>619</v>
      </c>
    </row>
    <row r="99" spans="1:4" x14ac:dyDescent="0.35">
      <c r="A99" t="s">
        <v>821</v>
      </c>
      <c r="B99" t="s">
        <v>4</v>
      </c>
      <c r="C99" t="s">
        <v>862</v>
      </c>
      <c r="D99" t="s">
        <v>821</v>
      </c>
    </row>
    <row r="100" spans="1:4" x14ac:dyDescent="0.35">
      <c r="A100" t="s">
        <v>976</v>
      </c>
      <c r="B100" t="s">
        <v>942</v>
      </c>
      <c r="C100" t="s">
        <v>741</v>
      </c>
      <c r="D100" t="s">
        <v>976</v>
      </c>
    </row>
    <row r="101" spans="1:4" x14ac:dyDescent="0.35">
      <c r="A101" t="s">
        <v>977</v>
      </c>
      <c r="B101" t="s">
        <v>942</v>
      </c>
      <c r="C101" t="s">
        <v>731</v>
      </c>
      <c r="D101" t="s">
        <v>977</v>
      </c>
    </row>
    <row r="102" spans="1:4" x14ac:dyDescent="0.35">
      <c r="A102" t="s">
        <v>978</v>
      </c>
      <c r="B102" t="s">
        <v>942</v>
      </c>
      <c r="C102" t="s">
        <v>732</v>
      </c>
      <c r="D102" t="s">
        <v>978</v>
      </c>
    </row>
    <row r="103" spans="1:4" x14ac:dyDescent="0.35">
      <c r="A103" t="s">
        <v>979</v>
      </c>
      <c r="B103" t="s">
        <v>942</v>
      </c>
      <c r="C103" t="s">
        <v>733</v>
      </c>
      <c r="D103" t="s">
        <v>979</v>
      </c>
    </row>
    <row r="104" spans="1:4" x14ac:dyDescent="0.35">
      <c r="A104" t="s">
        <v>980</v>
      </c>
      <c r="B104" t="s">
        <v>942</v>
      </c>
      <c r="C104" t="s">
        <v>840</v>
      </c>
      <c r="D104" t="s">
        <v>980</v>
      </c>
    </row>
    <row r="105" spans="1:4" x14ac:dyDescent="0.35">
      <c r="A105" t="s">
        <v>413</v>
      </c>
      <c r="B105" t="s">
        <v>937</v>
      </c>
      <c r="C105" t="s">
        <v>832</v>
      </c>
      <c r="D105" t="s">
        <v>413</v>
      </c>
    </row>
    <row r="106" spans="1:4" x14ac:dyDescent="0.35">
      <c r="A106" t="s">
        <v>414</v>
      </c>
      <c r="B106" t="s">
        <v>937</v>
      </c>
      <c r="C106" t="s">
        <v>837</v>
      </c>
      <c r="D106" t="s">
        <v>414</v>
      </c>
    </row>
    <row r="107" spans="1:4" x14ac:dyDescent="0.35">
      <c r="A107" t="s">
        <v>415</v>
      </c>
      <c r="B107" t="s">
        <v>937</v>
      </c>
      <c r="C107" t="s">
        <v>868</v>
      </c>
      <c r="D107" t="s">
        <v>415</v>
      </c>
    </row>
    <row r="108" spans="1:4" x14ac:dyDescent="0.35">
      <c r="A108" t="s">
        <v>418</v>
      </c>
      <c r="B108" t="s">
        <v>309</v>
      </c>
      <c r="C108" t="s">
        <v>885</v>
      </c>
      <c r="D108" t="s">
        <v>418</v>
      </c>
    </row>
    <row r="109" spans="1:4" x14ac:dyDescent="0.35">
      <c r="A109" t="s">
        <v>419</v>
      </c>
      <c r="B109" t="s">
        <v>309</v>
      </c>
      <c r="C109" t="s">
        <v>524</v>
      </c>
      <c r="D109" t="s">
        <v>419</v>
      </c>
    </row>
    <row r="110" spans="1:4" x14ac:dyDescent="0.35">
      <c r="A110" t="s">
        <v>420</v>
      </c>
      <c r="B110" t="s">
        <v>309</v>
      </c>
      <c r="C110" t="s">
        <v>525</v>
      </c>
      <c r="D110" t="s">
        <v>420</v>
      </c>
    </row>
    <row r="111" spans="1:4" x14ac:dyDescent="0.35">
      <c r="A111" t="s">
        <v>421</v>
      </c>
      <c r="B111" t="s">
        <v>309</v>
      </c>
      <c r="C111" t="s">
        <v>526</v>
      </c>
      <c r="D111" t="s">
        <v>421</v>
      </c>
    </row>
    <row r="112" spans="1:4" x14ac:dyDescent="0.35">
      <c r="A112" t="s">
        <v>422</v>
      </c>
      <c r="B112" t="s">
        <v>309</v>
      </c>
      <c r="C112" t="s">
        <v>527</v>
      </c>
      <c r="D112" t="s">
        <v>422</v>
      </c>
    </row>
    <row r="113" spans="1:4" x14ac:dyDescent="0.35">
      <c r="A113" t="s">
        <v>423</v>
      </c>
      <c r="B113" t="s">
        <v>309</v>
      </c>
      <c r="C113" t="s">
        <v>886</v>
      </c>
      <c r="D113" t="s">
        <v>423</v>
      </c>
    </row>
    <row r="114" spans="1:4" x14ac:dyDescent="0.35">
      <c r="A114" t="s">
        <v>424</v>
      </c>
      <c r="B114" t="s">
        <v>309</v>
      </c>
      <c r="C114" t="s">
        <v>676</v>
      </c>
      <c r="D114" t="s">
        <v>424</v>
      </c>
    </row>
    <row r="115" spans="1:4" x14ac:dyDescent="0.35">
      <c r="A115" t="s">
        <v>425</v>
      </c>
      <c r="B115" t="s">
        <v>309</v>
      </c>
      <c r="C115" t="s">
        <v>677</v>
      </c>
      <c r="D115" t="s">
        <v>425</v>
      </c>
    </row>
    <row r="116" spans="1:4" x14ac:dyDescent="0.35">
      <c r="A116" t="s">
        <v>426</v>
      </c>
      <c r="B116" t="s">
        <v>309</v>
      </c>
      <c r="C116" t="s">
        <v>887</v>
      </c>
      <c r="D116" t="s">
        <v>426</v>
      </c>
    </row>
    <row r="117" spans="1:4" x14ac:dyDescent="0.35">
      <c r="A117" t="s">
        <v>427</v>
      </c>
      <c r="B117" t="s">
        <v>309</v>
      </c>
      <c r="C117" t="s">
        <v>888</v>
      </c>
      <c r="D117" t="s">
        <v>427</v>
      </c>
    </row>
    <row r="118" spans="1:4" x14ac:dyDescent="0.35">
      <c r="A118" t="s">
        <v>428</v>
      </c>
      <c r="B118" t="s">
        <v>309</v>
      </c>
      <c r="C118" t="s">
        <v>889</v>
      </c>
      <c r="D118" t="s">
        <v>428</v>
      </c>
    </row>
    <row r="119" spans="1:4" x14ac:dyDescent="0.35">
      <c r="A119" t="s">
        <v>620</v>
      </c>
      <c r="B119" t="s">
        <v>309</v>
      </c>
      <c r="C119" t="s">
        <v>890</v>
      </c>
      <c r="D119" t="s">
        <v>620</v>
      </c>
    </row>
    <row r="120" spans="1:4" x14ac:dyDescent="0.35">
      <c r="A120" t="s">
        <v>621</v>
      </c>
      <c r="B120" t="s">
        <v>309</v>
      </c>
      <c r="C120" t="s">
        <v>891</v>
      </c>
      <c r="D120" t="s">
        <v>621</v>
      </c>
    </row>
    <row r="121" spans="1:4" x14ac:dyDescent="0.35">
      <c r="A121" t="s">
        <v>622</v>
      </c>
      <c r="B121" t="s">
        <v>309</v>
      </c>
      <c r="C121" t="s">
        <v>892</v>
      </c>
      <c r="D121" t="s">
        <v>622</v>
      </c>
    </row>
    <row r="122" spans="1:4" x14ac:dyDescent="0.35">
      <c r="A122" t="s">
        <v>429</v>
      </c>
      <c r="B122" t="s">
        <v>275</v>
      </c>
      <c r="C122" t="s">
        <v>146</v>
      </c>
      <c r="D122" t="s">
        <v>429</v>
      </c>
    </row>
    <row r="123" spans="1:4" x14ac:dyDescent="0.35">
      <c r="A123" t="s">
        <v>430</v>
      </c>
      <c r="B123" t="s">
        <v>275</v>
      </c>
      <c r="C123" t="s">
        <v>685</v>
      </c>
      <c r="D123" t="s">
        <v>430</v>
      </c>
    </row>
    <row r="124" spans="1:4" x14ac:dyDescent="0.35">
      <c r="A124" t="s">
        <v>431</v>
      </c>
      <c r="B124" t="s">
        <v>275</v>
      </c>
      <c r="C124" t="s">
        <v>893</v>
      </c>
      <c r="D124" t="s">
        <v>431</v>
      </c>
    </row>
    <row r="125" spans="1:4" x14ac:dyDescent="0.35">
      <c r="A125" t="s">
        <v>432</v>
      </c>
      <c r="B125" t="s">
        <v>275</v>
      </c>
      <c r="C125" t="s">
        <v>686</v>
      </c>
      <c r="D125" t="s">
        <v>432</v>
      </c>
    </row>
    <row r="126" spans="1:4" x14ac:dyDescent="0.35">
      <c r="A126" t="s">
        <v>433</v>
      </c>
      <c r="B126" t="s">
        <v>275</v>
      </c>
      <c r="C126" t="s">
        <v>95</v>
      </c>
      <c r="D126" t="s">
        <v>433</v>
      </c>
    </row>
    <row r="127" spans="1:4" x14ac:dyDescent="0.35">
      <c r="A127" t="s">
        <v>434</v>
      </c>
      <c r="B127" t="s">
        <v>275</v>
      </c>
      <c r="C127" t="s">
        <v>687</v>
      </c>
      <c r="D127" t="s">
        <v>434</v>
      </c>
    </row>
    <row r="128" spans="1:4" x14ac:dyDescent="0.35">
      <c r="A128" t="s">
        <v>435</v>
      </c>
      <c r="B128" t="s">
        <v>275</v>
      </c>
      <c r="C128" t="s">
        <v>688</v>
      </c>
      <c r="D128" t="s">
        <v>435</v>
      </c>
    </row>
    <row r="129" spans="1:4" x14ac:dyDescent="0.35">
      <c r="A129" t="s">
        <v>436</v>
      </c>
      <c r="B129" t="s">
        <v>275</v>
      </c>
      <c r="C129" t="s">
        <v>895</v>
      </c>
      <c r="D129" t="s">
        <v>436</v>
      </c>
    </row>
    <row r="130" spans="1:4" x14ac:dyDescent="0.35">
      <c r="A130" t="s">
        <v>437</v>
      </c>
      <c r="B130" t="s">
        <v>275</v>
      </c>
      <c r="C130" t="s">
        <v>896</v>
      </c>
      <c r="D130" t="s">
        <v>437</v>
      </c>
    </row>
    <row r="131" spans="1:4" x14ac:dyDescent="0.35">
      <c r="A131" t="s">
        <v>438</v>
      </c>
      <c r="B131" t="s">
        <v>275</v>
      </c>
      <c r="C131" t="s">
        <v>897</v>
      </c>
      <c r="D131" t="s">
        <v>438</v>
      </c>
    </row>
    <row r="132" spans="1:4" x14ac:dyDescent="0.35">
      <c r="A132" t="s">
        <v>439</v>
      </c>
      <c r="B132" t="s">
        <v>275</v>
      </c>
      <c r="C132" t="s">
        <v>898</v>
      </c>
      <c r="D132" t="s">
        <v>439</v>
      </c>
    </row>
    <row r="133" spans="1:4" x14ac:dyDescent="0.35">
      <c r="A133" t="s">
        <v>440</v>
      </c>
      <c r="B133" t="s">
        <v>275</v>
      </c>
      <c r="C133" t="s">
        <v>899</v>
      </c>
      <c r="D133" t="s">
        <v>440</v>
      </c>
    </row>
    <row r="134" spans="1:4" x14ac:dyDescent="0.35">
      <c r="A134" t="s">
        <v>441</v>
      </c>
      <c r="B134" t="s">
        <v>275</v>
      </c>
      <c r="C134" t="s">
        <v>900</v>
      </c>
      <c r="D134" t="s">
        <v>441</v>
      </c>
    </row>
    <row r="135" spans="1:4" x14ac:dyDescent="0.35">
      <c r="A135" t="s">
        <v>442</v>
      </c>
      <c r="B135" t="s">
        <v>275</v>
      </c>
      <c r="C135" t="s">
        <v>901</v>
      </c>
      <c r="D135" t="s">
        <v>442</v>
      </c>
    </row>
    <row r="136" spans="1:4" x14ac:dyDescent="0.35">
      <c r="A136" t="s">
        <v>443</v>
      </c>
      <c r="B136" t="s">
        <v>275</v>
      </c>
      <c r="C136" t="s">
        <v>902</v>
      </c>
      <c r="D136" t="s">
        <v>443</v>
      </c>
    </row>
    <row r="137" spans="1:4" x14ac:dyDescent="0.35">
      <c r="A137" t="s">
        <v>444</v>
      </c>
      <c r="B137" t="s">
        <v>275</v>
      </c>
      <c r="C137" t="s">
        <v>903</v>
      </c>
      <c r="D137" t="s">
        <v>444</v>
      </c>
    </row>
    <row r="138" spans="1:4" x14ac:dyDescent="0.35">
      <c r="A138" t="s">
        <v>445</v>
      </c>
      <c r="B138" t="s">
        <v>275</v>
      </c>
      <c r="C138" t="s">
        <v>904</v>
      </c>
      <c r="D138" t="s">
        <v>445</v>
      </c>
    </row>
    <row r="139" spans="1:4" x14ac:dyDescent="0.35">
      <c r="A139" t="s">
        <v>446</v>
      </c>
      <c r="B139" t="s">
        <v>275</v>
      </c>
      <c r="C139" t="s">
        <v>905</v>
      </c>
      <c r="D139" t="s">
        <v>446</v>
      </c>
    </row>
    <row r="140" spans="1:4" x14ac:dyDescent="0.35">
      <c r="A140" t="s">
        <v>447</v>
      </c>
      <c r="B140" t="s">
        <v>275</v>
      </c>
      <c r="C140" t="s">
        <v>903</v>
      </c>
      <c r="D140" t="s">
        <v>447</v>
      </c>
    </row>
    <row r="141" spans="1:4" x14ac:dyDescent="0.35">
      <c r="A141" t="s">
        <v>448</v>
      </c>
      <c r="B141" t="s">
        <v>275</v>
      </c>
      <c r="C141" t="s">
        <v>906</v>
      </c>
      <c r="D141" t="s">
        <v>448</v>
      </c>
    </row>
    <row r="142" spans="1:4" x14ac:dyDescent="0.35">
      <c r="A142" t="s">
        <v>449</v>
      </c>
      <c r="B142" t="s">
        <v>275</v>
      </c>
      <c r="C142" t="s">
        <v>907</v>
      </c>
      <c r="D142" t="s">
        <v>449</v>
      </c>
    </row>
    <row r="143" spans="1:4" x14ac:dyDescent="0.35">
      <c r="A143" t="s">
        <v>450</v>
      </c>
      <c r="B143" t="s">
        <v>275</v>
      </c>
      <c r="C143" t="s">
        <v>908</v>
      </c>
      <c r="D143" t="s">
        <v>450</v>
      </c>
    </row>
    <row r="144" spans="1:4" x14ac:dyDescent="0.35">
      <c r="A144" t="s">
        <v>600</v>
      </c>
      <c r="B144" t="s">
        <v>316</v>
      </c>
      <c r="C144" t="s">
        <v>863</v>
      </c>
      <c r="D144" t="s">
        <v>600</v>
      </c>
    </row>
    <row r="145" spans="1:4" x14ac:dyDescent="0.35">
      <c r="A145" t="s">
        <v>623</v>
      </c>
      <c r="B145" t="s">
        <v>316</v>
      </c>
      <c r="C145" t="s">
        <v>864</v>
      </c>
      <c r="D145" t="s">
        <v>623</v>
      </c>
    </row>
    <row r="146" spans="1:4" x14ac:dyDescent="0.35">
      <c r="A146" t="s">
        <v>624</v>
      </c>
      <c r="B146" t="s">
        <v>316</v>
      </c>
      <c r="C146" t="s">
        <v>865</v>
      </c>
      <c r="D146" t="s">
        <v>624</v>
      </c>
    </row>
    <row r="147" spans="1:4" x14ac:dyDescent="0.35">
      <c r="A147" t="s">
        <v>458</v>
      </c>
      <c r="B147" t="s">
        <v>320</v>
      </c>
      <c r="C147" t="s">
        <v>876</v>
      </c>
      <c r="D147" t="s">
        <v>458</v>
      </c>
    </row>
    <row r="148" spans="1:4" x14ac:dyDescent="0.35">
      <c r="A148" t="s">
        <v>459</v>
      </c>
      <c r="B148" t="s">
        <v>320</v>
      </c>
      <c r="C148" t="s">
        <v>877</v>
      </c>
      <c r="D148" t="s">
        <v>459</v>
      </c>
    </row>
    <row r="149" spans="1:4" x14ac:dyDescent="0.35">
      <c r="A149" t="s">
        <v>460</v>
      </c>
      <c r="B149" t="s">
        <v>320</v>
      </c>
      <c r="C149" t="s">
        <v>878</v>
      </c>
      <c r="D149" t="s">
        <v>460</v>
      </c>
    </row>
    <row r="150" spans="1:4" x14ac:dyDescent="0.35">
      <c r="A150" t="s">
        <v>461</v>
      </c>
      <c r="B150" t="s">
        <v>320</v>
      </c>
      <c r="C150" t="s">
        <v>1632</v>
      </c>
      <c r="D150" t="s">
        <v>601</v>
      </c>
    </row>
    <row r="151" spans="1:4" x14ac:dyDescent="0.35">
      <c r="A151" t="s">
        <v>462</v>
      </c>
      <c r="B151" t="s">
        <v>267</v>
      </c>
      <c r="C151" t="s">
        <v>866</v>
      </c>
      <c r="D151" t="s">
        <v>462</v>
      </c>
    </row>
    <row r="152" spans="1:4" x14ac:dyDescent="0.35">
      <c r="A152" t="s">
        <v>463</v>
      </c>
      <c r="B152" t="s">
        <v>267</v>
      </c>
      <c r="C152" t="s">
        <v>867</v>
      </c>
      <c r="D152" t="s">
        <v>463</v>
      </c>
    </row>
    <row r="153" spans="1:4" x14ac:dyDescent="0.35">
      <c r="A153" t="s">
        <v>464</v>
      </c>
      <c r="B153" t="s">
        <v>267</v>
      </c>
      <c r="C153" t="s">
        <v>869</v>
      </c>
      <c r="D153" t="s">
        <v>464</v>
      </c>
    </row>
    <row r="154" spans="1:4" x14ac:dyDescent="0.35">
      <c r="A154" t="s">
        <v>465</v>
      </c>
      <c r="B154" t="s">
        <v>267</v>
      </c>
      <c r="C154" t="s">
        <v>870</v>
      </c>
      <c r="D154" t="s">
        <v>465</v>
      </c>
    </row>
    <row r="155" spans="1:4" x14ac:dyDescent="0.35">
      <c r="A155" t="s">
        <v>625</v>
      </c>
      <c r="B155" t="s">
        <v>267</v>
      </c>
      <c r="C155" t="s">
        <v>871</v>
      </c>
      <c r="D155" t="s">
        <v>625</v>
      </c>
    </row>
    <row r="156" spans="1:4" x14ac:dyDescent="0.35">
      <c r="A156" t="s">
        <v>626</v>
      </c>
      <c r="B156" t="s">
        <v>267</v>
      </c>
      <c r="C156" t="s">
        <v>872</v>
      </c>
      <c r="D156" t="s">
        <v>626</v>
      </c>
    </row>
    <row r="157" spans="1:4" x14ac:dyDescent="0.35">
      <c r="A157" t="s">
        <v>823</v>
      </c>
      <c r="B157" t="s">
        <v>267</v>
      </c>
      <c r="C157" t="s">
        <v>873</v>
      </c>
      <c r="D157" t="s">
        <v>823</v>
      </c>
    </row>
    <row r="158" spans="1:4" x14ac:dyDescent="0.35">
      <c r="A158" t="s">
        <v>824</v>
      </c>
      <c r="B158" t="s">
        <v>267</v>
      </c>
      <c r="C158" t="s">
        <v>874</v>
      </c>
      <c r="D158" t="s">
        <v>824</v>
      </c>
    </row>
    <row r="159" spans="1:4" x14ac:dyDescent="0.35">
      <c r="A159" t="s">
        <v>825</v>
      </c>
      <c r="B159" t="s">
        <v>267</v>
      </c>
      <c r="C159" t="s">
        <v>652</v>
      </c>
      <c r="D159" t="s">
        <v>825</v>
      </c>
    </row>
    <row r="160" spans="1:4" x14ac:dyDescent="0.35">
      <c r="A160" t="s">
        <v>981</v>
      </c>
      <c r="B160" t="s">
        <v>267</v>
      </c>
      <c r="C160" t="s">
        <v>875</v>
      </c>
      <c r="D160" t="s">
        <v>981</v>
      </c>
    </row>
    <row r="161" spans="1:4" x14ac:dyDescent="0.35">
      <c r="A161" t="s">
        <v>982</v>
      </c>
      <c r="B161" t="s">
        <v>267</v>
      </c>
      <c r="C161" t="s">
        <v>894</v>
      </c>
      <c r="D161" t="s">
        <v>982</v>
      </c>
    </row>
  </sheetData>
  <autoFilter ref="A1:D161" xr:uid="{715B7BB5-087B-424F-AF44-BCE5773FD7A6}"/>
  <sortState xmlns:xlrd2="http://schemas.microsoft.com/office/spreadsheetml/2017/richdata2" ref="A2:C161">
    <sortCondition ref="B2:B16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9280-E4FA-464D-83CD-16F85725F89E}">
  <dimension ref="A1:C219"/>
  <sheetViews>
    <sheetView workbookViewId="0">
      <selection sqref="A1:C1"/>
    </sheetView>
  </sheetViews>
  <sheetFormatPr baseColWidth="10" defaultRowHeight="14.5" x14ac:dyDescent="0.35"/>
  <cols>
    <col min="1" max="1" width="118.81640625" customWidth="1"/>
  </cols>
  <sheetData>
    <row r="1" spans="1:3" x14ac:dyDescent="0.35">
      <c r="A1" s="2" t="s">
        <v>983</v>
      </c>
      <c r="B1" s="3" t="s">
        <v>984</v>
      </c>
      <c r="C1" s="4" t="s">
        <v>828</v>
      </c>
    </row>
    <row r="2" spans="1:3" x14ac:dyDescent="0.35">
      <c r="A2" t="s">
        <v>723</v>
      </c>
      <c r="B2" t="str">
        <f>VLOOKUP(A2,'Diccionario 2023'!$C$2:$H$219,6,0)</f>
        <v>ACA1</v>
      </c>
      <c r="C2" t="s">
        <v>723</v>
      </c>
    </row>
    <row r="3" spans="1:3" x14ac:dyDescent="0.35">
      <c r="A3" t="s">
        <v>985</v>
      </c>
      <c r="B3" t="str">
        <f>VLOOKUP(A3,'Diccionario 2023'!$C$2:$H$219,6,0)</f>
        <v>ACA2</v>
      </c>
      <c r="C3" t="s">
        <v>985</v>
      </c>
    </row>
    <row r="4" spans="1:3" x14ac:dyDescent="0.35">
      <c r="A4" t="s">
        <v>986</v>
      </c>
      <c r="B4" t="str">
        <f>VLOOKUP(A4,'Diccionario 2023'!$C$2:$H$219,6,0)</f>
        <v>ACA3</v>
      </c>
      <c r="C4" t="s">
        <v>986</v>
      </c>
    </row>
    <row r="5" spans="1:3" x14ac:dyDescent="0.35">
      <c r="A5" t="s">
        <v>628</v>
      </c>
      <c r="B5" t="str">
        <f>VLOOKUP(A5,'Diccionario 2023'!$C$2:$H$219,6,0)</f>
        <v>ACA4</v>
      </c>
      <c r="C5" t="s">
        <v>628</v>
      </c>
    </row>
    <row r="6" spans="1:3" x14ac:dyDescent="0.35">
      <c r="A6" t="s">
        <v>987</v>
      </c>
      <c r="B6" t="str">
        <f>VLOOKUP(A6,'Diccionario 2023'!$C$2:$H$219,6,0)</f>
        <v>ACA5</v>
      </c>
      <c r="C6" t="s">
        <v>987</v>
      </c>
    </row>
    <row r="7" spans="1:3" x14ac:dyDescent="0.35">
      <c r="A7" t="s">
        <v>725</v>
      </c>
      <c r="B7" t="str">
        <f>VLOOKUP(A7,'Diccionario 2023'!$C$2:$H$219,6,0)</f>
        <v>ACA6</v>
      </c>
      <c r="C7" t="s">
        <v>725</v>
      </c>
    </row>
    <row r="8" spans="1:3" x14ac:dyDescent="0.35">
      <c r="A8" t="s">
        <v>726</v>
      </c>
      <c r="B8" t="str">
        <f>VLOOKUP(A8,'Diccionario 2023'!$C$2:$H$219,6,0)</f>
        <v>ACA7</v>
      </c>
      <c r="C8" t="s">
        <v>726</v>
      </c>
    </row>
    <row r="9" spans="1:3" x14ac:dyDescent="0.35">
      <c r="A9" t="s">
        <v>988</v>
      </c>
      <c r="B9" t="str">
        <f>VLOOKUP(A9,'Diccionario 2023'!$C$2:$H$219,6,0)</f>
        <v>ACA8</v>
      </c>
      <c r="C9" t="s">
        <v>988</v>
      </c>
    </row>
    <row r="10" spans="1:3" x14ac:dyDescent="0.35">
      <c r="A10" t="s">
        <v>728</v>
      </c>
      <c r="B10" t="str">
        <f>VLOOKUP(A10,'Diccionario 2023'!$C$2:$H$219,6,0)</f>
        <v>ACA9</v>
      </c>
      <c r="C10" t="s">
        <v>728</v>
      </c>
    </row>
    <row r="11" spans="1:3" x14ac:dyDescent="0.35">
      <c r="A11" t="s">
        <v>26</v>
      </c>
      <c r="B11" t="str">
        <f>VLOOKUP(A11,'Diccionario 2023'!$C$2:$H$219,6,0)</f>
        <v>ACA10</v>
      </c>
      <c r="C11" t="s">
        <v>26</v>
      </c>
    </row>
    <row r="12" spans="1:3" x14ac:dyDescent="0.35">
      <c r="A12" t="s">
        <v>989</v>
      </c>
      <c r="B12" t="str">
        <f>VLOOKUP(A12,'Diccionario 2023'!$C$2:$H$219,6,0)</f>
        <v>ACA11</v>
      </c>
      <c r="C12" t="s">
        <v>989</v>
      </c>
    </row>
    <row r="13" spans="1:3" x14ac:dyDescent="0.35">
      <c r="A13" t="s">
        <v>990</v>
      </c>
      <c r="B13" t="str">
        <f>VLOOKUP(A13,'Diccionario 2023'!$C$2:$H$219,6,0)</f>
        <v>ACA12</v>
      </c>
      <c r="C13" t="s">
        <v>990</v>
      </c>
    </row>
    <row r="14" spans="1:3" x14ac:dyDescent="0.35">
      <c r="A14" t="s">
        <v>991</v>
      </c>
      <c r="B14" t="str">
        <f>VLOOKUP(A14,'Diccionario 2023'!$C$2:$H$219,6,0)</f>
        <v>ACA13</v>
      </c>
      <c r="C14" t="s">
        <v>991</v>
      </c>
    </row>
    <row r="15" spans="1:3" x14ac:dyDescent="0.35">
      <c r="A15" t="s">
        <v>629</v>
      </c>
      <c r="B15" t="str">
        <f>VLOOKUP(A15,'Diccionario 2023'!$C$2:$H$219,6,0)</f>
        <v>ACA14</v>
      </c>
      <c r="C15" t="s">
        <v>629</v>
      </c>
    </row>
    <row r="16" spans="1:3" x14ac:dyDescent="0.35">
      <c r="A16" t="s">
        <v>992</v>
      </c>
      <c r="B16" t="str">
        <f>VLOOKUP(A16,'Diccionario 2023'!$C$2:$H$219,6,0)</f>
        <v>ACA15</v>
      </c>
      <c r="C16" t="s">
        <v>992</v>
      </c>
    </row>
    <row r="17" spans="1:3" x14ac:dyDescent="0.35">
      <c r="A17" t="s">
        <v>1126</v>
      </c>
      <c r="B17" t="str">
        <f>VLOOKUP(A17,'Diccionario 2023'!$C$2:$H$219,6,0)</f>
        <v>ACA16</v>
      </c>
      <c r="C17" t="s">
        <v>1126</v>
      </c>
    </row>
    <row r="18" spans="1:3" x14ac:dyDescent="0.35">
      <c r="A18" t="s">
        <v>1127</v>
      </c>
      <c r="B18" t="s">
        <v>1150</v>
      </c>
      <c r="C18" t="s">
        <v>994</v>
      </c>
    </row>
    <row r="19" spans="1:3" x14ac:dyDescent="0.35">
      <c r="A19" t="s">
        <v>995</v>
      </c>
      <c r="B19" t="str">
        <f>VLOOKUP(A19,'Diccionario 2023'!$C$2:$H$219,6,0)</f>
        <v>ACA18</v>
      </c>
      <c r="C19" t="s">
        <v>995</v>
      </c>
    </row>
    <row r="20" spans="1:3" x14ac:dyDescent="0.35">
      <c r="A20" t="s">
        <v>993</v>
      </c>
      <c r="B20" t="str">
        <f>VLOOKUP(A20,'Diccionario 2023'!$C$2:$H$219,6,0)</f>
        <v>ACA19</v>
      </c>
      <c r="C20" t="s">
        <v>993</v>
      </c>
    </row>
    <row r="21" spans="1:3" x14ac:dyDescent="0.35">
      <c r="A21" t="s">
        <v>994</v>
      </c>
      <c r="B21" t="s">
        <v>1153</v>
      </c>
      <c r="C21" t="s">
        <v>994</v>
      </c>
    </row>
    <row r="22" spans="1:3" x14ac:dyDescent="0.35">
      <c r="A22" t="s">
        <v>996</v>
      </c>
      <c r="B22" t="str">
        <f>VLOOKUP(A22,'Diccionario 2023'!$C$2:$H$219,6,0)</f>
        <v>ACA21</v>
      </c>
      <c r="C22" t="s">
        <v>996</v>
      </c>
    </row>
    <row r="23" spans="1:3" x14ac:dyDescent="0.35">
      <c r="A23" t="s">
        <v>994</v>
      </c>
      <c r="B23" t="s">
        <v>1155</v>
      </c>
      <c r="C23" t="s">
        <v>994</v>
      </c>
    </row>
    <row r="24" spans="1:3" x14ac:dyDescent="0.35">
      <c r="A24" t="s">
        <v>996</v>
      </c>
      <c r="B24" t="s">
        <v>1156</v>
      </c>
      <c r="C24" t="s">
        <v>996</v>
      </c>
    </row>
    <row r="25" spans="1:3" x14ac:dyDescent="0.35">
      <c r="A25" t="s">
        <v>994</v>
      </c>
      <c r="B25" t="s">
        <v>1157</v>
      </c>
      <c r="C25" t="s">
        <v>994</v>
      </c>
    </row>
    <row r="26" spans="1:3" x14ac:dyDescent="0.35">
      <c r="A26" t="s">
        <v>730</v>
      </c>
      <c r="B26" t="s">
        <v>1158</v>
      </c>
      <c r="C26" t="s">
        <v>741</v>
      </c>
    </row>
    <row r="27" spans="1:3" x14ac:dyDescent="0.35">
      <c r="A27" t="s">
        <v>731</v>
      </c>
      <c r="B27" t="str">
        <f>VLOOKUP(A27,'Diccionario 2023'!$C$2:$H$219,6,0)</f>
        <v>ACA26</v>
      </c>
      <c r="C27" t="s">
        <v>731</v>
      </c>
    </row>
    <row r="28" spans="1:3" x14ac:dyDescent="0.35">
      <c r="A28" t="s">
        <v>732</v>
      </c>
      <c r="B28" t="str">
        <f>VLOOKUP(A28,'Diccionario 2023'!$C$2:$H$219,6,0)</f>
        <v>ACA27</v>
      </c>
      <c r="C28" t="s">
        <v>732</v>
      </c>
    </row>
    <row r="29" spans="1:3" x14ac:dyDescent="0.35">
      <c r="A29" t="s">
        <v>733</v>
      </c>
      <c r="B29" t="str">
        <f>VLOOKUP(A29,'Diccionario 2023'!$C$2:$H$219,6,0)</f>
        <v>ACA28</v>
      </c>
      <c r="C29" t="s">
        <v>733</v>
      </c>
    </row>
    <row r="30" spans="1:3" x14ac:dyDescent="0.35">
      <c r="A30" t="s">
        <v>997</v>
      </c>
      <c r="B30" t="str">
        <f>VLOOKUP(A30,'Diccionario 2023'!$C$2:$H$219,6,0)</f>
        <v>ACA29</v>
      </c>
      <c r="C30" t="s">
        <v>997</v>
      </c>
    </row>
    <row r="31" spans="1:3" x14ac:dyDescent="0.35">
      <c r="A31" t="s">
        <v>998</v>
      </c>
      <c r="B31" t="str">
        <f>VLOOKUP(A31,'Diccionario 2023'!$C$2:$H$219,6,0)</f>
        <v>ACA30</v>
      </c>
      <c r="C31" t="s">
        <v>998</v>
      </c>
    </row>
    <row r="32" spans="1:3" x14ac:dyDescent="0.35">
      <c r="A32" t="s">
        <v>999</v>
      </c>
      <c r="B32" t="str">
        <f>VLOOKUP(A32,'Diccionario 2023'!$C$2:$H$219,6,0)</f>
        <v>IMP1</v>
      </c>
      <c r="C32" t="s">
        <v>999</v>
      </c>
    </row>
    <row r="33" spans="1:3" x14ac:dyDescent="0.35">
      <c r="A33" t="s">
        <v>1000</v>
      </c>
      <c r="B33" t="str">
        <f>VLOOKUP(A33,'Diccionario 2023'!$C$2:$H$219,6,0)</f>
        <v>IMP2</v>
      </c>
      <c r="C33" t="s">
        <v>1000</v>
      </c>
    </row>
    <row r="34" spans="1:3" x14ac:dyDescent="0.35">
      <c r="A34" t="s">
        <v>1001</v>
      </c>
      <c r="B34" t="str">
        <f>VLOOKUP(A34,'Diccionario 2023'!$C$2:$H$219,6,0)</f>
        <v>IMP3</v>
      </c>
      <c r="C34" t="s">
        <v>1001</v>
      </c>
    </row>
    <row r="35" spans="1:3" x14ac:dyDescent="0.35">
      <c r="A35" t="s">
        <v>1002</v>
      </c>
      <c r="B35" t="str">
        <f>VLOOKUP(A35,'Diccionario 2023'!$C$2:$H$219,6,0)</f>
        <v>IMP4</v>
      </c>
      <c r="C35" t="s">
        <v>1002</v>
      </c>
    </row>
    <row r="36" spans="1:3" x14ac:dyDescent="0.35">
      <c r="A36" t="s">
        <v>1003</v>
      </c>
      <c r="B36" t="str">
        <f>VLOOKUP(A36,'Diccionario 2023'!$C$2:$H$219,6,0)</f>
        <v>IMP5</v>
      </c>
      <c r="C36" t="s">
        <v>1003</v>
      </c>
    </row>
    <row r="37" spans="1:3" x14ac:dyDescent="0.35">
      <c r="A37" t="s">
        <v>482</v>
      </c>
      <c r="B37" t="str">
        <f>VLOOKUP(A37,'Diccionario 2023'!$C$2:$H$219,6,0)</f>
        <v>IMP6</v>
      </c>
      <c r="C37" t="s">
        <v>482</v>
      </c>
    </row>
    <row r="38" spans="1:3" x14ac:dyDescent="0.35">
      <c r="A38" t="s">
        <v>486</v>
      </c>
      <c r="B38" t="str">
        <f>VLOOKUP(A38,'Diccionario 2023'!$C$2:$H$219,6,0)</f>
        <v>IMP7</v>
      </c>
      <c r="C38" t="s">
        <v>486</v>
      </c>
    </row>
    <row r="39" spans="1:3" x14ac:dyDescent="0.35">
      <c r="A39" t="s">
        <v>1004</v>
      </c>
      <c r="B39" t="str">
        <f>VLOOKUP(A39,'Diccionario 2023'!$C$2:$H$219,6,0)</f>
        <v>IMP8</v>
      </c>
      <c r="C39" t="s">
        <v>1004</v>
      </c>
    </row>
    <row r="40" spans="1:3" x14ac:dyDescent="0.35">
      <c r="A40" t="s">
        <v>1005</v>
      </c>
      <c r="B40" t="str">
        <f>VLOOKUP(A40,'Diccionario 2023'!$C$2:$H$219,6,0)</f>
        <v>IMP9</v>
      </c>
      <c r="C40" t="s">
        <v>1005</v>
      </c>
    </row>
    <row r="41" spans="1:3" x14ac:dyDescent="0.35">
      <c r="A41" t="s">
        <v>483</v>
      </c>
      <c r="B41" t="str">
        <f>VLOOKUP(A41,'Diccionario 2023'!$C$2:$H$219,6,0)</f>
        <v>IMP10</v>
      </c>
      <c r="C41" t="s">
        <v>483</v>
      </c>
    </row>
    <row r="42" spans="1:3" x14ac:dyDescent="0.35">
      <c r="A42" t="s">
        <v>708</v>
      </c>
      <c r="B42" t="str">
        <f>VLOOKUP(A42,'Diccionario 2023'!$C$2:$H$219,6,0)</f>
        <v>IMP11</v>
      </c>
      <c r="C42" t="s">
        <v>708</v>
      </c>
    </row>
    <row r="43" spans="1:3" x14ac:dyDescent="0.35">
      <c r="A43" t="s">
        <v>1006</v>
      </c>
      <c r="B43" t="str">
        <f>VLOOKUP(A43,'Diccionario 2023'!$C$2:$H$219,6,0)</f>
        <v>IMP12</v>
      </c>
      <c r="C43" t="s">
        <v>1006</v>
      </c>
    </row>
    <row r="44" spans="1:3" x14ac:dyDescent="0.35">
      <c r="A44" t="s">
        <v>1007</v>
      </c>
      <c r="B44" t="str">
        <f>VLOOKUP(A44,'Diccionario 2023'!$C$2:$H$219,6,0)</f>
        <v>SOS1</v>
      </c>
      <c r="C44" t="s">
        <v>1007</v>
      </c>
    </row>
    <row r="45" spans="1:3" x14ac:dyDescent="0.35">
      <c r="A45" t="s">
        <v>1008</v>
      </c>
      <c r="B45" t="str">
        <f>VLOOKUP(A45,'Diccionario 2023'!$C$2:$H$219,6,0)</f>
        <v>SOS2</v>
      </c>
      <c r="C45" t="s">
        <v>1008</v>
      </c>
    </row>
    <row r="46" spans="1:3" x14ac:dyDescent="0.35">
      <c r="A46" t="s">
        <v>708</v>
      </c>
      <c r="B46" t="s">
        <v>1178</v>
      </c>
      <c r="C46" t="s">
        <v>708</v>
      </c>
    </row>
    <row r="47" spans="1:3" x14ac:dyDescent="0.35">
      <c r="A47" t="s">
        <v>1009</v>
      </c>
      <c r="B47" t="str">
        <f>VLOOKUP(A47,'Diccionario 2023'!$C$2:$H$219,6,0)</f>
        <v>BIB1</v>
      </c>
      <c r="C47" t="s">
        <v>1009</v>
      </c>
    </row>
    <row r="48" spans="1:3" x14ac:dyDescent="0.35">
      <c r="A48" t="s">
        <v>44</v>
      </c>
      <c r="B48" t="str">
        <f>VLOOKUP(A48,'Diccionario 2023'!$C$2:$H$219,6,0)</f>
        <v>BIB2</v>
      </c>
      <c r="C48" t="s">
        <v>44</v>
      </c>
    </row>
    <row r="49" spans="1:3" x14ac:dyDescent="0.35">
      <c r="A49" t="s">
        <v>45</v>
      </c>
      <c r="B49" t="str">
        <f>VLOOKUP(A49,'Diccionario 2023'!$C$2:$H$219,6,0)</f>
        <v>BIB3</v>
      </c>
      <c r="C49" t="s">
        <v>45</v>
      </c>
    </row>
    <row r="50" spans="1:3" x14ac:dyDescent="0.35">
      <c r="A50" t="s">
        <v>46</v>
      </c>
      <c r="B50" t="str">
        <f>VLOOKUP(A50,'Diccionario 2023'!$C$2:$H$219,6,0)</f>
        <v>BIB4</v>
      </c>
      <c r="C50" t="s">
        <v>46</v>
      </c>
    </row>
    <row r="51" spans="1:3" x14ac:dyDescent="0.35">
      <c r="A51" t="s">
        <v>47</v>
      </c>
      <c r="B51" t="str">
        <f>VLOOKUP(A51,'Diccionario 2023'!$C$2:$H$219,6,0)</f>
        <v>BIB5</v>
      </c>
      <c r="C51" t="s">
        <v>47</v>
      </c>
    </row>
    <row r="52" spans="1:3" x14ac:dyDescent="0.35">
      <c r="A52" t="s">
        <v>48</v>
      </c>
      <c r="B52" t="str">
        <f>VLOOKUP(A52,'Diccionario 2023'!$C$2:$H$219,6,0)</f>
        <v>BIB6</v>
      </c>
      <c r="C52" t="s">
        <v>48</v>
      </c>
    </row>
    <row r="53" spans="1:3" x14ac:dyDescent="0.35">
      <c r="A53" t="s">
        <v>49</v>
      </c>
      <c r="B53" t="str">
        <f>VLOOKUP(A53,'Diccionario 2023'!$C$2:$H$219,6,0)</f>
        <v>BIB7</v>
      </c>
      <c r="C53" t="s">
        <v>49</v>
      </c>
    </row>
    <row r="54" spans="1:3" x14ac:dyDescent="0.35">
      <c r="A54" t="s">
        <v>1010</v>
      </c>
      <c r="B54" t="str">
        <f>VLOOKUP(A54,'Diccionario 2023'!$C$2:$H$219,6,0)</f>
        <v>BIB8</v>
      </c>
      <c r="C54" t="s">
        <v>1010</v>
      </c>
    </row>
    <row r="55" spans="1:3" x14ac:dyDescent="0.35">
      <c r="A55" t="s">
        <v>1011</v>
      </c>
      <c r="B55" t="str">
        <f>VLOOKUP(A55,'Diccionario 2023'!$C$2:$H$219,6,0)</f>
        <v>BIB9</v>
      </c>
      <c r="C55" t="s">
        <v>1011</v>
      </c>
    </row>
    <row r="56" spans="1:3" x14ac:dyDescent="0.35">
      <c r="A56" t="s">
        <v>993</v>
      </c>
      <c r="B56" t="s">
        <v>1188</v>
      </c>
      <c r="C56" t="s">
        <v>993</v>
      </c>
    </row>
    <row r="57" spans="1:3" x14ac:dyDescent="0.35">
      <c r="A57" t="s">
        <v>994</v>
      </c>
      <c r="B57" t="s">
        <v>1189</v>
      </c>
      <c r="C57" t="s">
        <v>994</v>
      </c>
    </row>
    <row r="58" spans="1:3" x14ac:dyDescent="0.35">
      <c r="A58" t="s">
        <v>1012</v>
      </c>
      <c r="B58" t="str">
        <f>VLOOKUP(A58,'Diccionario 2023'!$C$2:$H$219,6,0)</f>
        <v>BIB12</v>
      </c>
      <c r="C58" t="s">
        <v>1012</v>
      </c>
    </row>
    <row r="59" spans="1:3" x14ac:dyDescent="0.35">
      <c r="A59" t="s">
        <v>1013</v>
      </c>
      <c r="B59" t="str">
        <f>VLOOKUP(A59,'Diccionario 2023'!$C$2:$H$219,6,0)</f>
        <v>BIB13</v>
      </c>
      <c r="C59" t="s">
        <v>1013</v>
      </c>
    </row>
    <row r="60" spans="1:3" x14ac:dyDescent="0.35">
      <c r="A60" t="s">
        <v>637</v>
      </c>
      <c r="B60" t="str">
        <f>VLOOKUP(A60,'Diccionario 2023'!$C$2:$H$219,6,0)</f>
        <v>INT1</v>
      </c>
      <c r="C60" t="s">
        <v>637</v>
      </c>
    </row>
    <row r="61" spans="1:3" x14ac:dyDescent="0.35">
      <c r="A61" t="s">
        <v>497</v>
      </c>
      <c r="B61" t="str">
        <f>VLOOKUP(A61,'Diccionario 2023'!$C$2:$H$219,6,0)</f>
        <v>INT2</v>
      </c>
      <c r="C61" t="s">
        <v>497</v>
      </c>
    </row>
    <row r="62" spans="1:3" x14ac:dyDescent="0.35">
      <c r="A62" t="s">
        <v>494</v>
      </c>
      <c r="B62" t="str">
        <f>VLOOKUP(A62,'Diccionario 2023'!$C$2:$H$219,6,0)</f>
        <v>INT3</v>
      </c>
      <c r="C62" t="s">
        <v>494</v>
      </c>
    </row>
    <row r="63" spans="1:3" x14ac:dyDescent="0.35">
      <c r="A63" t="s">
        <v>1014</v>
      </c>
      <c r="B63" t="str">
        <f>VLOOKUP(A63,'Diccionario 2023'!$C$2:$H$219,6,0)</f>
        <v>INT4</v>
      </c>
      <c r="C63" t="s">
        <v>1014</v>
      </c>
    </row>
    <row r="64" spans="1:3" x14ac:dyDescent="0.35">
      <c r="A64" t="s">
        <v>1015</v>
      </c>
      <c r="B64" t="str">
        <f>VLOOKUP(A64,'Diccionario 2023'!$C$2:$H$219,6,0)</f>
        <v>INT5</v>
      </c>
      <c r="C64" t="s">
        <v>1015</v>
      </c>
    </row>
    <row r="65" spans="1:3" x14ac:dyDescent="0.35">
      <c r="A65" t="s">
        <v>491</v>
      </c>
      <c r="B65" t="str">
        <f>VLOOKUP(A65,'Diccionario 2023'!$C$2:$H$219,6,0)</f>
        <v>INT6</v>
      </c>
      <c r="C65" t="s">
        <v>491</v>
      </c>
    </row>
    <row r="66" spans="1:3" x14ac:dyDescent="0.35">
      <c r="A66" t="s">
        <v>492</v>
      </c>
      <c r="B66" t="str">
        <f>VLOOKUP(A66,'Diccionario 2023'!$C$2:$H$219,6,0)</f>
        <v>INT7</v>
      </c>
      <c r="C66" t="s">
        <v>492</v>
      </c>
    </row>
    <row r="67" spans="1:3" x14ac:dyDescent="0.35">
      <c r="A67" t="s">
        <v>499</v>
      </c>
      <c r="B67" t="str">
        <f>VLOOKUP(A67,'Diccionario 2023'!$C$2:$H$219,6,0)</f>
        <v>INT8</v>
      </c>
      <c r="C67" t="s">
        <v>499</v>
      </c>
    </row>
    <row r="68" spans="1:3" x14ac:dyDescent="0.35">
      <c r="A68" t="s">
        <v>500</v>
      </c>
      <c r="B68" t="str">
        <f>VLOOKUP(A68,'Diccionario 2023'!$C$2:$H$219,6,0)</f>
        <v>INT9</v>
      </c>
      <c r="C68" t="s">
        <v>500</v>
      </c>
    </row>
    <row r="69" spans="1:3" x14ac:dyDescent="0.35">
      <c r="A69" t="s">
        <v>1016</v>
      </c>
      <c r="B69" t="str">
        <f>VLOOKUP(A69,'Diccionario 2023'!$C$2:$H$219,6,0)</f>
        <v>INT10</v>
      </c>
      <c r="C69" t="s">
        <v>1016</v>
      </c>
    </row>
    <row r="70" spans="1:3" x14ac:dyDescent="0.35">
      <c r="A70" t="s">
        <v>502</v>
      </c>
      <c r="B70" t="str">
        <f>VLOOKUP(A70,'Diccionario 2023'!$C$2:$H$219,6,0)</f>
        <v>INT11</v>
      </c>
      <c r="C70" t="s">
        <v>502</v>
      </c>
    </row>
    <row r="71" spans="1:3" x14ac:dyDescent="0.35">
      <c r="A71" t="s">
        <v>503</v>
      </c>
      <c r="B71" t="str">
        <f>VLOOKUP(A71,'Diccionario 2023'!$C$2:$H$219,6,0)</f>
        <v>INT12</v>
      </c>
      <c r="C71" t="s">
        <v>503</v>
      </c>
    </row>
    <row r="72" spans="1:3" x14ac:dyDescent="0.35">
      <c r="A72" t="s">
        <v>1017</v>
      </c>
      <c r="B72" t="str">
        <f>VLOOKUP(A72,'Diccionario 2023'!$C$2:$H$219,6,0)</f>
        <v>INT13</v>
      </c>
      <c r="C72" t="s">
        <v>1017</v>
      </c>
    </row>
    <row r="73" spans="1:3" x14ac:dyDescent="0.35">
      <c r="A73" t="s">
        <v>1018</v>
      </c>
      <c r="B73" t="str">
        <f>VLOOKUP(A73,'Diccionario 2023'!$C$2:$H$219,6,0)</f>
        <v>INT14</v>
      </c>
      <c r="C73" t="s">
        <v>1018</v>
      </c>
    </row>
    <row r="74" spans="1:3" x14ac:dyDescent="0.35">
      <c r="A74" t="s">
        <v>1019</v>
      </c>
      <c r="B74" t="str">
        <f>VLOOKUP(A74,'Diccionario 2023'!$C$2:$H$219,6,0)</f>
        <v>INT15</v>
      </c>
      <c r="C74" t="s">
        <v>1019</v>
      </c>
    </row>
    <row r="75" spans="1:3" x14ac:dyDescent="0.35">
      <c r="A75" t="s">
        <v>1020</v>
      </c>
      <c r="B75" t="str">
        <f>VLOOKUP(A75,'Diccionario 2023'!$C$2:$H$219,6,0)</f>
        <v>INT16</v>
      </c>
      <c r="C75" t="s">
        <v>1020</v>
      </c>
    </row>
    <row r="76" spans="1:3" x14ac:dyDescent="0.35">
      <c r="A76" t="s">
        <v>1021</v>
      </c>
      <c r="B76" t="str">
        <f>VLOOKUP(A76,'Diccionario 2023'!$C$2:$H$219,6,0)</f>
        <v>INT17</v>
      </c>
      <c r="C76" t="s">
        <v>1021</v>
      </c>
    </row>
    <row r="77" spans="1:3" x14ac:dyDescent="0.35">
      <c r="A77" t="s">
        <v>1022</v>
      </c>
      <c r="B77" t="str">
        <f>VLOOKUP(A77,'Diccionario 2023'!$C$2:$H$219,6,0)</f>
        <v>INT18</v>
      </c>
      <c r="C77" t="s">
        <v>1022</v>
      </c>
    </row>
    <row r="78" spans="1:3" x14ac:dyDescent="0.35">
      <c r="A78" t="s">
        <v>996</v>
      </c>
      <c r="B78" t="s">
        <v>1193</v>
      </c>
      <c r="C78" t="s">
        <v>996</v>
      </c>
    </row>
    <row r="79" spans="1:3" x14ac:dyDescent="0.35">
      <c r="A79" t="s">
        <v>994</v>
      </c>
      <c r="B79" t="s">
        <v>1194</v>
      </c>
      <c r="C79" t="s">
        <v>994</v>
      </c>
    </row>
    <row r="80" spans="1:3" x14ac:dyDescent="0.35">
      <c r="A80" t="s">
        <v>1023</v>
      </c>
      <c r="B80" t="str">
        <f>VLOOKUP(A80,'Diccionario 2023'!$C$2:$H$219,6,0)</f>
        <v>PRA1</v>
      </c>
      <c r="C80" t="s">
        <v>1023</v>
      </c>
    </row>
    <row r="81" spans="1:3" x14ac:dyDescent="0.35">
      <c r="A81" t="s">
        <v>996</v>
      </c>
      <c r="B81" t="s">
        <v>1196</v>
      </c>
      <c r="C81" t="s">
        <v>996</v>
      </c>
    </row>
    <row r="82" spans="1:3" x14ac:dyDescent="0.35">
      <c r="A82" t="s">
        <v>994</v>
      </c>
      <c r="B82" t="s">
        <v>1197</v>
      </c>
      <c r="C82" t="s">
        <v>994</v>
      </c>
    </row>
    <row r="83" spans="1:3" x14ac:dyDescent="0.35">
      <c r="A83" t="s">
        <v>1024</v>
      </c>
      <c r="B83" t="s">
        <v>1198</v>
      </c>
      <c r="C83" t="s">
        <v>1024</v>
      </c>
    </row>
    <row r="84" spans="1:3" x14ac:dyDescent="0.35">
      <c r="A84" t="s">
        <v>1025</v>
      </c>
      <c r="B84" t="str">
        <f>VLOOKUP(A84,'Diccionario 2023'!$C$2:$H$219,6,0)</f>
        <v>PLA1</v>
      </c>
      <c r="C84" t="s">
        <v>1025</v>
      </c>
    </row>
    <row r="85" spans="1:3" x14ac:dyDescent="0.35">
      <c r="A85" t="s">
        <v>1026</v>
      </c>
      <c r="B85" t="str">
        <f>VLOOKUP(A85,'Diccionario 2023'!$C$2:$H$219,6,0)</f>
        <v>PLA2</v>
      </c>
      <c r="C85" t="s">
        <v>1026</v>
      </c>
    </row>
    <row r="86" spans="1:3" x14ac:dyDescent="0.35">
      <c r="A86" t="s">
        <v>1027</v>
      </c>
      <c r="B86" t="str">
        <f>VLOOKUP(A86,'Diccionario 2023'!$C$2:$H$219,6,0)</f>
        <v>PLA3</v>
      </c>
      <c r="C86" t="s">
        <v>1027</v>
      </c>
    </row>
    <row r="87" spans="1:3" x14ac:dyDescent="0.35">
      <c r="A87" t="s">
        <v>1028</v>
      </c>
      <c r="B87" t="str">
        <f>VLOOKUP(A87,'Diccionario 2023'!$C$2:$H$219,6,0)</f>
        <v>PLA4</v>
      </c>
      <c r="C87" t="s">
        <v>1028</v>
      </c>
    </row>
    <row r="88" spans="1:3" x14ac:dyDescent="0.35">
      <c r="A88" t="s">
        <v>1029</v>
      </c>
      <c r="B88" t="str">
        <f>VLOOKUP(A88,'Diccionario 2023'!$C$2:$H$219,6,0)</f>
        <v>PLA5</v>
      </c>
      <c r="C88" t="s">
        <v>1029</v>
      </c>
    </row>
    <row r="89" spans="1:3" x14ac:dyDescent="0.35">
      <c r="A89" t="s">
        <v>67</v>
      </c>
      <c r="B89" t="str">
        <f>VLOOKUP(A89,'Diccionario 2023'!$C$2:$H$219,6,0)</f>
        <v>PLA6</v>
      </c>
      <c r="C89" t="s">
        <v>67</v>
      </c>
    </row>
    <row r="90" spans="1:3" x14ac:dyDescent="0.35">
      <c r="A90" t="s">
        <v>1030</v>
      </c>
      <c r="B90" t="str">
        <f>VLOOKUP(A90,'Diccionario 2023'!$C$2:$H$219,6,0)</f>
        <v>PLA7</v>
      </c>
      <c r="C90" t="s">
        <v>1030</v>
      </c>
    </row>
    <row r="91" spans="1:3" x14ac:dyDescent="0.35">
      <c r="A91" t="s">
        <v>1031</v>
      </c>
      <c r="B91" t="str">
        <f>VLOOKUP(A91,'Diccionario 2023'!$C$2:$H$219,6,0)</f>
        <v>PLA8</v>
      </c>
      <c r="C91" t="s">
        <v>1031</v>
      </c>
    </row>
    <row r="92" spans="1:3" x14ac:dyDescent="0.35">
      <c r="A92" t="s">
        <v>1032</v>
      </c>
      <c r="B92" t="str">
        <f>VLOOKUP(A92,'Diccionario 2023'!$C$2:$H$219,6,0)</f>
        <v>PLA9</v>
      </c>
      <c r="C92" t="s">
        <v>1032</v>
      </c>
    </row>
    <row r="93" spans="1:3" x14ac:dyDescent="0.35">
      <c r="A93" t="s">
        <v>1033</v>
      </c>
      <c r="B93" t="str">
        <f>VLOOKUP(A93,'Diccionario 2023'!$C$2:$H$219,6,0)</f>
        <v>PLA10</v>
      </c>
      <c r="C93" t="s">
        <v>1033</v>
      </c>
    </row>
    <row r="94" spans="1:3" x14ac:dyDescent="0.35">
      <c r="A94" t="s">
        <v>1034</v>
      </c>
      <c r="B94" t="str">
        <f>VLOOKUP(A94,'Diccionario 2023'!$C$2:$H$219,6,0)</f>
        <v>PLA11</v>
      </c>
      <c r="C94" t="s">
        <v>1034</v>
      </c>
    </row>
    <row r="95" spans="1:3" x14ac:dyDescent="0.35">
      <c r="A95" t="s">
        <v>1035</v>
      </c>
      <c r="B95" t="str">
        <f>VLOOKUP(A95,'Diccionario 2023'!$C$2:$H$219,6,0)</f>
        <v>PLA12</v>
      </c>
      <c r="C95" t="s">
        <v>1035</v>
      </c>
    </row>
    <row r="96" spans="1:3" x14ac:dyDescent="0.35">
      <c r="A96" t="s">
        <v>1036</v>
      </c>
      <c r="B96" t="s">
        <v>1211</v>
      </c>
      <c r="C96" t="s">
        <v>1036</v>
      </c>
    </row>
    <row r="97" spans="1:3" x14ac:dyDescent="0.35">
      <c r="A97" t="s">
        <v>1037</v>
      </c>
      <c r="B97" t="s">
        <v>1212</v>
      </c>
      <c r="C97" t="s">
        <v>1037</v>
      </c>
    </row>
    <row r="98" spans="1:3" x14ac:dyDescent="0.35">
      <c r="A98" t="s">
        <v>993</v>
      </c>
      <c r="B98" t="s">
        <v>1213</v>
      </c>
      <c r="C98" t="s">
        <v>993</v>
      </c>
    </row>
    <row r="99" spans="1:3" x14ac:dyDescent="0.35">
      <c r="A99" t="s">
        <v>994</v>
      </c>
      <c r="B99" t="s">
        <v>1214</v>
      </c>
      <c r="C99" t="s">
        <v>994</v>
      </c>
    </row>
    <row r="100" spans="1:3" x14ac:dyDescent="0.35">
      <c r="A100" t="s">
        <v>1038</v>
      </c>
      <c r="B100" t="str">
        <f>VLOOKUP(A100,'Diccionario 2023'!$C$2:$H$219,6,0)</f>
        <v>REG1</v>
      </c>
      <c r="C100" t="s">
        <v>1038</v>
      </c>
    </row>
    <row r="101" spans="1:3" x14ac:dyDescent="0.35">
      <c r="A101" t="s">
        <v>1039</v>
      </c>
      <c r="B101" t="str">
        <f>VLOOKUP(A101,'Diccionario 2023'!$C$2:$H$219,6,0)</f>
        <v>REG2</v>
      </c>
      <c r="C101" t="s">
        <v>1039</v>
      </c>
    </row>
    <row r="102" spans="1:3" x14ac:dyDescent="0.35">
      <c r="A102" t="s">
        <v>74</v>
      </c>
      <c r="B102" t="str">
        <f>VLOOKUP(A102,'Diccionario 2023'!$C$2:$H$219,6,0)</f>
        <v>REG3</v>
      </c>
      <c r="C102" t="s">
        <v>74</v>
      </c>
    </row>
    <row r="103" spans="1:3" x14ac:dyDescent="0.35">
      <c r="A103" t="s">
        <v>1040</v>
      </c>
      <c r="B103" t="str">
        <f>VLOOKUP(A103,'Diccionario 2023'!$C$2:$H$219,6,0)</f>
        <v>REG4</v>
      </c>
      <c r="C103" t="s">
        <v>1040</v>
      </c>
    </row>
    <row r="104" spans="1:3" x14ac:dyDescent="0.35">
      <c r="A104" t="s">
        <v>1041</v>
      </c>
      <c r="B104" t="str">
        <f>VLOOKUP(A104,'Diccionario 2023'!$C$2:$H$219,6,0)</f>
        <v>REG5</v>
      </c>
      <c r="C104" t="s">
        <v>1041</v>
      </c>
    </row>
    <row r="105" spans="1:3" x14ac:dyDescent="0.35">
      <c r="A105" t="s">
        <v>77</v>
      </c>
      <c r="B105" t="str">
        <f>VLOOKUP(A105,'Diccionario 2023'!$C$2:$H$219,6,0)</f>
        <v>REG6</v>
      </c>
      <c r="C105" t="s">
        <v>77</v>
      </c>
    </row>
    <row r="106" spans="1:3" x14ac:dyDescent="0.35">
      <c r="A106" t="s">
        <v>1042</v>
      </c>
      <c r="B106" t="str">
        <f>VLOOKUP(A106,'Diccionario 2023'!$C$2:$H$219,6,0)</f>
        <v>REG7</v>
      </c>
      <c r="C106" t="s">
        <v>1042</v>
      </c>
    </row>
    <row r="107" spans="1:3" x14ac:dyDescent="0.35">
      <c r="A107" t="s">
        <v>1043</v>
      </c>
      <c r="B107" t="str">
        <f>VLOOKUP(A107,'Diccionario 2023'!$C$2:$H$219,6,0)</f>
        <v>REG8</v>
      </c>
      <c r="C107" t="s">
        <v>1043</v>
      </c>
    </row>
    <row r="108" spans="1:3" x14ac:dyDescent="0.35">
      <c r="A108" t="s">
        <v>993</v>
      </c>
      <c r="B108" t="s">
        <v>1223</v>
      </c>
      <c r="C108" t="s">
        <v>993</v>
      </c>
    </row>
    <row r="109" spans="1:3" x14ac:dyDescent="0.35">
      <c r="A109" t="s">
        <v>994</v>
      </c>
      <c r="B109" t="s">
        <v>1224</v>
      </c>
      <c r="C109" t="s">
        <v>994</v>
      </c>
    </row>
    <row r="110" spans="1:3" x14ac:dyDescent="0.35">
      <c r="A110" t="s">
        <v>1044</v>
      </c>
      <c r="B110" t="str">
        <f>VLOOKUP(A110,'Diccionario 2023'!$C$2:$H$219,6,0)</f>
        <v>FIN1</v>
      </c>
      <c r="C110" t="s">
        <v>1044</v>
      </c>
    </row>
    <row r="111" spans="1:3" x14ac:dyDescent="0.35">
      <c r="A111" t="s">
        <v>667</v>
      </c>
      <c r="B111" t="str">
        <f>VLOOKUP(A111,'Diccionario 2023'!$C$2:$H$219,6,0)</f>
        <v>FIN2</v>
      </c>
      <c r="C111" t="s">
        <v>667</v>
      </c>
    </row>
    <row r="112" spans="1:3" x14ac:dyDescent="0.35">
      <c r="A112" t="s">
        <v>658</v>
      </c>
      <c r="B112" t="str">
        <f>VLOOKUP(A112,'Diccionario 2023'!$C$2:$H$219,6,0)</f>
        <v>FIN3</v>
      </c>
      <c r="C112" t="s">
        <v>658</v>
      </c>
    </row>
    <row r="113" spans="1:3" x14ac:dyDescent="0.35">
      <c r="A113" t="s">
        <v>657</v>
      </c>
      <c r="B113" t="str">
        <f>VLOOKUP(A113,'Diccionario 2023'!$C$2:$H$219,6,0)</f>
        <v>FIN4</v>
      </c>
      <c r="C113" t="s">
        <v>657</v>
      </c>
    </row>
    <row r="114" spans="1:3" x14ac:dyDescent="0.35">
      <c r="A114" t="s">
        <v>660</v>
      </c>
      <c r="B114" t="str">
        <f>VLOOKUP(A114,'Diccionario 2023'!$C$2:$H$219,6,0)</f>
        <v>FIN5</v>
      </c>
      <c r="C114" t="s">
        <v>660</v>
      </c>
    </row>
    <row r="115" spans="1:3" x14ac:dyDescent="0.35">
      <c r="A115" t="s">
        <v>665</v>
      </c>
      <c r="B115" t="str">
        <f>VLOOKUP(A115,'Diccionario 2023'!$C$2:$H$219,6,0)</f>
        <v>FIN6</v>
      </c>
      <c r="C115" t="s">
        <v>665</v>
      </c>
    </row>
    <row r="116" spans="1:3" x14ac:dyDescent="0.35">
      <c r="A116" t="s">
        <v>1045</v>
      </c>
      <c r="B116" t="str">
        <f>VLOOKUP(A116,'Diccionario 2023'!$C$2:$H$219,6,0)</f>
        <v>FIN7</v>
      </c>
      <c r="C116" t="s">
        <v>1045</v>
      </c>
    </row>
    <row r="117" spans="1:3" x14ac:dyDescent="0.35">
      <c r="A117" t="s">
        <v>668</v>
      </c>
      <c r="B117" t="str">
        <f>VLOOKUP(A117,'Diccionario 2023'!$C$2:$H$219,6,0)</f>
        <v>FIN8</v>
      </c>
      <c r="C117" t="s">
        <v>668</v>
      </c>
    </row>
    <row r="118" spans="1:3" x14ac:dyDescent="0.35">
      <c r="A118" t="s">
        <v>661</v>
      </c>
      <c r="B118" t="str">
        <f>VLOOKUP(A118,'Diccionario 2023'!$C$2:$H$219,6,0)</f>
        <v>FIN9</v>
      </c>
      <c r="C118" t="s">
        <v>661</v>
      </c>
    </row>
    <row r="119" spans="1:3" x14ac:dyDescent="0.35">
      <c r="A119" t="s">
        <v>662</v>
      </c>
      <c r="B119" t="str">
        <f>VLOOKUP(A119,'Diccionario 2023'!$C$2:$H$219,6,0)</f>
        <v>FIN10</v>
      </c>
      <c r="C119" t="s">
        <v>662</v>
      </c>
    </row>
    <row r="120" spans="1:3" x14ac:dyDescent="0.35">
      <c r="A120" t="s">
        <v>669</v>
      </c>
      <c r="B120" t="str">
        <f>VLOOKUP(A120,'Diccionario 2023'!$C$2:$H$219,6,0)</f>
        <v>FIN11</v>
      </c>
      <c r="C120" t="s">
        <v>669</v>
      </c>
    </row>
    <row r="121" spans="1:3" x14ac:dyDescent="0.35">
      <c r="A121" t="s">
        <v>520</v>
      </c>
      <c r="B121" t="str">
        <f>VLOOKUP(A121,'Diccionario 2023'!$C$2:$H$219,6,0)</f>
        <v>FIN12</v>
      </c>
      <c r="C121" t="s">
        <v>520</v>
      </c>
    </row>
    <row r="122" spans="1:3" x14ac:dyDescent="0.35">
      <c r="A122" t="s">
        <v>1046</v>
      </c>
      <c r="B122" t="str">
        <f>VLOOKUP(A122,'Diccionario 2023'!$C$2:$H$219,6,0)</f>
        <v>FIN13</v>
      </c>
      <c r="C122" t="s">
        <v>1046</v>
      </c>
    </row>
    <row r="123" spans="1:3" x14ac:dyDescent="0.35">
      <c r="A123" t="s">
        <v>993</v>
      </c>
      <c r="B123" t="s">
        <v>1238</v>
      </c>
      <c r="C123" t="s">
        <v>993</v>
      </c>
    </row>
    <row r="124" spans="1:3" x14ac:dyDescent="0.35">
      <c r="A124" t="s">
        <v>994</v>
      </c>
      <c r="B124" t="s">
        <v>1239</v>
      </c>
      <c r="C124" t="s">
        <v>994</v>
      </c>
    </row>
    <row r="125" spans="1:3" x14ac:dyDescent="0.35">
      <c r="A125" t="s">
        <v>1047</v>
      </c>
      <c r="B125" t="str">
        <f>VLOOKUP(A125,'Diccionario 2023'!$C$2:$H$219,6,0)</f>
        <v>COM1</v>
      </c>
      <c r="C125" t="s">
        <v>1047</v>
      </c>
    </row>
    <row r="126" spans="1:3" x14ac:dyDescent="0.35">
      <c r="A126" t="s">
        <v>524</v>
      </c>
      <c r="B126" t="str">
        <f>VLOOKUP(A126,'Diccionario 2023'!$C$2:$H$219,6,0)</f>
        <v>COM2</v>
      </c>
      <c r="C126" t="s">
        <v>524</v>
      </c>
    </row>
    <row r="127" spans="1:3" x14ac:dyDescent="0.35">
      <c r="A127" t="s">
        <v>525</v>
      </c>
      <c r="B127" t="str">
        <f>VLOOKUP(A127,'Diccionario 2023'!$C$2:$H$219,6,0)</f>
        <v>COM3</v>
      </c>
      <c r="C127" t="s">
        <v>525</v>
      </c>
    </row>
    <row r="128" spans="1:3" x14ac:dyDescent="0.35">
      <c r="A128" t="s">
        <v>527</v>
      </c>
      <c r="B128" t="str">
        <f>VLOOKUP(A128,'Diccionario 2023'!$C$2:$H$219,6,0)</f>
        <v>COM4</v>
      </c>
      <c r="C128" t="s">
        <v>527</v>
      </c>
    </row>
    <row r="129" spans="1:3" x14ac:dyDescent="0.35">
      <c r="A129" t="s">
        <v>1048</v>
      </c>
      <c r="B129" t="str">
        <f>VLOOKUP(A129,'Diccionario 2023'!$C$2:$H$219,6,0)</f>
        <v>COM5</v>
      </c>
      <c r="C129" t="s">
        <v>1048</v>
      </c>
    </row>
    <row r="130" spans="1:3" x14ac:dyDescent="0.35">
      <c r="A130" t="s">
        <v>886</v>
      </c>
      <c r="B130" t="str">
        <f>VLOOKUP(A130,'Diccionario 2023'!$C$2:$H$219,6,0)</f>
        <v>COM6</v>
      </c>
      <c r="C130" t="s">
        <v>886</v>
      </c>
    </row>
    <row r="131" spans="1:3" x14ac:dyDescent="0.35">
      <c r="A131" t="s">
        <v>526</v>
      </c>
      <c r="B131" t="str">
        <f>VLOOKUP(A131,'Diccionario 2023'!$C$2:$H$219,6,0)</f>
        <v>COM7</v>
      </c>
      <c r="C131" t="s">
        <v>526</v>
      </c>
    </row>
    <row r="132" spans="1:3" x14ac:dyDescent="0.35">
      <c r="A132" t="s">
        <v>1049</v>
      </c>
      <c r="B132" t="str">
        <f>VLOOKUP(A132,'Diccionario 2023'!$C$2:$H$219,6,0)</f>
        <v>COM8</v>
      </c>
      <c r="C132" t="s">
        <v>1049</v>
      </c>
    </row>
    <row r="133" spans="1:3" x14ac:dyDescent="0.35">
      <c r="A133" t="s">
        <v>529</v>
      </c>
      <c r="B133" t="str">
        <f>VLOOKUP(A133,'Diccionario 2023'!$C$2:$H$219,6,0)</f>
        <v>COM9</v>
      </c>
      <c r="C133" t="s">
        <v>529</v>
      </c>
    </row>
    <row r="134" spans="1:3" x14ac:dyDescent="0.35">
      <c r="A134" t="s">
        <v>1050</v>
      </c>
      <c r="B134" t="str">
        <f>VLOOKUP(A134,'Diccionario 2023'!$C$2:$H$219,6,0)</f>
        <v>COM10</v>
      </c>
      <c r="C134" t="s">
        <v>1050</v>
      </c>
    </row>
    <row r="135" spans="1:3" x14ac:dyDescent="0.35">
      <c r="A135" t="s">
        <v>1051</v>
      </c>
      <c r="B135" t="str">
        <f>VLOOKUP(A135,'Diccionario 2023'!$C$2:$H$219,6,0)</f>
        <v>COM11</v>
      </c>
      <c r="C135" t="s">
        <v>1051</v>
      </c>
    </row>
    <row r="136" spans="1:3" x14ac:dyDescent="0.35">
      <c r="A136" t="s">
        <v>1052</v>
      </c>
      <c r="B136" t="str">
        <f>VLOOKUP(A136,'Diccionario 2023'!$C$2:$H$219,6,0)</f>
        <v>COM12</v>
      </c>
      <c r="C136" t="s">
        <v>1052</v>
      </c>
    </row>
    <row r="137" spans="1:3" x14ac:dyDescent="0.35">
      <c r="A137" t="s">
        <v>1053</v>
      </c>
      <c r="B137" t="str">
        <f>VLOOKUP(A137,'Diccionario 2023'!$C$2:$H$219,6,0)</f>
        <v>COM13</v>
      </c>
      <c r="C137" t="s">
        <v>1053</v>
      </c>
    </row>
    <row r="138" spans="1:3" x14ac:dyDescent="0.35">
      <c r="A138" t="s">
        <v>734</v>
      </c>
      <c r="B138" t="str">
        <f>VLOOKUP(A138,'Diccionario 2023'!$C$2:$H$219,6,0)</f>
        <v>COM14</v>
      </c>
      <c r="C138" t="s">
        <v>734</v>
      </c>
    </row>
    <row r="139" spans="1:3" x14ac:dyDescent="0.35">
      <c r="A139" t="s">
        <v>1054</v>
      </c>
      <c r="B139" t="s">
        <v>1254</v>
      </c>
      <c r="C139" t="s">
        <v>1119</v>
      </c>
    </row>
    <row r="140" spans="1:3" x14ac:dyDescent="0.35">
      <c r="A140" t="s">
        <v>146</v>
      </c>
      <c r="B140" t="str">
        <f>VLOOKUP(A140,'Diccionario 2023'!$C$2:$H$219,6,0)</f>
        <v>PLF1</v>
      </c>
      <c r="C140" t="s">
        <v>146</v>
      </c>
    </row>
    <row r="141" spans="1:3" x14ac:dyDescent="0.35">
      <c r="A141" t="s">
        <v>685</v>
      </c>
      <c r="B141" t="str">
        <f>VLOOKUP(A141,'Diccionario 2023'!$C$2:$H$219,6,0)</f>
        <v>PLF2</v>
      </c>
      <c r="C141" t="s">
        <v>685</v>
      </c>
    </row>
    <row r="142" spans="1:3" x14ac:dyDescent="0.35">
      <c r="A142" t="s">
        <v>148</v>
      </c>
      <c r="B142" t="str">
        <f>VLOOKUP(A142,'Diccionario 2023'!$C$2:$H$219,6,0)</f>
        <v>PLF3</v>
      </c>
      <c r="C142" t="s">
        <v>148</v>
      </c>
    </row>
    <row r="143" spans="1:3" x14ac:dyDescent="0.35">
      <c r="A143" t="s">
        <v>686</v>
      </c>
      <c r="B143" t="str">
        <f>VLOOKUP(A143,'Diccionario 2023'!$C$2:$H$219,6,0)</f>
        <v>PLF4</v>
      </c>
      <c r="C143" t="s">
        <v>686</v>
      </c>
    </row>
    <row r="144" spans="1:3" x14ac:dyDescent="0.35">
      <c r="A144" t="s">
        <v>95</v>
      </c>
      <c r="B144" t="str">
        <f>VLOOKUP(A144,'Diccionario 2023'!$C$2:$H$219,6,0)</f>
        <v>PLF5</v>
      </c>
      <c r="C144" t="s">
        <v>95</v>
      </c>
    </row>
    <row r="145" spans="1:3" x14ac:dyDescent="0.35">
      <c r="A145" t="s">
        <v>687</v>
      </c>
      <c r="B145" t="str">
        <f>VLOOKUP(A145,'Diccionario 2023'!$C$2:$H$219,6,0)</f>
        <v>PLF6</v>
      </c>
      <c r="C145" t="s">
        <v>687</v>
      </c>
    </row>
    <row r="146" spans="1:3" x14ac:dyDescent="0.35">
      <c r="A146" t="s">
        <v>895</v>
      </c>
      <c r="B146" t="str">
        <f>VLOOKUP(A146,'Diccionario 2023'!$C$2:$H$219,6,0)</f>
        <v>PLF7</v>
      </c>
      <c r="C146" t="s">
        <v>895</v>
      </c>
    </row>
    <row r="147" spans="1:3" x14ac:dyDescent="0.35">
      <c r="A147" t="s">
        <v>1055</v>
      </c>
      <c r="B147" t="str">
        <f>VLOOKUP(A147,'Diccionario 2023'!$C$2:$H$219,6,0)</f>
        <v>PLF8</v>
      </c>
      <c r="C147" t="s">
        <v>1055</v>
      </c>
    </row>
    <row r="148" spans="1:3" x14ac:dyDescent="0.35">
      <c r="A148" t="s">
        <v>1056</v>
      </c>
      <c r="B148" t="str">
        <f>VLOOKUP(A148,'Diccionario 2023'!$C$2:$H$219,6,0)</f>
        <v>PLF9</v>
      </c>
      <c r="C148" t="s">
        <v>1056</v>
      </c>
    </row>
    <row r="149" spans="1:3" x14ac:dyDescent="0.35">
      <c r="A149" t="s">
        <v>1057</v>
      </c>
      <c r="B149" t="str">
        <f>VLOOKUP(A149,'Diccionario 2023'!$C$2:$H$219,6,0)</f>
        <v>PLF10</v>
      </c>
      <c r="C149" t="s">
        <v>1057</v>
      </c>
    </row>
    <row r="150" spans="1:3" x14ac:dyDescent="0.35">
      <c r="A150" t="s">
        <v>1058</v>
      </c>
      <c r="B150" t="str">
        <f>VLOOKUP(A150,'Diccionario 2023'!$C$2:$H$219,6,0)</f>
        <v>PLF11</v>
      </c>
      <c r="C150" t="s">
        <v>1058</v>
      </c>
    </row>
    <row r="151" spans="1:3" x14ac:dyDescent="0.35">
      <c r="A151" t="s">
        <v>903</v>
      </c>
      <c r="B151" t="str">
        <f>VLOOKUP(A151,'Diccionario 2023'!$C$2:$H$219,6,0)</f>
        <v>PLF12</v>
      </c>
      <c r="C151" t="s">
        <v>903</v>
      </c>
    </row>
    <row r="152" spans="1:3" x14ac:dyDescent="0.35">
      <c r="A152" t="s">
        <v>1059</v>
      </c>
      <c r="B152" t="str">
        <f>VLOOKUP(A152,'Diccionario 2023'!$C$2:$H$219,6,0)</f>
        <v>PLF13</v>
      </c>
      <c r="C152" t="s">
        <v>1059</v>
      </c>
    </row>
    <row r="153" spans="1:3" x14ac:dyDescent="0.35">
      <c r="A153" t="s">
        <v>1060</v>
      </c>
      <c r="B153" t="str">
        <f>VLOOKUP(A153,'Diccionario 2023'!$C$2:$H$219,6,0)</f>
        <v>PLF14</v>
      </c>
      <c r="C153" t="s">
        <v>1060</v>
      </c>
    </row>
    <row r="154" spans="1:3" x14ac:dyDescent="0.35">
      <c r="A154" t="s">
        <v>94</v>
      </c>
      <c r="B154" t="str">
        <f>VLOOKUP(A154,'Diccionario 2023'!$C$2:$H$219,6,0)</f>
        <v>PLF15</v>
      </c>
      <c r="C154" t="s">
        <v>94</v>
      </c>
    </row>
    <row r="155" spans="1:3" x14ac:dyDescent="0.35">
      <c r="A155" t="s">
        <v>95</v>
      </c>
      <c r="B155" t="str">
        <f>VLOOKUP(A155,'Diccionario 2023'!$C$2:$H$219,6,0)</f>
        <v>PLF5</v>
      </c>
      <c r="C155" t="s">
        <v>95</v>
      </c>
    </row>
    <row r="156" spans="1:3" x14ac:dyDescent="0.35">
      <c r="A156" t="s">
        <v>1061</v>
      </c>
      <c r="B156" t="str">
        <f>VLOOKUP(A156,'Diccionario 2023'!$C$2:$H$219,6,0)</f>
        <v>PLF17</v>
      </c>
      <c r="C156" t="s">
        <v>1061</v>
      </c>
    </row>
    <row r="157" spans="1:3" x14ac:dyDescent="0.35">
      <c r="A157" t="s">
        <v>97</v>
      </c>
      <c r="B157" t="str">
        <f>VLOOKUP(A157,'Diccionario 2023'!$C$2:$H$219,6,0)</f>
        <v>FIN2</v>
      </c>
      <c r="C157" t="s">
        <v>667</v>
      </c>
    </row>
    <row r="158" spans="1:3" x14ac:dyDescent="0.35">
      <c r="A158" t="s">
        <v>98</v>
      </c>
      <c r="B158" t="str">
        <f>VLOOKUP(A158,'Diccionario 2023'!$C$2:$H$219,6,0)</f>
        <v>PLF19</v>
      </c>
      <c r="C158" t="s">
        <v>98</v>
      </c>
    </row>
    <row r="159" spans="1:3" x14ac:dyDescent="0.35">
      <c r="A159" t="s">
        <v>1062</v>
      </c>
      <c r="B159" t="str">
        <f>VLOOKUP(A159,'Diccionario 2023'!$C$2:$H$219,6,0)</f>
        <v>EXP1</v>
      </c>
      <c r="C159" t="s">
        <v>1062</v>
      </c>
    </row>
    <row r="160" spans="1:3" x14ac:dyDescent="0.35">
      <c r="A160" t="s">
        <v>1063</v>
      </c>
      <c r="B160" t="str">
        <f>VLOOKUP(A160,'Diccionario 2023'!$C$2:$H$219,6,0)</f>
        <v>EXP2</v>
      </c>
      <c r="C160" t="s">
        <v>1063</v>
      </c>
    </row>
    <row r="161" spans="1:3" x14ac:dyDescent="0.35">
      <c r="A161" t="s">
        <v>1064</v>
      </c>
      <c r="B161" t="str">
        <f>VLOOKUP(A161,'Diccionario 2023'!$C$2:$H$219,6,0)</f>
        <v>EXP3</v>
      </c>
      <c r="C161" t="s">
        <v>1064</v>
      </c>
    </row>
    <row r="162" spans="1:3" x14ac:dyDescent="0.35">
      <c r="A162" t="s">
        <v>1065</v>
      </c>
      <c r="B162" t="str">
        <f>VLOOKUP(A162,'Diccionario 2023'!$C$2:$H$219,6,0)</f>
        <v>EXP4</v>
      </c>
      <c r="C162" t="s">
        <v>1065</v>
      </c>
    </row>
    <row r="163" spans="1:3" x14ac:dyDescent="0.35">
      <c r="A163" t="s">
        <v>1066</v>
      </c>
      <c r="B163" t="str">
        <f>VLOOKUP(A163,'Diccionario 2023'!$C$2:$H$219,6,0)</f>
        <v>EXP5</v>
      </c>
      <c r="C163" t="s">
        <v>1066</v>
      </c>
    </row>
    <row r="164" spans="1:3" x14ac:dyDescent="0.35">
      <c r="A164" t="s">
        <v>1067</v>
      </c>
      <c r="B164" t="str">
        <f>VLOOKUP(A164,'Diccionario 2023'!$C$2:$H$219,6,0)</f>
        <v>EXP6</v>
      </c>
      <c r="C164" t="s">
        <v>1067</v>
      </c>
    </row>
    <row r="165" spans="1:3" x14ac:dyDescent="0.35">
      <c r="A165" t="s">
        <v>1068</v>
      </c>
      <c r="B165" t="str">
        <f>VLOOKUP(A165,'Diccionario 2023'!$C$2:$H$219,6,0)</f>
        <v>EXP7</v>
      </c>
      <c r="C165" t="s">
        <v>1068</v>
      </c>
    </row>
    <row r="166" spans="1:3" x14ac:dyDescent="0.35">
      <c r="A166" t="s">
        <v>1069</v>
      </c>
      <c r="B166" t="str">
        <f>VLOOKUP(A166,'Diccionario 2023'!$C$2:$H$219,6,0)</f>
        <v>EXP8</v>
      </c>
      <c r="C166" t="s">
        <v>1069</v>
      </c>
    </row>
    <row r="167" spans="1:3" x14ac:dyDescent="0.35">
      <c r="A167" t="s">
        <v>1070</v>
      </c>
      <c r="B167" t="str">
        <f>VLOOKUP(A167,'Diccionario 2023'!$C$2:$H$219,6,0)</f>
        <v>EXP9</v>
      </c>
      <c r="C167" t="s">
        <v>1070</v>
      </c>
    </row>
    <row r="168" spans="1:3" x14ac:dyDescent="0.35">
      <c r="A168" t="s">
        <v>547</v>
      </c>
      <c r="B168" t="str">
        <f>VLOOKUP(A168,'Diccionario 2023'!$C$2:$H$219,6,0)</f>
        <v>EXP10</v>
      </c>
      <c r="C168" t="s">
        <v>547</v>
      </c>
    </row>
    <row r="169" spans="1:3" x14ac:dyDescent="0.35">
      <c r="A169" t="s">
        <v>1071</v>
      </c>
      <c r="B169" t="str">
        <f>VLOOKUP(A169,'Diccionario 2023'!$C$2:$H$219,6,0)</f>
        <v>EXP11</v>
      </c>
      <c r="C169" t="s">
        <v>1071</v>
      </c>
    </row>
    <row r="170" spans="1:3" x14ac:dyDescent="0.35">
      <c r="A170" t="s">
        <v>1072</v>
      </c>
      <c r="B170" t="str">
        <f>VLOOKUP(A170,'Diccionario 2023'!$C$2:$H$219,6,0)</f>
        <v>EXP12</v>
      </c>
      <c r="C170" t="s">
        <v>1072</v>
      </c>
    </row>
    <row r="171" spans="1:3" x14ac:dyDescent="0.35">
      <c r="A171" t="s">
        <v>1073</v>
      </c>
      <c r="B171" t="str">
        <f>VLOOKUP(A171,'Diccionario 2023'!$C$2:$H$219,6,0)</f>
        <v>EXP13</v>
      </c>
      <c r="C171" t="s">
        <v>1073</v>
      </c>
    </row>
    <row r="172" spans="1:3" x14ac:dyDescent="0.35">
      <c r="A172" t="s">
        <v>1074</v>
      </c>
      <c r="B172" t="str">
        <f>VLOOKUP(A172,'Diccionario 2023'!$C$2:$H$219,6,0)</f>
        <v>EXP14</v>
      </c>
      <c r="C172" t="s">
        <v>1074</v>
      </c>
    </row>
    <row r="173" spans="1:3" x14ac:dyDescent="0.35">
      <c r="A173" t="s">
        <v>1075</v>
      </c>
      <c r="B173" t="str">
        <f>VLOOKUP(A173,'Diccionario 2023'!$C$2:$H$219,6,0)</f>
        <v>EXP15</v>
      </c>
      <c r="C173" t="s">
        <v>1075</v>
      </c>
    </row>
    <row r="174" spans="1:3" x14ac:dyDescent="0.35">
      <c r="A174" t="s">
        <v>1076</v>
      </c>
      <c r="B174" t="str">
        <f>VLOOKUP(A174,'Diccionario 2023'!$C$2:$H$219,6,0)</f>
        <v>EXP16</v>
      </c>
      <c r="C174" t="s">
        <v>1076</v>
      </c>
    </row>
    <row r="175" spans="1:3" x14ac:dyDescent="0.35">
      <c r="A175" t="s">
        <v>1077</v>
      </c>
      <c r="B175" t="str">
        <f>VLOOKUP(A175,'Diccionario 2023'!$C$2:$H$219,6,0)</f>
        <v>EXP17</v>
      </c>
      <c r="C175" t="s">
        <v>1077</v>
      </c>
    </row>
    <row r="176" spans="1:3" x14ac:dyDescent="0.35">
      <c r="A176" t="s">
        <v>1078</v>
      </c>
      <c r="B176" t="str">
        <f>VLOOKUP(A176,'Diccionario 2023'!$C$2:$H$219,6,0)</f>
        <v>EXP18</v>
      </c>
      <c r="C176" t="s">
        <v>1078</v>
      </c>
    </row>
    <row r="177" spans="1:3" x14ac:dyDescent="0.35">
      <c r="A177" t="s">
        <v>1079</v>
      </c>
      <c r="B177" t="str">
        <f>VLOOKUP(A177,'Diccionario 2023'!$C$2:$H$219,6,0)</f>
        <v>EXP19</v>
      </c>
      <c r="C177" t="s">
        <v>1079</v>
      </c>
    </row>
    <row r="178" spans="1:3" x14ac:dyDescent="0.35">
      <c r="A178" t="s">
        <v>1080</v>
      </c>
      <c r="B178" t="str">
        <f>VLOOKUP(A178,'Diccionario 2023'!$C$2:$H$219,6,0)</f>
        <v>EXP20</v>
      </c>
      <c r="C178" t="s">
        <v>1080</v>
      </c>
    </row>
    <row r="179" spans="1:3" x14ac:dyDescent="0.35">
      <c r="A179" t="s">
        <v>1081</v>
      </c>
      <c r="B179" t="str">
        <f>VLOOKUP(A179,'Diccionario 2023'!$C$2:$H$219,6,0)</f>
        <v>EXP21</v>
      </c>
      <c r="C179" t="s">
        <v>1081</v>
      </c>
    </row>
    <row r="180" spans="1:3" x14ac:dyDescent="0.35">
      <c r="A180" t="s">
        <v>1082</v>
      </c>
      <c r="B180" t="str">
        <f>VLOOKUP(A180,'Diccionario 2023'!$C$2:$H$219,6,0)</f>
        <v>EXP22</v>
      </c>
      <c r="C180" t="s">
        <v>1082</v>
      </c>
    </row>
    <row r="181" spans="1:3" x14ac:dyDescent="0.35">
      <c r="A181" t="s">
        <v>1083</v>
      </c>
      <c r="B181" t="str">
        <f>VLOOKUP(A181,'Diccionario 2023'!$C$2:$H$219,6,0)</f>
        <v>EXP23</v>
      </c>
      <c r="C181" t="s">
        <v>1083</v>
      </c>
    </row>
    <row r="182" spans="1:3" x14ac:dyDescent="0.35">
      <c r="A182" t="s">
        <v>1084</v>
      </c>
      <c r="B182" t="str">
        <f>VLOOKUP(A182,'Diccionario 2023'!$C$2:$H$219,6,0)</f>
        <v>EXP24</v>
      </c>
      <c r="C182" t="s">
        <v>1084</v>
      </c>
    </row>
    <row r="183" spans="1:3" x14ac:dyDescent="0.35">
      <c r="A183" t="s">
        <v>1085</v>
      </c>
      <c r="B183" t="str">
        <f>VLOOKUP(A183,'Diccionario 2023'!$C$2:$H$219,6,0)</f>
        <v>EXP25</v>
      </c>
      <c r="C183" t="s">
        <v>1085</v>
      </c>
    </row>
    <row r="184" spans="1:3" x14ac:dyDescent="0.35">
      <c r="A184" t="s">
        <v>711</v>
      </c>
      <c r="B184" t="str">
        <f>VLOOKUP(A184,'Diccionario 2023'!$C$2:$H$219,6,0)</f>
        <v>EXP26</v>
      </c>
      <c r="C184" t="s">
        <v>711</v>
      </c>
    </row>
    <row r="185" spans="1:3" x14ac:dyDescent="0.35">
      <c r="A185" t="s">
        <v>1086</v>
      </c>
      <c r="B185" t="str">
        <f>VLOOKUP(A185,'Diccionario 2023'!$C$2:$H$219,6,0)</f>
        <v>EXP27</v>
      </c>
      <c r="C185" t="s">
        <v>1086</v>
      </c>
    </row>
    <row r="186" spans="1:3" x14ac:dyDescent="0.35">
      <c r="A186" t="s">
        <v>558</v>
      </c>
      <c r="B186" t="str">
        <f>VLOOKUP(A186,'Diccionario 2023'!$C$2:$H$219,6,0)</f>
        <v>EXP28</v>
      </c>
      <c r="C186" t="s">
        <v>558</v>
      </c>
    </row>
    <row r="187" spans="1:3" x14ac:dyDescent="0.35">
      <c r="A187" t="s">
        <v>712</v>
      </c>
      <c r="B187" t="str">
        <f>VLOOKUP(A187,'Diccionario 2023'!$C$2:$H$219,6,0)</f>
        <v>EXP29</v>
      </c>
      <c r="C187" t="s">
        <v>712</v>
      </c>
    </row>
    <row r="188" spans="1:3" x14ac:dyDescent="0.35">
      <c r="A188" t="s">
        <v>1087</v>
      </c>
      <c r="B188" t="str">
        <f>VLOOKUP(A188,'Diccionario 2023'!$C$2:$H$219,6,0)</f>
        <v>EXP30</v>
      </c>
      <c r="C188" t="s">
        <v>1087</v>
      </c>
    </row>
    <row r="189" spans="1:3" x14ac:dyDescent="0.35">
      <c r="A189" t="s">
        <v>711</v>
      </c>
      <c r="B189" t="str">
        <f>VLOOKUP(A189,'Diccionario 2023'!$C$2:$H$219,6,0)</f>
        <v>EXP26</v>
      </c>
      <c r="C189" t="s">
        <v>711</v>
      </c>
    </row>
    <row r="190" spans="1:3" x14ac:dyDescent="0.35">
      <c r="A190" t="s">
        <v>557</v>
      </c>
      <c r="B190" t="str">
        <f>VLOOKUP(A190,'Diccionario 2023'!$C$2:$H$219,6,0)</f>
        <v>EXP32</v>
      </c>
      <c r="C190" t="s">
        <v>557</v>
      </c>
    </row>
    <row r="191" spans="1:3" x14ac:dyDescent="0.35">
      <c r="A191" t="s">
        <v>558</v>
      </c>
      <c r="B191" t="str">
        <f>VLOOKUP(A191,'Diccionario 2023'!$C$2:$H$219,6,0)</f>
        <v>EXP28</v>
      </c>
      <c r="C191" t="s">
        <v>558</v>
      </c>
    </row>
    <row r="192" spans="1:3" x14ac:dyDescent="0.35">
      <c r="A192" t="s">
        <v>712</v>
      </c>
      <c r="B192" t="str">
        <f>VLOOKUP(A192,'Diccionario 2023'!$C$2:$H$219,6,0)</f>
        <v>EXP29</v>
      </c>
      <c r="C192" t="s">
        <v>712</v>
      </c>
    </row>
    <row r="193" spans="1:3" x14ac:dyDescent="0.35">
      <c r="A193" t="s">
        <v>1088</v>
      </c>
      <c r="B193" t="str">
        <f>VLOOKUP(A193,'Diccionario 2023'!$C$2:$H$219,6,0)</f>
        <v>EXP35</v>
      </c>
      <c r="C193" t="s">
        <v>1088</v>
      </c>
    </row>
    <row r="194" spans="1:3" x14ac:dyDescent="0.35">
      <c r="A194" t="s">
        <v>1089</v>
      </c>
      <c r="B194" t="str">
        <f>VLOOKUP(A194,'Diccionario 2023'!$C$2:$H$219,6,0)</f>
        <v>EXP36</v>
      </c>
      <c r="C194" t="s">
        <v>1089</v>
      </c>
    </row>
    <row r="195" spans="1:3" x14ac:dyDescent="0.35">
      <c r="A195" t="s">
        <v>1090</v>
      </c>
      <c r="B195" t="str">
        <f>VLOOKUP(A195,'Diccionario 2023'!$C$2:$H$219,6,0)</f>
        <v>EXP37</v>
      </c>
      <c r="C195" t="s">
        <v>1090</v>
      </c>
    </row>
    <row r="196" spans="1:3" x14ac:dyDescent="0.35">
      <c r="A196" t="s">
        <v>1091</v>
      </c>
      <c r="B196" t="str">
        <f>VLOOKUP(A196,'Diccionario 2023'!$C$2:$H$219,6,0)</f>
        <v>EXP38</v>
      </c>
      <c r="C196" t="s">
        <v>1091</v>
      </c>
    </row>
    <row r="197" spans="1:3" x14ac:dyDescent="0.35">
      <c r="A197" t="s">
        <v>1092</v>
      </c>
      <c r="B197" t="str">
        <f>VLOOKUP(A197,'Diccionario 2023'!$C$2:$H$219,6,0)</f>
        <v>EXP39</v>
      </c>
      <c r="C197" t="s">
        <v>1092</v>
      </c>
    </row>
    <row r="198" spans="1:3" x14ac:dyDescent="0.35">
      <c r="A198" t="s">
        <v>1093</v>
      </c>
      <c r="B198" t="str">
        <f>VLOOKUP(A198,'Diccionario 2023'!$C$2:$H$219,6,0)</f>
        <v>EXP40</v>
      </c>
      <c r="C198" t="s">
        <v>1093</v>
      </c>
    </row>
    <row r="199" spans="1:3" x14ac:dyDescent="0.35">
      <c r="A199" t="s">
        <v>1094</v>
      </c>
      <c r="B199" t="str">
        <f>VLOOKUP(A199,'Diccionario 2023'!$C$2:$H$219,6,0)</f>
        <v>EXP41</v>
      </c>
      <c r="C199" t="s">
        <v>1094</v>
      </c>
    </row>
    <row r="200" spans="1:3" x14ac:dyDescent="0.35">
      <c r="A200" t="s">
        <v>1095</v>
      </c>
      <c r="B200" t="str">
        <f>VLOOKUP(A200,'Diccionario 2023'!$C$2:$H$219,6,0)</f>
        <v>EXP42</v>
      </c>
      <c r="C200" t="s">
        <v>1095</v>
      </c>
    </row>
    <row r="201" spans="1:3" x14ac:dyDescent="0.35">
      <c r="A201" t="s">
        <v>68</v>
      </c>
      <c r="B201" t="str">
        <f>VLOOKUP(A201,'Diccionario 2023'!$C$2:$H$219,6,0)</f>
        <v>EXP43</v>
      </c>
      <c r="C201" t="s">
        <v>68</v>
      </c>
    </row>
    <row r="202" spans="1:3" x14ac:dyDescent="0.35">
      <c r="A202" t="s">
        <v>1096</v>
      </c>
      <c r="B202" t="str">
        <f>VLOOKUP(A202,'Diccionario 2023'!$C$2:$H$219,6,0)</f>
        <v>EXP44</v>
      </c>
      <c r="C202" t="s">
        <v>1096</v>
      </c>
    </row>
    <row r="203" spans="1:3" x14ac:dyDescent="0.35">
      <c r="A203" t="s">
        <v>993</v>
      </c>
      <c r="B203" t="str">
        <f>VLOOKUP(A203,'Diccionario 2023'!$C$2:$H$219,6,0)</f>
        <v>ACA19</v>
      </c>
      <c r="C203" t="s">
        <v>993</v>
      </c>
    </row>
    <row r="204" spans="1:3" x14ac:dyDescent="0.35">
      <c r="A204" t="s">
        <v>1097</v>
      </c>
      <c r="B204" t="str">
        <f>VLOOKUP(A204,'Diccionario 2023'!$C$2:$H$219,6,0)</f>
        <v>EXP46</v>
      </c>
      <c r="C204" t="s">
        <v>1097</v>
      </c>
    </row>
    <row r="205" spans="1:3" x14ac:dyDescent="0.35">
      <c r="A205" t="s">
        <v>105</v>
      </c>
      <c r="B205" t="str">
        <f>VLOOKUP(A205,'Diccionario 2023'!$C$2:$H$219,6,0)</f>
        <v>EVC1</v>
      </c>
      <c r="C205" t="s">
        <v>105</v>
      </c>
    </row>
    <row r="206" spans="1:3" x14ac:dyDescent="0.35">
      <c r="A206" t="s">
        <v>106</v>
      </c>
      <c r="B206" t="str">
        <f>VLOOKUP(A206,'Diccionario 2023'!$C$2:$H$219,6,0)</f>
        <v>EVC2</v>
      </c>
      <c r="C206" t="s">
        <v>106</v>
      </c>
    </row>
    <row r="207" spans="1:3" x14ac:dyDescent="0.35">
      <c r="A207" t="s">
        <v>108</v>
      </c>
      <c r="B207" t="str">
        <f>VLOOKUP(A207,'Diccionario 2023'!$C$2:$H$219,6,0)</f>
        <v>EVC3</v>
      </c>
      <c r="C207" t="s">
        <v>108</v>
      </c>
    </row>
    <row r="208" spans="1:3" x14ac:dyDescent="0.35">
      <c r="A208" t="s">
        <v>107</v>
      </c>
      <c r="B208" t="str">
        <f>VLOOKUP(A208,'Diccionario 2023'!$C$2:$H$219,6,0)</f>
        <v>EVC4</v>
      </c>
      <c r="C208" t="s">
        <v>107</v>
      </c>
    </row>
    <row r="209" spans="1:3" x14ac:dyDescent="0.35">
      <c r="A209" t="s">
        <v>1098</v>
      </c>
      <c r="B209" t="str">
        <f>VLOOKUP(A209,'Diccionario 2023'!$C$2:$H$219,6,0)</f>
        <v>EVC5</v>
      </c>
      <c r="C209" t="s">
        <v>1098</v>
      </c>
    </row>
    <row r="210" spans="1:3" x14ac:dyDescent="0.35">
      <c r="A210" t="s">
        <v>1099</v>
      </c>
      <c r="B210" t="str">
        <f>VLOOKUP(A210,'Diccionario 2023'!$C$2:$H$219,6,0)</f>
        <v>EVC6</v>
      </c>
      <c r="C210" t="s">
        <v>1099</v>
      </c>
    </row>
    <row r="211" spans="1:3" x14ac:dyDescent="0.35">
      <c r="A211" t="s">
        <v>1100</v>
      </c>
      <c r="B211" t="str">
        <f>VLOOKUP(A211,'Diccionario 2023'!$C$2:$H$219,6,0)</f>
        <v>FAB1</v>
      </c>
      <c r="C211" t="s">
        <v>1100</v>
      </c>
    </row>
    <row r="212" spans="1:3" x14ac:dyDescent="0.35">
      <c r="A212" t="s">
        <v>1101</v>
      </c>
      <c r="B212" t="str">
        <f>VLOOKUP(A212,'Diccionario 2023'!$C$2:$H$219,6,0)</f>
        <v>EMP1</v>
      </c>
      <c r="C212" t="s">
        <v>1101</v>
      </c>
    </row>
    <row r="213" spans="1:3" x14ac:dyDescent="0.35">
      <c r="A213" t="s">
        <v>1102</v>
      </c>
      <c r="B213" t="str">
        <f>VLOOKUP(A213,'Diccionario 2023'!$C$2:$H$219,6,0)</f>
        <v>EMP2</v>
      </c>
      <c r="C213" t="s">
        <v>1102</v>
      </c>
    </row>
    <row r="214" spans="1:3" x14ac:dyDescent="0.35">
      <c r="A214" t="s">
        <v>111</v>
      </c>
      <c r="B214" t="str">
        <f>VLOOKUP(A214,'Diccionario 2023'!$C$2:$H$219,6,0)</f>
        <v>EMP3</v>
      </c>
      <c r="C214" t="s">
        <v>111</v>
      </c>
    </row>
    <row r="215" spans="1:3" x14ac:dyDescent="0.35">
      <c r="A215" t="s">
        <v>1103</v>
      </c>
      <c r="B215" t="str">
        <f>VLOOKUP(A215,'Diccionario 2023'!$C$2:$H$219,6,0)</f>
        <v>EMP4</v>
      </c>
      <c r="C215" t="s">
        <v>1103</v>
      </c>
    </row>
    <row r="216" spans="1:3" x14ac:dyDescent="0.35">
      <c r="A216" t="s">
        <v>113</v>
      </c>
      <c r="B216" t="str">
        <f>VLOOKUP(A216,'Diccionario 2023'!$C$2:$H$219,6,0)</f>
        <v>EMP5</v>
      </c>
      <c r="C216" t="s">
        <v>113</v>
      </c>
    </row>
    <row r="217" spans="1:3" x14ac:dyDescent="0.35">
      <c r="A217" t="s">
        <v>1104</v>
      </c>
      <c r="B217" t="s">
        <v>1332</v>
      </c>
      <c r="C217" t="s">
        <v>1104</v>
      </c>
    </row>
    <row r="218" spans="1:3" x14ac:dyDescent="0.35">
      <c r="A218" t="s">
        <v>1105</v>
      </c>
      <c r="B218" t="s">
        <v>1333</v>
      </c>
      <c r="C218" t="s">
        <v>1125</v>
      </c>
    </row>
    <row r="219" spans="1:3" x14ac:dyDescent="0.35">
      <c r="A219" t="s">
        <v>722</v>
      </c>
      <c r="B219" t="s">
        <v>1334</v>
      </c>
      <c r="C219" t="s">
        <v>722</v>
      </c>
    </row>
  </sheetData>
  <autoFilter ref="A1:C219" xr:uid="{1FD69280-E4FA-464D-83CD-16F85725F89E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75B4-DEBA-4521-A431-AA3141052221}">
  <dimension ref="A1:H219"/>
  <sheetViews>
    <sheetView topLeftCell="A13" zoomScale="96" zoomScaleNormal="96" workbookViewId="0">
      <selection activeCell="C20" sqref="C20"/>
    </sheetView>
  </sheetViews>
  <sheetFormatPr baseColWidth="10" defaultRowHeight="14.5" x14ac:dyDescent="0.35"/>
  <cols>
    <col min="3" max="3" width="114.453125" customWidth="1"/>
    <col min="4" max="4" width="21.6328125" customWidth="1"/>
    <col min="5" max="5" width="17" customWidth="1"/>
    <col min="6" max="6" width="13.7265625" customWidth="1"/>
  </cols>
  <sheetData>
    <row r="1" spans="1:8" x14ac:dyDescent="0.35">
      <c r="A1" t="s">
        <v>1106</v>
      </c>
      <c r="B1" t="s">
        <v>1426</v>
      </c>
      <c r="C1" t="s">
        <v>1107</v>
      </c>
      <c r="D1" t="s">
        <v>1108</v>
      </c>
      <c r="F1" t="s">
        <v>1109</v>
      </c>
    </row>
    <row r="2" spans="1:8" x14ac:dyDescent="0.35">
      <c r="A2">
        <v>1</v>
      </c>
      <c r="B2" t="s">
        <v>1134</v>
      </c>
      <c r="C2" t="s">
        <v>723</v>
      </c>
      <c r="D2" t="s">
        <v>0</v>
      </c>
      <c r="E2" t="s">
        <v>329</v>
      </c>
      <c r="F2" t="s">
        <v>1110</v>
      </c>
      <c r="G2">
        <v>1</v>
      </c>
      <c r="H2" t="s">
        <v>1134</v>
      </c>
    </row>
    <row r="3" spans="1:8" x14ac:dyDescent="0.35">
      <c r="A3">
        <v>2</v>
      </c>
      <c r="B3" t="s">
        <v>1135</v>
      </c>
      <c r="C3" t="s">
        <v>985</v>
      </c>
      <c r="D3" t="s">
        <v>0</v>
      </c>
      <c r="E3" t="s">
        <v>329</v>
      </c>
      <c r="F3" t="s">
        <v>1110</v>
      </c>
      <c r="G3">
        <v>2</v>
      </c>
      <c r="H3" t="s">
        <v>1135</v>
      </c>
    </row>
    <row r="4" spans="1:8" x14ac:dyDescent="0.35">
      <c r="A4">
        <v>3</v>
      </c>
      <c r="B4" t="s">
        <v>1136</v>
      </c>
      <c r="C4" t="s">
        <v>986</v>
      </c>
      <c r="D4" t="s">
        <v>0</v>
      </c>
      <c r="E4" t="s">
        <v>329</v>
      </c>
      <c r="F4" t="s">
        <v>1110</v>
      </c>
      <c r="G4">
        <v>3</v>
      </c>
      <c r="H4" t="s">
        <v>1136</v>
      </c>
    </row>
    <row r="5" spans="1:8" x14ac:dyDescent="0.35">
      <c r="A5">
        <v>4</v>
      </c>
      <c r="B5" t="s">
        <v>1137</v>
      </c>
      <c r="C5" t="s">
        <v>628</v>
      </c>
      <c r="D5" t="s">
        <v>0</v>
      </c>
      <c r="E5" t="s">
        <v>329</v>
      </c>
      <c r="F5" t="s">
        <v>1110</v>
      </c>
      <c r="G5">
        <v>4</v>
      </c>
      <c r="H5" t="s">
        <v>1137</v>
      </c>
    </row>
    <row r="6" spans="1:8" x14ac:dyDescent="0.35">
      <c r="A6">
        <v>5</v>
      </c>
      <c r="B6" t="s">
        <v>1138</v>
      </c>
      <c r="C6" t="s">
        <v>987</v>
      </c>
      <c r="D6" t="s">
        <v>0</v>
      </c>
      <c r="E6" t="s">
        <v>329</v>
      </c>
      <c r="F6" t="s">
        <v>1110</v>
      </c>
      <c r="G6">
        <v>5</v>
      </c>
      <c r="H6" t="s">
        <v>1138</v>
      </c>
    </row>
    <row r="7" spans="1:8" x14ac:dyDescent="0.35">
      <c r="A7">
        <v>6</v>
      </c>
      <c r="B7" t="s">
        <v>1139</v>
      </c>
      <c r="C7" t="s">
        <v>725</v>
      </c>
      <c r="D7" t="s">
        <v>0</v>
      </c>
      <c r="E7" t="s">
        <v>329</v>
      </c>
      <c r="F7" t="s">
        <v>1110</v>
      </c>
      <c r="G7">
        <v>6</v>
      </c>
      <c r="H7" t="s">
        <v>1139</v>
      </c>
    </row>
    <row r="8" spans="1:8" x14ac:dyDescent="0.35">
      <c r="A8">
        <v>7</v>
      </c>
      <c r="B8" t="s">
        <v>1140</v>
      </c>
      <c r="C8" t="s">
        <v>726</v>
      </c>
      <c r="D8" t="s">
        <v>0</v>
      </c>
      <c r="E8" t="s">
        <v>329</v>
      </c>
      <c r="F8" t="s">
        <v>1110</v>
      </c>
      <c r="G8">
        <v>7</v>
      </c>
      <c r="H8" t="s">
        <v>1140</v>
      </c>
    </row>
    <row r="9" spans="1:8" x14ac:dyDescent="0.35">
      <c r="A9">
        <v>8</v>
      </c>
      <c r="B9" t="s">
        <v>1141</v>
      </c>
      <c r="C9" t="s">
        <v>988</v>
      </c>
      <c r="D9" t="s">
        <v>0</v>
      </c>
      <c r="E9" t="s">
        <v>329</v>
      </c>
      <c r="F9" t="s">
        <v>1110</v>
      </c>
      <c r="G9">
        <v>8</v>
      </c>
      <c r="H9" t="s">
        <v>1141</v>
      </c>
    </row>
    <row r="10" spans="1:8" x14ac:dyDescent="0.35">
      <c r="A10">
        <v>9</v>
      </c>
      <c r="B10" t="s">
        <v>1142</v>
      </c>
      <c r="C10" t="s">
        <v>728</v>
      </c>
      <c r="D10" t="s">
        <v>0</v>
      </c>
      <c r="E10" t="s">
        <v>329</v>
      </c>
      <c r="F10" t="s">
        <v>1110</v>
      </c>
      <c r="G10">
        <v>9</v>
      </c>
      <c r="H10" t="s">
        <v>1142</v>
      </c>
    </row>
    <row r="11" spans="1:8" x14ac:dyDescent="0.35">
      <c r="A11">
        <v>10</v>
      </c>
      <c r="B11" t="s">
        <v>1143</v>
      </c>
      <c r="C11" t="s">
        <v>26</v>
      </c>
      <c r="D11" t="s">
        <v>0</v>
      </c>
      <c r="E11" t="s">
        <v>329</v>
      </c>
      <c r="F11" t="s">
        <v>1110</v>
      </c>
      <c r="G11">
        <v>10</v>
      </c>
      <c r="H11" t="s">
        <v>1143</v>
      </c>
    </row>
    <row r="12" spans="1:8" x14ac:dyDescent="0.35">
      <c r="A12">
        <v>11</v>
      </c>
      <c r="B12" t="s">
        <v>1144</v>
      </c>
      <c r="C12" t="s">
        <v>989</v>
      </c>
      <c r="D12" t="s">
        <v>0</v>
      </c>
      <c r="E12" t="s">
        <v>329</v>
      </c>
      <c r="F12" t="s">
        <v>1110</v>
      </c>
      <c r="G12">
        <v>11</v>
      </c>
      <c r="H12" t="s">
        <v>1144</v>
      </c>
    </row>
    <row r="13" spans="1:8" x14ac:dyDescent="0.35">
      <c r="A13">
        <v>12</v>
      </c>
      <c r="B13" t="s">
        <v>1145</v>
      </c>
      <c r="C13" t="s">
        <v>990</v>
      </c>
      <c r="D13" t="s">
        <v>0</v>
      </c>
      <c r="E13" t="s">
        <v>329</v>
      </c>
      <c r="F13" t="s">
        <v>1110</v>
      </c>
      <c r="G13">
        <v>12</v>
      </c>
      <c r="H13" t="s">
        <v>1145</v>
      </c>
    </row>
    <row r="14" spans="1:8" x14ac:dyDescent="0.35">
      <c r="A14">
        <v>13</v>
      </c>
      <c r="B14" t="s">
        <v>1146</v>
      </c>
      <c r="C14" t="s">
        <v>991</v>
      </c>
      <c r="D14" t="s">
        <v>0</v>
      </c>
      <c r="E14" t="s">
        <v>329</v>
      </c>
      <c r="F14" t="s">
        <v>1110</v>
      </c>
      <c r="G14">
        <v>13</v>
      </c>
      <c r="H14" t="s">
        <v>1146</v>
      </c>
    </row>
    <row r="15" spans="1:8" x14ac:dyDescent="0.35">
      <c r="A15">
        <v>14</v>
      </c>
      <c r="B15" t="s">
        <v>1147</v>
      </c>
      <c r="C15" t="s">
        <v>629</v>
      </c>
      <c r="D15" t="s">
        <v>0</v>
      </c>
      <c r="E15" t="s">
        <v>329</v>
      </c>
      <c r="F15" t="s">
        <v>1110</v>
      </c>
      <c r="G15">
        <v>14</v>
      </c>
      <c r="H15" t="s">
        <v>1147</v>
      </c>
    </row>
    <row r="16" spans="1:8" x14ac:dyDescent="0.35">
      <c r="A16">
        <v>15</v>
      </c>
      <c r="B16" t="s">
        <v>1148</v>
      </c>
      <c r="C16" t="s">
        <v>992</v>
      </c>
      <c r="D16" t="s">
        <v>0</v>
      </c>
      <c r="E16" t="s">
        <v>329</v>
      </c>
      <c r="F16" t="s">
        <v>1110</v>
      </c>
      <c r="G16">
        <v>15</v>
      </c>
      <c r="H16" t="s">
        <v>1148</v>
      </c>
    </row>
    <row r="17" spans="1:8" x14ac:dyDescent="0.35">
      <c r="A17">
        <v>16</v>
      </c>
      <c r="B17" t="s">
        <v>1149</v>
      </c>
      <c r="C17" t="s">
        <v>1126</v>
      </c>
      <c r="D17" t="s">
        <v>0</v>
      </c>
      <c r="E17" t="s">
        <v>329</v>
      </c>
      <c r="F17" t="s">
        <v>1110</v>
      </c>
      <c r="G17">
        <v>16</v>
      </c>
      <c r="H17" t="s">
        <v>1149</v>
      </c>
    </row>
    <row r="18" spans="1:8" x14ac:dyDescent="0.35">
      <c r="A18">
        <v>17</v>
      </c>
      <c r="B18" t="s">
        <v>1150</v>
      </c>
      <c r="C18" t="s">
        <v>994</v>
      </c>
      <c r="D18" t="s">
        <v>0</v>
      </c>
      <c r="E18" t="s">
        <v>329</v>
      </c>
      <c r="F18" t="s">
        <v>1110</v>
      </c>
      <c r="G18">
        <v>17</v>
      </c>
      <c r="H18" t="s">
        <v>1150</v>
      </c>
    </row>
    <row r="19" spans="1:8" x14ac:dyDescent="0.35">
      <c r="A19">
        <v>18</v>
      </c>
      <c r="B19" t="s">
        <v>1151</v>
      </c>
      <c r="C19" t="s">
        <v>995</v>
      </c>
      <c r="D19" t="s">
        <v>0</v>
      </c>
      <c r="E19" t="s">
        <v>329</v>
      </c>
      <c r="F19" t="s">
        <v>1110</v>
      </c>
      <c r="G19">
        <v>18</v>
      </c>
      <c r="H19" t="s">
        <v>1151</v>
      </c>
    </row>
    <row r="20" spans="1:8" x14ac:dyDescent="0.35">
      <c r="A20">
        <v>19</v>
      </c>
      <c r="B20" t="s">
        <v>1152</v>
      </c>
      <c r="C20" t="s">
        <v>993</v>
      </c>
      <c r="D20" t="s">
        <v>0</v>
      </c>
      <c r="E20" t="s">
        <v>329</v>
      </c>
      <c r="F20" t="s">
        <v>1110</v>
      </c>
      <c r="G20">
        <v>19</v>
      </c>
      <c r="H20" t="s">
        <v>1152</v>
      </c>
    </row>
    <row r="21" spans="1:8" x14ac:dyDescent="0.35">
      <c r="A21">
        <v>20</v>
      </c>
      <c r="B21" t="s">
        <v>1153</v>
      </c>
      <c r="C21" t="s">
        <v>994</v>
      </c>
      <c r="D21" t="s">
        <v>0</v>
      </c>
      <c r="E21" t="s">
        <v>329</v>
      </c>
      <c r="F21" t="s">
        <v>1110</v>
      </c>
      <c r="G21">
        <v>20</v>
      </c>
      <c r="H21" t="s">
        <v>1153</v>
      </c>
    </row>
    <row r="22" spans="1:8" x14ac:dyDescent="0.35">
      <c r="A22">
        <v>21</v>
      </c>
      <c r="B22" t="s">
        <v>1154</v>
      </c>
      <c r="C22" t="s">
        <v>996</v>
      </c>
      <c r="D22" t="s">
        <v>0</v>
      </c>
      <c r="E22" t="s">
        <v>329</v>
      </c>
      <c r="F22" t="s">
        <v>1110</v>
      </c>
      <c r="G22">
        <v>21</v>
      </c>
      <c r="H22" t="s">
        <v>1154</v>
      </c>
    </row>
    <row r="23" spans="1:8" x14ac:dyDescent="0.35">
      <c r="A23">
        <v>22</v>
      </c>
      <c r="B23" t="s">
        <v>1155</v>
      </c>
      <c r="C23" t="s">
        <v>994</v>
      </c>
      <c r="D23" t="s">
        <v>0</v>
      </c>
      <c r="E23" t="s">
        <v>329</v>
      </c>
      <c r="F23" t="s">
        <v>1110</v>
      </c>
      <c r="G23">
        <v>22</v>
      </c>
      <c r="H23" t="s">
        <v>1155</v>
      </c>
    </row>
    <row r="24" spans="1:8" x14ac:dyDescent="0.35">
      <c r="A24">
        <v>23</v>
      </c>
      <c r="B24" t="s">
        <v>1156</v>
      </c>
      <c r="C24" t="s">
        <v>996</v>
      </c>
      <c r="D24" t="s">
        <v>0</v>
      </c>
      <c r="E24" t="s">
        <v>329</v>
      </c>
      <c r="F24" t="s">
        <v>1110</v>
      </c>
      <c r="G24">
        <v>23</v>
      </c>
      <c r="H24" t="s">
        <v>1156</v>
      </c>
    </row>
    <row r="25" spans="1:8" x14ac:dyDescent="0.35">
      <c r="A25">
        <v>24</v>
      </c>
      <c r="B25" t="s">
        <v>1157</v>
      </c>
      <c r="C25" t="s">
        <v>994</v>
      </c>
      <c r="D25" t="s">
        <v>0</v>
      </c>
      <c r="E25" t="s">
        <v>329</v>
      </c>
      <c r="F25" t="s">
        <v>1110</v>
      </c>
      <c r="G25">
        <v>24</v>
      </c>
      <c r="H25" t="s">
        <v>1157</v>
      </c>
    </row>
    <row r="26" spans="1:8" x14ac:dyDescent="0.35">
      <c r="A26">
        <v>25</v>
      </c>
      <c r="B26" t="s">
        <v>1158</v>
      </c>
      <c r="C26" t="s">
        <v>741</v>
      </c>
      <c r="D26" t="s">
        <v>0</v>
      </c>
      <c r="E26" t="s">
        <v>329</v>
      </c>
      <c r="F26" t="s">
        <v>1110</v>
      </c>
      <c r="G26">
        <v>25</v>
      </c>
      <c r="H26" t="s">
        <v>1158</v>
      </c>
    </row>
    <row r="27" spans="1:8" x14ac:dyDescent="0.35">
      <c r="A27">
        <v>26</v>
      </c>
      <c r="B27" t="s">
        <v>1159</v>
      </c>
      <c r="C27" t="s">
        <v>731</v>
      </c>
      <c r="D27" t="s">
        <v>0</v>
      </c>
      <c r="E27" t="s">
        <v>329</v>
      </c>
      <c r="F27" t="s">
        <v>1110</v>
      </c>
      <c r="G27">
        <v>26</v>
      </c>
      <c r="H27" t="s">
        <v>1159</v>
      </c>
    </row>
    <row r="28" spans="1:8" x14ac:dyDescent="0.35">
      <c r="A28">
        <v>27</v>
      </c>
      <c r="B28" t="s">
        <v>1160</v>
      </c>
      <c r="C28" t="s">
        <v>732</v>
      </c>
      <c r="D28" t="s">
        <v>0</v>
      </c>
      <c r="E28" t="s">
        <v>329</v>
      </c>
      <c r="F28" t="s">
        <v>1110</v>
      </c>
      <c r="G28">
        <v>27</v>
      </c>
      <c r="H28" t="s">
        <v>1160</v>
      </c>
    </row>
    <row r="29" spans="1:8" x14ac:dyDescent="0.35">
      <c r="A29">
        <v>28</v>
      </c>
      <c r="B29" t="s">
        <v>1161</v>
      </c>
      <c r="C29" t="s">
        <v>733</v>
      </c>
      <c r="D29" t="s">
        <v>0</v>
      </c>
      <c r="E29" t="s">
        <v>329</v>
      </c>
      <c r="F29" t="s">
        <v>1110</v>
      </c>
      <c r="G29">
        <v>28</v>
      </c>
      <c r="H29" t="s">
        <v>1161</v>
      </c>
    </row>
    <row r="30" spans="1:8" x14ac:dyDescent="0.35">
      <c r="A30">
        <v>29</v>
      </c>
      <c r="B30" t="s">
        <v>1162</v>
      </c>
      <c r="C30" t="s">
        <v>997</v>
      </c>
      <c r="D30" t="s">
        <v>0</v>
      </c>
      <c r="E30" t="s">
        <v>329</v>
      </c>
      <c r="F30" t="s">
        <v>1110</v>
      </c>
      <c r="G30">
        <v>29</v>
      </c>
      <c r="H30" t="s">
        <v>1162</v>
      </c>
    </row>
    <row r="31" spans="1:8" x14ac:dyDescent="0.35">
      <c r="A31">
        <v>30</v>
      </c>
      <c r="B31" t="s">
        <v>1163</v>
      </c>
      <c r="C31" t="s">
        <v>998</v>
      </c>
      <c r="D31" t="s">
        <v>0</v>
      </c>
      <c r="E31" t="s">
        <v>329</v>
      </c>
      <c r="F31" t="s">
        <v>1110</v>
      </c>
      <c r="G31">
        <v>30</v>
      </c>
      <c r="H31" t="s">
        <v>1163</v>
      </c>
    </row>
    <row r="32" spans="1:8" x14ac:dyDescent="0.35">
      <c r="A32">
        <v>31</v>
      </c>
      <c r="B32" t="s">
        <v>1164</v>
      </c>
      <c r="C32" t="s">
        <v>999</v>
      </c>
      <c r="D32" t="s">
        <v>1</v>
      </c>
      <c r="E32" t="s">
        <v>965</v>
      </c>
      <c r="F32" t="s">
        <v>1111</v>
      </c>
      <c r="G32">
        <v>1</v>
      </c>
      <c r="H32" t="s">
        <v>1164</v>
      </c>
    </row>
    <row r="33" spans="1:8" x14ac:dyDescent="0.35">
      <c r="A33">
        <v>32</v>
      </c>
      <c r="B33" t="s">
        <v>1165</v>
      </c>
      <c r="C33" t="s">
        <v>1000</v>
      </c>
      <c r="D33" t="s">
        <v>1</v>
      </c>
      <c r="E33" t="s">
        <v>965</v>
      </c>
      <c r="F33" t="s">
        <v>1111</v>
      </c>
      <c r="G33">
        <v>2</v>
      </c>
      <c r="H33" t="s">
        <v>1165</v>
      </c>
    </row>
    <row r="34" spans="1:8" x14ac:dyDescent="0.35">
      <c r="A34">
        <v>33</v>
      </c>
      <c r="B34" t="s">
        <v>1166</v>
      </c>
      <c r="C34" t="s">
        <v>1001</v>
      </c>
      <c r="D34" t="s">
        <v>1</v>
      </c>
      <c r="E34" t="s">
        <v>965</v>
      </c>
      <c r="F34" t="s">
        <v>1111</v>
      </c>
      <c r="G34">
        <v>3</v>
      </c>
      <c r="H34" t="s">
        <v>1166</v>
      </c>
    </row>
    <row r="35" spans="1:8" x14ac:dyDescent="0.35">
      <c r="A35">
        <v>34</v>
      </c>
      <c r="B35" t="s">
        <v>1167</v>
      </c>
      <c r="C35" t="s">
        <v>1002</v>
      </c>
      <c r="D35" t="s">
        <v>1</v>
      </c>
      <c r="E35" t="s">
        <v>965</v>
      </c>
      <c r="F35" t="s">
        <v>1111</v>
      </c>
      <c r="G35">
        <v>4</v>
      </c>
      <c r="H35" t="s">
        <v>1167</v>
      </c>
    </row>
    <row r="36" spans="1:8" x14ac:dyDescent="0.35">
      <c r="A36">
        <v>35</v>
      </c>
      <c r="B36" t="s">
        <v>1168</v>
      </c>
      <c r="C36" t="s">
        <v>1003</v>
      </c>
      <c r="D36" t="s">
        <v>1</v>
      </c>
      <c r="E36" t="s">
        <v>965</v>
      </c>
      <c r="F36" t="s">
        <v>1111</v>
      </c>
      <c r="G36">
        <v>5</v>
      </c>
      <c r="H36" t="s">
        <v>1168</v>
      </c>
    </row>
    <row r="37" spans="1:8" x14ac:dyDescent="0.35">
      <c r="A37">
        <v>36</v>
      </c>
      <c r="B37" t="s">
        <v>1169</v>
      </c>
      <c r="C37" t="s">
        <v>482</v>
      </c>
      <c r="D37" t="s">
        <v>1</v>
      </c>
      <c r="E37" t="s">
        <v>965</v>
      </c>
      <c r="F37" t="s">
        <v>1111</v>
      </c>
      <c r="G37">
        <v>6</v>
      </c>
      <c r="H37" t="s">
        <v>1169</v>
      </c>
    </row>
    <row r="38" spans="1:8" x14ac:dyDescent="0.35">
      <c r="A38">
        <v>37</v>
      </c>
      <c r="B38" t="s">
        <v>1170</v>
      </c>
      <c r="C38" t="s">
        <v>486</v>
      </c>
      <c r="D38" t="s">
        <v>1</v>
      </c>
      <c r="E38" t="s">
        <v>965</v>
      </c>
      <c r="F38" t="s">
        <v>1111</v>
      </c>
      <c r="G38">
        <v>7</v>
      </c>
      <c r="H38" t="s">
        <v>1170</v>
      </c>
    </row>
    <row r="39" spans="1:8" x14ac:dyDescent="0.35">
      <c r="A39">
        <v>38</v>
      </c>
      <c r="B39" t="s">
        <v>1171</v>
      </c>
      <c r="C39" t="s">
        <v>1004</v>
      </c>
      <c r="D39" t="s">
        <v>1</v>
      </c>
      <c r="E39" t="s">
        <v>965</v>
      </c>
      <c r="F39" t="s">
        <v>1111</v>
      </c>
      <c r="G39">
        <v>8</v>
      </c>
      <c r="H39" t="s">
        <v>1171</v>
      </c>
    </row>
    <row r="40" spans="1:8" x14ac:dyDescent="0.35">
      <c r="A40">
        <v>39</v>
      </c>
      <c r="B40" t="s">
        <v>1172</v>
      </c>
      <c r="C40" t="s">
        <v>1005</v>
      </c>
      <c r="D40" t="s">
        <v>1</v>
      </c>
      <c r="E40" t="s">
        <v>965</v>
      </c>
      <c r="F40" t="s">
        <v>1111</v>
      </c>
      <c r="G40">
        <v>9</v>
      </c>
      <c r="H40" t="s">
        <v>1172</v>
      </c>
    </row>
    <row r="41" spans="1:8" x14ac:dyDescent="0.35">
      <c r="A41">
        <v>40</v>
      </c>
      <c r="B41" t="s">
        <v>1173</v>
      </c>
      <c r="C41" t="s">
        <v>483</v>
      </c>
      <c r="D41" t="s">
        <v>1</v>
      </c>
      <c r="E41" t="s">
        <v>965</v>
      </c>
      <c r="F41" t="s">
        <v>1111</v>
      </c>
      <c r="G41">
        <v>10</v>
      </c>
      <c r="H41" t="s">
        <v>1173</v>
      </c>
    </row>
    <row r="42" spans="1:8" x14ac:dyDescent="0.35">
      <c r="A42">
        <v>41</v>
      </c>
      <c r="B42" t="s">
        <v>1174</v>
      </c>
      <c r="C42" t="s">
        <v>708</v>
      </c>
      <c r="D42" t="s">
        <v>1</v>
      </c>
      <c r="E42" t="s">
        <v>965</v>
      </c>
      <c r="F42" t="s">
        <v>1111</v>
      </c>
      <c r="G42">
        <v>11</v>
      </c>
      <c r="H42" t="s">
        <v>1174</v>
      </c>
    </row>
    <row r="43" spans="1:8" x14ac:dyDescent="0.35">
      <c r="A43">
        <v>42</v>
      </c>
      <c r="B43" t="s">
        <v>1175</v>
      </c>
      <c r="C43" t="s">
        <v>1006</v>
      </c>
      <c r="D43" t="s">
        <v>1</v>
      </c>
      <c r="E43" t="s">
        <v>965</v>
      </c>
      <c r="F43" t="s">
        <v>1111</v>
      </c>
      <c r="G43">
        <v>12</v>
      </c>
      <c r="H43" t="s">
        <v>1175</v>
      </c>
    </row>
    <row r="44" spans="1:8" x14ac:dyDescent="0.35">
      <c r="A44">
        <v>43</v>
      </c>
      <c r="B44" t="s">
        <v>1176</v>
      </c>
      <c r="C44" t="s">
        <v>1007</v>
      </c>
      <c r="D44" t="s">
        <v>2</v>
      </c>
      <c r="E44" t="s">
        <v>1128</v>
      </c>
      <c r="F44" t="s">
        <v>1112</v>
      </c>
      <c r="G44">
        <v>1</v>
      </c>
      <c r="H44" t="s">
        <v>1176</v>
      </c>
    </row>
    <row r="45" spans="1:8" x14ac:dyDescent="0.35">
      <c r="A45">
        <v>44</v>
      </c>
      <c r="B45" t="s">
        <v>1177</v>
      </c>
      <c r="C45" t="s">
        <v>1008</v>
      </c>
      <c r="D45" t="s">
        <v>2</v>
      </c>
      <c r="E45" t="s">
        <v>1128</v>
      </c>
      <c r="F45" t="s">
        <v>1112</v>
      </c>
      <c r="G45">
        <v>2</v>
      </c>
      <c r="H45" t="s">
        <v>1177</v>
      </c>
    </row>
    <row r="46" spans="1:8" x14ac:dyDescent="0.35">
      <c r="A46">
        <v>45</v>
      </c>
      <c r="B46" t="s">
        <v>1178</v>
      </c>
      <c r="C46" t="s">
        <v>708</v>
      </c>
      <c r="D46" t="s">
        <v>2</v>
      </c>
      <c r="E46" t="s">
        <v>1128</v>
      </c>
      <c r="F46" t="s">
        <v>1112</v>
      </c>
      <c r="G46">
        <v>3</v>
      </c>
      <c r="H46" t="s">
        <v>1178</v>
      </c>
    </row>
    <row r="47" spans="1:8" x14ac:dyDescent="0.35">
      <c r="A47">
        <v>46</v>
      </c>
      <c r="B47" t="s">
        <v>1179</v>
      </c>
      <c r="C47" t="s">
        <v>1009</v>
      </c>
      <c r="D47" t="s">
        <v>3</v>
      </c>
      <c r="E47" t="s">
        <v>351</v>
      </c>
      <c r="F47" t="s">
        <v>1113</v>
      </c>
      <c r="G47">
        <v>1</v>
      </c>
      <c r="H47" t="s">
        <v>1179</v>
      </c>
    </row>
    <row r="48" spans="1:8" x14ac:dyDescent="0.35">
      <c r="A48">
        <v>47</v>
      </c>
      <c r="B48" t="s">
        <v>1180</v>
      </c>
      <c r="C48" t="s">
        <v>44</v>
      </c>
      <c r="D48" t="s">
        <v>3</v>
      </c>
      <c r="E48" t="s">
        <v>351</v>
      </c>
      <c r="F48" t="s">
        <v>1113</v>
      </c>
      <c r="G48">
        <v>2</v>
      </c>
      <c r="H48" t="s">
        <v>1180</v>
      </c>
    </row>
    <row r="49" spans="1:8" x14ac:dyDescent="0.35">
      <c r="A49">
        <v>48</v>
      </c>
      <c r="B49" t="s">
        <v>1181</v>
      </c>
      <c r="C49" t="s">
        <v>45</v>
      </c>
      <c r="D49" t="s">
        <v>3</v>
      </c>
      <c r="E49" t="s">
        <v>351</v>
      </c>
      <c r="F49" t="s">
        <v>1113</v>
      </c>
      <c r="G49">
        <v>3</v>
      </c>
      <c r="H49" t="s">
        <v>1181</v>
      </c>
    </row>
    <row r="50" spans="1:8" x14ac:dyDescent="0.35">
      <c r="A50">
        <v>49</v>
      </c>
      <c r="B50" t="s">
        <v>1182</v>
      </c>
      <c r="C50" t="s">
        <v>46</v>
      </c>
      <c r="D50" t="s">
        <v>3</v>
      </c>
      <c r="E50" t="s">
        <v>351</v>
      </c>
      <c r="F50" t="s">
        <v>1113</v>
      </c>
      <c r="G50">
        <v>4</v>
      </c>
      <c r="H50" t="s">
        <v>1182</v>
      </c>
    </row>
    <row r="51" spans="1:8" x14ac:dyDescent="0.35">
      <c r="A51">
        <v>50</v>
      </c>
      <c r="B51" t="s">
        <v>1183</v>
      </c>
      <c r="C51" t="s">
        <v>47</v>
      </c>
      <c r="D51" t="s">
        <v>3</v>
      </c>
      <c r="E51" t="s">
        <v>351</v>
      </c>
      <c r="F51" t="s">
        <v>1113</v>
      </c>
      <c r="G51">
        <v>5</v>
      </c>
      <c r="H51" t="s">
        <v>1183</v>
      </c>
    </row>
    <row r="52" spans="1:8" x14ac:dyDescent="0.35">
      <c r="A52">
        <v>51</v>
      </c>
      <c r="B52" t="s">
        <v>1184</v>
      </c>
      <c r="C52" t="s">
        <v>48</v>
      </c>
      <c r="D52" t="s">
        <v>3</v>
      </c>
      <c r="E52" t="s">
        <v>351</v>
      </c>
      <c r="F52" t="s">
        <v>1113</v>
      </c>
      <c r="G52">
        <v>6</v>
      </c>
      <c r="H52" t="s">
        <v>1184</v>
      </c>
    </row>
    <row r="53" spans="1:8" x14ac:dyDescent="0.35">
      <c r="A53">
        <v>52</v>
      </c>
      <c r="B53" t="s">
        <v>1185</v>
      </c>
      <c r="C53" t="s">
        <v>49</v>
      </c>
      <c r="D53" t="s">
        <v>3</v>
      </c>
      <c r="E53" t="s">
        <v>351</v>
      </c>
      <c r="F53" t="s">
        <v>1113</v>
      </c>
      <c r="G53">
        <v>7</v>
      </c>
      <c r="H53" t="s">
        <v>1185</v>
      </c>
    </row>
    <row r="54" spans="1:8" x14ac:dyDescent="0.35">
      <c r="A54">
        <v>53</v>
      </c>
      <c r="B54" t="s">
        <v>1186</v>
      </c>
      <c r="C54" t="s">
        <v>1010</v>
      </c>
      <c r="D54" t="s">
        <v>3</v>
      </c>
      <c r="E54" t="s">
        <v>351</v>
      </c>
      <c r="F54" t="s">
        <v>1113</v>
      </c>
      <c r="G54">
        <v>8</v>
      </c>
      <c r="H54" t="s">
        <v>1186</v>
      </c>
    </row>
    <row r="55" spans="1:8" x14ac:dyDescent="0.35">
      <c r="A55">
        <v>54</v>
      </c>
      <c r="B55" t="s">
        <v>1187</v>
      </c>
      <c r="C55" t="s">
        <v>1011</v>
      </c>
      <c r="D55" t="s">
        <v>3</v>
      </c>
      <c r="E55" t="s">
        <v>351</v>
      </c>
      <c r="F55" t="s">
        <v>1113</v>
      </c>
      <c r="G55">
        <v>9</v>
      </c>
      <c r="H55" t="s">
        <v>1187</v>
      </c>
    </row>
    <row r="56" spans="1:8" x14ac:dyDescent="0.35">
      <c r="A56">
        <v>55</v>
      </c>
      <c r="B56" t="s">
        <v>1188</v>
      </c>
      <c r="C56" t="s">
        <v>993</v>
      </c>
      <c r="D56" t="s">
        <v>3</v>
      </c>
      <c r="E56" t="s">
        <v>351</v>
      </c>
      <c r="F56" t="s">
        <v>1113</v>
      </c>
      <c r="G56">
        <v>10</v>
      </c>
      <c r="H56" t="s">
        <v>1188</v>
      </c>
    </row>
    <row r="57" spans="1:8" x14ac:dyDescent="0.35">
      <c r="A57">
        <v>56</v>
      </c>
      <c r="B57" t="s">
        <v>1189</v>
      </c>
      <c r="C57" t="s">
        <v>994</v>
      </c>
      <c r="D57" t="s">
        <v>3</v>
      </c>
      <c r="E57" t="s">
        <v>351</v>
      </c>
      <c r="F57" t="s">
        <v>1113</v>
      </c>
      <c r="G57">
        <v>11</v>
      </c>
      <c r="H57" t="s">
        <v>1189</v>
      </c>
    </row>
    <row r="58" spans="1:8" x14ac:dyDescent="0.35">
      <c r="A58">
        <v>57</v>
      </c>
      <c r="B58" t="s">
        <v>1190</v>
      </c>
      <c r="C58" t="s">
        <v>1012</v>
      </c>
      <c r="D58" t="s">
        <v>3</v>
      </c>
      <c r="E58" t="s">
        <v>351</v>
      </c>
      <c r="F58" t="s">
        <v>1113</v>
      </c>
      <c r="G58">
        <v>12</v>
      </c>
      <c r="H58" t="s">
        <v>1190</v>
      </c>
    </row>
    <row r="59" spans="1:8" x14ac:dyDescent="0.35">
      <c r="A59">
        <v>58</v>
      </c>
      <c r="B59" t="s">
        <v>1191</v>
      </c>
      <c r="C59" t="s">
        <v>1013</v>
      </c>
      <c r="D59" t="s">
        <v>3</v>
      </c>
      <c r="E59" t="s">
        <v>351</v>
      </c>
      <c r="F59" t="s">
        <v>1113</v>
      </c>
      <c r="G59">
        <v>13</v>
      </c>
      <c r="H59" t="s">
        <v>1191</v>
      </c>
    </row>
    <row r="60" spans="1:8" x14ac:dyDescent="0.35">
      <c r="A60">
        <v>59</v>
      </c>
      <c r="B60" t="s">
        <v>409</v>
      </c>
      <c r="C60" t="s">
        <v>637</v>
      </c>
      <c r="D60" t="s">
        <v>4</v>
      </c>
      <c r="E60" t="s">
        <v>409</v>
      </c>
      <c r="F60" t="s">
        <v>787</v>
      </c>
      <c r="G60">
        <v>1</v>
      </c>
      <c r="H60" t="s">
        <v>409</v>
      </c>
    </row>
    <row r="61" spans="1:8" x14ac:dyDescent="0.35">
      <c r="A61">
        <v>60</v>
      </c>
      <c r="B61" t="s">
        <v>410</v>
      </c>
      <c r="C61" t="s">
        <v>497</v>
      </c>
      <c r="D61" t="s">
        <v>4</v>
      </c>
      <c r="E61" t="s">
        <v>409</v>
      </c>
      <c r="F61" t="s">
        <v>787</v>
      </c>
      <c r="G61">
        <v>2</v>
      </c>
      <c r="H61" t="s">
        <v>410</v>
      </c>
    </row>
    <row r="62" spans="1:8" x14ac:dyDescent="0.35">
      <c r="A62">
        <v>61</v>
      </c>
      <c r="B62" t="s">
        <v>411</v>
      </c>
      <c r="C62" t="s">
        <v>494</v>
      </c>
      <c r="D62" t="s">
        <v>4</v>
      </c>
      <c r="E62" t="s">
        <v>409</v>
      </c>
      <c r="F62" t="s">
        <v>787</v>
      </c>
      <c r="G62">
        <v>3</v>
      </c>
      <c r="H62" t="s">
        <v>411</v>
      </c>
    </row>
    <row r="63" spans="1:8" x14ac:dyDescent="0.35">
      <c r="A63">
        <v>62</v>
      </c>
      <c r="B63" t="s">
        <v>412</v>
      </c>
      <c r="C63" t="s">
        <v>1014</v>
      </c>
      <c r="D63" t="s">
        <v>4</v>
      </c>
      <c r="E63" t="s">
        <v>409</v>
      </c>
      <c r="F63" t="s">
        <v>787</v>
      </c>
      <c r="G63">
        <v>4</v>
      </c>
      <c r="H63" t="s">
        <v>412</v>
      </c>
    </row>
    <row r="64" spans="1:8" x14ac:dyDescent="0.35">
      <c r="A64">
        <v>63</v>
      </c>
      <c r="B64" t="s">
        <v>609</v>
      </c>
      <c r="C64" t="s">
        <v>1015</v>
      </c>
      <c r="D64" t="s">
        <v>4</v>
      </c>
      <c r="E64" t="s">
        <v>409</v>
      </c>
      <c r="F64" t="s">
        <v>787</v>
      </c>
      <c r="G64">
        <v>5</v>
      </c>
      <c r="H64" t="s">
        <v>609</v>
      </c>
    </row>
    <row r="65" spans="1:8" x14ac:dyDescent="0.35">
      <c r="A65">
        <v>64</v>
      </c>
      <c r="B65" t="s">
        <v>610</v>
      </c>
      <c r="C65" t="s">
        <v>491</v>
      </c>
      <c r="D65" t="s">
        <v>4</v>
      </c>
      <c r="E65" t="s">
        <v>409</v>
      </c>
      <c r="F65" t="s">
        <v>787</v>
      </c>
      <c r="G65">
        <v>6</v>
      </c>
      <c r="H65" t="s">
        <v>610</v>
      </c>
    </row>
    <row r="66" spans="1:8" x14ac:dyDescent="0.35">
      <c r="A66">
        <v>65</v>
      </c>
      <c r="B66" t="s">
        <v>611</v>
      </c>
      <c r="C66" t="s">
        <v>492</v>
      </c>
      <c r="D66" t="s">
        <v>4</v>
      </c>
      <c r="E66" t="s">
        <v>409</v>
      </c>
      <c r="F66" t="s">
        <v>787</v>
      </c>
      <c r="G66">
        <v>7</v>
      </c>
      <c r="H66" t="s">
        <v>611</v>
      </c>
    </row>
    <row r="67" spans="1:8" x14ac:dyDescent="0.35">
      <c r="A67">
        <v>66</v>
      </c>
      <c r="B67" t="s">
        <v>612</v>
      </c>
      <c r="C67" t="s">
        <v>499</v>
      </c>
      <c r="D67" t="s">
        <v>4</v>
      </c>
      <c r="E67" t="s">
        <v>409</v>
      </c>
      <c r="F67" t="s">
        <v>787</v>
      </c>
      <c r="G67">
        <v>8</v>
      </c>
      <c r="H67" t="s">
        <v>612</v>
      </c>
    </row>
    <row r="68" spans="1:8" x14ac:dyDescent="0.35">
      <c r="A68">
        <v>67</v>
      </c>
      <c r="B68" t="s">
        <v>613</v>
      </c>
      <c r="C68" t="s">
        <v>500</v>
      </c>
      <c r="D68" t="s">
        <v>4</v>
      </c>
      <c r="E68" t="s">
        <v>409</v>
      </c>
      <c r="F68" t="s">
        <v>787</v>
      </c>
      <c r="G68">
        <v>9</v>
      </c>
      <c r="H68" t="s">
        <v>613</v>
      </c>
    </row>
    <row r="69" spans="1:8" x14ac:dyDescent="0.35">
      <c r="A69">
        <v>68</v>
      </c>
      <c r="B69" t="s">
        <v>614</v>
      </c>
      <c r="C69" t="s">
        <v>1016</v>
      </c>
      <c r="D69" t="s">
        <v>4</v>
      </c>
      <c r="E69" t="s">
        <v>409</v>
      </c>
      <c r="F69" t="s">
        <v>787</v>
      </c>
      <c r="G69">
        <v>10</v>
      </c>
      <c r="H69" t="s">
        <v>614</v>
      </c>
    </row>
    <row r="70" spans="1:8" x14ac:dyDescent="0.35">
      <c r="A70">
        <v>69</v>
      </c>
      <c r="B70" t="s">
        <v>615</v>
      </c>
      <c r="C70" t="s">
        <v>502</v>
      </c>
      <c r="D70" t="s">
        <v>4</v>
      </c>
      <c r="E70" t="s">
        <v>409</v>
      </c>
      <c r="F70" t="s">
        <v>787</v>
      </c>
      <c r="G70">
        <v>11</v>
      </c>
      <c r="H70" t="s">
        <v>615</v>
      </c>
    </row>
    <row r="71" spans="1:8" x14ac:dyDescent="0.35">
      <c r="A71">
        <v>70</v>
      </c>
      <c r="B71" t="s">
        <v>616</v>
      </c>
      <c r="C71" t="s">
        <v>503</v>
      </c>
      <c r="D71" t="s">
        <v>4</v>
      </c>
      <c r="E71" t="s">
        <v>409</v>
      </c>
      <c r="F71" t="s">
        <v>787</v>
      </c>
      <c r="G71">
        <v>12</v>
      </c>
      <c r="H71" t="s">
        <v>616</v>
      </c>
    </row>
    <row r="72" spans="1:8" x14ac:dyDescent="0.35">
      <c r="A72">
        <v>71</v>
      </c>
      <c r="B72" t="s">
        <v>617</v>
      </c>
      <c r="C72" t="s">
        <v>1017</v>
      </c>
      <c r="D72" t="s">
        <v>4</v>
      </c>
      <c r="E72" t="s">
        <v>409</v>
      </c>
      <c r="F72" t="s">
        <v>787</v>
      </c>
      <c r="G72">
        <v>13</v>
      </c>
      <c r="H72" t="s">
        <v>617</v>
      </c>
    </row>
    <row r="73" spans="1:8" x14ac:dyDescent="0.35">
      <c r="A73">
        <v>72</v>
      </c>
      <c r="B73" t="s">
        <v>618</v>
      </c>
      <c r="C73" t="s">
        <v>1018</v>
      </c>
      <c r="D73" t="s">
        <v>4</v>
      </c>
      <c r="E73" t="s">
        <v>409</v>
      </c>
      <c r="F73" t="s">
        <v>787</v>
      </c>
      <c r="G73">
        <v>14</v>
      </c>
      <c r="H73" t="s">
        <v>618</v>
      </c>
    </row>
    <row r="74" spans="1:8" x14ac:dyDescent="0.35">
      <c r="A74">
        <v>73</v>
      </c>
      <c r="B74" t="s">
        <v>619</v>
      </c>
      <c r="C74" t="s">
        <v>1019</v>
      </c>
      <c r="D74" t="s">
        <v>4</v>
      </c>
      <c r="E74" t="s">
        <v>409</v>
      </c>
      <c r="F74" t="s">
        <v>787</v>
      </c>
      <c r="G74">
        <v>15</v>
      </c>
      <c r="H74" t="s">
        <v>619</v>
      </c>
    </row>
    <row r="75" spans="1:8" x14ac:dyDescent="0.35">
      <c r="A75">
        <v>74</v>
      </c>
      <c r="B75" t="s">
        <v>821</v>
      </c>
      <c r="C75" t="s">
        <v>1020</v>
      </c>
      <c r="D75" t="s">
        <v>4</v>
      </c>
      <c r="E75" t="s">
        <v>409</v>
      </c>
      <c r="F75" t="s">
        <v>787</v>
      </c>
      <c r="G75">
        <v>16</v>
      </c>
      <c r="H75" t="s">
        <v>821</v>
      </c>
    </row>
    <row r="76" spans="1:8" x14ac:dyDescent="0.35">
      <c r="A76">
        <v>75</v>
      </c>
      <c r="B76" t="s">
        <v>822</v>
      </c>
      <c r="C76" t="s">
        <v>1021</v>
      </c>
      <c r="D76" t="s">
        <v>4</v>
      </c>
      <c r="E76" t="s">
        <v>409</v>
      </c>
      <c r="F76" t="s">
        <v>787</v>
      </c>
      <c r="G76">
        <v>17</v>
      </c>
      <c r="H76" t="s">
        <v>822</v>
      </c>
    </row>
    <row r="77" spans="1:8" x14ac:dyDescent="0.35">
      <c r="A77">
        <v>76</v>
      </c>
      <c r="B77" t="s">
        <v>1192</v>
      </c>
      <c r="C77" t="s">
        <v>1022</v>
      </c>
      <c r="D77" t="s">
        <v>4</v>
      </c>
      <c r="E77" t="s">
        <v>409</v>
      </c>
      <c r="F77" t="s">
        <v>787</v>
      </c>
      <c r="G77">
        <v>18</v>
      </c>
      <c r="H77" t="s">
        <v>1192</v>
      </c>
    </row>
    <row r="78" spans="1:8" x14ac:dyDescent="0.35">
      <c r="A78">
        <v>77</v>
      </c>
      <c r="B78" t="s">
        <v>1193</v>
      </c>
      <c r="C78" t="s">
        <v>996</v>
      </c>
      <c r="D78" t="s">
        <v>4</v>
      </c>
      <c r="E78" t="s">
        <v>409</v>
      </c>
      <c r="F78" t="s">
        <v>787</v>
      </c>
      <c r="G78">
        <v>19</v>
      </c>
      <c r="H78" t="s">
        <v>1193</v>
      </c>
    </row>
    <row r="79" spans="1:8" x14ac:dyDescent="0.35">
      <c r="A79">
        <v>78</v>
      </c>
      <c r="B79" t="s">
        <v>1194</v>
      </c>
      <c r="C79" t="s">
        <v>994</v>
      </c>
      <c r="D79" t="s">
        <v>4</v>
      </c>
      <c r="E79" t="s">
        <v>409</v>
      </c>
      <c r="F79" t="s">
        <v>787</v>
      </c>
      <c r="G79">
        <v>20</v>
      </c>
      <c r="H79" t="s">
        <v>1194</v>
      </c>
    </row>
    <row r="80" spans="1:8" x14ac:dyDescent="0.35">
      <c r="A80">
        <v>79</v>
      </c>
      <c r="B80" t="s">
        <v>1195</v>
      </c>
      <c r="C80" t="s">
        <v>1023</v>
      </c>
      <c r="D80" t="s">
        <v>5</v>
      </c>
      <c r="E80" t="s">
        <v>600</v>
      </c>
      <c r="F80" t="s">
        <v>1114</v>
      </c>
      <c r="G80">
        <v>1</v>
      </c>
      <c r="H80" t="s">
        <v>1195</v>
      </c>
    </row>
    <row r="81" spans="1:8" x14ac:dyDescent="0.35">
      <c r="A81">
        <v>80</v>
      </c>
      <c r="B81" t="s">
        <v>1196</v>
      </c>
      <c r="C81" t="s">
        <v>996</v>
      </c>
      <c r="D81" t="s">
        <v>5</v>
      </c>
      <c r="E81" t="s">
        <v>600</v>
      </c>
      <c r="F81" t="s">
        <v>1114</v>
      </c>
      <c r="G81">
        <v>2</v>
      </c>
      <c r="H81" t="s">
        <v>1196</v>
      </c>
    </row>
    <row r="82" spans="1:8" x14ac:dyDescent="0.35">
      <c r="A82">
        <v>81</v>
      </c>
      <c r="B82" t="s">
        <v>1197</v>
      </c>
      <c r="C82" t="s">
        <v>994</v>
      </c>
      <c r="D82" t="s">
        <v>5</v>
      </c>
      <c r="E82" t="s">
        <v>600</v>
      </c>
      <c r="F82" t="s">
        <v>1114</v>
      </c>
      <c r="G82">
        <v>3</v>
      </c>
      <c r="H82" t="s">
        <v>1197</v>
      </c>
    </row>
    <row r="83" spans="1:8" x14ac:dyDescent="0.35">
      <c r="A83">
        <v>82</v>
      </c>
      <c r="B83" t="s">
        <v>1198</v>
      </c>
      <c r="C83" t="s">
        <v>1024</v>
      </c>
      <c r="D83" t="s">
        <v>5</v>
      </c>
      <c r="E83" t="s">
        <v>600</v>
      </c>
      <c r="F83" t="s">
        <v>1114</v>
      </c>
      <c r="G83">
        <v>4</v>
      </c>
      <c r="H83" t="s">
        <v>1198</v>
      </c>
    </row>
    <row r="84" spans="1:8" x14ac:dyDescent="0.35">
      <c r="A84">
        <v>83</v>
      </c>
      <c r="B84" t="s">
        <v>1199</v>
      </c>
      <c r="C84" t="s">
        <v>1025</v>
      </c>
      <c r="D84" t="s">
        <v>6</v>
      </c>
      <c r="E84" t="s">
        <v>1129</v>
      </c>
      <c r="F84" t="s">
        <v>1115</v>
      </c>
      <c r="G84">
        <v>1</v>
      </c>
      <c r="H84" t="s">
        <v>1199</v>
      </c>
    </row>
    <row r="85" spans="1:8" x14ac:dyDescent="0.35">
      <c r="A85">
        <v>84</v>
      </c>
      <c r="B85" t="s">
        <v>1200</v>
      </c>
      <c r="C85" t="s">
        <v>1026</v>
      </c>
      <c r="D85" t="s">
        <v>6</v>
      </c>
      <c r="E85" t="s">
        <v>1129</v>
      </c>
      <c r="F85" t="s">
        <v>1115</v>
      </c>
      <c r="G85">
        <v>2</v>
      </c>
      <c r="H85" t="s">
        <v>1200</v>
      </c>
    </row>
    <row r="86" spans="1:8" x14ac:dyDescent="0.35">
      <c r="A86">
        <v>85</v>
      </c>
      <c r="B86" t="s">
        <v>1201</v>
      </c>
      <c r="C86" t="s">
        <v>1027</v>
      </c>
      <c r="D86" t="s">
        <v>6</v>
      </c>
      <c r="E86" t="s">
        <v>1129</v>
      </c>
      <c r="F86" t="s">
        <v>1115</v>
      </c>
      <c r="G86">
        <v>3</v>
      </c>
      <c r="H86" t="s">
        <v>1201</v>
      </c>
    </row>
    <row r="87" spans="1:8" x14ac:dyDescent="0.35">
      <c r="A87">
        <v>86</v>
      </c>
      <c r="B87" t="s">
        <v>1202</v>
      </c>
      <c r="C87" t="s">
        <v>1028</v>
      </c>
      <c r="D87" t="s">
        <v>6</v>
      </c>
      <c r="E87" t="s">
        <v>1129</v>
      </c>
      <c r="F87" t="s">
        <v>1115</v>
      </c>
      <c r="G87">
        <v>4</v>
      </c>
      <c r="H87" t="s">
        <v>1202</v>
      </c>
    </row>
    <row r="88" spans="1:8" x14ac:dyDescent="0.35">
      <c r="A88">
        <v>87</v>
      </c>
      <c r="B88" t="s">
        <v>1203</v>
      </c>
      <c r="C88" t="s">
        <v>1029</v>
      </c>
      <c r="D88" t="s">
        <v>6</v>
      </c>
      <c r="E88" t="s">
        <v>1129</v>
      </c>
      <c r="F88" t="s">
        <v>1115</v>
      </c>
      <c r="G88">
        <v>5</v>
      </c>
      <c r="H88" t="s">
        <v>1203</v>
      </c>
    </row>
    <row r="89" spans="1:8" x14ac:dyDescent="0.35">
      <c r="A89">
        <v>88</v>
      </c>
      <c r="B89" t="s">
        <v>1204</v>
      </c>
      <c r="C89" t="s">
        <v>67</v>
      </c>
      <c r="D89" t="s">
        <v>6</v>
      </c>
      <c r="E89" t="s">
        <v>1129</v>
      </c>
      <c r="F89" t="s">
        <v>1115</v>
      </c>
      <c r="G89">
        <v>6</v>
      </c>
      <c r="H89" t="s">
        <v>1204</v>
      </c>
    </row>
    <row r="90" spans="1:8" x14ac:dyDescent="0.35">
      <c r="A90">
        <v>89</v>
      </c>
      <c r="B90" t="s">
        <v>1205</v>
      </c>
      <c r="C90" t="s">
        <v>1030</v>
      </c>
      <c r="D90" t="s">
        <v>6</v>
      </c>
      <c r="E90" t="s">
        <v>1129</v>
      </c>
      <c r="F90" t="s">
        <v>1115</v>
      </c>
      <c r="G90">
        <v>7</v>
      </c>
      <c r="H90" t="s">
        <v>1205</v>
      </c>
    </row>
    <row r="91" spans="1:8" x14ac:dyDescent="0.35">
      <c r="A91">
        <v>90</v>
      </c>
      <c r="B91" t="s">
        <v>1206</v>
      </c>
      <c r="C91" t="s">
        <v>1031</v>
      </c>
      <c r="D91" t="s">
        <v>6</v>
      </c>
      <c r="E91" t="s">
        <v>1129</v>
      </c>
      <c r="F91" t="s">
        <v>1115</v>
      </c>
      <c r="G91">
        <v>8</v>
      </c>
      <c r="H91" t="s">
        <v>1206</v>
      </c>
    </row>
    <row r="92" spans="1:8" x14ac:dyDescent="0.35">
      <c r="A92">
        <v>91</v>
      </c>
      <c r="B92" t="s">
        <v>1207</v>
      </c>
      <c r="C92" t="s">
        <v>1032</v>
      </c>
      <c r="D92" t="s">
        <v>6</v>
      </c>
      <c r="E92" t="s">
        <v>1129</v>
      </c>
      <c r="F92" t="s">
        <v>1115</v>
      </c>
      <c r="G92">
        <v>9</v>
      </c>
      <c r="H92" t="s">
        <v>1207</v>
      </c>
    </row>
    <row r="93" spans="1:8" x14ac:dyDescent="0.35">
      <c r="A93">
        <v>92</v>
      </c>
      <c r="B93" t="s">
        <v>1208</v>
      </c>
      <c r="C93" t="s">
        <v>1033</v>
      </c>
      <c r="D93" t="s">
        <v>6</v>
      </c>
      <c r="E93" t="s">
        <v>1129</v>
      </c>
      <c r="F93" t="s">
        <v>1115</v>
      </c>
      <c r="G93">
        <v>10</v>
      </c>
      <c r="H93" t="s">
        <v>1208</v>
      </c>
    </row>
    <row r="94" spans="1:8" x14ac:dyDescent="0.35">
      <c r="A94">
        <v>93</v>
      </c>
      <c r="B94" t="s">
        <v>1209</v>
      </c>
      <c r="C94" t="s">
        <v>1034</v>
      </c>
      <c r="D94" t="s">
        <v>6</v>
      </c>
      <c r="E94" t="s">
        <v>1129</v>
      </c>
      <c r="F94" t="s">
        <v>1115</v>
      </c>
      <c r="G94">
        <v>11</v>
      </c>
      <c r="H94" t="s">
        <v>1209</v>
      </c>
    </row>
    <row r="95" spans="1:8" x14ac:dyDescent="0.35">
      <c r="A95">
        <v>94</v>
      </c>
      <c r="B95" t="s">
        <v>1210</v>
      </c>
      <c r="C95" t="s">
        <v>1035</v>
      </c>
      <c r="D95" t="s">
        <v>6</v>
      </c>
      <c r="E95" t="s">
        <v>1129</v>
      </c>
      <c r="F95" t="s">
        <v>1115</v>
      </c>
      <c r="G95">
        <v>12</v>
      </c>
      <c r="H95" t="s">
        <v>1210</v>
      </c>
    </row>
    <row r="96" spans="1:8" x14ac:dyDescent="0.35">
      <c r="A96">
        <v>95</v>
      </c>
      <c r="B96" t="s">
        <v>1211</v>
      </c>
      <c r="C96" t="s">
        <v>1036</v>
      </c>
      <c r="D96" t="s">
        <v>6</v>
      </c>
      <c r="E96" t="s">
        <v>1129</v>
      </c>
      <c r="F96" t="s">
        <v>1115</v>
      </c>
      <c r="G96">
        <v>13</v>
      </c>
      <c r="H96" t="s">
        <v>1211</v>
      </c>
    </row>
    <row r="97" spans="1:8" x14ac:dyDescent="0.35">
      <c r="A97">
        <v>96</v>
      </c>
      <c r="B97" t="s">
        <v>1212</v>
      </c>
      <c r="C97" t="s">
        <v>1037</v>
      </c>
      <c r="D97" t="s">
        <v>6</v>
      </c>
      <c r="E97" t="s">
        <v>1129</v>
      </c>
      <c r="F97" t="s">
        <v>1115</v>
      </c>
      <c r="G97">
        <v>14</v>
      </c>
      <c r="H97" t="s">
        <v>1212</v>
      </c>
    </row>
    <row r="98" spans="1:8" x14ac:dyDescent="0.35">
      <c r="A98">
        <v>97</v>
      </c>
      <c r="B98" t="s">
        <v>1213</v>
      </c>
      <c r="C98" t="s">
        <v>993</v>
      </c>
      <c r="D98" t="s">
        <v>6</v>
      </c>
      <c r="E98" t="s">
        <v>1129</v>
      </c>
      <c r="F98" t="s">
        <v>1115</v>
      </c>
      <c r="G98">
        <v>15</v>
      </c>
      <c r="H98" t="s">
        <v>1213</v>
      </c>
    </row>
    <row r="99" spans="1:8" x14ac:dyDescent="0.35">
      <c r="A99">
        <v>98</v>
      </c>
      <c r="B99" t="s">
        <v>1214</v>
      </c>
      <c r="C99" t="s">
        <v>994</v>
      </c>
      <c r="D99" t="s">
        <v>6</v>
      </c>
      <c r="E99" t="s">
        <v>1129</v>
      </c>
      <c r="F99" t="s">
        <v>1115</v>
      </c>
      <c r="G99">
        <v>16</v>
      </c>
      <c r="H99" t="s">
        <v>1214</v>
      </c>
    </row>
    <row r="100" spans="1:8" x14ac:dyDescent="0.35">
      <c r="A100">
        <v>99</v>
      </c>
      <c r="B100" t="s">
        <v>1215</v>
      </c>
      <c r="C100" t="s">
        <v>1038</v>
      </c>
      <c r="D100" t="s">
        <v>7</v>
      </c>
      <c r="E100" t="s">
        <v>458</v>
      </c>
      <c r="F100" t="s">
        <v>1116</v>
      </c>
      <c r="G100">
        <v>1</v>
      </c>
      <c r="H100" t="s">
        <v>1215</v>
      </c>
    </row>
    <row r="101" spans="1:8" x14ac:dyDescent="0.35">
      <c r="A101">
        <v>100</v>
      </c>
      <c r="B101" t="s">
        <v>1216</v>
      </c>
      <c r="C101" t="s">
        <v>1039</v>
      </c>
      <c r="D101" t="s">
        <v>7</v>
      </c>
      <c r="E101" t="s">
        <v>458</v>
      </c>
      <c r="F101" t="s">
        <v>1116</v>
      </c>
      <c r="G101">
        <v>2</v>
      </c>
      <c r="H101" t="s">
        <v>1216</v>
      </c>
    </row>
    <row r="102" spans="1:8" x14ac:dyDescent="0.35">
      <c r="A102">
        <v>101</v>
      </c>
      <c r="B102" t="s">
        <v>1217</v>
      </c>
      <c r="C102" t="s">
        <v>74</v>
      </c>
      <c r="D102" t="s">
        <v>7</v>
      </c>
      <c r="E102" t="s">
        <v>458</v>
      </c>
      <c r="F102" t="s">
        <v>1116</v>
      </c>
      <c r="G102">
        <v>3</v>
      </c>
      <c r="H102" t="s">
        <v>1217</v>
      </c>
    </row>
    <row r="103" spans="1:8" x14ac:dyDescent="0.35">
      <c r="A103">
        <v>102</v>
      </c>
      <c r="B103" t="s">
        <v>1218</v>
      </c>
      <c r="C103" t="s">
        <v>1040</v>
      </c>
      <c r="D103" t="s">
        <v>7</v>
      </c>
      <c r="E103" t="s">
        <v>458</v>
      </c>
      <c r="F103" t="s">
        <v>1116</v>
      </c>
      <c r="G103">
        <v>4</v>
      </c>
      <c r="H103" t="s">
        <v>1218</v>
      </c>
    </row>
    <row r="104" spans="1:8" x14ac:dyDescent="0.35">
      <c r="A104">
        <v>103</v>
      </c>
      <c r="B104" t="s">
        <v>1219</v>
      </c>
      <c r="C104" t="s">
        <v>1041</v>
      </c>
      <c r="D104" t="s">
        <v>7</v>
      </c>
      <c r="E104" t="s">
        <v>458</v>
      </c>
      <c r="F104" t="s">
        <v>1116</v>
      </c>
      <c r="G104">
        <v>5</v>
      </c>
      <c r="H104" t="s">
        <v>1219</v>
      </c>
    </row>
    <row r="105" spans="1:8" x14ac:dyDescent="0.35">
      <c r="A105">
        <v>104</v>
      </c>
      <c r="B105" t="s">
        <v>1220</v>
      </c>
      <c r="C105" t="s">
        <v>77</v>
      </c>
      <c r="D105" t="s">
        <v>7</v>
      </c>
      <c r="E105" t="s">
        <v>458</v>
      </c>
      <c r="F105" t="s">
        <v>1116</v>
      </c>
      <c r="G105">
        <v>6</v>
      </c>
      <c r="H105" t="s">
        <v>1220</v>
      </c>
    </row>
    <row r="106" spans="1:8" x14ac:dyDescent="0.35">
      <c r="A106">
        <v>105</v>
      </c>
      <c r="B106" t="s">
        <v>1221</v>
      </c>
      <c r="C106" t="s">
        <v>1042</v>
      </c>
      <c r="D106" t="s">
        <v>7</v>
      </c>
      <c r="E106" t="s">
        <v>458</v>
      </c>
      <c r="F106" t="s">
        <v>1116</v>
      </c>
      <c r="G106">
        <v>7</v>
      </c>
      <c r="H106" t="s">
        <v>1221</v>
      </c>
    </row>
    <row r="107" spans="1:8" x14ac:dyDescent="0.35">
      <c r="A107">
        <v>106</v>
      </c>
      <c r="B107" t="s">
        <v>1222</v>
      </c>
      <c r="C107" t="s">
        <v>1043</v>
      </c>
      <c r="D107" t="s">
        <v>7</v>
      </c>
      <c r="E107" t="s">
        <v>458</v>
      </c>
      <c r="F107" t="s">
        <v>1116</v>
      </c>
      <c r="G107">
        <v>8</v>
      </c>
      <c r="H107" t="s">
        <v>1222</v>
      </c>
    </row>
    <row r="108" spans="1:8" x14ac:dyDescent="0.35">
      <c r="A108">
        <v>107</v>
      </c>
      <c r="B108" t="s">
        <v>1223</v>
      </c>
      <c r="C108" t="s">
        <v>993</v>
      </c>
      <c r="D108" t="s">
        <v>7</v>
      </c>
      <c r="E108" t="s">
        <v>458</v>
      </c>
      <c r="F108" t="s">
        <v>1116</v>
      </c>
      <c r="G108">
        <v>9</v>
      </c>
      <c r="H108" t="s">
        <v>1223</v>
      </c>
    </row>
    <row r="109" spans="1:8" x14ac:dyDescent="0.35">
      <c r="A109">
        <v>108</v>
      </c>
      <c r="B109" t="s">
        <v>1224</v>
      </c>
      <c r="C109" t="s">
        <v>994</v>
      </c>
      <c r="D109" t="s">
        <v>7</v>
      </c>
      <c r="E109" t="s">
        <v>458</v>
      </c>
      <c r="F109" t="s">
        <v>1116</v>
      </c>
      <c r="G109">
        <v>10</v>
      </c>
      <c r="H109" t="s">
        <v>1224</v>
      </c>
    </row>
    <row r="110" spans="1:8" x14ac:dyDescent="0.35">
      <c r="A110">
        <v>109</v>
      </c>
      <c r="B110" t="s">
        <v>1225</v>
      </c>
      <c r="C110" t="s">
        <v>1044</v>
      </c>
      <c r="D110" t="s">
        <v>8</v>
      </c>
      <c r="E110" t="s">
        <v>340</v>
      </c>
      <c r="F110" t="s">
        <v>1117</v>
      </c>
      <c r="G110">
        <v>1</v>
      </c>
      <c r="H110" t="s">
        <v>1225</v>
      </c>
    </row>
    <row r="111" spans="1:8" x14ac:dyDescent="0.35">
      <c r="A111">
        <v>110</v>
      </c>
      <c r="B111" t="s">
        <v>1226</v>
      </c>
      <c r="C111" t="s">
        <v>667</v>
      </c>
      <c r="D111" t="s">
        <v>8</v>
      </c>
      <c r="E111" t="s">
        <v>340</v>
      </c>
      <c r="F111" t="s">
        <v>1117</v>
      </c>
      <c r="G111">
        <v>2</v>
      </c>
      <c r="H111" t="s">
        <v>1226</v>
      </c>
    </row>
    <row r="112" spans="1:8" x14ac:dyDescent="0.35">
      <c r="A112">
        <v>111</v>
      </c>
      <c r="B112" t="s">
        <v>1227</v>
      </c>
      <c r="C112" t="s">
        <v>658</v>
      </c>
      <c r="D112" t="s">
        <v>8</v>
      </c>
      <c r="E112" t="s">
        <v>340</v>
      </c>
      <c r="F112" t="s">
        <v>1117</v>
      </c>
      <c r="G112">
        <v>3</v>
      </c>
      <c r="H112" t="s">
        <v>1227</v>
      </c>
    </row>
    <row r="113" spans="1:8" x14ac:dyDescent="0.35">
      <c r="A113">
        <v>112</v>
      </c>
      <c r="B113" t="s">
        <v>1228</v>
      </c>
      <c r="C113" t="s">
        <v>657</v>
      </c>
      <c r="D113" t="s">
        <v>8</v>
      </c>
      <c r="E113" t="s">
        <v>340</v>
      </c>
      <c r="F113" t="s">
        <v>1117</v>
      </c>
      <c r="G113">
        <v>4</v>
      </c>
      <c r="H113" t="s">
        <v>1228</v>
      </c>
    </row>
    <row r="114" spans="1:8" x14ac:dyDescent="0.35">
      <c r="A114">
        <v>113</v>
      </c>
      <c r="B114" t="s">
        <v>1229</v>
      </c>
      <c r="C114" t="s">
        <v>660</v>
      </c>
      <c r="D114" t="s">
        <v>8</v>
      </c>
      <c r="E114" t="s">
        <v>340</v>
      </c>
      <c r="F114" t="s">
        <v>1117</v>
      </c>
      <c r="G114">
        <v>5</v>
      </c>
      <c r="H114" t="s">
        <v>1229</v>
      </c>
    </row>
    <row r="115" spans="1:8" x14ac:dyDescent="0.35">
      <c r="A115">
        <v>114</v>
      </c>
      <c r="B115" t="s">
        <v>1230</v>
      </c>
      <c r="C115" t="s">
        <v>665</v>
      </c>
      <c r="D115" t="s">
        <v>8</v>
      </c>
      <c r="E115" t="s">
        <v>340</v>
      </c>
      <c r="F115" t="s">
        <v>1117</v>
      </c>
      <c r="G115">
        <v>6</v>
      </c>
      <c r="H115" t="s">
        <v>1230</v>
      </c>
    </row>
    <row r="116" spans="1:8" x14ac:dyDescent="0.35">
      <c r="A116">
        <v>115</v>
      </c>
      <c r="B116" t="s">
        <v>1231</v>
      </c>
      <c r="C116" t="s">
        <v>1045</v>
      </c>
      <c r="D116" t="s">
        <v>8</v>
      </c>
      <c r="E116" t="s">
        <v>340</v>
      </c>
      <c r="F116" t="s">
        <v>1117</v>
      </c>
      <c r="G116">
        <v>7</v>
      </c>
      <c r="H116" t="s">
        <v>1231</v>
      </c>
    </row>
    <row r="117" spans="1:8" x14ac:dyDescent="0.35">
      <c r="A117">
        <v>116</v>
      </c>
      <c r="B117" t="s">
        <v>1232</v>
      </c>
      <c r="C117" t="s">
        <v>668</v>
      </c>
      <c r="D117" t="s">
        <v>8</v>
      </c>
      <c r="E117" t="s">
        <v>340</v>
      </c>
      <c r="F117" t="s">
        <v>1117</v>
      </c>
      <c r="G117">
        <v>8</v>
      </c>
      <c r="H117" t="s">
        <v>1232</v>
      </c>
    </row>
    <row r="118" spans="1:8" x14ac:dyDescent="0.35">
      <c r="A118">
        <v>117</v>
      </c>
      <c r="B118" t="s">
        <v>1233</v>
      </c>
      <c r="C118" t="s">
        <v>661</v>
      </c>
      <c r="D118" t="s">
        <v>8</v>
      </c>
      <c r="E118" t="s">
        <v>340</v>
      </c>
      <c r="F118" t="s">
        <v>1117</v>
      </c>
      <c r="G118">
        <v>9</v>
      </c>
      <c r="H118" t="s">
        <v>1233</v>
      </c>
    </row>
    <row r="119" spans="1:8" x14ac:dyDescent="0.35">
      <c r="A119">
        <v>118</v>
      </c>
      <c r="B119" t="s">
        <v>1234</v>
      </c>
      <c r="C119" t="s">
        <v>662</v>
      </c>
      <c r="D119" t="s">
        <v>8</v>
      </c>
      <c r="E119" t="s">
        <v>340</v>
      </c>
      <c r="F119" t="s">
        <v>1117</v>
      </c>
      <c r="G119">
        <v>10</v>
      </c>
      <c r="H119" t="s">
        <v>1234</v>
      </c>
    </row>
    <row r="120" spans="1:8" x14ac:dyDescent="0.35">
      <c r="A120">
        <v>119</v>
      </c>
      <c r="B120" t="s">
        <v>1235</v>
      </c>
      <c r="C120" t="s">
        <v>669</v>
      </c>
      <c r="D120" t="s">
        <v>8</v>
      </c>
      <c r="E120" t="s">
        <v>340</v>
      </c>
      <c r="F120" t="s">
        <v>1117</v>
      </c>
      <c r="G120">
        <v>11</v>
      </c>
      <c r="H120" t="s">
        <v>1235</v>
      </c>
    </row>
    <row r="121" spans="1:8" x14ac:dyDescent="0.35">
      <c r="A121">
        <v>120</v>
      </c>
      <c r="B121" t="s">
        <v>1236</v>
      </c>
      <c r="C121" t="s">
        <v>520</v>
      </c>
      <c r="D121" t="s">
        <v>8</v>
      </c>
      <c r="E121" t="s">
        <v>340</v>
      </c>
      <c r="F121" t="s">
        <v>1117</v>
      </c>
      <c r="G121">
        <v>12</v>
      </c>
      <c r="H121" t="s">
        <v>1236</v>
      </c>
    </row>
    <row r="122" spans="1:8" x14ac:dyDescent="0.35">
      <c r="A122">
        <v>121</v>
      </c>
      <c r="B122" t="s">
        <v>1237</v>
      </c>
      <c r="C122" t="s">
        <v>1046</v>
      </c>
      <c r="D122" t="s">
        <v>8</v>
      </c>
      <c r="E122" t="s">
        <v>340</v>
      </c>
      <c r="F122" t="s">
        <v>1117</v>
      </c>
      <c r="G122">
        <v>13</v>
      </c>
      <c r="H122" t="s">
        <v>1237</v>
      </c>
    </row>
    <row r="123" spans="1:8" x14ac:dyDescent="0.35">
      <c r="A123">
        <v>122</v>
      </c>
      <c r="B123" t="s">
        <v>1238</v>
      </c>
      <c r="C123" t="s">
        <v>993</v>
      </c>
      <c r="D123" t="s">
        <v>8</v>
      </c>
      <c r="E123" t="s">
        <v>340</v>
      </c>
      <c r="F123" t="s">
        <v>1117</v>
      </c>
      <c r="G123">
        <v>14</v>
      </c>
      <c r="H123" t="s">
        <v>1238</v>
      </c>
    </row>
    <row r="124" spans="1:8" x14ac:dyDescent="0.35">
      <c r="A124">
        <v>123</v>
      </c>
      <c r="B124" t="s">
        <v>1239</v>
      </c>
      <c r="C124" t="s">
        <v>994</v>
      </c>
      <c r="D124" t="s">
        <v>8</v>
      </c>
      <c r="E124" t="s">
        <v>340</v>
      </c>
      <c r="F124" t="s">
        <v>1117</v>
      </c>
      <c r="G124">
        <v>15</v>
      </c>
      <c r="H124" t="s">
        <v>1239</v>
      </c>
    </row>
    <row r="125" spans="1:8" x14ac:dyDescent="0.35">
      <c r="A125">
        <v>124</v>
      </c>
      <c r="B125" t="s">
        <v>1240</v>
      </c>
      <c r="C125" t="s">
        <v>1047</v>
      </c>
      <c r="D125" t="s">
        <v>9</v>
      </c>
      <c r="E125" t="s">
        <v>786</v>
      </c>
      <c r="F125" t="s">
        <v>1118</v>
      </c>
      <c r="G125">
        <v>1</v>
      </c>
      <c r="H125" t="s">
        <v>1240</v>
      </c>
    </row>
    <row r="126" spans="1:8" x14ac:dyDescent="0.35">
      <c r="A126">
        <v>125</v>
      </c>
      <c r="B126" t="s">
        <v>1241</v>
      </c>
      <c r="C126" t="s">
        <v>524</v>
      </c>
      <c r="D126" t="s">
        <v>9</v>
      </c>
      <c r="E126" t="s">
        <v>786</v>
      </c>
      <c r="F126" t="s">
        <v>1118</v>
      </c>
      <c r="G126">
        <v>2</v>
      </c>
      <c r="H126" t="s">
        <v>1241</v>
      </c>
    </row>
    <row r="127" spans="1:8" x14ac:dyDescent="0.35">
      <c r="A127">
        <v>126</v>
      </c>
      <c r="B127" t="s">
        <v>1242</v>
      </c>
      <c r="C127" t="s">
        <v>525</v>
      </c>
      <c r="D127" t="s">
        <v>9</v>
      </c>
      <c r="E127" t="s">
        <v>786</v>
      </c>
      <c r="F127" t="s">
        <v>1118</v>
      </c>
      <c r="G127">
        <v>3</v>
      </c>
      <c r="H127" t="s">
        <v>1242</v>
      </c>
    </row>
    <row r="128" spans="1:8" x14ac:dyDescent="0.35">
      <c r="A128">
        <v>127</v>
      </c>
      <c r="B128" t="s">
        <v>1243</v>
      </c>
      <c r="C128" t="s">
        <v>527</v>
      </c>
      <c r="D128" t="s">
        <v>9</v>
      </c>
      <c r="E128" t="s">
        <v>786</v>
      </c>
      <c r="F128" t="s">
        <v>1118</v>
      </c>
      <c r="G128">
        <v>4</v>
      </c>
      <c r="H128" t="s">
        <v>1243</v>
      </c>
    </row>
    <row r="129" spans="1:8" x14ac:dyDescent="0.35">
      <c r="A129">
        <v>128</v>
      </c>
      <c r="B129" t="s">
        <v>1244</v>
      </c>
      <c r="C129" t="s">
        <v>1048</v>
      </c>
      <c r="D129" t="s">
        <v>9</v>
      </c>
      <c r="E129" t="s">
        <v>786</v>
      </c>
      <c r="F129" t="s">
        <v>1118</v>
      </c>
      <c r="G129">
        <v>5</v>
      </c>
      <c r="H129" t="s">
        <v>1244</v>
      </c>
    </row>
    <row r="130" spans="1:8" x14ac:dyDescent="0.35">
      <c r="A130">
        <v>129</v>
      </c>
      <c r="B130" t="s">
        <v>1245</v>
      </c>
      <c r="C130" t="s">
        <v>886</v>
      </c>
      <c r="D130" t="s">
        <v>9</v>
      </c>
      <c r="E130" t="s">
        <v>786</v>
      </c>
      <c r="F130" t="s">
        <v>1118</v>
      </c>
      <c r="G130">
        <v>6</v>
      </c>
      <c r="H130" t="s">
        <v>1245</v>
      </c>
    </row>
    <row r="131" spans="1:8" x14ac:dyDescent="0.35">
      <c r="A131">
        <v>130</v>
      </c>
      <c r="B131" t="s">
        <v>1246</v>
      </c>
      <c r="C131" t="s">
        <v>526</v>
      </c>
      <c r="D131" t="s">
        <v>9</v>
      </c>
      <c r="E131" t="s">
        <v>786</v>
      </c>
      <c r="F131" t="s">
        <v>1118</v>
      </c>
      <c r="G131">
        <v>7</v>
      </c>
      <c r="H131" t="s">
        <v>1246</v>
      </c>
    </row>
    <row r="132" spans="1:8" x14ac:dyDescent="0.35">
      <c r="A132">
        <v>131</v>
      </c>
      <c r="B132" t="s">
        <v>1247</v>
      </c>
      <c r="C132" t="s">
        <v>1049</v>
      </c>
      <c r="D132" t="s">
        <v>9</v>
      </c>
      <c r="E132" t="s">
        <v>786</v>
      </c>
      <c r="F132" t="s">
        <v>1118</v>
      </c>
      <c r="G132">
        <v>8</v>
      </c>
      <c r="H132" t="s">
        <v>1247</v>
      </c>
    </row>
    <row r="133" spans="1:8" x14ac:dyDescent="0.35">
      <c r="A133">
        <v>132</v>
      </c>
      <c r="B133" t="s">
        <v>1248</v>
      </c>
      <c r="C133" t="s">
        <v>529</v>
      </c>
      <c r="D133" t="s">
        <v>9</v>
      </c>
      <c r="E133" t="s">
        <v>786</v>
      </c>
      <c r="F133" t="s">
        <v>1118</v>
      </c>
      <c r="G133">
        <v>9</v>
      </c>
      <c r="H133" t="s">
        <v>1248</v>
      </c>
    </row>
    <row r="134" spans="1:8" x14ac:dyDescent="0.35">
      <c r="A134">
        <v>133</v>
      </c>
      <c r="B134" t="s">
        <v>1249</v>
      </c>
      <c r="C134" t="s">
        <v>1050</v>
      </c>
      <c r="D134" t="s">
        <v>9</v>
      </c>
      <c r="E134" t="s">
        <v>786</v>
      </c>
      <c r="F134" t="s">
        <v>1118</v>
      </c>
      <c r="G134">
        <v>10</v>
      </c>
      <c r="H134" t="s">
        <v>1249</v>
      </c>
    </row>
    <row r="135" spans="1:8" x14ac:dyDescent="0.35">
      <c r="A135">
        <v>134</v>
      </c>
      <c r="B135" t="s">
        <v>1250</v>
      </c>
      <c r="C135" t="s">
        <v>1051</v>
      </c>
      <c r="D135" t="s">
        <v>9</v>
      </c>
      <c r="E135" t="s">
        <v>786</v>
      </c>
      <c r="F135" t="s">
        <v>1118</v>
      </c>
      <c r="G135">
        <v>11</v>
      </c>
      <c r="H135" t="s">
        <v>1250</v>
      </c>
    </row>
    <row r="136" spans="1:8" x14ac:dyDescent="0.35">
      <c r="A136">
        <v>135</v>
      </c>
      <c r="B136" t="s">
        <v>1251</v>
      </c>
      <c r="C136" t="s">
        <v>1052</v>
      </c>
      <c r="D136" t="s">
        <v>9</v>
      </c>
      <c r="E136" t="s">
        <v>786</v>
      </c>
      <c r="F136" t="s">
        <v>1118</v>
      </c>
      <c r="G136">
        <v>12</v>
      </c>
      <c r="H136" t="s">
        <v>1251</v>
      </c>
    </row>
    <row r="137" spans="1:8" x14ac:dyDescent="0.35">
      <c r="A137">
        <v>136</v>
      </c>
      <c r="B137" t="s">
        <v>1252</v>
      </c>
      <c r="C137" t="s">
        <v>1053</v>
      </c>
      <c r="D137" t="s">
        <v>9</v>
      </c>
      <c r="E137" t="s">
        <v>786</v>
      </c>
      <c r="F137" t="s">
        <v>1118</v>
      </c>
      <c r="G137">
        <v>13</v>
      </c>
      <c r="H137" t="s">
        <v>1252</v>
      </c>
    </row>
    <row r="138" spans="1:8" x14ac:dyDescent="0.35">
      <c r="A138">
        <v>137</v>
      </c>
      <c r="B138" t="s">
        <v>1253</v>
      </c>
      <c r="C138" t="s">
        <v>734</v>
      </c>
      <c r="D138" t="s">
        <v>9</v>
      </c>
      <c r="E138" t="s">
        <v>786</v>
      </c>
      <c r="F138" t="s">
        <v>1118</v>
      </c>
      <c r="G138">
        <v>14</v>
      </c>
      <c r="H138" t="s">
        <v>1253</v>
      </c>
    </row>
    <row r="139" spans="1:8" x14ac:dyDescent="0.35">
      <c r="A139">
        <v>138</v>
      </c>
      <c r="B139" t="s">
        <v>1254</v>
      </c>
      <c r="C139" t="s">
        <v>1119</v>
      </c>
      <c r="D139" t="s">
        <v>9</v>
      </c>
      <c r="E139" t="s">
        <v>786</v>
      </c>
      <c r="F139" t="s">
        <v>1118</v>
      </c>
      <c r="G139">
        <v>15</v>
      </c>
      <c r="H139" t="s">
        <v>1254</v>
      </c>
    </row>
    <row r="140" spans="1:8" x14ac:dyDescent="0.35">
      <c r="A140">
        <v>139</v>
      </c>
      <c r="B140" t="s">
        <v>1255</v>
      </c>
      <c r="C140" t="s">
        <v>146</v>
      </c>
      <c r="D140" t="s">
        <v>10</v>
      </c>
      <c r="E140" t="s">
        <v>429</v>
      </c>
      <c r="F140" t="s">
        <v>1120</v>
      </c>
      <c r="G140">
        <v>1</v>
      </c>
      <c r="H140" t="s">
        <v>1255</v>
      </c>
    </row>
    <row r="141" spans="1:8" x14ac:dyDescent="0.35">
      <c r="A141">
        <v>140</v>
      </c>
      <c r="B141" t="s">
        <v>1256</v>
      </c>
      <c r="C141" t="s">
        <v>685</v>
      </c>
      <c r="D141" t="s">
        <v>10</v>
      </c>
      <c r="E141" t="s">
        <v>429</v>
      </c>
      <c r="F141" t="s">
        <v>1120</v>
      </c>
      <c r="G141">
        <v>2</v>
      </c>
      <c r="H141" t="s">
        <v>1256</v>
      </c>
    </row>
    <row r="142" spans="1:8" x14ac:dyDescent="0.35">
      <c r="A142">
        <v>141</v>
      </c>
      <c r="B142" t="s">
        <v>1257</v>
      </c>
      <c r="C142" t="s">
        <v>148</v>
      </c>
      <c r="D142" t="s">
        <v>10</v>
      </c>
      <c r="E142" t="s">
        <v>429</v>
      </c>
      <c r="F142" t="s">
        <v>1120</v>
      </c>
      <c r="G142">
        <v>3</v>
      </c>
      <c r="H142" t="s">
        <v>1257</v>
      </c>
    </row>
    <row r="143" spans="1:8" x14ac:dyDescent="0.35">
      <c r="A143">
        <v>142</v>
      </c>
      <c r="B143" t="s">
        <v>1258</v>
      </c>
      <c r="C143" t="s">
        <v>686</v>
      </c>
      <c r="D143" t="s">
        <v>10</v>
      </c>
      <c r="E143" t="s">
        <v>429</v>
      </c>
      <c r="F143" t="s">
        <v>1120</v>
      </c>
      <c r="G143">
        <v>4</v>
      </c>
      <c r="H143" t="s">
        <v>1258</v>
      </c>
    </row>
    <row r="144" spans="1:8" x14ac:dyDescent="0.35">
      <c r="A144">
        <v>143</v>
      </c>
      <c r="B144" t="s">
        <v>1259</v>
      </c>
      <c r="C144" t="s">
        <v>95</v>
      </c>
      <c r="D144" t="s">
        <v>10</v>
      </c>
      <c r="E144" t="s">
        <v>429</v>
      </c>
      <c r="F144" t="s">
        <v>1120</v>
      </c>
      <c r="G144">
        <v>5</v>
      </c>
      <c r="H144" t="s">
        <v>1259</v>
      </c>
    </row>
    <row r="145" spans="1:8" x14ac:dyDescent="0.35">
      <c r="A145">
        <v>144</v>
      </c>
      <c r="B145" t="s">
        <v>1260</v>
      </c>
      <c r="C145" t="s">
        <v>687</v>
      </c>
      <c r="D145" t="s">
        <v>10</v>
      </c>
      <c r="E145" t="s">
        <v>429</v>
      </c>
      <c r="F145" t="s">
        <v>1120</v>
      </c>
      <c r="G145">
        <v>6</v>
      </c>
      <c r="H145" t="s">
        <v>1260</v>
      </c>
    </row>
    <row r="146" spans="1:8" x14ac:dyDescent="0.35">
      <c r="A146">
        <v>145</v>
      </c>
      <c r="B146" t="s">
        <v>1261</v>
      </c>
      <c r="C146" t="s">
        <v>895</v>
      </c>
      <c r="D146" t="s">
        <v>10</v>
      </c>
      <c r="E146" t="s">
        <v>429</v>
      </c>
      <c r="F146" t="s">
        <v>1120</v>
      </c>
      <c r="G146">
        <v>7</v>
      </c>
      <c r="H146" t="s">
        <v>1261</v>
      </c>
    </row>
    <row r="147" spans="1:8" x14ac:dyDescent="0.35">
      <c r="A147">
        <v>146</v>
      </c>
      <c r="B147" t="s">
        <v>1262</v>
      </c>
      <c r="C147" t="s">
        <v>1055</v>
      </c>
      <c r="D147" t="s">
        <v>10</v>
      </c>
      <c r="E147" t="s">
        <v>429</v>
      </c>
      <c r="F147" t="s">
        <v>1120</v>
      </c>
      <c r="G147">
        <v>8</v>
      </c>
      <c r="H147" t="s">
        <v>1262</v>
      </c>
    </row>
    <row r="148" spans="1:8" x14ac:dyDescent="0.35">
      <c r="A148">
        <v>147</v>
      </c>
      <c r="B148" t="s">
        <v>1263</v>
      </c>
      <c r="C148" t="s">
        <v>1056</v>
      </c>
      <c r="D148" t="s">
        <v>10</v>
      </c>
      <c r="E148" t="s">
        <v>429</v>
      </c>
      <c r="F148" t="s">
        <v>1120</v>
      </c>
      <c r="G148">
        <v>9</v>
      </c>
      <c r="H148" t="s">
        <v>1263</v>
      </c>
    </row>
    <row r="149" spans="1:8" x14ac:dyDescent="0.35">
      <c r="A149">
        <v>148</v>
      </c>
      <c r="B149" t="s">
        <v>1264</v>
      </c>
      <c r="C149" t="s">
        <v>1057</v>
      </c>
      <c r="D149" t="s">
        <v>10</v>
      </c>
      <c r="E149" t="s">
        <v>429</v>
      </c>
      <c r="F149" t="s">
        <v>1120</v>
      </c>
      <c r="G149">
        <v>10</v>
      </c>
      <c r="H149" t="s">
        <v>1264</v>
      </c>
    </row>
    <row r="150" spans="1:8" x14ac:dyDescent="0.35">
      <c r="A150">
        <v>149</v>
      </c>
      <c r="B150" t="s">
        <v>1265</v>
      </c>
      <c r="C150" t="s">
        <v>1058</v>
      </c>
      <c r="D150" t="s">
        <v>10</v>
      </c>
      <c r="E150" t="s">
        <v>429</v>
      </c>
      <c r="F150" t="s">
        <v>1120</v>
      </c>
      <c r="G150">
        <v>11</v>
      </c>
      <c r="H150" t="s">
        <v>1265</v>
      </c>
    </row>
    <row r="151" spans="1:8" x14ac:dyDescent="0.35">
      <c r="A151">
        <v>150</v>
      </c>
      <c r="B151" t="s">
        <v>1266</v>
      </c>
      <c r="C151" t="s">
        <v>903</v>
      </c>
      <c r="D151" t="s">
        <v>10</v>
      </c>
      <c r="E151" t="s">
        <v>429</v>
      </c>
      <c r="F151" t="s">
        <v>1120</v>
      </c>
      <c r="G151">
        <v>12</v>
      </c>
      <c r="H151" t="s">
        <v>1266</v>
      </c>
    </row>
    <row r="152" spans="1:8" x14ac:dyDescent="0.35">
      <c r="A152">
        <v>151</v>
      </c>
      <c r="B152" t="s">
        <v>1267</v>
      </c>
      <c r="C152" t="s">
        <v>1059</v>
      </c>
      <c r="D152" t="s">
        <v>10</v>
      </c>
      <c r="E152" t="s">
        <v>429</v>
      </c>
      <c r="F152" t="s">
        <v>1120</v>
      </c>
      <c r="G152">
        <v>13</v>
      </c>
      <c r="H152" t="s">
        <v>1267</v>
      </c>
    </row>
    <row r="153" spans="1:8" x14ac:dyDescent="0.35">
      <c r="A153">
        <v>152</v>
      </c>
      <c r="B153" t="s">
        <v>1268</v>
      </c>
      <c r="C153" t="s">
        <v>1060</v>
      </c>
      <c r="D153" t="s">
        <v>10</v>
      </c>
      <c r="E153" t="s">
        <v>429</v>
      </c>
      <c r="F153" t="s">
        <v>1120</v>
      </c>
      <c r="G153">
        <v>14</v>
      </c>
      <c r="H153" t="s">
        <v>1268</v>
      </c>
    </row>
    <row r="154" spans="1:8" x14ac:dyDescent="0.35">
      <c r="A154">
        <v>153</v>
      </c>
      <c r="B154" t="s">
        <v>1269</v>
      </c>
      <c r="C154" t="s">
        <v>94</v>
      </c>
      <c r="D154" t="s">
        <v>10</v>
      </c>
      <c r="E154" t="s">
        <v>429</v>
      </c>
      <c r="F154" t="s">
        <v>1120</v>
      </c>
      <c r="G154">
        <v>15</v>
      </c>
      <c r="H154" t="s">
        <v>1269</v>
      </c>
    </row>
    <row r="155" spans="1:8" x14ac:dyDescent="0.35">
      <c r="A155">
        <v>154</v>
      </c>
      <c r="B155" t="s">
        <v>1270</v>
      </c>
      <c r="C155" t="s">
        <v>95</v>
      </c>
      <c r="D155" t="s">
        <v>10</v>
      </c>
      <c r="E155" t="s">
        <v>429</v>
      </c>
      <c r="F155" t="s">
        <v>1120</v>
      </c>
      <c r="G155">
        <v>16</v>
      </c>
      <c r="H155" t="s">
        <v>1270</v>
      </c>
    </row>
    <row r="156" spans="1:8" x14ac:dyDescent="0.35">
      <c r="A156">
        <v>155</v>
      </c>
      <c r="B156" t="s">
        <v>1271</v>
      </c>
      <c r="C156" t="s">
        <v>1061</v>
      </c>
      <c r="D156" t="s">
        <v>10</v>
      </c>
      <c r="E156" t="s">
        <v>429</v>
      </c>
      <c r="F156" t="s">
        <v>1120</v>
      </c>
      <c r="G156">
        <v>17</v>
      </c>
      <c r="H156" t="s">
        <v>1271</v>
      </c>
    </row>
    <row r="157" spans="1:8" x14ac:dyDescent="0.35">
      <c r="A157">
        <v>156</v>
      </c>
      <c r="B157" t="s">
        <v>1272</v>
      </c>
      <c r="C157" t="s">
        <v>97</v>
      </c>
      <c r="D157" t="s">
        <v>10</v>
      </c>
      <c r="E157" t="s">
        <v>429</v>
      </c>
      <c r="F157" t="s">
        <v>1120</v>
      </c>
      <c r="G157">
        <v>18</v>
      </c>
      <c r="H157" t="s">
        <v>1272</v>
      </c>
    </row>
    <row r="158" spans="1:8" x14ac:dyDescent="0.35">
      <c r="A158">
        <v>157</v>
      </c>
      <c r="B158" t="s">
        <v>1273</v>
      </c>
      <c r="C158" t="s">
        <v>98</v>
      </c>
      <c r="D158" t="s">
        <v>10</v>
      </c>
      <c r="E158" t="s">
        <v>429</v>
      </c>
      <c r="F158" t="s">
        <v>1120</v>
      </c>
      <c r="G158">
        <v>19</v>
      </c>
      <c r="H158" t="s">
        <v>1273</v>
      </c>
    </row>
    <row r="159" spans="1:8" x14ac:dyDescent="0.35">
      <c r="A159">
        <v>158</v>
      </c>
      <c r="B159" t="s">
        <v>1274</v>
      </c>
      <c r="C159" t="s">
        <v>1062</v>
      </c>
      <c r="D159" t="s">
        <v>11</v>
      </c>
      <c r="E159" t="s">
        <v>358</v>
      </c>
      <c r="F159" t="s">
        <v>1121</v>
      </c>
      <c r="G159">
        <v>1</v>
      </c>
      <c r="H159" t="s">
        <v>1274</v>
      </c>
    </row>
    <row r="160" spans="1:8" x14ac:dyDescent="0.35">
      <c r="A160">
        <v>159</v>
      </c>
      <c r="B160" t="s">
        <v>1275</v>
      </c>
      <c r="C160" t="s">
        <v>1063</v>
      </c>
      <c r="D160" t="s">
        <v>11</v>
      </c>
      <c r="E160" t="s">
        <v>358</v>
      </c>
      <c r="F160" t="s">
        <v>1121</v>
      </c>
      <c r="G160">
        <v>2</v>
      </c>
      <c r="H160" t="s">
        <v>1275</v>
      </c>
    </row>
    <row r="161" spans="1:8" x14ac:dyDescent="0.35">
      <c r="A161">
        <v>160</v>
      </c>
      <c r="B161" t="s">
        <v>1276</v>
      </c>
      <c r="C161" t="s">
        <v>1064</v>
      </c>
      <c r="D161" t="s">
        <v>11</v>
      </c>
      <c r="E161" t="s">
        <v>358</v>
      </c>
      <c r="F161" t="s">
        <v>1121</v>
      </c>
      <c r="G161">
        <v>3</v>
      </c>
      <c r="H161" t="s">
        <v>1276</v>
      </c>
    </row>
    <row r="162" spans="1:8" x14ac:dyDescent="0.35">
      <c r="A162">
        <v>161</v>
      </c>
      <c r="B162" t="s">
        <v>1277</v>
      </c>
      <c r="C162" t="s">
        <v>1065</v>
      </c>
      <c r="D162" t="s">
        <v>11</v>
      </c>
      <c r="E162" t="s">
        <v>358</v>
      </c>
      <c r="F162" t="s">
        <v>1121</v>
      </c>
      <c r="G162">
        <v>4</v>
      </c>
      <c r="H162" t="s">
        <v>1277</v>
      </c>
    </row>
    <row r="163" spans="1:8" x14ac:dyDescent="0.35">
      <c r="A163">
        <v>162</v>
      </c>
      <c r="B163" t="s">
        <v>1278</v>
      </c>
      <c r="C163" t="s">
        <v>1066</v>
      </c>
      <c r="D163" t="s">
        <v>11</v>
      </c>
      <c r="E163" t="s">
        <v>358</v>
      </c>
      <c r="F163" t="s">
        <v>1121</v>
      </c>
      <c r="G163">
        <v>5</v>
      </c>
      <c r="H163" t="s">
        <v>1278</v>
      </c>
    </row>
    <row r="164" spans="1:8" x14ac:dyDescent="0.35">
      <c r="A164">
        <v>163</v>
      </c>
      <c r="B164" t="s">
        <v>1279</v>
      </c>
      <c r="C164" t="s">
        <v>1067</v>
      </c>
      <c r="D164" t="s">
        <v>11</v>
      </c>
      <c r="E164" t="s">
        <v>358</v>
      </c>
      <c r="F164" t="s">
        <v>1121</v>
      </c>
      <c r="G164">
        <v>6</v>
      </c>
      <c r="H164" t="s">
        <v>1279</v>
      </c>
    </row>
    <row r="165" spans="1:8" x14ac:dyDescent="0.35">
      <c r="A165">
        <v>164</v>
      </c>
      <c r="B165" t="s">
        <v>1280</v>
      </c>
      <c r="C165" t="s">
        <v>1068</v>
      </c>
      <c r="D165" t="s">
        <v>11</v>
      </c>
      <c r="E165" t="s">
        <v>358</v>
      </c>
      <c r="F165" t="s">
        <v>1121</v>
      </c>
      <c r="G165">
        <v>7</v>
      </c>
      <c r="H165" t="s">
        <v>1280</v>
      </c>
    </row>
    <row r="166" spans="1:8" x14ac:dyDescent="0.35">
      <c r="A166">
        <v>165</v>
      </c>
      <c r="B166" t="s">
        <v>1281</v>
      </c>
      <c r="C166" t="s">
        <v>1069</v>
      </c>
      <c r="D166" t="s">
        <v>11</v>
      </c>
      <c r="E166" t="s">
        <v>358</v>
      </c>
      <c r="F166" t="s">
        <v>1121</v>
      </c>
      <c r="G166">
        <v>8</v>
      </c>
      <c r="H166" t="s">
        <v>1281</v>
      </c>
    </row>
    <row r="167" spans="1:8" x14ac:dyDescent="0.35">
      <c r="A167">
        <v>166</v>
      </c>
      <c r="B167" t="s">
        <v>1282</v>
      </c>
      <c r="C167" t="s">
        <v>1070</v>
      </c>
      <c r="D167" t="s">
        <v>11</v>
      </c>
      <c r="E167" t="s">
        <v>358</v>
      </c>
      <c r="F167" t="s">
        <v>1121</v>
      </c>
      <c r="G167">
        <v>9</v>
      </c>
      <c r="H167" t="s">
        <v>1282</v>
      </c>
    </row>
    <row r="168" spans="1:8" x14ac:dyDescent="0.35">
      <c r="A168">
        <v>167</v>
      </c>
      <c r="B168" t="s">
        <v>1283</v>
      </c>
      <c r="C168" t="s">
        <v>547</v>
      </c>
      <c r="D168" t="s">
        <v>11</v>
      </c>
      <c r="E168" t="s">
        <v>358</v>
      </c>
      <c r="F168" t="s">
        <v>1121</v>
      </c>
      <c r="G168">
        <v>10</v>
      </c>
      <c r="H168" t="s">
        <v>1283</v>
      </c>
    </row>
    <row r="169" spans="1:8" x14ac:dyDescent="0.35">
      <c r="A169">
        <v>168</v>
      </c>
      <c r="B169" t="s">
        <v>1284</v>
      </c>
      <c r="C169" t="s">
        <v>1071</v>
      </c>
      <c r="D169" t="s">
        <v>11</v>
      </c>
      <c r="E169" t="s">
        <v>358</v>
      </c>
      <c r="F169" t="s">
        <v>1121</v>
      </c>
      <c r="G169">
        <v>11</v>
      </c>
      <c r="H169" t="s">
        <v>1284</v>
      </c>
    </row>
    <row r="170" spans="1:8" x14ac:dyDescent="0.35">
      <c r="A170">
        <v>169</v>
      </c>
      <c r="B170" t="s">
        <v>1285</v>
      </c>
      <c r="C170" t="s">
        <v>1072</v>
      </c>
      <c r="D170" t="s">
        <v>11</v>
      </c>
      <c r="E170" t="s">
        <v>358</v>
      </c>
      <c r="F170" t="s">
        <v>1121</v>
      </c>
      <c r="G170">
        <v>12</v>
      </c>
      <c r="H170" t="s">
        <v>1285</v>
      </c>
    </row>
    <row r="171" spans="1:8" x14ac:dyDescent="0.35">
      <c r="A171">
        <v>170</v>
      </c>
      <c r="B171" t="s">
        <v>1286</v>
      </c>
      <c r="C171" t="s">
        <v>1073</v>
      </c>
      <c r="D171" t="s">
        <v>11</v>
      </c>
      <c r="E171" t="s">
        <v>358</v>
      </c>
      <c r="F171" t="s">
        <v>1121</v>
      </c>
      <c r="G171">
        <v>13</v>
      </c>
      <c r="H171" t="s">
        <v>1286</v>
      </c>
    </row>
    <row r="172" spans="1:8" x14ac:dyDescent="0.35">
      <c r="A172">
        <v>171</v>
      </c>
      <c r="B172" t="s">
        <v>1287</v>
      </c>
      <c r="C172" t="s">
        <v>1074</v>
      </c>
      <c r="D172" t="s">
        <v>11</v>
      </c>
      <c r="E172" t="s">
        <v>358</v>
      </c>
      <c r="F172" t="s">
        <v>1121</v>
      </c>
      <c r="G172">
        <v>14</v>
      </c>
      <c r="H172" t="s">
        <v>1287</v>
      </c>
    </row>
    <row r="173" spans="1:8" x14ac:dyDescent="0.35">
      <c r="A173">
        <v>172</v>
      </c>
      <c r="B173" t="s">
        <v>1288</v>
      </c>
      <c r="C173" t="s">
        <v>1075</v>
      </c>
      <c r="D173" t="s">
        <v>11</v>
      </c>
      <c r="E173" t="s">
        <v>358</v>
      </c>
      <c r="F173" t="s">
        <v>1121</v>
      </c>
      <c r="G173">
        <v>15</v>
      </c>
      <c r="H173" t="s">
        <v>1288</v>
      </c>
    </row>
    <row r="174" spans="1:8" x14ac:dyDescent="0.35">
      <c r="A174">
        <v>173</v>
      </c>
      <c r="B174" t="s">
        <v>1289</v>
      </c>
      <c r="C174" t="s">
        <v>1076</v>
      </c>
      <c r="D174" t="s">
        <v>11</v>
      </c>
      <c r="E174" t="s">
        <v>358</v>
      </c>
      <c r="F174" t="s">
        <v>1121</v>
      </c>
      <c r="G174">
        <v>16</v>
      </c>
      <c r="H174" t="s">
        <v>1289</v>
      </c>
    </row>
    <row r="175" spans="1:8" x14ac:dyDescent="0.35">
      <c r="A175">
        <v>174</v>
      </c>
      <c r="B175" t="s">
        <v>1290</v>
      </c>
      <c r="C175" t="s">
        <v>1077</v>
      </c>
      <c r="D175" t="s">
        <v>11</v>
      </c>
      <c r="E175" t="s">
        <v>358</v>
      </c>
      <c r="F175" t="s">
        <v>1121</v>
      </c>
      <c r="G175">
        <v>17</v>
      </c>
      <c r="H175" t="s">
        <v>1290</v>
      </c>
    </row>
    <row r="176" spans="1:8" x14ac:dyDescent="0.35">
      <c r="A176">
        <v>175</v>
      </c>
      <c r="B176" t="s">
        <v>1291</v>
      </c>
      <c r="C176" t="s">
        <v>1078</v>
      </c>
      <c r="D176" t="s">
        <v>11</v>
      </c>
      <c r="E176" t="s">
        <v>358</v>
      </c>
      <c r="F176" t="s">
        <v>1121</v>
      </c>
      <c r="G176">
        <v>18</v>
      </c>
      <c r="H176" t="s">
        <v>1291</v>
      </c>
    </row>
    <row r="177" spans="1:8" x14ac:dyDescent="0.35">
      <c r="A177">
        <v>176</v>
      </c>
      <c r="B177" t="s">
        <v>1292</v>
      </c>
      <c r="C177" t="s">
        <v>1079</v>
      </c>
      <c r="D177" t="s">
        <v>11</v>
      </c>
      <c r="E177" t="s">
        <v>358</v>
      </c>
      <c r="F177" t="s">
        <v>1121</v>
      </c>
      <c r="G177">
        <v>19</v>
      </c>
      <c r="H177" t="s">
        <v>1292</v>
      </c>
    </row>
    <row r="178" spans="1:8" x14ac:dyDescent="0.35">
      <c r="A178">
        <v>177</v>
      </c>
      <c r="B178" t="s">
        <v>1293</v>
      </c>
      <c r="C178" t="s">
        <v>1080</v>
      </c>
      <c r="D178" t="s">
        <v>11</v>
      </c>
      <c r="E178" t="s">
        <v>358</v>
      </c>
      <c r="F178" t="s">
        <v>1121</v>
      </c>
      <c r="G178">
        <v>20</v>
      </c>
      <c r="H178" t="s">
        <v>1293</v>
      </c>
    </row>
    <row r="179" spans="1:8" x14ac:dyDescent="0.35">
      <c r="A179">
        <v>178</v>
      </c>
      <c r="B179" t="s">
        <v>1294</v>
      </c>
      <c r="C179" t="s">
        <v>1081</v>
      </c>
      <c r="D179" t="s">
        <v>11</v>
      </c>
      <c r="E179" t="s">
        <v>358</v>
      </c>
      <c r="F179" t="s">
        <v>1121</v>
      </c>
      <c r="G179">
        <v>21</v>
      </c>
      <c r="H179" t="s">
        <v>1294</v>
      </c>
    </row>
    <row r="180" spans="1:8" x14ac:dyDescent="0.35">
      <c r="A180">
        <v>179</v>
      </c>
      <c r="B180" t="s">
        <v>1295</v>
      </c>
      <c r="C180" t="s">
        <v>1082</v>
      </c>
      <c r="D180" t="s">
        <v>11</v>
      </c>
      <c r="E180" t="s">
        <v>358</v>
      </c>
      <c r="F180" t="s">
        <v>1121</v>
      </c>
      <c r="G180">
        <v>22</v>
      </c>
      <c r="H180" t="s">
        <v>1295</v>
      </c>
    </row>
    <row r="181" spans="1:8" x14ac:dyDescent="0.35">
      <c r="A181">
        <v>180</v>
      </c>
      <c r="B181" t="s">
        <v>1296</v>
      </c>
      <c r="C181" t="s">
        <v>1083</v>
      </c>
      <c r="D181" t="s">
        <v>11</v>
      </c>
      <c r="E181" t="s">
        <v>358</v>
      </c>
      <c r="F181" t="s">
        <v>1121</v>
      </c>
      <c r="G181">
        <v>23</v>
      </c>
      <c r="H181" t="s">
        <v>1296</v>
      </c>
    </row>
    <row r="182" spans="1:8" x14ac:dyDescent="0.35">
      <c r="A182">
        <v>181</v>
      </c>
      <c r="B182" t="s">
        <v>1297</v>
      </c>
      <c r="C182" t="s">
        <v>1084</v>
      </c>
      <c r="D182" t="s">
        <v>11</v>
      </c>
      <c r="E182" t="s">
        <v>358</v>
      </c>
      <c r="F182" t="s">
        <v>1121</v>
      </c>
      <c r="G182">
        <v>24</v>
      </c>
      <c r="H182" t="s">
        <v>1297</v>
      </c>
    </row>
    <row r="183" spans="1:8" x14ac:dyDescent="0.35">
      <c r="A183">
        <v>182</v>
      </c>
      <c r="B183" t="s">
        <v>1298</v>
      </c>
      <c r="C183" t="s">
        <v>1085</v>
      </c>
      <c r="D183" t="s">
        <v>11</v>
      </c>
      <c r="E183" t="s">
        <v>358</v>
      </c>
      <c r="F183" t="s">
        <v>1121</v>
      </c>
      <c r="G183">
        <v>25</v>
      </c>
      <c r="H183" t="s">
        <v>1298</v>
      </c>
    </row>
    <row r="184" spans="1:8" x14ac:dyDescent="0.35">
      <c r="A184">
        <v>183</v>
      </c>
      <c r="B184" t="s">
        <v>1299</v>
      </c>
      <c r="C184" t="s">
        <v>711</v>
      </c>
      <c r="D184" t="s">
        <v>11</v>
      </c>
      <c r="E184" t="s">
        <v>358</v>
      </c>
      <c r="F184" t="s">
        <v>1121</v>
      </c>
      <c r="G184">
        <v>26</v>
      </c>
      <c r="H184" t="s">
        <v>1299</v>
      </c>
    </row>
    <row r="185" spans="1:8" x14ac:dyDescent="0.35">
      <c r="A185">
        <v>184</v>
      </c>
      <c r="B185" t="s">
        <v>1300</v>
      </c>
      <c r="C185" t="s">
        <v>1086</v>
      </c>
      <c r="D185" t="s">
        <v>11</v>
      </c>
      <c r="E185" t="s">
        <v>358</v>
      </c>
      <c r="F185" t="s">
        <v>1121</v>
      </c>
      <c r="G185">
        <v>27</v>
      </c>
      <c r="H185" t="s">
        <v>1300</v>
      </c>
    </row>
    <row r="186" spans="1:8" x14ac:dyDescent="0.35">
      <c r="A186">
        <v>185</v>
      </c>
      <c r="B186" t="s">
        <v>1301</v>
      </c>
      <c r="C186" t="s">
        <v>558</v>
      </c>
      <c r="D186" t="s">
        <v>11</v>
      </c>
      <c r="E186" t="s">
        <v>358</v>
      </c>
      <c r="F186" t="s">
        <v>1121</v>
      </c>
      <c r="G186">
        <v>28</v>
      </c>
      <c r="H186" t="s">
        <v>1301</v>
      </c>
    </row>
    <row r="187" spans="1:8" x14ac:dyDescent="0.35">
      <c r="A187">
        <v>186</v>
      </c>
      <c r="B187" t="s">
        <v>1302</v>
      </c>
      <c r="C187" t="s">
        <v>712</v>
      </c>
      <c r="D187" t="s">
        <v>11</v>
      </c>
      <c r="E187" t="s">
        <v>358</v>
      </c>
      <c r="F187" t="s">
        <v>1121</v>
      </c>
      <c r="G187">
        <v>29</v>
      </c>
      <c r="H187" t="s">
        <v>1302</v>
      </c>
    </row>
    <row r="188" spans="1:8" x14ac:dyDescent="0.35">
      <c r="A188">
        <v>187</v>
      </c>
      <c r="B188" t="s">
        <v>1303</v>
      </c>
      <c r="C188" t="s">
        <v>1087</v>
      </c>
      <c r="D188" t="s">
        <v>11</v>
      </c>
      <c r="E188" t="s">
        <v>358</v>
      </c>
      <c r="F188" t="s">
        <v>1121</v>
      </c>
      <c r="G188">
        <v>30</v>
      </c>
      <c r="H188" t="s">
        <v>1303</v>
      </c>
    </row>
    <row r="189" spans="1:8" x14ac:dyDescent="0.35">
      <c r="A189">
        <v>188</v>
      </c>
      <c r="B189" t="s">
        <v>1304</v>
      </c>
      <c r="C189" t="s">
        <v>711</v>
      </c>
      <c r="D189" t="s">
        <v>11</v>
      </c>
      <c r="E189" t="s">
        <v>358</v>
      </c>
      <c r="F189" t="s">
        <v>1121</v>
      </c>
      <c r="G189">
        <v>31</v>
      </c>
      <c r="H189" t="s">
        <v>1304</v>
      </c>
    </row>
    <row r="190" spans="1:8" x14ac:dyDescent="0.35">
      <c r="A190">
        <v>189</v>
      </c>
      <c r="B190" t="s">
        <v>1305</v>
      </c>
      <c r="C190" t="s">
        <v>557</v>
      </c>
      <c r="D190" t="s">
        <v>11</v>
      </c>
      <c r="E190" t="s">
        <v>358</v>
      </c>
      <c r="F190" t="s">
        <v>1121</v>
      </c>
      <c r="G190">
        <v>32</v>
      </c>
      <c r="H190" t="s">
        <v>1305</v>
      </c>
    </row>
    <row r="191" spans="1:8" x14ac:dyDescent="0.35">
      <c r="A191">
        <v>190</v>
      </c>
      <c r="B191" t="s">
        <v>1306</v>
      </c>
      <c r="C191" t="s">
        <v>558</v>
      </c>
      <c r="D191" t="s">
        <v>11</v>
      </c>
      <c r="E191" t="s">
        <v>358</v>
      </c>
      <c r="F191" t="s">
        <v>1121</v>
      </c>
      <c r="G191">
        <v>33</v>
      </c>
      <c r="H191" t="s">
        <v>1306</v>
      </c>
    </row>
    <row r="192" spans="1:8" x14ac:dyDescent="0.35">
      <c r="A192">
        <v>191</v>
      </c>
      <c r="B192" t="s">
        <v>1307</v>
      </c>
      <c r="C192" t="s">
        <v>712</v>
      </c>
      <c r="D192" t="s">
        <v>11</v>
      </c>
      <c r="E192" t="s">
        <v>358</v>
      </c>
      <c r="F192" t="s">
        <v>1121</v>
      </c>
      <c r="G192">
        <v>34</v>
      </c>
      <c r="H192" t="s">
        <v>1307</v>
      </c>
    </row>
    <row r="193" spans="1:8" x14ac:dyDescent="0.35">
      <c r="A193">
        <v>192</v>
      </c>
      <c r="B193" t="s">
        <v>1308</v>
      </c>
      <c r="C193" t="s">
        <v>1088</v>
      </c>
      <c r="D193" t="s">
        <v>11</v>
      </c>
      <c r="E193" t="s">
        <v>358</v>
      </c>
      <c r="F193" t="s">
        <v>1121</v>
      </c>
      <c r="G193">
        <v>35</v>
      </c>
      <c r="H193" t="s">
        <v>1308</v>
      </c>
    </row>
    <row r="194" spans="1:8" x14ac:dyDescent="0.35">
      <c r="A194">
        <v>193</v>
      </c>
      <c r="B194" t="s">
        <v>1309</v>
      </c>
      <c r="C194" t="s">
        <v>1089</v>
      </c>
      <c r="D194" t="s">
        <v>11</v>
      </c>
      <c r="E194" t="s">
        <v>358</v>
      </c>
      <c r="F194" t="s">
        <v>1121</v>
      </c>
      <c r="G194">
        <v>36</v>
      </c>
      <c r="H194" t="s">
        <v>1309</v>
      </c>
    </row>
    <row r="195" spans="1:8" x14ac:dyDescent="0.35">
      <c r="A195">
        <v>194</v>
      </c>
      <c r="B195" t="s">
        <v>1310</v>
      </c>
      <c r="C195" t="s">
        <v>1090</v>
      </c>
      <c r="D195" t="s">
        <v>11</v>
      </c>
      <c r="E195" t="s">
        <v>358</v>
      </c>
      <c r="F195" t="s">
        <v>1121</v>
      </c>
      <c r="G195">
        <v>37</v>
      </c>
      <c r="H195" t="s">
        <v>1310</v>
      </c>
    </row>
    <row r="196" spans="1:8" x14ac:dyDescent="0.35">
      <c r="A196">
        <v>195</v>
      </c>
      <c r="B196" t="s">
        <v>1311</v>
      </c>
      <c r="C196" t="s">
        <v>1091</v>
      </c>
      <c r="D196" t="s">
        <v>11</v>
      </c>
      <c r="E196" t="s">
        <v>358</v>
      </c>
      <c r="F196" t="s">
        <v>1121</v>
      </c>
      <c r="G196">
        <v>38</v>
      </c>
      <c r="H196" t="s">
        <v>1311</v>
      </c>
    </row>
    <row r="197" spans="1:8" x14ac:dyDescent="0.35">
      <c r="A197">
        <v>196</v>
      </c>
      <c r="B197" t="s">
        <v>1312</v>
      </c>
      <c r="C197" t="s">
        <v>1092</v>
      </c>
      <c r="D197" t="s">
        <v>11</v>
      </c>
      <c r="E197" t="s">
        <v>358</v>
      </c>
      <c r="F197" t="s">
        <v>1121</v>
      </c>
      <c r="G197">
        <v>39</v>
      </c>
      <c r="H197" t="s">
        <v>1312</v>
      </c>
    </row>
    <row r="198" spans="1:8" x14ac:dyDescent="0.35">
      <c r="A198">
        <v>197</v>
      </c>
      <c r="B198" t="s">
        <v>1313</v>
      </c>
      <c r="C198" t="s">
        <v>1093</v>
      </c>
      <c r="D198" t="s">
        <v>11</v>
      </c>
      <c r="E198" t="s">
        <v>358</v>
      </c>
      <c r="F198" t="s">
        <v>1121</v>
      </c>
      <c r="G198">
        <v>40</v>
      </c>
      <c r="H198" t="s">
        <v>1313</v>
      </c>
    </row>
    <row r="199" spans="1:8" x14ac:dyDescent="0.35">
      <c r="A199">
        <v>198</v>
      </c>
      <c r="B199" t="s">
        <v>1314</v>
      </c>
      <c r="C199" t="s">
        <v>1094</v>
      </c>
      <c r="D199" t="s">
        <v>11</v>
      </c>
      <c r="E199" t="s">
        <v>358</v>
      </c>
      <c r="F199" t="s">
        <v>1121</v>
      </c>
      <c r="G199">
        <v>41</v>
      </c>
      <c r="H199" t="s">
        <v>1314</v>
      </c>
    </row>
    <row r="200" spans="1:8" x14ac:dyDescent="0.35">
      <c r="A200">
        <v>199</v>
      </c>
      <c r="B200" t="s">
        <v>1315</v>
      </c>
      <c r="C200" t="s">
        <v>1095</v>
      </c>
      <c r="D200" t="s">
        <v>11</v>
      </c>
      <c r="E200" t="s">
        <v>358</v>
      </c>
      <c r="F200" t="s">
        <v>1121</v>
      </c>
      <c r="G200">
        <v>42</v>
      </c>
      <c r="H200" t="s">
        <v>1315</v>
      </c>
    </row>
    <row r="201" spans="1:8" x14ac:dyDescent="0.35">
      <c r="A201">
        <v>200</v>
      </c>
      <c r="B201" t="s">
        <v>1316</v>
      </c>
      <c r="C201" t="s">
        <v>68</v>
      </c>
      <c r="D201" t="s">
        <v>11</v>
      </c>
      <c r="E201" t="s">
        <v>358</v>
      </c>
      <c r="F201" t="s">
        <v>1121</v>
      </c>
      <c r="G201">
        <v>43</v>
      </c>
      <c r="H201" t="s">
        <v>1316</v>
      </c>
    </row>
    <row r="202" spans="1:8" x14ac:dyDescent="0.35">
      <c r="A202">
        <v>201</v>
      </c>
      <c r="B202" t="s">
        <v>1317</v>
      </c>
      <c r="C202" t="s">
        <v>1096</v>
      </c>
      <c r="D202" t="s">
        <v>11</v>
      </c>
      <c r="E202" t="s">
        <v>358</v>
      </c>
      <c r="F202" t="s">
        <v>1121</v>
      </c>
      <c r="G202">
        <v>44</v>
      </c>
      <c r="H202" t="s">
        <v>1317</v>
      </c>
    </row>
    <row r="203" spans="1:8" x14ac:dyDescent="0.35">
      <c r="A203">
        <v>202</v>
      </c>
      <c r="B203" t="s">
        <v>1318</v>
      </c>
      <c r="C203" t="s">
        <v>993</v>
      </c>
      <c r="D203" t="s">
        <v>11</v>
      </c>
      <c r="E203" t="s">
        <v>358</v>
      </c>
      <c r="F203" t="s">
        <v>1121</v>
      </c>
      <c r="G203">
        <v>45</v>
      </c>
      <c r="H203" t="s">
        <v>1318</v>
      </c>
    </row>
    <row r="204" spans="1:8" x14ac:dyDescent="0.35">
      <c r="A204">
        <v>203</v>
      </c>
      <c r="B204" t="s">
        <v>1319</v>
      </c>
      <c r="C204" t="s">
        <v>1097</v>
      </c>
      <c r="D204" t="s">
        <v>11</v>
      </c>
      <c r="E204" t="s">
        <v>358</v>
      </c>
      <c r="F204" t="s">
        <v>1121</v>
      </c>
      <c r="G204">
        <v>46</v>
      </c>
      <c r="H204" t="s">
        <v>1319</v>
      </c>
    </row>
    <row r="205" spans="1:8" x14ac:dyDescent="0.35">
      <c r="A205">
        <v>204</v>
      </c>
      <c r="B205" t="s">
        <v>1320</v>
      </c>
      <c r="C205" t="s">
        <v>105</v>
      </c>
      <c r="D205" t="s">
        <v>12</v>
      </c>
      <c r="E205" t="s">
        <v>1130</v>
      </c>
      <c r="F205" t="s">
        <v>1122</v>
      </c>
      <c r="G205">
        <v>1</v>
      </c>
      <c r="H205" t="s">
        <v>1320</v>
      </c>
    </row>
    <row r="206" spans="1:8" x14ac:dyDescent="0.35">
      <c r="A206">
        <v>205</v>
      </c>
      <c r="B206" t="s">
        <v>1321</v>
      </c>
      <c r="C206" t="s">
        <v>106</v>
      </c>
      <c r="D206" t="s">
        <v>12</v>
      </c>
      <c r="E206" t="s">
        <v>1130</v>
      </c>
      <c r="F206" t="s">
        <v>1122</v>
      </c>
      <c r="G206">
        <v>2</v>
      </c>
      <c r="H206" t="s">
        <v>1321</v>
      </c>
    </row>
    <row r="207" spans="1:8" x14ac:dyDescent="0.35">
      <c r="A207">
        <v>206</v>
      </c>
      <c r="B207" t="s">
        <v>1322</v>
      </c>
      <c r="C207" t="s">
        <v>108</v>
      </c>
      <c r="D207" t="s">
        <v>12</v>
      </c>
      <c r="E207" t="s">
        <v>1130</v>
      </c>
      <c r="F207" t="s">
        <v>1122</v>
      </c>
      <c r="G207">
        <v>3</v>
      </c>
      <c r="H207" t="s">
        <v>1322</v>
      </c>
    </row>
    <row r="208" spans="1:8" x14ac:dyDescent="0.35">
      <c r="A208">
        <v>207</v>
      </c>
      <c r="B208" t="s">
        <v>1323</v>
      </c>
      <c r="C208" t="s">
        <v>107</v>
      </c>
      <c r="D208" t="s">
        <v>12</v>
      </c>
      <c r="E208" t="s">
        <v>1130</v>
      </c>
      <c r="F208" t="s">
        <v>1122</v>
      </c>
      <c r="G208">
        <v>4</v>
      </c>
      <c r="H208" t="s">
        <v>1323</v>
      </c>
    </row>
    <row r="209" spans="1:8" x14ac:dyDescent="0.35">
      <c r="A209">
        <v>208</v>
      </c>
      <c r="B209" t="s">
        <v>1324</v>
      </c>
      <c r="C209" t="s">
        <v>1098</v>
      </c>
      <c r="D209" t="s">
        <v>12</v>
      </c>
      <c r="E209" t="s">
        <v>1130</v>
      </c>
      <c r="F209" t="s">
        <v>1122</v>
      </c>
      <c r="G209">
        <v>5</v>
      </c>
      <c r="H209" t="s">
        <v>1324</v>
      </c>
    </row>
    <row r="210" spans="1:8" x14ac:dyDescent="0.35">
      <c r="A210">
        <v>209</v>
      </c>
      <c r="B210" t="s">
        <v>1325</v>
      </c>
      <c r="C210" t="s">
        <v>1099</v>
      </c>
      <c r="D210" t="s">
        <v>12</v>
      </c>
      <c r="E210" t="s">
        <v>1130</v>
      </c>
      <c r="F210" t="s">
        <v>1122</v>
      </c>
      <c r="G210">
        <v>6</v>
      </c>
      <c r="H210" t="s">
        <v>1325</v>
      </c>
    </row>
    <row r="211" spans="1:8" x14ac:dyDescent="0.35">
      <c r="A211">
        <v>210</v>
      </c>
      <c r="B211" t="s">
        <v>1326</v>
      </c>
      <c r="C211" t="s">
        <v>1100</v>
      </c>
      <c r="D211" t="s">
        <v>13</v>
      </c>
      <c r="E211" t="s">
        <v>1131</v>
      </c>
      <c r="F211" t="s">
        <v>1123</v>
      </c>
      <c r="G211">
        <v>1</v>
      </c>
      <c r="H211" t="s">
        <v>1326</v>
      </c>
    </row>
    <row r="212" spans="1:8" x14ac:dyDescent="0.35">
      <c r="A212">
        <v>211</v>
      </c>
      <c r="B212" t="s">
        <v>1327</v>
      </c>
      <c r="C212" t="s">
        <v>1101</v>
      </c>
      <c r="D212" t="s">
        <v>14</v>
      </c>
      <c r="E212" t="s">
        <v>1132</v>
      </c>
      <c r="F212" t="s">
        <v>1124</v>
      </c>
      <c r="G212">
        <v>1</v>
      </c>
      <c r="H212" t="s">
        <v>1327</v>
      </c>
    </row>
    <row r="213" spans="1:8" x14ac:dyDescent="0.35">
      <c r="A213">
        <v>212</v>
      </c>
      <c r="B213" t="s">
        <v>1328</v>
      </c>
      <c r="C213" t="s">
        <v>1102</v>
      </c>
      <c r="D213" t="s">
        <v>14</v>
      </c>
      <c r="E213" t="s">
        <v>1132</v>
      </c>
      <c r="F213" t="s">
        <v>1124</v>
      </c>
      <c r="G213">
        <v>2</v>
      </c>
      <c r="H213" t="s">
        <v>1328</v>
      </c>
    </row>
    <row r="214" spans="1:8" x14ac:dyDescent="0.35">
      <c r="A214">
        <v>213</v>
      </c>
      <c r="B214" t="s">
        <v>1329</v>
      </c>
      <c r="C214" t="s">
        <v>111</v>
      </c>
      <c r="D214" t="s">
        <v>14</v>
      </c>
      <c r="E214" t="s">
        <v>1132</v>
      </c>
      <c r="F214" t="s">
        <v>1124</v>
      </c>
      <c r="G214">
        <v>3</v>
      </c>
      <c r="H214" t="s">
        <v>1329</v>
      </c>
    </row>
    <row r="215" spans="1:8" x14ac:dyDescent="0.35">
      <c r="A215">
        <v>214</v>
      </c>
      <c r="B215" t="s">
        <v>1330</v>
      </c>
      <c r="C215" t="s">
        <v>1103</v>
      </c>
      <c r="D215" t="s">
        <v>14</v>
      </c>
      <c r="E215" t="s">
        <v>1132</v>
      </c>
      <c r="F215" t="s">
        <v>1124</v>
      </c>
      <c r="G215">
        <v>4</v>
      </c>
      <c r="H215" t="s">
        <v>1330</v>
      </c>
    </row>
    <row r="216" spans="1:8" x14ac:dyDescent="0.35">
      <c r="A216">
        <v>215</v>
      </c>
      <c r="B216" t="s">
        <v>1331</v>
      </c>
      <c r="C216" t="s">
        <v>113</v>
      </c>
      <c r="D216" t="s">
        <v>14</v>
      </c>
      <c r="E216" t="s">
        <v>1132</v>
      </c>
      <c r="F216" t="s">
        <v>1124</v>
      </c>
      <c r="G216">
        <v>5</v>
      </c>
      <c r="H216" t="s">
        <v>1331</v>
      </c>
    </row>
    <row r="217" spans="1:8" x14ac:dyDescent="0.35">
      <c r="A217">
        <v>216</v>
      </c>
      <c r="B217" t="s">
        <v>1332</v>
      </c>
      <c r="C217" t="s">
        <v>1104</v>
      </c>
      <c r="D217" t="s">
        <v>599</v>
      </c>
      <c r="E217" t="s">
        <v>601</v>
      </c>
      <c r="F217" t="s">
        <v>1133</v>
      </c>
      <c r="G217">
        <v>1</v>
      </c>
      <c r="H217" t="s">
        <v>1332</v>
      </c>
    </row>
    <row r="218" spans="1:8" x14ac:dyDescent="0.35">
      <c r="A218">
        <v>217</v>
      </c>
      <c r="B218" t="s">
        <v>1333</v>
      </c>
      <c r="C218" t="s">
        <v>1125</v>
      </c>
      <c r="D218" t="s">
        <v>599</v>
      </c>
      <c r="E218" t="s">
        <v>601</v>
      </c>
      <c r="F218" t="s">
        <v>1133</v>
      </c>
      <c r="G218">
        <v>2</v>
      </c>
      <c r="H218" t="s">
        <v>1333</v>
      </c>
    </row>
    <row r="219" spans="1:8" x14ac:dyDescent="0.35">
      <c r="A219">
        <v>218</v>
      </c>
      <c r="B219" t="s">
        <v>1334</v>
      </c>
      <c r="C219" t="s">
        <v>722</v>
      </c>
      <c r="D219" t="s">
        <v>599</v>
      </c>
      <c r="E219" t="s">
        <v>601</v>
      </c>
      <c r="F219" t="s">
        <v>1133</v>
      </c>
      <c r="G219">
        <v>3</v>
      </c>
      <c r="H219" t="s">
        <v>1334</v>
      </c>
    </row>
  </sheetData>
  <autoFilter ref="A1:H219" xr:uid="{4AEF75B4-DEBA-4521-A431-AA3141052221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989E-9C9C-4AFE-A9E4-C190D90C0E50}">
  <dimension ref="A1:C230"/>
  <sheetViews>
    <sheetView tabSelected="1" topLeftCell="B20" workbookViewId="0">
      <selection activeCell="D35" sqref="D35"/>
    </sheetView>
  </sheetViews>
  <sheetFormatPr baseColWidth="10" defaultRowHeight="14.5" x14ac:dyDescent="0.35"/>
  <cols>
    <col min="1" max="1" width="144.453125" customWidth="1"/>
  </cols>
  <sheetData>
    <row r="1" spans="1:3" x14ac:dyDescent="0.35">
      <c r="A1" s="2" t="s">
        <v>983</v>
      </c>
      <c r="B1" s="3" t="s">
        <v>984</v>
      </c>
      <c r="C1" s="4" t="s">
        <v>828</v>
      </c>
    </row>
    <row r="2" spans="1:3" x14ac:dyDescent="0.35">
      <c r="A2" t="s">
        <v>1335</v>
      </c>
      <c r="B2" t="s">
        <v>1134</v>
      </c>
      <c r="C2" t="str">
        <f>VLOOKUP(A2,'Diccionario 2024'!$B$2:$D$230,3,0)</f>
        <v>Plan de estudios de tu programa</v>
      </c>
    </row>
    <row r="3" spans="1:3" x14ac:dyDescent="0.35">
      <c r="A3" t="s">
        <v>1336</v>
      </c>
      <c r="B3" t="s">
        <v>1135</v>
      </c>
      <c r="C3" t="str">
        <f>VLOOKUP(A3,'Diccionario 2024'!$B$2:$D$230,3,0)</f>
        <v>Pertinencia de los conocimientos adquiridos en las clases</v>
      </c>
    </row>
    <row r="4" spans="1:3" x14ac:dyDescent="0.35">
      <c r="A4" t="s">
        <v>1337</v>
      </c>
      <c r="B4" t="s">
        <v>1136</v>
      </c>
      <c r="C4" t="str">
        <f>VLOOKUP(A4,'Diccionario 2024'!$B$2:$D$230,3,0)</f>
        <v>Contribución del programa en tu proceso formativo</v>
      </c>
    </row>
    <row r="5" spans="1:3" x14ac:dyDescent="0.35">
      <c r="A5" t="s">
        <v>1399</v>
      </c>
      <c r="B5" t="s">
        <v>1137</v>
      </c>
      <c r="C5" t="str">
        <f>VLOOKUP(A5,'Diccionario 2024'!$B$2:$D$230,3,0)</f>
        <v>¿Qué tan cumplida ha sido la Universidad Ean respecto a la promesa de valor académica ofrecida por el programa que cursas actualmente?</v>
      </c>
    </row>
    <row r="6" spans="1:3" x14ac:dyDescent="0.35">
      <c r="A6" t="s">
        <v>987</v>
      </c>
      <c r="B6" t="s">
        <v>1138</v>
      </c>
      <c r="C6" t="str">
        <f>VLOOKUP(A6,'Diccionario 2024'!$B$2:$D$230,3,0)</f>
        <v>Conforme al avance de tu programa académico:</v>
      </c>
    </row>
    <row r="7" spans="1:3" x14ac:dyDescent="0.35">
      <c r="A7" t="s">
        <v>1338</v>
      </c>
      <c r="B7" t="s">
        <v>1139</v>
      </c>
      <c r="C7" t="str">
        <f>VLOOKUP(A7,'Diccionario 2024'!$B$2:$D$230,3,0)</f>
        <v>Conocimiento disciplinar</v>
      </c>
    </row>
    <row r="8" spans="1:3" x14ac:dyDescent="0.35">
      <c r="A8" t="s">
        <v>1339</v>
      </c>
      <c r="B8" t="s">
        <v>1140</v>
      </c>
      <c r="C8" t="str">
        <f>VLOOKUP(A8,'Diccionario 2024'!$B$2:$D$230,3,0)</f>
        <v>Competencias para la enseñanza y la formación</v>
      </c>
    </row>
    <row r="9" spans="1:3" x14ac:dyDescent="0.35">
      <c r="A9" t="s">
        <v>1340</v>
      </c>
      <c r="B9" t="s">
        <v>1141</v>
      </c>
      <c r="C9" t="str">
        <f>VLOOKUP(A9,'Diccionario 2024'!$B$2:$D$230,3,0)</f>
        <v>Cumplimiento del syllabus y plan de estudios del programa</v>
      </c>
    </row>
    <row r="10" spans="1:3" x14ac:dyDescent="0.35">
      <c r="A10" t="s">
        <v>1341</v>
      </c>
      <c r="B10" t="s">
        <v>1142</v>
      </c>
      <c r="C10" t="str">
        <f>VLOOKUP(A10,'Diccionario 2024'!$B$2:$D$230,3,0)</f>
        <v>Evaluación y acompañamiento del proceso de aprendizaje</v>
      </c>
    </row>
    <row r="11" spans="1:3" x14ac:dyDescent="0.35">
      <c r="A11" t="s">
        <v>1342</v>
      </c>
      <c r="B11" t="s">
        <v>1143</v>
      </c>
      <c r="C11" t="str">
        <f>VLOOKUP(A11,'Diccionario 2024'!$B$2:$D$230,3,0)</f>
        <v>Entrega de calificaciones y retroalimentación</v>
      </c>
    </row>
    <row r="12" spans="1:3" x14ac:dyDescent="0.35">
      <c r="A12" t="s">
        <v>1343</v>
      </c>
      <c r="B12" t="s">
        <v>1144</v>
      </c>
      <c r="C12" t="str">
        <f>VLOOKUP(A12,'Diccionario 2024'!$B$2:$D$230,3,0)</f>
        <v>Calidad humana</v>
      </c>
    </row>
    <row r="13" spans="1:3" x14ac:dyDescent="0.35">
      <c r="A13" t="s">
        <v>1344</v>
      </c>
      <c r="B13" t="s">
        <v>1145</v>
      </c>
      <c r="C13" t="str">
        <f>VLOOKUP(A13,'Diccionario 2024'!$B$2:$D$230,3,0)</f>
        <v>Compromiso</v>
      </c>
    </row>
    <row r="14" spans="1:3" x14ac:dyDescent="0.35">
      <c r="A14" t="s">
        <v>1345</v>
      </c>
      <c r="B14" t="s">
        <v>1146</v>
      </c>
      <c r="C14" t="str">
        <f>VLOOKUP(A14,'Diccionario 2024'!$B$2:$D$230,3,0)</f>
        <v>Manejo tecnológico</v>
      </c>
    </row>
    <row r="15" spans="1:3" x14ac:dyDescent="0.35">
      <c r="A15" t="s">
        <v>629</v>
      </c>
      <c r="B15" t="s">
        <v>1147</v>
      </c>
      <c r="C15" t="str">
        <f>VLOOKUP(A15,'Diccionario 2024'!$B$2:$D$230,3,0)</f>
        <v>Decano(a)</v>
      </c>
    </row>
    <row r="16" spans="1:3" x14ac:dyDescent="0.35">
      <c r="A16" t="s">
        <v>992</v>
      </c>
      <c r="B16" t="s">
        <v>1148</v>
      </c>
      <c r="C16" t="str">
        <f>VLOOKUP(A16,'Diccionario 2024'!$B$2:$D$230,3,0)</f>
        <v>Director(a) de Programa o Coordinador</v>
      </c>
    </row>
    <row r="17" spans="1:3" x14ac:dyDescent="0.35">
      <c r="A17" t="s">
        <v>1346</v>
      </c>
      <c r="B17" t="s">
        <v>1274</v>
      </c>
      <c r="C17" t="str">
        <f>VLOOKUP(A17,'Diccionario 2024'!$B$2:$D$230,3,0)</f>
        <v>Meli Turno (Virtual)</v>
      </c>
    </row>
    <row r="18" spans="1:3" x14ac:dyDescent="0.35">
      <c r="A18" t="s">
        <v>1347</v>
      </c>
      <c r="B18" t="s">
        <v>1275</v>
      </c>
      <c r="C18" t="str">
        <f>VLOOKUP(A18,'Diccionario 2024'!$B$2:$D$230,3,0)</f>
        <v>Atención Ean a tu lado (Presencial)</v>
      </c>
    </row>
    <row r="19" spans="1:3" x14ac:dyDescent="0.35">
      <c r="A19" t="s">
        <v>1348</v>
      </c>
      <c r="B19" t="s">
        <v>1276</v>
      </c>
      <c r="C19" t="str">
        <f>VLOOKUP(A19,'Diccionario 2024'!$B$2:$D$230,3,0)</f>
        <v>Mesa de Servicio</v>
      </c>
    </row>
    <row r="20" spans="1:3" ht="58" x14ac:dyDescent="0.35">
      <c r="A20" s="11" t="s">
        <v>1349</v>
      </c>
      <c r="B20" t="s">
        <v>1149</v>
      </c>
      <c r="C20" t="s">
        <v>1441</v>
      </c>
    </row>
    <row r="21" spans="1:3" x14ac:dyDescent="0.35">
      <c r="A21" t="s">
        <v>1400</v>
      </c>
      <c r="B21" t="s">
        <v>1150</v>
      </c>
      <c r="C21" t="str">
        <f>VLOOKUP(A21,'Diccionario 2024'!$B$2:$D$230,3,0)</f>
        <v>Satisfacción asistentes facultad</v>
      </c>
    </row>
    <row r="22" spans="1:3" x14ac:dyDescent="0.35">
      <c r="A22" t="s">
        <v>1346</v>
      </c>
      <c r="B22" t="s">
        <v>1274</v>
      </c>
      <c r="C22" t="str">
        <f>VLOOKUP(A22,'Diccionario 2024'!$B$2:$D$230,3,0)</f>
        <v>Meli Turno (Virtual)</v>
      </c>
    </row>
    <row r="23" spans="1:3" x14ac:dyDescent="0.35">
      <c r="A23" t="s">
        <v>1347</v>
      </c>
      <c r="B23" t="s">
        <v>1275</v>
      </c>
      <c r="C23" t="str">
        <f>VLOOKUP(A23,'Diccionario 2024'!$B$2:$D$230,3,0)</f>
        <v>Atención Ean a tu lado (Presencial)</v>
      </c>
    </row>
    <row r="24" spans="1:3" x14ac:dyDescent="0.35">
      <c r="A24" t="s">
        <v>1348</v>
      </c>
      <c r="B24" t="s">
        <v>1276</v>
      </c>
      <c r="C24" t="str">
        <f>VLOOKUP(A24,'Diccionario 2024'!$B$2:$D$230,3,0)</f>
        <v>Mesa de Servicio</v>
      </c>
    </row>
    <row r="25" spans="1:3" x14ac:dyDescent="0.35">
      <c r="A25" t="s">
        <v>996</v>
      </c>
      <c r="B25" t="s">
        <v>1240</v>
      </c>
      <c r="C25" t="str">
        <f>VLOOKUP(A25,'Diccionario 2024'!$B$2:$D$230,3,0)</f>
        <v>Atención por correo electrónico</v>
      </c>
    </row>
    <row r="26" spans="1:3" x14ac:dyDescent="0.35">
      <c r="A26" t="s">
        <v>1350</v>
      </c>
      <c r="B26" t="s">
        <v>1241</v>
      </c>
      <c r="C26" t="str">
        <f>VLOOKUP(A26,'Diccionario 2024'!$B$2:$D$230,3,0)</f>
        <v>Atención presencial (Tercer Piso Legacy)</v>
      </c>
    </row>
    <row r="27" spans="1:3" x14ac:dyDescent="0.35">
      <c r="A27" t="s">
        <v>996</v>
      </c>
      <c r="B27" t="s">
        <v>1240</v>
      </c>
      <c r="C27" t="str">
        <f>VLOOKUP(A27,'Diccionario 2024'!$B$2:$D$230,3,0)</f>
        <v>Atención por correo electrónico</v>
      </c>
    </row>
    <row r="28" spans="1:3" x14ac:dyDescent="0.35">
      <c r="A28" t="s">
        <v>1351</v>
      </c>
      <c r="B28" t="s">
        <v>1243</v>
      </c>
      <c r="C28" t="str">
        <f>VLOOKUP(A28,'Diccionario 2024'!$B$2:$D$230,3,0)</f>
        <v>Atención presencial (Tercer Piso Legacy)</v>
      </c>
    </row>
    <row r="29" spans="1:3" x14ac:dyDescent="0.35">
      <c r="A29" t="s">
        <v>1352</v>
      </c>
      <c r="B29" t="s">
        <v>1326</v>
      </c>
      <c r="C29" t="str">
        <f>VLOOKUP(A29,'Diccionario 2024'!$B$2:$D$230,3,0)</f>
        <v>Disponibilidad y funcionamiento de los equipos</v>
      </c>
    </row>
    <row r="30" spans="1:3" x14ac:dyDescent="0.35">
      <c r="A30" t="s">
        <v>1353</v>
      </c>
      <c r="B30" t="s">
        <v>1588</v>
      </c>
      <c r="C30" t="str">
        <f>VLOOKUP(A30,'Diccionario 2024'!$B$2:$D$230,3,0)</f>
        <v>Disponibilidad de materiales y/o reactivos</v>
      </c>
    </row>
    <row r="31" spans="1:3" x14ac:dyDescent="0.35">
      <c r="A31" t="s">
        <v>1354</v>
      </c>
      <c r="B31" t="s">
        <v>1255</v>
      </c>
      <c r="C31" t="str">
        <f>VLOOKUP(A31,'Diccionario 2024'!$B$2:$D$230,3,0)</f>
        <v>Instalaciones</v>
      </c>
    </row>
    <row r="32" spans="1:3" x14ac:dyDescent="0.35">
      <c r="A32" t="s">
        <v>1355</v>
      </c>
      <c r="B32" t="s">
        <v>1256</v>
      </c>
      <c r="C32" t="str">
        <f>VLOOKUP(A32,'Diccionario 2024'!$B$2:$D$230,3,0)</f>
        <v>Higiene y limpieza instalaciones y equipos</v>
      </c>
    </row>
    <row r="33" spans="1:3" x14ac:dyDescent="0.35">
      <c r="A33" t="s">
        <v>997</v>
      </c>
      <c r="B33" t="s">
        <v>1151</v>
      </c>
      <c r="C33" t="str">
        <f>VLOOKUP(A33,'Diccionario 2024'!$B$2:$D$230,3,0)</f>
        <v>Probabilidad recomendar programa académico</v>
      </c>
    </row>
    <row r="34" spans="1:3" x14ac:dyDescent="0.35">
      <c r="A34" t="s">
        <v>1401</v>
      </c>
      <c r="B34" t="s">
        <v>1152</v>
      </c>
      <c r="C34" t="str">
        <f>VLOOKUP(A34,'Diccionario 2024'!$B$2:$D$230,3,0)</f>
        <v>Probabilidad volver a estudiar en EAN</v>
      </c>
    </row>
    <row r="35" spans="1:3" x14ac:dyDescent="0.35">
      <c r="A35" t="s">
        <v>1402</v>
      </c>
      <c r="B35" t="s">
        <v>1164</v>
      </c>
      <c r="C35" t="str">
        <f>VLOOKUP(A35,'Diccionario 2024'!$B$2:$D$230,3,0)</f>
        <v>Conocimiento servicios Ean Impacta</v>
      </c>
    </row>
    <row r="36" spans="1:3" x14ac:dyDescent="0.35">
      <c r="A36" t="s">
        <v>1356</v>
      </c>
      <c r="B36" t="s">
        <v>1176</v>
      </c>
      <c r="C36" t="str">
        <f>VLOOKUP(A36,'Diccionario 2024'!$B$2:$D$230,3,0)</f>
        <v>Influencia emprendimiento sostenible</v>
      </c>
    </row>
    <row r="37" spans="1:3" x14ac:dyDescent="0.35">
      <c r="A37" t="s">
        <v>1403</v>
      </c>
      <c r="B37" t="s">
        <v>1165</v>
      </c>
      <c r="C37" t="str">
        <f>VLOOKUP(A37,'Diccionario 2024'!$B$2:$D$230,3,0)</f>
        <v>Enfoque en el emprendimiento</v>
      </c>
    </row>
    <row r="38" spans="1:3" x14ac:dyDescent="0.35">
      <c r="A38" t="s">
        <v>1404</v>
      </c>
      <c r="B38" t="s">
        <v>1327</v>
      </c>
      <c r="C38" t="str">
        <f>VLOOKUP(A38,'Diccionario 2024'!$B$2:$D$230,3,0)</f>
        <v>Fuerte conexión con sector empresarial</v>
      </c>
    </row>
    <row r="39" spans="1:3" x14ac:dyDescent="0.35">
      <c r="A39" t="s">
        <v>1405</v>
      </c>
      <c r="B39" t="s">
        <v>1328</v>
      </c>
      <c r="C39" t="str">
        <f>VLOOKUP(A39,'Diccionario 2024'!$B$2:$D$230,3,0)</f>
        <v>Programas académicos con alta demanda laboral</v>
      </c>
    </row>
    <row r="40" spans="1:3" x14ac:dyDescent="0.35">
      <c r="A40" t="s">
        <v>1406</v>
      </c>
      <c r="B40" t="s">
        <v>1280</v>
      </c>
      <c r="C40" t="str">
        <f>VLOOKUP(A40,'Diccionario 2024'!$B$2:$D$230,3,0)</f>
        <v>Comunidad estudiantil diversa e inclusiva</v>
      </c>
    </row>
    <row r="41" spans="1:3" x14ac:dyDescent="0.35">
      <c r="A41" t="s">
        <v>1407</v>
      </c>
      <c r="B41" t="s">
        <v>1177</v>
      </c>
      <c r="C41" t="str">
        <f>VLOOKUP(A41,'Diccionario 2024'!$B$2:$D$230,3,0)</f>
        <v>Compromiso con la sostenibilidad</v>
      </c>
    </row>
    <row r="42" spans="1:3" x14ac:dyDescent="0.35">
      <c r="A42" t="s">
        <v>1408</v>
      </c>
      <c r="B42" t="s">
        <v>1257</v>
      </c>
      <c r="C42" t="str">
        <f>VLOOKUP(A42,'Diccionario 2024'!$B$2:$D$230,3,0)</f>
        <v>Infraestructura y espacios de bienestar</v>
      </c>
    </row>
    <row r="43" spans="1:3" x14ac:dyDescent="0.35">
      <c r="A43" t="s">
        <v>1409</v>
      </c>
      <c r="B43" t="s">
        <v>1153</v>
      </c>
      <c r="C43" t="str">
        <f>VLOOKUP(A43,'Diccionario 2024'!$B$2:$D$230,3,0)</f>
        <v>Cuerpo docente con experiencia profesional</v>
      </c>
    </row>
    <row r="44" spans="1:3" x14ac:dyDescent="0.35">
      <c r="A44" t="s">
        <v>1410</v>
      </c>
      <c r="B44" t="s">
        <v>409</v>
      </c>
      <c r="C44" t="str">
        <f>VLOOKUP(A44,'Diccionario 2024'!$B$2:$D$230,3,0)</f>
        <v>Oportunidades movilidad internacional</v>
      </c>
    </row>
    <row r="45" spans="1:3" x14ac:dyDescent="0.35">
      <c r="A45" t="s">
        <v>1411</v>
      </c>
      <c r="B45" t="s">
        <v>1329</v>
      </c>
      <c r="C45" t="str">
        <f>VLOOKUP(A45,'Diccionario 2024'!$B$2:$D$230,3,0)</f>
        <v>Red de graduados y conexiones profesionales</v>
      </c>
    </row>
    <row r="46" spans="1:3" x14ac:dyDescent="0.35">
      <c r="A46" t="s">
        <v>1412</v>
      </c>
      <c r="B46" t="s">
        <v>1332</v>
      </c>
      <c r="C46" t="str">
        <f>VLOOKUP(A46,'Diccionario 2024'!$B$2:$D$230,3,0)</f>
        <v>Qué haría falta para que EAN sea única</v>
      </c>
    </row>
    <row r="47" spans="1:3" x14ac:dyDescent="0.35">
      <c r="A47" t="s">
        <v>1357</v>
      </c>
      <c r="B47" t="s">
        <v>1166</v>
      </c>
      <c r="C47" t="str">
        <f>VLOOKUP(A47,'Diccionario 2024'!$B$2:$D$230,3,0)</f>
        <v>Satisfacción atención Ean Impacta</v>
      </c>
    </row>
    <row r="48" spans="1:3" x14ac:dyDescent="0.35">
      <c r="A48" t="s">
        <v>1007</v>
      </c>
      <c r="B48" t="s">
        <v>1178</v>
      </c>
      <c r="C48" t="str">
        <f>VLOOKUP(A48,'Diccionario 2024'!$B$2:$D$230,3,0)</f>
        <v>Conocimiento avances sostenibilidad</v>
      </c>
    </row>
    <row r="49" spans="1:3" x14ac:dyDescent="0.35">
      <c r="A49" t="s">
        <v>1413</v>
      </c>
      <c r="B49" t="s">
        <v>1589</v>
      </c>
      <c r="C49" t="str">
        <f>VLOOKUP(A49,'Diccionario 2024'!$B$2:$D$230,3,0)</f>
        <v>Acciones junto a Ean Sostenibilidad</v>
      </c>
    </row>
    <row r="50" spans="1:3" x14ac:dyDescent="0.35">
      <c r="A50" t="s">
        <v>708</v>
      </c>
      <c r="B50" t="s">
        <v>1333</v>
      </c>
      <c r="C50" t="str">
        <f>VLOOKUP(A50,'Diccionario 2024'!$B$2:$D$230,3,0)</f>
        <v>Other</v>
      </c>
    </row>
    <row r="51" spans="1:3" x14ac:dyDescent="0.35">
      <c r="A51" t="s">
        <v>1414</v>
      </c>
      <c r="B51" t="s">
        <v>1590</v>
      </c>
      <c r="C51" t="str">
        <f>VLOOKUP(A51,'Diccionario 2024'!$B$2:$D$230,3,0)</f>
        <v>Visión sostenibilidad EAN</v>
      </c>
    </row>
    <row r="52" spans="1:3" x14ac:dyDescent="0.35">
      <c r="A52" t="s">
        <v>1009</v>
      </c>
      <c r="B52" t="s">
        <v>1179</v>
      </c>
      <c r="C52" t="str">
        <f>VLOOKUP(A52,'Diccionario 2024'!$B$2:$D$230,3,0)</f>
        <v>Asesoría referencias APA</v>
      </c>
    </row>
    <row r="53" spans="1:3" x14ac:dyDescent="0.35">
      <c r="A53" t="s">
        <v>44</v>
      </c>
      <c r="B53" t="s">
        <v>1180</v>
      </c>
      <c r="C53" t="str">
        <f>VLOOKUP(A53,'Diccionario 2024'!$B$2:$D$230,3,0)</f>
        <v>Búsqueda de información</v>
      </c>
    </row>
    <row r="54" spans="1:3" x14ac:dyDescent="0.35">
      <c r="A54" t="s">
        <v>49</v>
      </c>
      <c r="B54" t="s">
        <v>1181</v>
      </c>
      <c r="C54" t="str">
        <f>VLOOKUP(A54,'Diccionario 2024'!$B$2:$D$230,3,0)</f>
        <v>Pago de multas biblioteca</v>
      </c>
    </row>
    <row r="55" spans="1:3" x14ac:dyDescent="0.35">
      <c r="A55" t="s">
        <v>45</v>
      </c>
      <c r="B55" t="s">
        <v>1182</v>
      </c>
      <c r="C55" t="str">
        <f>VLOOKUP(A55,'Diccionario 2024'!$B$2:$D$230,3,0)</f>
        <v>Préstamo de libros</v>
      </c>
    </row>
    <row r="56" spans="1:3" x14ac:dyDescent="0.35">
      <c r="A56" t="s">
        <v>48</v>
      </c>
      <c r="B56" t="s">
        <v>1183</v>
      </c>
      <c r="C56" t="str">
        <f>VLOOKUP(A56,'Diccionario 2024'!$B$2:$D$230,3,0)</f>
        <v>Préstamo interbibliotecario</v>
      </c>
    </row>
    <row r="57" spans="1:3" x14ac:dyDescent="0.35">
      <c r="A57" t="s">
        <v>47</v>
      </c>
      <c r="B57" t="s">
        <v>1184</v>
      </c>
      <c r="C57" t="str">
        <f>VLOOKUP(A57,'Diccionario 2024'!$B$2:$D$230,3,0)</f>
        <v>Reserva de salas</v>
      </c>
    </row>
    <row r="58" spans="1:3" x14ac:dyDescent="0.35">
      <c r="A58" t="s">
        <v>46</v>
      </c>
      <c r="B58" t="s">
        <v>1185</v>
      </c>
      <c r="C58" t="str">
        <f>VLOOKUP(A58,'Diccionario 2024'!$B$2:$D$230,3,0)</f>
        <v>Tutoriales biblioteca</v>
      </c>
    </row>
    <row r="59" spans="1:3" x14ac:dyDescent="0.35">
      <c r="A59" t="s">
        <v>1010</v>
      </c>
      <c r="B59" t="s">
        <v>1186</v>
      </c>
      <c r="C59" t="str">
        <f>VLOOKUP(A59,'Diccionario 2024'!$B$2:$D$230,3,0)</f>
        <v>Completitud colecciones biblioteca</v>
      </c>
    </row>
    <row r="60" spans="1:3" x14ac:dyDescent="0.35">
      <c r="A60" t="s">
        <v>1011</v>
      </c>
      <c r="B60" t="s">
        <v>1188</v>
      </c>
      <c r="C60" t="str">
        <f>VLOOKUP(A60,'Diccionario 2024'!$B$2:$D$230,3,0)</f>
        <v>Acceso colecciones electrónicas</v>
      </c>
    </row>
    <row r="61" spans="1:3" x14ac:dyDescent="0.35">
      <c r="A61" t="s">
        <v>1346</v>
      </c>
      <c r="B61" t="s">
        <v>1274</v>
      </c>
      <c r="C61" t="str">
        <f>VLOOKUP(A61,'Diccionario 2024'!$B$2:$D$230,3,0)</f>
        <v>Meli Turno (Virtual)</v>
      </c>
    </row>
    <row r="62" spans="1:3" x14ac:dyDescent="0.35">
      <c r="A62" t="s">
        <v>1358</v>
      </c>
      <c r="B62" t="s">
        <v>1190</v>
      </c>
      <c r="C62" t="str">
        <f>VLOOKUP(A62,'Diccionario 2024'!$B$2:$D$230,3,0)</f>
        <v>Atención presencial biblioteca</v>
      </c>
    </row>
    <row r="63" spans="1:3" x14ac:dyDescent="0.35">
      <c r="A63" t="s">
        <v>1012</v>
      </c>
      <c r="B63" t="s">
        <v>1191</v>
      </c>
      <c r="C63" t="str">
        <f>VLOOKUP(A63,'Diccionario 2024'!$B$2:$D$230,3,0)</f>
        <v>Whatsapp biblioteca</v>
      </c>
    </row>
    <row r="64" spans="1:3" x14ac:dyDescent="0.35">
      <c r="A64" t="s">
        <v>1359</v>
      </c>
      <c r="B64" t="s">
        <v>1591</v>
      </c>
      <c r="C64" t="str">
        <f>VLOOKUP(A64,'Diccionario 2024'!$B$2:$D$230,3,0)</f>
        <v>Satisfacción espacios físicos biblioteca</v>
      </c>
    </row>
    <row r="65" spans="1:3" x14ac:dyDescent="0.35">
      <c r="A65" t="s">
        <v>637</v>
      </c>
      <c r="B65" t="s">
        <v>410</v>
      </c>
      <c r="C65" t="str">
        <f>VLOOKUP(A65,'Diccionario 2024'!$B$2:$D$230,3,0)</f>
        <v>Buddy Program</v>
      </c>
    </row>
    <row r="66" spans="1:3" x14ac:dyDescent="0.35">
      <c r="A66" t="s">
        <v>497</v>
      </c>
      <c r="B66" t="s">
        <v>411</v>
      </c>
      <c r="C66" t="str">
        <f>VLOOKUP(A66,'Diccionario 2024'!$B$2:$D$230,3,0)</f>
        <v>Doble titulación</v>
      </c>
    </row>
    <row r="67" spans="1:3" x14ac:dyDescent="0.35">
      <c r="A67" t="s">
        <v>1360</v>
      </c>
      <c r="B67" t="s">
        <v>412</v>
      </c>
      <c r="C67" t="str">
        <f>VLOOKUP(A67,'Diccionario 2024'!$B$2:$D$230,3,0)</f>
        <v>Escuela internacional verano invierno</v>
      </c>
    </row>
    <row r="68" spans="1:3" x14ac:dyDescent="0.35">
      <c r="A68" t="s">
        <v>1014</v>
      </c>
      <c r="B68" t="s">
        <v>609</v>
      </c>
      <c r="C68" t="str">
        <f>VLOOKUP(A68,'Diccionario 2024'!$B$2:$D$230,3,0)</f>
        <v>Intercambios académicos presenciales</v>
      </c>
    </row>
    <row r="69" spans="1:3" x14ac:dyDescent="0.35">
      <c r="A69" t="s">
        <v>1015</v>
      </c>
      <c r="B69" t="s">
        <v>610</v>
      </c>
      <c r="C69" t="str">
        <f>VLOOKUP(A69,'Diccionario 2024'!$B$2:$D$230,3,0)</f>
        <v>Intercambios académicos virtuales</v>
      </c>
    </row>
    <row r="70" spans="1:3" x14ac:dyDescent="0.35">
      <c r="A70" t="s">
        <v>491</v>
      </c>
      <c r="B70" t="s">
        <v>611</v>
      </c>
      <c r="C70" t="str">
        <f>VLOOKUP(A70,'Diccionario 2024'!$B$2:$D$230,3,0)</f>
        <v>Misiones académicas</v>
      </c>
    </row>
    <row r="71" spans="1:3" x14ac:dyDescent="0.35">
      <c r="A71" t="s">
        <v>492</v>
      </c>
      <c r="B71" t="s">
        <v>612</v>
      </c>
      <c r="C71" t="str">
        <f>VLOOKUP(A71,'Diccionario 2024'!$B$2:$D$230,3,0)</f>
        <v>Semana Ean Internacional</v>
      </c>
    </row>
    <row r="72" spans="1:3" x14ac:dyDescent="0.35">
      <c r="A72" t="s">
        <v>499</v>
      </c>
      <c r="B72" t="s">
        <v>613</v>
      </c>
      <c r="C72" t="str">
        <f>VLOOKUP(A72,'Diccionario 2024'!$B$2:$D$230,3,0)</f>
        <v>No conozco ninguno</v>
      </c>
    </row>
    <row r="73" spans="1:3" x14ac:dyDescent="0.35">
      <c r="A73" t="s">
        <v>500</v>
      </c>
      <c r="B73" t="s">
        <v>614</v>
      </c>
      <c r="C73" t="str">
        <f>VLOOKUP(A73,'Diccionario 2024'!$B$2:$D$230,3,0)</f>
        <v>Participación programas internacionales</v>
      </c>
    </row>
    <row r="74" spans="1:3" x14ac:dyDescent="0.35">
      <c r="A74" t="s">
        <v>1415</v>
      </c>
      <c r="B74" t="s">
        <v>615</v>
      </c>
      <c r="C74" t="str">
        <f>VLOOKUP(A74,'Diccionario 2024'!$B$2:$D$230,3,0)</f>
        <v>Obstáculos movilidad internacional</v>
      </c>
    </row>
    <row r="75" spans="1:3" x14ac:dyDescent="0.35">
      <c r="A75" t="s">
        <v>1416</v>
      </c>
      <c r="B75" t="s">
        <v>616</v>
      </c>
      <c r="C75" t="str">
        <f>VLOOKUP(A75,'Diccionario 2024'!$B$2:$D$230,3,0)</f>
        <v>Conocimiento convenios internacionales</v>
      </c>
    </row>
    <row r="76" spans="1:3" x14ac:dyDescent="0.35">
      <c r="A76" t="s">
        <v>503</v>
      </c>
      <c r="B76" t="s">
        <v>617</v>
      </c>
      <c r="C76" t="str">
        <f>VLOOKUP(A76,'Diccionario 2024'!$B$2:$D$230,3,0)</f>
        <v>Relevancia movilidad internacional</v>
      </c>
    </row>
    <row r="77" spans="1:3" x14ac:dyDescent="0.35">
      <c r="A77" t="s">
        <v>1361</v>
      </c>
      <c r="B77" t="s">
        <v>1225</v>
      </c>
      <c r="C77" t="str">
        <f>VLOOKUP(A77,'Diccionario 2024'!$B$2:$D$230,3,0)</f>
        <v>Fondo Nutramos Talentos</v>
      </c>
    </row>
    <row r="78" spans="1:3" x14ac:dyDescent="0.35">
      <c r="A78" t="s">
        <v>1362</v>
      </c>
      <c r="B78" t="s">
        <v>1226</v>
      </c>
      <c r="C78" t="str">
        <f>VLOOKUP(A78,'Diccionario 2024'!$B$2:$D$230,3,0)</f>
        <v>Fondo Becas Ean Siempre Contigo</v>
      </c>
    </row>
    <row r="79" spans="1:3" x14ac:dyDescent="0.35">
      <c r="A79" t="s">
        <v>1363</v>
      </c>
      <c r="B79" t="s">
        <v>1227</v>
      </c>
      <c r="C79" t="str">
        <f>VLOOKUP(A79,'Diccionario 2024'!$B$2:$D$230,3,0)</f>
        <v>Fondo Diversidades</v>
      </c>
    </row>
    <row r="80" spans="1:3" x14ac:dyDescent="0.35">
      <c r="A80" t="s">
        <v>1364</v>
      </c>
      <c r="B80" t="s">
        <v>1228</v>
      </c>
      <c r="C80" t="str">
        <f>VLOOKUP(A80,'Diccionario 2024'!$B$2:$D$230,3,0)</f>
        <v>Fondo Sostenibilidad</v>
      </c>
    </row>
    <row r="81" spans="1:3" x14ac:dyDescent="0.35">
      <c r="A81" t="s">
        <v>1022</v>
      </c>
      <c r="B81" t="s">
        <v>1229</v>
      </c>
      <c r="C81" t="str">
        <f>VLOOKUP(A81,'Diccionario 2024'!$B$2:$D$230,3,0)</f>
        <v>Ninguna financiación</v>
      </c>
    </row>
    <row r="82" spans="1:3" x14ac:dyDescent="0.35">
      <c r="A82" t="s">
        <v>1348</v>
      </c>
      <c r="B82" t="s">
        <v>1276</v>
      </c>
      <c r="C82" t="str">
        <f>VLOOKUP(A82,'Diccionario 2024'!$B$2:$D$230,3,0)</f>
        <v>Mesa de Servicio</v>
      </c>
    </row>
    <row r="83" spans="1:3" x14ac:dyDescent="0.35">
      <c r="A83" t="s">
        <v>1365</v>
      </c>
      <c r="B83" t="s">
        <v>1196</v>
      </c>
      <c r="C83" t="str">
        <f>VLOOKUP(A83,'Diccionario 2024'!$B$2:$D$230,3,0)</f>
        <v>Atención presencial prácticas</v>
      </c>
    </row>
    <row r="84" spans="1:3" x14ac:dyDescent="0.35">
      <c r="A84" t="s">
        <v>650</v>
      </c>
      <c r="B84" t="s">
        <v>1197</v>
      </c>
      <c r="C84" t="str">
        <f>VLOOKUP(A84,'Diccionario 2024'!$B$2:$D$230,3,0)</f>
        <v>Correo electrónico prácticas</v>
      </c>
    </row>
    <row r="85" spans="1:3" x14ac:dyDescent="0.35">
      <c r="A85" t="s">
        <v>1023</v>
      </c>
      <c r="B85" t="s">
        <v>1198</v>
      </c>
      <c r="C85" t="str">
        <f>VLOOKUP(A85,'Diccionario 2024'!$B$2:$D$230,3,0)</f>
        <v>Conocimiento prácticas profesionales</v>
      </c>
    </row>
    <row r="86" spans="1:3" x14ac:dyDescent="0.35">
      <c r="A86" t="s">
        <v>1366</v>
      </c>
      <c r="B86" t="s">
        <v>1592</v>
      </c>
      <c r="C86" t="str">
        <f>VLOOKUP(A86,'Diccionario 2024'!$B$2:$D$230,3,0)</f>
        <v>Meli turno prácticas</v>
      </c>
    </row>
    <row r="87" spans="1:3" x14ac:dyDescent="0.35">
      <c r="A87" t="s">
        <v>1365</v>
      </c>
      <c r="B87" t="s">
        <v>1196</v>
      </c>
      <c r="C87" t="str">
        <f>VLOOKUP(A87,'Diccionario 2024'!$B$2:$D$230,3,0)</f>
        <v>Atención presencial prácticas</v>
      </c>
    </row>
    <row r="88" spans="1:3" x14ac:dyDescent="0.35">
      <c r="A88" t="s">
        <v>1348</v>
      </c>
      <c r="B88" t="s">
        <v>1276</v>
      </c>
      <c r="C88" t="str">
        <f>VLOOKUP(A88,'Diccionario 2024'!$B$2:$D$230,3,0)</f>
        <v>Mesa de Servicio</v>
      </c>
    </row>
    <row r="89" spans="1:3" x14ac:dyDescent="0.35">
      <c r="A89" t="s">
        <v>1367</v>
      </c>
      <c r="B89" t="s">
        <v>1595</v>
      </c>
      <c r="C89" t="str">
        <f>VLOOKUP(A89,'Diccionario 2024'!$B$2:$D$230,3,0)</f>
        <v>Oportunidades mejora prácticas</v>
      </c>
    </row>
    <row r="90" spans="1:3" x14ac:dyDescent="0.35">
      <c r="A90" t="s">
        <v>1025</v>
      </c>
      <c r="B90" t="s">
        <v>1199</v>
      </c>
      <c r="C90" t="str">
        <f>VLOOKUP(A90,'Diccionario 2024'!$B$2:$D$230,3,0)</f>
        <v>Plataforma correo electrónico</v>
      </c>
    </row>
    <row r="91" spans="1:3" x14ac:dyDescent="0.35">
      <c r="A91" t="s">
        <v>1026</v>
      </c>
      <c r="B91" t="s">
        <v>1200</v>
      </c>
      <c r="C91" t="str">
        <f>VLOOKUP(A91,'Diccionario 2024'!$B$2:$D$230,3,0)</f>
        <v>Aplicaciones Office</v>
      </c>
    </row>
    <row r="92" spans="1:3" x14ac:dyDescent="0.35">
      <c r="A92" t="s">
        <v>1027</v>
      </c>
      <c r="B92" t="s">
        <v>1201</v>
      </c>
      <c r="C92" t="str">
        <f>VLOOKUP(A92,'Diccionario 2024'!$B$2:$D$230,3,0)</f>
        <v>Plataforma Teams</v>
      </c>
    </row>
    <row r="93" spans="1:3" x14ac:dyDescent="0.35">
      <c r="A93" t="s">
        <v>1028</v>
      </c>
      <c r="B93" t="s">
        <v>1202</v>
      </c>
      <c r="C93" t="str">
        <f>VLOOKUP(A93,'Diccionario 2024'!$B$2:$D$230,3,0)</f>
        <v>Plataforma Cisco Webex</v>
      </c>
    </row>
    <row r="94" spans="1:3" x14ac:dyDescent="0.35">
      <c r="A94" t="s">
        <v>1029</v>
      </c>
      <c r="B94" t="s">
        <v>1203</v>
      </c>
      <c r="C94" t="str">
        <f>VLOOKUP(A94,'Diccionario 2024'!$B$2:$D$230,3,0)</f>
        <v>Plataforma Canvas</v>
      </c>
    </row>
    <row r="95" spans="1:3" x14ac:dyDescent="0.35">
      <c r="A95" t="s">
        <v>67</v>
      </c>
      <c r="B95" t="s">
        <v>1204</v>
      </c>
      <c r="C95" t="str">
        <f>VLOOKUP(A95,'Diccionario 2024'!$B$2:$D$230,3,0)</f>
        <v>App Ean</v>
      </c>
    </row>
    <row r="96" spans="1:3" x14ac:dyDescent="0.35">
      <c r="A96" t="s">
        <v>1030</v>
      </c>
      <c r="B96" t="s">
        <v>1205</v>
      </c>
      <c r="C96" t="str">
        <f>VLOOKUP(A96,'Diccionario 2024'!$B$2:$D$230,3,0)</f>
        <v>Mesa de servicios TI</v>
      </c>
    </row>
    <row r="97" spans="1:3" x14ac:dyDescent="0.35">
      <c r="A97" t="s">
        <v>1031</v>
      </c>
      <c r="B97" t="s">
        <v>1206</v>
      </c>
      <c r="C97" t="str">
        <f>VLOOKUP(A97,'Diccionario 2024'!$B$2:$D$230,3,0)</f>
        <v>Plataforma pagos</v>
      </c>
    </row>
    <row r="98" spans="1:3" x14ac:dyDescent="0.35">
      <c r="A98" t="s">
        <v>1032</v>
      </c>
      <c r="B98" t="s">
        <v>1207</v>
      </c>
      <c r="C98" t="str">
        <f>VLOOKUP(A98,'Diccionario 2024'!$B$2:$D$230,3,0)</f>
        <v>Velocidad conexión WiFi</v>
      </c>
    </row>
    <row r="99" spans="1:3" x14ac:dyDescent="0.35">
      <c r="A99" t="s">
        <v>1033</v>
      </c>
      <c r="B99" t="s">
        <v>1208</v>
      </c>
      <c r="C99" t="str">
        <f>VLOOKUP(A99,'Diccionario 2024'!$B$2:$D$230,3,0)</f>
        <v>Estabilidad conexión WiFi</v>
      </c>
    </row>
    <row r="100" spans="1:3" x14ac:dyDescent="0.35">
      <c r="A100" t="s">
        <v>1034</v>
      </c>
      <c r="B100" t="s">
        <v>1209</v>
      </c>
      <c r="C100" t="str">
        <f>VLOOKUP(A100,'Diccionario 2024'!$B$2:$D$230,3,0)</f>
        <v>Cobertura red WiFi</v>
      </c>
    </row>
    <row r="101" spans="1:3" x14ac:dyDescent="0.35">
      <c r="A101" t="s">
        <v>1035</v>
      </c>
      <c r="B101" t="s">
        <v>1210</v>
      </c>
      <c r="C101" t="str">
        <f>VLOOKUP(A101,'Diccionario 2024'!$B$2:$D$230,3,0)</f>
        <v>Reconocimiento facial ingreso</v>
      </c>
    </row>
    <row r="102" spans="1:3" x14ac:dyDescent="0.35">
      <c r="A102" t="s">
        <v>1036</v>
      </c>
      <c r="B102" t="s">
        <v>1211</v>
      </c>
      <c r="C102" t="str">
        <f>VLOOKUP(A102,'Diccionario 2024'!$B$2:$D$230,3,0)</f>
        <v>Estado equipos salas cómputo</v>
      </c>
    </row>
    <row r="103" spans="1:3" x14ac:dyDescent="0.35">
      <c r="A103" t="s">
        <v>1037</v>
      </c>
      <c r="B103" t="s">
        <v>1212</v>
      </c>
      <c r="C103" t="str">
        <f>VLOOKUP(A103,'Diccionario 2024'!$B$2:$D$230,3,0)</f>
        <v>Disponibilidad equipos salas cómputo</v>
      </c>
    </row>
    <row r="104" spans="1:3" x14ac:dyDescent="0.35">
      <c r="A104" t="s">
        <v>1368</v>
      </c>
      <c r="B104" t="s">
        <v>1213</v>
      </c>
      <c r="C104" t="str">
        <f>VLOOKUP(A104,'Diccionario 2024'!$B$2:$D$230,3,0)</f>
        <v>Razones baja calificación servicios tecnológicos</v>
      </c>
    </row>
    <row r="105" spans="1:3" x14ac:dyDescent="0.35">
      <c r="A105" t="s">
        <v>1346</v>
      </c>
      <c r="B105" t="s">
        <v>1274</v>
      </c>
      <c r="C105" t="str">
        <f>VLOOKUP(A105,'Diccionario 2024'!$B$2:$D$230,3,0)</f>
        <v>Meli Turno (Virtual)</v>
      </c>
    </row>
    <row r="106" spans="1:3" x14ac:dyDescent="0.35">
      <c r="A106" t="s">
        <v>1369</v>
      </c>
      <c r="B106" t="s">
        <v>1216</v>
      </c>
      <c r="C106" t="str">
        <f>VLOOKUP(A106,'Diccionario 2024'!$B$2:$D$230,3,0)</f>
        <v>Atención Ean a tu lado registro</v>
      </c>
    </row>
    <row r="107" spans="1:3" x14ac:dyDescent="0.35">
      <c r="A107" t="s">
        <v>1348</v>
      </c>
      <c r="B107" t="s">
        <v>1276</v>
      </c>
      <c r="C107" t="str">
        <f>VLOOKUP(A107,'Diccionario 2024'!$B$2:$D$230,3,0)</f>
        <v>Mesa de Servicio</v>
      </c>
    </row>
    <row r="108" spans="1:3" x14ac:dyDescent="0.35">
      <c r="A108" t="s">
        <v>1038</v>
      </c>
      <c r="B108" t="s">
        <v>1218</v>
      </c>
      <c r="C108" t="str">
        <f>VLOOKUP(A108,'Diccionario 2024'!$B$2:$D$230,3,0)</f>
        <v>Emisión certificados académicos</v>
      </c>
    </row>
    <row r="109" spans="1:3" x14ac:dyDescent="0.35">
      <c r="A109" t="s">
        <v>1039</v>
      </c>
      <c r="B109" t="s">
        <v>1219</v>
      </c>
      <c r="C109" t="str">
        <f>VLOOKUP(A109,'Diccionario 2024'!$B$2:$D$230,3,0)</f>
        <v>Retiro unidades estudio</v>
      </c>
    </row>
    <row r="110" spans="1:3" x14ac:dyDescent="0.35">
      <c r="A110" t="s">
        <v>74</v>
      </c>
      <c r="B110" t="s">
        <v>1220</v>
      </c>
      <c r="C110" t="str">
        <f>VLOOKUP(A110,'Diccionario 2024'!$B$2:$D$230,3,0)</f>
        <v>Abonos</v>
      </c>
    </row>
    <row r="111" spans="1:3" x14ac:dyDescent="0.35">
      <c r="A111" t="s">
        <v>1040</v>
      </c>
      <c r="B111" t="s">
        <v>1221</v>
      </c>
      <c r="C111" t="str">
        <f>VLOOKUP(A111,'Diccionario 2024'!$B$2:$D$230,3,0)</f>
        <v>Gestion cursos libres</v>
      </c>
    </row>
    <row r="112" spans="1:3" x14ac:dyDescent="0.35">
      <c r="A112" t="s">
        <v>1041</v>
      </c>
      <c r="B112" t="s">
        <v>1222</v>
      </c>
      <c r="C112" t="str">
        <f>VLOOKUP(A112,'Diccionario 2024'!$B$2:$D$230,3,0)</f>
        <v>Gestion validaciones</v>
      </c>
    </row>
    <row r="113" spans="1:3" x14ac:dyDescent="0.35">
      <c r="A113" t="s">
        <v>77</v>
      </c>
      <c r="B113" t="s">
        <v>1223</v>
      </c>
      <c r="C113" t="str">
        <f>VLOOKUP(A113,'Diccionario 2024'!$B$2:$D$230,3,0)</f>
        <v>Distinciones incentivos</v>
      </c>
    </row>
    <row r="114" spans="1:3" x14ac:dyDescent="0.35">
      <c r="A114" t="s">
        <v>1042</v>
      </c>
      <c r="B114" t="s">
        <v>1224</v>
      </c>
      <c r="C114" t="str">
        <f>VLOOKUP(A114,'Diccionario 2024'!$B$2:$D$230,3,0)</f>
        <v>Examen Saber Pro</v>
      </c>
    </row>
    <row r="115" spans="1:3" x14ac:dyDescent="0.35">
      <c r="A115" t="s">
        <v>1370</v>
      </c>
      <c r="B115" t="s">
        <v>1596</v>
      </c>
      <c r="C115" t="str">
        <f>VLOOKUP(A115,'Diccionario 2024'!$B$2:$D$230,3,0)</f>
        <v>Proceso grado</v>
      </c>
    </row>
    <row r="116" spans="1:3" x14ac:dyDescent="0.35">
      <c r="A116" t="s">
        <v>1371</v>
      </c>
      <c r="B116" t="s">
        <v>1597</v>
      </c>
      <c r="C116" t="str">
        <f>VLOOKUP(A116,'Diccionario 2024'!$B$2:$D$230,3,0)</f>
        <v>Actualización documentos</v>
      </c>
    </row>
    <row r="117" spans="1:3" x14ac:dyDescent="0.35">
      <c r="A117" t="s">
        <v>1346</v>
      </c>
      <c r="B117" t="s">
        <v>1274</v>
      </c>
      <c r="C117" t="str">
        <f>VLOOKUP(A117,'Diccionario 2024'!$B$2:$D$230,3,0)</f>
        <v>Meli Turno (Virtual)</v>
      </c>
    </row>
    <row r="118" spans="1:3" x14ac:dyDescent="0.35">
      <c r="A118" t="s">
        <v>1369</v>
      </c>
      <c r="B118" t="s">
        <v>1216</v>
      </c>
      <c r="C118" t="str">
        <f>VLOOKUP(A118,'Diccionario 2024'!$B$2:$D$230,3,0)</f>
        <v>Atención Ean a tu lado registro</v>
      </c>
    </row>
    <row r="119" spans="1:3" x14ac:dyDescent="0.35">
      <c r="A119" t="s">
        <v>1348</v>
      </c>
      <c r="B119" t="s">
        <v>1276</v>
      </c>
      <c r="C119" t="str">
        <f>VLOOKUP(A119,'Diccionario 2024'!$B$2:$D$230,3,0)</f>
        <v>Mesa de Servicio</v>
      </c>
    </row>
    <row r="120" spans="1:3" x14ac:dyDescent="0.35">
      <c r="A120" t="s">
        <v>1044</v>
      </c>
      <c r="B120" t="s">
        <v>1230</v>
      </c>
      <c r="C120" t="str">
        <f>VLOOKUP(A120,'Diccionario 2024'!$B$2:$D$230,3,0)</f>
        <v>Conocimiento financiación matrícula</v>
      </c>
    </row>
    <row r="121" spans="1:3" x14ac:dyDescent="0.35">
      <c r="A121" t="s">
        <v>667</v>
      </c>
      <c r="B121" t="s">
        <v>1231</v>
      </c>
      <c r="C121" t="str">
        <f>VLOOKUP(A121,'Diccionario 2024'!$B$2:$D$230,3,0)</f>
        <v>Banco AV Villas</v>
      </c>
    </row>
    <row r="122" spans="1:3" x14ac:dyDescent="0.35">
      <c r="A122" t="s">
        <v>658</v>
      </c>
      <c r="B122" t="s">
        <v>1232</v>
      </c>
      <c r="C122" t="str">
        <f>VLOOKUP(A122,'Diccionario 2024'!$B$2:$D$230,3,0)</f>
        <v>Ean Fraccionamiento</v>
      </c>
    </row>
    <row r="123" spans="1:3" x14ac:dyDescent="0.35">
      <c r="A123" t="s">
        <v>657</v>
      </c>
      <c r="B123" t="s">
        <v>1233</v>
      </c>
      <c r="C123" t="str">
        <f>VLOOKUP(A123,'Diccionario 2024'!$B$2:$D$230,3,0)</f>
        <v>Ean Respalda</v>
      </c>
    </row>
    <row r="124" spans="1:3" x14ac:dyDescent="0.35">
      <c r="A124" t="s">
        <v>660</v>
      </c>
      <c r="B124" t="s">
        <v>1234</v>
      </c>
      <c r="C124" t="str">
        <f>VLOOKUP(A124,'Diccionario 2024'!$B$2:$D$230,3,0)</f>
        <v>Financiar</v>
      </c>
    </row>
    <row r="125" spans="1:3" x14ac:dyDescent="0.35">
      <c r="A125" t="s">
        <v>665</v>
      </c>
      <c r="B125" t="s">
        <v>1235</v>
      </c>
      <c r="C125" t="str">
        <f>VLOOKUP(A125,'Diccionario 2024'!$B$2:$D$230,3,0)</f>
        <v>Fincomercio Fincoeducar</v>
      </c>
    </row>
    <row r="126" spans="1:3" x14ac:dyDescent="0.35">
      <c r="A126" t="s">
        <v>1045</v>
      </c>
      <c r="B126" t="s">
        <v>1236</v>
      </c>
      <c r="C126" t="str">
        <f>VLOOKUP(A126,'Diccionario 2024'!$B$2:$D$230,3,0)</f>
        <v>FLEVO financiación</v>
      </c>
    </row>
    <row r="127" spans="1:3" x14ac:dyDescent="0.35">
      <c r="A127" t="s">
        <v>668</v>
      </c>
      <c r="B127" t="s">
        <v>1237</v>
      </c>
      <c r="C127" t="str">
        <f>VLOOKUP(A127,'Diccionario 2024'!$B$2:$D$230,3,0)</f>
        <v>Icetex</v>
      </c>
    </row>
    <row r="128" spans="1:3" x14ac:dyDescent="0.35">
      <c r="A128" t="s">
        <v>661</v>
      </c>
      <c r="B128" t="s">
        <v>1238</v>
      </c>
      <c r="C128" t="str">
        <f>VLOOKUP(A128,'Diccionario 2024'!$B$2:$D$230,3,0)</f>
        <v>Lumni Respalda</v>
      </c>
    </row>
    <row r="129" spans="1:3" x14ac:dyDescent="0.35">
      <c r="A129" t="s">
        <v>662</v>
      </c>
      <c r="B129" t="s">
        <v>1239</v>
      </c>
      <c r="C129" t="str">
        <f>VLOOKUP(A129,'Diccionario 2024'!$B$2:$D$230,3,0)</f>
        <v>Sufi Bancolombia</v>
      </c>
    </row>
    <row r="130" spans="1:3" x14ac:dyDescent="0.35">
      <c r="A130" t="s">
        <v>669</v>
      </c>
      <c r="B130" t="s">
        <v>1601</v>
      </c>
      <c r="C130" t="str">
        <f>VLOOKUP(A130,'Diccionario 2024'!$B$2:$D$230,3,0)</f>
        <v>No he utilizado financiación</v>
      </c>
    </row>
    <row r="131" spans="1:3" x14ac:dyDescent="0.35">
      <c r="A131" t="s">
        <v>1417</v>
      </c>
      <c r="B131" t="s">
        <v>1602</v>
      </c>
      <c r="C131" t="str">
        <f>VLOOKUP(A131,'Diccionario 2024'!$B$2:$D$230,3,0)</f>
        <v>Satisfacción tiempos descuentos</v>
      </c>
    </row>
    <row r="132" spans="1:3" x14ac:dyDescent="0.35">
      <c r="A132" t="s">
        <v>1418</v>
      </c>
      <c r="B132" t="s">
        <v>1603</v>
      </c>
      <c r="C132" t="str">
        <f>VLOOKUP(A132,'Diccionario 2024'!$B$2:$D$230,3,0)</f>
        <v>Satisfacción canales pago matrícula</v>
      </c>
    </row>
    <row r="133" spans="1:3" x14ac:dyDescent="0.35">
      <c r="A133" t="s">
        <v>1346</v>
      </c>
      <c r="B133" t="s">
        <v>1274</v>
      </c>
      <c r="C133" t="str">
        <f>VLOOKUP(A133,'Diccionario 2024'!$B$2:$D$230,3,0)</f>
        <v>Meli Turno (Virtual)</v>
      </c>
    </row>
    <row r="134" spans="1:3" x14ac:dyDescent="0.35">
      <c r="A134" t="s">
        <v>1369</v>
      </c>
      <c r="B134" t="s">
        <v>1216</v>
      </c>
      <c r="C134" t="str">
        <f>VLOOKUP(A134,'Diccionario 2024'!$B$2:$D$230,3,0)</f>
        <v>Atención Ean a tu lado registro</v>
      </c>
    </row>
    <row r="135" spans="1:3" x14ac:dyDescent="0.35">
      <c r="A135" t="s">
        <v>1348</v>
      </c>
      <c r="B135" t="s">
        <v>1276</v>
      </c>
      <c r="C135" t="str">
        <f>VLOOKUP(A135,'Diccionario 2024'!$B$2:$D$230,3,0)</f>
        <v>Mesa de Servicio</v>
      </c>
    </row>
    <row r="136" spans="1:3" x14ac:dyDescent="0.35">
      <c r="A136" t="s">
        <v>1372</v>
      </c>
      <c r="B136" t="s">
        <v>1247</v>
      </c>
      <c r="C136" t="str">
        <f>VLOOKUP(A136,'Diccionario 2024'!$B$2:$D$230,3,0)</f>
        <v>Satisfacción atención Meli turno</v>
      </c>
    </row>
    <row r="137" spans="1:3" x14ac:dyDescent="0.35">
      <c r="A137" t="s">
        <v>1373</v>
      </c>
      <c r="B137" t="s">
        <v>1248</v>
      </c>
      <c r="C137" t="str">
        <f>VLOOKUP(A137,'Diccionario 2024'!$B$2:$D$230,3,0)</f>
        <v>Satisfacción atención presencial</v>
      </c>
    </row>
    <row r="138" spans="1:3" x14ac:dyDescent="0.35">
      <c r="A138" t="s">
        <v>1374</v>
      </c>
      <c r="B138" t="s">
        <v>1249</v>
      </c>
      <c r="C138" t="str">
        <f>VLOOKUP(A138,'Diccionario 2024'!$B$2:$D$230,3,0)</f>
        <v>Satisfacción mesa atención</v>
      </c>
    </row>
    <row r="139" spans="1:3" x14ac:dyDescent="0.35">
      <c r="A139" t="s">
        <v>1375</v>
      </c>
      <c r="B139" t="s">
        <v>1250</v>
      </c>
      <c r="C139" t="str">
        <f>VLOOKUP(A139,'Diccionario 2024'!$B$2:$D$230,3,0)</f>
        <v>Utilidad canal PQRSF</v>
      </c>
    </row>
    <row r="140" spans="1:3" x14ac:dyDescent="0.35">
      <c r="A140" t="s">
        <v>1419</v>
      </c>
      <c r="B140" t="s">
        <v>1251</v>
      </c>
      <c r="C140" t="str">
        <f>VLOOKUP(A140,'Diccionario 2024'!$B$2:$D$230,3,0)</f>
        <v>Comentarios canales atención</v>
      </c>
    </row>
    <row r="141" spans="1:3" x14ac:dyDescent="0.35">
      <c r="A141" t="s">
        <v>1376</v>
      </c>
      <c r="B141" t="s">
        <v>1252</v>
      </c>
      <c r="C141" t="str">
        <f>VLOOKUP(A141,'Diccionario 2024'!$B$2:$D$230,3,0)</f>
        <v>Uso PBX universidad</v>
      </c>
    </row>
    <row r="142" spans="1:3" x14ac:dyDescent="0.35">
      <c r="A142" t="s">
        <v>1377</v>
      </c>
      <c r="B142" t="s">
        <v>1253</v>
      </c>
      <c r="C142" t="str">
        <f>VLOOKUP(A142,'Diccionario 2024'!$B$2:$D$230,3,0)</f>
        <v>Recomendación atención PBX</v>
      </c>
    </row>
    <row r="143" spans="1:3" x14ac:dyDescent="0.35">
      <c r="A143" t="s">
        <v>524</v>
      </c>
      <c r="B143" t="s">
        <v>1254</v>
      </c>
      <c r="C143" t="str">
        <f>VLOOKUP(A143,'Diccionario 2024'!$B$2:$D$230,3,0)</f>
        <v>Facebook</v>
      </c>
    </row>
    <row r="144" spans="1:3" x14ac:dyDescent="0.35">
      <c r="A144" t="s">
        <v>525</v>
      </c>
      <c r="B144" t="s">
        <v>1604</v>
      </c>
      <c r="C144" t="str">
        <f>VLOOKUP(A144,'Diccionario 2024'!$B$2:$D$230,3,0)</f>
        <v>Instagram</v>
      </c>
    </row>
    <row r="145" spans="1:3" x14ac:dyDescent="0.35">
      <c r="A145" t="s">
        <v>527</v>
      </c>
      <c r="B145" t="s">
        <v>1605</v>
      </c>
      <c r="C145" t="str">
        <f>VLOOKUP(A145,'Diccionario 2024'!$B$2:$D$230,3,0)</f>
        <v>LinkedIn</v>
      </c>
    </row>
    <row r="146" spans="1:3" x14ac:dyDescent="0.35">
      <c r="A146" t="s">
        <v>1048</v>
      </c>
      <c r="B146" t="s">
        <v>1606</v>
      </c>
      <c r="C146" t="str">
        <f>VLOOKUP(A146,'Diccionario 2024'!$B$2:$D$230,3,0)</f>
        <v>Threads</v>
      </c>
    </row>
    <row r="147" spans="1:3" x14ac:dyDescent="0.35">
      <c r="A147" t="s">
        <v>886</v>
      </c>
      <c r="B147" t="s">
        <v>1607</v>
      </c>
      <c r="C147" t="str">
        <f>VLOOKUP(A147,'Diccionario 2024'!$B$2:$D$230,3,0)</f>
        <v>TikTok</v>
      </c>
    </row>
    <row r="148" spans="1:3" x14ac:dyDescent="0.35">
      <c r="A148" t="s">
        <v>526</v>
      </c>
      <c r="B148" t="s">
        <v>1608</v>
      </c>
      <c r="C148" t="str">
        <f>VLOOKUP(A148,'Diccionario 2024'!$B$2:$D$230,3,0)</f>
        <v>Twitter</v>
      </c>
    </row>
    <row r="149" spans="1:3" x14ac:dyDescent="0.35">
      <c r="A149" t="s">
        <v>1049</v>
      </c>
      <c r="B149" t="s">
        <v>1609</v>
      </c>
      <c r="C149" t="str">
        <f>VLOOKUP(A149,'Diccionario 2024'!$B$2:$D$230,3,0)</f>
        <v>Todos los anteriores redes</v>
      </c>
    </row>
    <row r="150" spans="1:3" x14ac:dyDescent="0.35">
      <c r="A150" t="s">
        <v>529</v>
      </c>
      <c r="B150" t="s">
        <v>1610</v>
      </c>
      <c r="C150" t="str">
        <f>VLOOKUP(A150,'Diccionario 2024'!$B$2:$D$230,3,0)</f>
        <v>Ninguna red</v>
      </c>
    </row>
    <row r="151" spans="1:3" x14ac:dyDescent="0.35">
      <c r="A151" t="s">
        <v>1050</v>
      </c>
      <c r="B151" t="s">
        <v>1214</v>
      </c>
      <c r="C151" t="str">
        <f>VLOOKUP(A151,'Diccionario 2024'!$B$2:$D$230,3,0)</f>
        <v>Uso App Universidad Ean</v>
      </c>
    </row>
    <row r="152" spans="1:3" x14ac:dyDescent="0.35">
      <c r="A152" t="s">
        <v>1378</v>
      </c>
      <c r="B152" t="s">
        <v>1281</v>
      </c>
      <c r="C152" t="str">
        <f>VLOOKUP(A152,'Diccionario 2024'!$B$2:$D$230,3,0)</f>
        <v>Uso App Bienestar</v>
      </c>
    </row>
    <row r="153" spans="1:3" x14ac:dyDescent="0.35">
      <c r="A153" t="s">
        <v>1051</v>
      </c>
      <c r="B153" t="s">
        <v>1611</v>
      </c>
      <c r="C153" t="str">
        <f>VLOOKUP(A153,'Diccionario 2024'!$B$2:$D$230,3,0)</f>
        <v>Interacción Chatbot E Ann</v>
      </c>
    </row>
    <row r="154" spans="1:3" x14ac:dyDescent="0.35">
      <c r="A154" t="s">
        <v>1379</v>
      </c>
      <c r="B154" t="s">
        <v>1612</v>
      </c>
      <c r="C154" t="str">
        <f>VLOOKUP(A154,'Diccionario 2024'!$B$2:$D$230,3,0)</f>
        <v>Satisfacción información chatbot</v>
      </c>
    </row>
    <row r="155" spans="1:3" x14ac:dyDescent="0.35">
      <c r="A155" t="s">
        <v>1380</v>
      </c>
      <c r="B155" t="s">
        <v>1613</v>
      </c>
      <c r="C155" t="str">
        <f>VLOOKUP(A155,'Diccionario 2024'!$B$2:$D$230,3,0)</f>
        <v>Satisfacción información correo institucional</v>
      </c>
    </row>
    <row r="156" spans="1:3" x14ac:dyDescent="0.35">
      <c r="A156" t="s">
        <v>1381</v>
      </c>
      <c r="B156" t="s">
        <v>1614</v>
      </c>
      <c r="C156" t="str">
        <f>VLOOKUP(A156,'Diccionario 2024'!$B$2:$D$230,3,0)</f>
        <v>Frecuencia correos institucionales</v>
      </c>
    </row>
    <row r="157" spans="1:3" x14ac:dyDescent="0.35">
      <c r="A157" t="s">
        <v>1382</v>
      </c>
      <c r="B157" t="s">
        <v>1615</v>
      </c>
      <c r="C157" t="str">
        <f>VLOOKUP(A157,'Diccionario 2024'!$B$2:$D$230,3,0)</f>
        <v>Canales preferidos atención</v>
      </c>
    </row>
    <row r="158" spans="1:3" x14ac:dyDescent="0.35">
      <c r="A158" t="s">
        <v>146</v>
      </c>
      <c r="B158" t="s">
        <v>1258</v>
      </c>
      <c r="C158" t="str">
        <f>VLOOKUP(A158,'Diccionario 2024'!$B$2:$D$230,3,0)</f>
        <v>Accesibilidad espacios</v>
      </c>
    </row>
    <row r="159" spans="1:3" x14ac:dyDescent="0.35">
      <c r="A159" t="s">
        <v>685</v>
      </c>
      <c r="B159" t="s">
        <v>1259</v>
      </c>
      <c r="C159" t="str">
        <f>VLOOKUP(A159,'Diccionario 2024'!$B$2:$D$230,3,0)</f>
        <v>Capacidad espacios</v>
      </c>
    </row>
    <row r="160" spans="1:3" x14ac:dyDescent="0.35">
      <c r="A160" t="s">
        <v>148</v>
      </c>
      <c r="B160" t="s">
        <v>1260</v>
      </c>
      <c r="C160" t="str">
        <f>VLOOKUP(A160,'Diccionario 2024'!$B$2:$D$230,3,0)</f>
        <v>Ventilación espacios</v>
      </c>
    </row>
    <row r="161" spans="1:3" x14ac:dyDescent="0.35">
      <c r="A161" t="s">
        <v>686</v>
      </c>
      <c r="B161" t="s">
        <v>1261</v>
      </c>
      <c r="C161" t="str">
        <f>VLOOKUP(A161,'Diccionario 2024'!$B$2:$D$230,3,0)</f>
        <v>Condiciones seguridad espacios</v>
      </c>
    </row>
    <row r="162" spans="1:3" x14ac:dyDescent="0.35">
      <c r="A162" t="s">
        <v>95</v>
      </c>
      <c r="B162" t="s">
        <v>1262</v>
      </c>
      <c r="C162" t="str">
        <f>VLOOKUP(A162,'Diccionario 2024'!$B$2:$D$230,3,0)</f>
        <v>Aseo espacios</v>
      </c>
    </row>
    <row r="163" spans="1:3" x14ac:dyDescent="0.35">
      <c r="A163" t="s">
        <v>687</v>
      </c>
      <c r="B163" t="s">
        <v>1263</v>
      </c>
      <c r="C163" t="str">
        <f>VLOOKUP(A163,'Diccionario 2024'!$B$2:$D$230,3,0)</f>
        <v>Disponibilidad espacios</v>
      </c>
    </row>
    <row r="164" spans="1:3" x14ac:dyDescent="0.35">
      <c r="A164" t="s">
        <v>895</v>
      </c>
      <c r="B164" t="s">
        <v>1264</v>
      </c>
      <c r="C164" t="str">
        <f>VLOOKUP(A164,'Diccionario 2024'!$B$2:$D$230,3,0)</f>
        <v>Equipos audiovisuales espacios</v>
      </c>
    </row>
    <row r="165" spans="1:3" x14ac:dyDescent="0.35">
      <c r="A165" t="s">
        <v>1383</v>
      </c>
      <c r="B165" t="s">
        <v>1265</v>
      </c>
      <c r="C165" t="str">
        <f>VLOOKUP(A165,'Diccionario 2024'!$B$2:$D$230,3,0)</f>
        <v>Satisfacción zona alimentación</v>
      </c>
    </row>
    <row r="166" spans="1:3" x14ac:dyDescent="0.35">
      <c r="A166" t="s">
        <v>1056</v>
      </c>
      <c r="B166" t="s">
        <v>1266</v>
      </c>
      <c r="C166" t="str">
        <f>VLOOKUP(A166,'Diccionario 2024'!$B$2:$D$230,3,0)</f>
        <v>Cafetería DoEat</v>
      </c>
    </row>
    <row r="167" spans="1:3" x14ac:dyDescent="0.35">
      <c r="A167" t="s">
        <v>1384</v>
      </c>
      <c r="B167" t="s">
        <v>1267</v>
      </c>
      <c r="C167" t="str">
        <f>VLOOKUP(A167,'Diccionario 2024'!$B$2:$D$230,3,0)</f>
        <v>Frutiice</v>
      </c>
    </row>
    <row r="168" spans="1:3" x14ac:dyDescent="0.35">
      <c r="A168" t="s">
        <v>1385</v>
      </c>
      <c r="B168" t="s">
        <v>1268</v>
      </c>
      <c r="C168" t="str">
        <f>VLOOKUP(A168,'Diccionario 2024'!$B$2:$D$230,3,0)</f>
        <v>La Regional</v>
      </c>
    </row>
    <row r="169" spans="1:3" x14ac:dyDescent="0.35">
      <c r="A169" t="s">
        <v>903</v>
      </c>
      <c r="B169" t="s">
        <v>1269</v>
      </c>
      <c r="C169" t="str">
        <f>VLOOKUP(A169,'Diccionario 2024'!$B$2:$D$230,3,0)</f>
        <v>Frutiice</v>
      </c>
    </row>
    <row r="170" spans="1:3" x14ac:dyDescent="0.35">
      <c r="A170" t="s">
        <v>1059</v>
      </c>
      <c r="B170" t="s">
        <v>1270</v>
      </c>
      <c r="C170" t="str">
        <f>VLOOKUP(A170,'Diccionario 2024'!$B$2:$D$230,3,0)</f>
        <v>DoEat</v>
      </c>
    </row>
    <row r="171" spans="1:3" x14ac:dyDescent="0.35">
      <c r="A171" t="s">
        <v>1060</v>
      </c>
      <c r="B171" t="s">
        <v>1271</v>
      </c>
      <c r="C171" t="str">
        <f>VLOOKUP(A171,'Diccionario 2024'!$B$2:$D$230,3,0)</f>
        <v>La Regional</v>
      </c>
    </row>
    <row r="172" spans="1:3" x14ac:dyDescent="0.35">
      <c r="A172" t="s">
        <v>94</v>
      </c>
      <c r="B172" t="s">
        <v>1272</v>
      </c>
      <c r="C172" t="str">
        <f>VLOOKUP(A172,'Diccionario 2024'!$B$2:$D$230,3,0)</f>
        <v>Seguridad campus</v>
      </c>
    </row>
    <row r="173" spans="1:3" x14ac:dyDescent="0.35">
      <c r="A173" t="s">
        <v>95</v>
      </c>
      <c r="B173" t="s">
        <v>1262</v>
      </c>
      <c r="C173" t="str">
        <f>VLOOKUP(A173,'Diccionario 2024'!$B$2:$D$230,3,0)</f>
        <v>Aseo espacios</v>
      </c>
    </row>
    <row r="174" spans="1:3" x14ac:dyDescent="0.35">
      <c r="A174" t="s">
        <v>1061</v>
      </c>
      <c r="B174" t="s">
        <v>1616</v>
      </c>
      <c r="C174" t="str">
        <f>VLOOKUP(A174,'Diccionario 2024'!$B$2:$D$230,3,0)</f>
        <v>Parqueadero City Parking</v>
      </c>
    </row>
    <row r="175" spans="1:3" x14ac:dyDescent="0.35">
      <c r="A175" t="s">
        <v>97</v>
      </c>
      <c r="B175" t="s">
        <v>1231</v>
      </c>
      <c r="C175" t="str">
        <f>VLOOKUP(A175,'Diccionario 2024'!$B$2:$D$230,3,0)</f>
        <v>Banco AV Villas</v>
      </c>
    </row>
    <row r="176" spans="1:3" x14ac:dyDescent="0.35">
      <c r="A176" t="s">
        <v>98</v>
      </c>
      <c r="B176" t="s">
        <v>1618</v>
      </c>
      <c r="C176" t="str">
        <f>VLOOKUP(A176,'Diccionario 2024'!$B$2:$D$230,3,0)</f>
        <v>Servicios impresión</v>
      </c>
    </row>
    <row r="177" spans="1:3" x14ac:dyDescent="0.35">
      <c r="A177" t="s">
        <v>1062</v>
      </c>
      <c r="B177" t="s">
        <v>1282</v>
      </c>
      <c r="C177" t="str">
        <f>VLOOKUP(A177,'Diccionario 2024'!$B$2:$D$230,3,0)</f>
        <v>App Bienestar Ean</v>
      </c>
    </row>
    <row r="178" spans="1:3" x14ac:dyDescent="0.35">
      <c r="A178" t="s">
        <v>1386</v>
      </c>
      <c r="B178" t="s">
        <v>1283</v>
      </c>
      <c r="C178" t="str">
        <f>VLOOKUP(A178,'Diccionario 2024'!$B$2:$D$230,3,0)</f>
        <v>Gimnasio fitness</v>
      </c>
    </row>
    <row r="179" spans="1:3" x14ac:dyDescent="0.35">
      <c r="A179" t="s">
        <v>1064</v>
      </c>
      <c r="B179" t="s">
        <v>1320</v>
      </c>
      <c r="C179" t="str">
        <f>VLOOKUP(A179,'Diccionario 2024'!$B$2:$D$230,3,0)</f>
        <v>Clases grupos culturales</v>
      </c>
    </row>
    <row r="180" spans="1:3" x14ac:dyDescent="0.35">
      <c r="A180" t="s">
        <v>1065</v>
      </c>
      <c r="B180" t="s">
        <v>1321</v>
      </c>
      <c r="C180" t="str">
        <f>VLOOKUP(A180,'Diccionario 2024'!$B$2:$D$230,3,0)</f>
        <v>Clases grupos deportivos</v>
      </c>
    </row>
    <row r="181" spans="1:3" x14ac:dyDescent="0.35">
      <c r="A181" t="s">
        <v>1066</v>
      </c>
      <c r="B181" t="s">
        <v>1322</v>
      </c>
      <c r="C181" t="str">
        <f>VLOOKUP(A181,'Diccionario 2024'!$B$2:$D$230,3,0)</f>
        <v>Orquesta filarmónica</v>
      </c>
    </row>
    <row r="182" spans="1:3" x14ac:dyDescent="0.35">
      <c r="A182" t="s">
        <v>1068</v>
      </c>
      <c r="B182" t="s">
        <v>1323</v>
      </c>
      <c r="C182" t="str">
        <f>VLOOKUP(A182,'Diccionario 2024'!$B$2:$D$230,3,0)</f>
        <v>Clases habilidades humanas</v>
      </c>
    </row>
    <row r="183" spans="1:3" x14ac:dyDescent="0.35">
      <c r="A183" t="s">
        <v>1387</v>
      </c>
      <c r="B183" t="s">
        <v>1284</v>
      </c>
      <c r="C183" t="str">
        <f>VLOOKUP(A183,'Diccionario 2024'!$B$2:$D$230,3,0)</f>
        <v>Servicio salud</v>
      </c>
    </row>
    <row r="184" spans="1:3" x14ac:dyDescent="0.35">
      <c r="A184" t="s">
        <v>1070</v>
      </c>
      <c r="B184" t="s">
        <v>1285</v>
      </c>
      <c r="C184" t="str">
        <f>VLOOKUP(A184,'Diccionario 2024'!$B$2:$D$230,3,0)</f>
        <v>Acompañamiento psicológico</v>
      </c>
    </row>
    <row r="185" spans="1:3" x14ac:dyDescent="0.35">
      <c r="A185" t="s">
        <v>547</v>
      </c>
      <c r="B185" t="s">
        <v>1286</v>
      </c>
      <c r="C185" t="str">
        <f>VLOOKUP(A185,'Diccionario 2024'!$B$2:$D$230,3,0)</f>
        <v>Póliza accidentes personales</v>
      </c>
    </row>
    <row r="186" spans="1:3" x14ac:dyDescent="0.35">
      <c r="A186" t="s">
        <v>1071</v>
      </c>
      <c r="B186" t="s">
        <v>1287</v>
      </c>
      <c r="C186" t="str">
        <f>VLOOKUP(A186,'Diccionario 2024'!$B$2:$D$230,3,0)</f>
        <v>Salón de juegos</v>
      </c>
    </row>
    <row r="187" spans="1:3" x14ac:dyDescent="0.35">
      <c r="A187" t="s">
        <v>1072</v>
      </c>
      <c r="B187" t="s">
        <v>1288</v>
      </c>
      <c r="C187" t="str">
        <f>VLOOKUP(A187,'Diccionario 2024'!$B$2:$D$230,3,0)</f>
        <v>Préstamo juegos instrumentos</v>
      </c>
    </row>
    <row r="188" spans="1:3" x14ac:dyDescent="0.35">
      <c r="A188" t="s">
        <v>1073</v>
      </c>
      <c r="B188" t="s">
        <v>1289</v>
      </c>
      <c r="C188" t="str">
        <f>VLOOKUP(A188,'Diccionario 2024'!$B$2:$D$230,3,0)</f>
        <v>Programa pedaleando bicicletas</v>
      </c>
    </row>
    <row r="189" spans="1:3" x14ac:dyDescent="0.35">
      <c r="A189" t="s">
        <v>1074</v>
      </c>
      <c r="B189" t="s">
        <v>1290</v>
      </c>
      <c r="C189" t="str">
        <f>VLOOKUP(A189,'Diccionario 2024'!$B$2:$D$230,3,0)</f>
        <v>Voluntariado Ean</v>
      </c>
    </row>
    <row r="190" spans="1:3" x14ac:dyDescent="0.35">
      <c r="A190" t="s">
        <v>1075</v>
      </c>
      <c r="B190" t="s">
        <v>1330</v>
      </c>
      <c r="C190" t="str">
        <f>VLOOKUP(A190,'Diccionario 2024'!$B$2:$D$230,3,0)</f>
        <v>Programa vendedor emprendedor</v>
      </c>
    </row>
    <row r="191" spans="1:3" x14ac:dyDescent="0.35">
      <c r="A191" t="s">
        <v>1388</v>
      </c>
      <c r="B191" t="s">
        <v>1324</v>
      </c>
      <c r="C191" t="str">
        <f>VLOOKUP(A191,'Diccionario 2024'!$B$2:$D$230,3,0)</f>
        <v>Eventos promoción prevención salud</v>
      </c>
    </row>
    <row r="192" spans="1:3" x14ac:dyDescent="0.35">
      <c r="A192" t="s">
        <v>1389</v>
      </c>
      <c r="B192" t="s">
        <v>1325</v>
      </c>
      <c r="C192" t="str">
        <f>VLOOKUP(A192,'Diccionario 2024'!$B$2:$D$230,3,0)</f>
        <v>Actividades bienestar integral</v>
      </c>
    </row>
    <row r="193" spans="1:3" x14ac:dyDescent="0.35">
      <c r="A193" t="s">
        <v>1076</v>
      </c>
      <c r="B193" t="s">
        <v>1291</v>
      </c>
      <c r="C193" t="str">
        <f>VLOOKUP(A193,'Diccionario 2024'!$B$2:$D$230,3,0)</f>
        <v>Polideportivo Ean Arena</v>
      </c>
    </row>
    <row r="194" spans="1:3" x14ac:dyDescent="0.35">
      <c r="A194" t="s">
        <v>1077</v>
      </c>
      <c r="B194" t="s">
        <v>1292</v>
      </c>
      <c r="C194" t="str">
        <f>VLOOKUP(A194,'Diccionario 2024'!$B$2:$D$230,3,0)</f>
        <v>Gimnasio fitness Ean</v>
      </c>
    </row>
    <row r="195" spans="1:3" x14ac:dyDescent="0.35">
      <c r="A195" t="s">
        <v>1078</v>
      </c>
      <c r="B195" t="s">
        <v>1293</v>
      </c>
      <c r="C195" t="str">
        <f>VLOOKUP(A195,'Diccionario 2024'!$B$2:$D$230,3,0)</f>
        <v>Zona tenis mesa</v>
      </c>
    </row>
    <row r="196" spans="1:3" x14ac:dyDescent="0.35">
      <c r="A196" t="s">
        <v>1079</v>
      </c>
      <c r="B196" t="s">
        <v>1294</v>
      </c>
      <c r="C196" t="str">
        <f>VLOOKUP(A196,'Diccionario 2024'!$B$2:$D$230,3,0)</f>
        <v>Ball pit Fundadores</v>
      </c>
    </row>
    <row r="197" spans="1:3" x14ac:dyDescent="0.35">
      <c r="A197" t="s">
        <v>1080</v>
      </c>
      <c r="B197" t="s">
        <v>1295</v>
      </c>
      <c r="C197" t="str">
        <f>VLOOKUP(A197,'Diccionario 2024'!$B$2:$D$230,3,0)</f>
        <v>Sala Neutro Legacy</v>
      </c>
    </row>
    <row r="198" spans="1:3" x14ac:dyDescent="0.35">
      <c r="A198" t="s">
        <v>1081</v>
      </c>
      <c r="B198" t="s">
        <v>1296</v>
      </c>
      <c r="C198" t="str">
        <f>VLOOKUP(A198,'Diccionario 2024'!$B$2:$D$230,3,0)</f>
        <v>Salones expresiones</v>
      </c>
    </row>
    <row r="199" spans="1:3" x14ac:dyDescent="0.35">
      <c r="A199" t="s">
        <v>1082</v>
      </c>
      <c r="B199" t="s">
        <v>1297</v>
      </c>
      <c r="C199" t="str">
        <f>VLOOKUP(A199,'Diccionario 2024'!$B$2:$D$230,3,0)</f>
        <v>Salones música Fundadores</v>
      </c>
    </row>
    <row r="200" spans="1:3" x14ac:dyDescent="0.35">
      <c r="A200" t="s">
        <v>1390</v>
      </c>
      <c r="B200" t="s">
        <v>1298</v>
      </c>
      <c r="C200" t="str">
        <f>VLOOKUP(A200,'Diccionario 2024'!$B$2:$D$230,3,0)</f>
        <v>Canchas club Carmel</v>
      </c>
    </row>
    <row r="201" spans="1:3" x14ac:dyDescent="0.35">
      <c r="A201" t="s">
        <v>1084</v>
      </c>
      <c r="B201" t="s">
        <v>1299</v>
      </c>
      <c r="C201" t="str">
        <f>VLOOKUP(A201,'Diccionario 2024'!$B$2:$D$230,3,0)</f>
        <v>Sala lactancia</v>
      </c>
    </row>
    <row r="202" spans="1:3" x14ac:dyDescent="0.35">
      <c r="A202" t="s">
        <v>1391</v>
      </c>
      <c r="B202" t="s">
        <v>1300</v>
      </c>
      <c r="C202" t="str">
        <f>VLOOKUP(A202,'Diccionario 2024'!$B$2:$D$230,3,0)</f>
        <v>Participación bienestar virtual</v>
      </c>
    </row>
    <row r="203" spans="1:3" x14ac:dyDescent="0.35">
      <c r="A203" t="s">
        <v>1392</v>
      </c>
      <c r="B203" t="s">
        <v>1301</v>
      </c>
      <c r="C203" t="str">
        <f>VLOOKUP(A203,'Diccionario 2024'!$B$2:$D$230,3,0)</f>
        <v>Satisfacción bienestar universitario</v>
      </c>
    </row>
    <row r="204" spans="1:3" x14ac:dyDescent="0.35">
      <c r="A204" t="s">
        <v>711</v>
      </c>
      <c r="B204" t="s">
        <v>1302</v>
      </c>
      <c r="C204" t="str">
        <f>VLOOKUP(A204,'Diccionario 2024'!$B$2:$D$230,3,0)</f>
        <v>Acompañamiento renovación matrícula</v>
      </c>
    </row>
    <row r="205" spans="1:3" x14ac:dyDescent="0.35">
      <c r="A205" t="s">
        <v>1086</v>
      </c>
      <c r="B205" t="s">
        <v>1303</v>
      </c>
      <c r="C205" t="str">
        <f>VLOOKUP(A205,'Diccionario 2024'!$B$2:$D$230,3,0)</f>
        <v>Programa Ean Contigo</v>
      </c>
    </row>
    <row r="206" spans="1:3" x14ac:dyDescent="0.35">
      <c r="A206" t="s">
        <v>558</v>
      </c>
      <c r="B206" t="s">
        <v>1304</v>
      </c>
      <c r="C206" t="str">
        <f>VLOOKUP(A206,'Diccionario 2024'!$B$2:$D$230,3,0)</f>
        <v>Mentores académicos</v>
      </c>
    </row>
    <row r="207" spans="1:3" x14ac:dyDescent="0.35">
      <c r="A207" t="s">
        <v>1393</v>
      </c>
      <c r="B207" t="s">
        <v>1305</v>
      </c>
      <c r="C207" t="str">
        <f>VLOOKUP(A207,'Diccionario 2024'!$B$2:$D$230,3,0)</f>
        <v>Apoyo psicopedagógico</v>
      </c>
    </row>
    <row r="208" spans="1:3" x14ac:dyDescent="0.35">
      <c r="A208" t="s">
        <v>1394</v>
      </c>
      <c r="B208" t="s">
        <v>1306</v>
      </c>
      <c r="C208" t="str">
        <f>VLOOKUP(A208,'Diccionario 2024'!$B$2:$D$230,3,0)</f>
        <v>Seguimiento proceso académico</v>
      </c>
    </row>
    <row r="209" spans="1:3" x14ac:dyDescent="0.35">
      <c r="A209" t="s">
        <v>1395</v>
      </c>
      <c r="B209" t="s">
        <v>1307</v>
      </c>
      <c r="C209" t="str">
        <f>VLOOKUP(A209,'Diccionario 2024'!$B$2:$D$230,3,0)</f>
        <v>Cursos refuerzo tutorías</v>
      </c>
    </row>
    <row r="210" spans="1:3" x14ac:dyDescent="0.35">
      <c r="A210" t="s">
        <v>1089</v>
      </c>
      <c r="B210" t="s">
        <v>1308</v>
      </c>
      <c r="C210" t="str">
        <f>VLOOKUP(A210,'Diccionario 2024'!$B$2:$D$230,3,0)</f>
        <v>Uso Defensoría universitaria</v>
      </c>
    </row>
    <row r="211" spans="1:3" x14ac:dyDescent="0.35">
      <c r="A211" t="s">
        <v>1091</v>
      </c>
      <c r="B211" t="s">
        <v>1309</v>
      </c>
      <c r="C211" t="str">
        <f>VLOOKUP(A211,'Diccionario 2024'!$B$2:$D$230,3,0)</f>
        <v>Orientación normativa institucional</v>
      </c>
    </row>
    <row r="212" spans="1:3" x14ac:dyDescent="0.35">
      <c r="A212" t="s">
        <v>1092</v>
      </c>
      <c r="B212" t="s">
        <v>1310</v>
      </c>
      <c r="C212" t="str">
        <f>VLOOKUP(A212,'Diccionario 2024'!$B$2:$D$230,3,0)</f>
        <v>Mediación asuntos académicos</v>
      </c>
    </row>
    <row r="213" spans="1:3" x14ac:dyDescent="0.35">
      <c r="A213" t="s">
        <v>1093</v>
      </c>
      <c r="B213" t="s">
        <v>1311</v>
      </c>
      <c r="C213" t="str">
        <f>VLOOKUP(A213,'Diccionario 2024'!$B$2:$D$230,3,0)</f>
        <v>Intervención asuntos administrativos</v>
      </c>
    </row>
    <row r="214" spans="1:3" x14ac:dyDescent="0.35">
      <c r="A214" t="s">
        <v>1094</v>
      </c>
      <c r="B214" t="s">
        <v>1312</v>
      </c>
      <c r="C214" t="str">
        <f>VLOOKUP(A214,'Diccionario 2024'!$B$2:$D$230,3,0)</f>
        <v>Respuesta solicitudes defensoría</v>
      </c>
    </row>
    <row r="215" spans="1:3" x14ac:dyDescent="0.35">
      <c r="A215" t="s">
        <v>105</v>
      </c>
      <c r="B215" t="s">
        <v>1619</v>
      </c>
      <c r="C215" t="str">
        <f>VLOOKUP(A215,'Diccionario 2024'!$B$2:$D$230,3,0)</f>
        <v>Tienda Ean</v>
      </c>
    </row>
    <row r="216" spans="1:3" x14ac:dyDescent="0.35">
      <c r="A216" t="s">
        <v>106</v>
      </c>
      <c r="B216" t="s">
        <v>1620</v>
      </c>
      <c r="C216" t="str">
        <f>VLOOKUP(A216,'Diccionario 2024'!$B$2:$D$230,3,0)</f>
        <v>Galería de arte</v>
      </c>
    </row>
    <row r="217" spans="1:3" x14ac:dyDescent="0.35">
      <c r="A217" t="s">
        <v>1420</v>
      </c>
      <c r="B217" t="s">
        <v>1621</v>
      </c>
      <c r="C217" t="str">
        <f>VLOOKUP(A217,'Diccionario 2024'!$B$2:$D$230,3,0)</f>
        <v>Mejoras eventos universidad</v>
      </c>
    </row>
    <row r="218" spans="1:3" x14ac:dyDescent="0.35">
      <c r="A218" t="s">
        <v>1100</v>
      </c>
      <c r="B218" t="s">
        <v>1622</v>
      </c>
      <c r="C218" t="str">
        <f>VLOOKUP(A218,'Diccionario 2024'!$B$2:$D$230,3,0)</f>
        <v>Conocimiento FabLab</v>
      </c>
    </row>
    <row r="219" spans="1:3" x14ac:dyDescent="0.35">
      <c r="A219" t="s">
        <v>1396</v>
      </c>
      <c r="B219" t="s">
        <v>1331</v>
      </c>
      <c r="C219" t="str">
        <f>VLOOKUP(A219,'Diccionario 2024'!$B$2:$D$230,3,0)</f>
        <v>Bolsa empleo universidad</v>
      </c>
    </row>
    <row r="220" spans="1:3" x14ac:dyDescent="0.35">
      <c r="A220" t="s">
        <v>1102</v>
      </c>
      <c r="B220" t="s">
        <v>1623</v>
      </c>
      <c r="C220" t="str">
        <f>VLOOKUP(A220,'Diccionario 2024'!$B$2:$D$230,3,0)</f>
        <v>Entrenamientos habilidades profesionales</v>
      </c>
    </row>
    <row r="221" spans="1:3" x14ac:dyDescent="0.35">
      <c r="A221" t="s">
        <v>111</v>
      </c>
      <c r="B221" t="s">
        <v>1624</v>
      </c>
      <c r="C221" t="str">
        <f>VLOOKUP(A221,'Diccionario 2024'!$B$2:$D$230,3,0)</f>
        <v>Orientación vocacional</v>
      </c>
    </row>
    <row r="222" spans="1:3" x14ac:dyDescent="0.35">
      <c r="A222" t="s">
        <v>1103</v>
      </c>
      <c r="B222" t="s">
        <v>1625</v>
      </c>
      <c r="C222" t="str">
        <f>VLOOKUP(A222,'Diccionario 2024'!$B$2:$D$230,3,0)</f>
        <v>Ferias oportunidades laborales</v>
      </c>
    </row>
    <row r="223" spans="1:3" x14ac:dyDescent="0.35">
      <c r="A223" t="s">
        <v>113</v>
      </c>
      <c r="B223" t="s">
        <v>1626</v>
      </c>
      <c r="C223" t="str">
        <f>VLOOKUP(A223,'Diccionario 2024'!$B$2:$D$230,3,0)</f>
        <v>Prueba ESIC</v>
      </c>
    </row>
    <row r="224" spans="1:3" x14ac:dyDescent="0.35">
      <c r="A224" t="s">
        <v>1397</v>
      </c>
      <c r="B224" t="s">
        <v>1334</v>
      </c>
      <c r="C224" t="str">
        <f>VLOOKUP(A224,'Diccionario 2024'!$B$2:$D$230,3,0)</f>
        <v>¿Tienes hijos?</v>
      </c>
    </row>
    <row r="225" spans="1:3" x14ac:dyDescent="0.35">
      <c r="A225" t="s">
        <v>1421</v>
      </c>
      <c r="B225" t="s">
        <v>1627</v>
      </c>
      <c r="C225" t="str">
        <f>VLOOKUP(A225,'Diccionario 2024'!$B$2:$D$230,3,0)</f>
        <v>Servicio cuidado infantil</v>
      </c>
    </row>
    <row r="226" spans="1:3" x14ac:dyDescent="0.35">
      <c r="A226" t="s">
        <v>1422</v>
      </c>
      <c r="B226" t="s">
        <v>1313</v>
      </c>
      <c r="C226" t="s">
        <v>1583</v>
      </c>
    </row>
    <row r="227" spans="1:3" x14ac:dyDescent="0.35">
      <c r="A227" t="s">
        <v>1423</v>
      </c>
      <c r="B227" t="s">
        <v>1314</v>
      </c>
      <c r="C227" t="str">
        <f>VLOOKUP(A227,'Diccionario 2024'!$B$2:$D$230,3,0)</f>
        <v>Satisfacción atención recepción</v>
      </c>
    </row>
    <row r="228" spans="1:3" x14ac:dyDescent="0.35">
      <c r="A228" t="s">
        <v>1398</v>
      </c>
      <c r="B228" t="s">
        <v>1628</v>
      </c>
      <c r="C228" t="str">
        <f>VLOOKUP(A228,'Diccionario 2024'!$B$2:$D$230,3,0)</f>
        <v>Aspecto positivo universidad</v>
      </c>
    </row>
    <row r="229" spans="1:3" x14ac:dyDescent="0.35">
      <c r="A229" t="s">
        <v>1424</v>
      </c>
      <c r="B229" t="s">
        <v>1629</v>
      </c>
      <c r="C229" t="str">
        <f>VLOOKUP(A229,'Diccionario 2024'!$B$2:$D$230,3,0)</f>
        <v>Sugerencias mejora universidad</v>
      </c>
    </row>
    <row r="230" spans="1:3" x14ac:dyDescent="0.35">
      <c r="A230" t="s">
        <v>1425</v>
      </c>
      <c r="B230" t="s">
        <v>1630</v>
      </c>
      <c r="C230" t="str">
        <f>VLOOKUP(A230,'Diccionario 2024'!$B$2:$D$230,3,0)</f>
        <v>Recomendación servicios universidad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23E9-5113-401A-9C29-B706D003AE6D}">
  <dimension ref="A1:G230"/>
  <sheetViews>
    <sheetView topLeftCell="C1" workbookViewId="0">
      <selection activeCell="E1" sqref="E1"/>
    </sheetView>
  </sheetViews>
  <sheetFormatPr baseColWidth="10" defaultRowHeight="14.5" x14ac:dyDescent="0.35"/>
  <cols>
    <col min="2" max="2" width="74.81640625" customWidth="1"/>
    <col min="3" max="3" width="9.81640625" customWidth="1"/>
    <col min="4" max="4" width="48.1796875" customWidth="1"/>
    <col min="5" max="5" width="22.453125" customWidth="1"/>
  </cols>
  <sheetData>
    <row r="1" spans="1:7" x14ac:dyDescent="0.35">
      <c r="A1" t="s">
        <v>573</v>
      </c>
      <c r="B1" t="s">
        <v>1437</v>
      </c>
      <c r="C1" t="s">
        <v>254</v>
      </c>
      <c r="D1" t="s">
        <v>828</v>
      </c>
      <c r="E1" t="s">
        <v>1436</v>
      </c>
      <c r="F1" t="s">
        <v>467</v>
      </c>
      <c r="G1" t="s">
        <v>1436</v>
      </c>
    </row>
    <row r="2" spans="1:7" x14ac:dyDescent="0.35">
      <c r="A2">
        <v>1</v>
      </c>
      <c r="B2" t="s">
        <v>1335</v>
      </c>
      <c r="C2" t="str">
        <f>VLOOKUP(A2,Hoja3!$A$2:$D$230,4,0)</f>
        <v>ACA</v>
      </c>
      <c r="D2" t="s">
        <v>723</v>
      </c>
      <c r="E2" t="s">
        <v>0</v>
      </c>
      <c r="F2" t="s">
        <v>1134</v>
      </c>
      <c r="G2" t="s">
        <v>0</v>
      </c>
    </row>
    <row r="3" spans="1:7" x14ac:dyDescent="0.35">
      <c r="A3">
        <v>2</v>
      </c>
      <c r="B3" t="s">
        <v>1336</v>
      </c>
      <c r="C3" t="str">
        <f>VLOOKUP(A3,Hoja3!$A$2:$D$230,4,0)</f>
        <v>ACA</v>
      </c>
      <c r="D3" t="s">
        <v>985</v>
      </c>
      <c r="E3" t="s">
        <v>0</v>
      </c>
      <c r="F3" t="s">
        <v>1135</v>
      </c>
      <c r="G3" t="s">
        <v>0</v>
      </c>
    </row>
    <row r="4" spans="1:7" x14ac:dyDescent="0.35">
      <c r="A4">
        <v>3</v>
      </c>
      <c r="B4" t="s">
        <v>1337</v>
      </c>
      <c r="C4" t="str">
        <f>VLOOKUP(A4,Hoja3!$A$2:$D$230,4,0)</f>
        <v>ACA</v>
      </c>
      <c r="D4" t="s">
        <v>986</v>
      </c>
      <c r="E4" t="s">
        <v>0</v>
      </c>
      <c r="F4" t="s">
        <v>1136</v>
      </c>
      <c r="G4" t="s">
        <v>0</v>
      </c>
    </row>
    <row r="5" spans="1:7" x14ac:dyDescent="0.35">
      <c r="A5">
        <v>4</v>
      </c>
      <c r="B5" t="s">
        <v>1399</v>
      </c>
      <c r="C5" t="str">
        <f>VLOOKUP(A5,Hoja3!$A$2:$D$230,4,0)</f>
        <v>ACA</v>
      </c>
      <c r="D5" t="s">
        <v>628</v>
      </c>
      <c r="E5" t="s">
        <v>0</v>
      </c>
      <c r="F5" t="s">
        <v>1137</v>
      </c>
      <c r="G5" t="s">
        <v>0</v>
      </c>
    </row>
    <row r="6" spans="1:7" x14ac:dyDescent="0.35">
      <c r="A6">
        <v>5</v>
      </c>
      <c r="B6" t="s">
        <v>987</v>
      </c>
      <c r="C6" t="str">
        <f>VLOOKUP(A6,Hoja3!$A$2:$D$230,4,0)</f>
        <v>ACA</v>
      </c>
      <c r="D6" t="s">
        <v>987</v>
      </c>
      <c r="E6" t="s">
        <v>0</v>
      </c>
      <c r="F6" t="s">
        <v>1138</v>
      </c>
      <c r="G6" t="s">
        <v>0</v>
      </c>
    </row>
    <row r="7" spans="1:7" x14ac:dyDescent="0.35">
      <c r="A7">
        <v>6</v>
      </c>
      <c r="B7" t="s">
        <v>1338</v>
      </c>
      <c r="C7" t="str">
        <f>VLOOKUP(A7,Hoja3!$A$2:$D$230,4,0)</f>
        <v>ACA</v>
      </c>
      <c r="D7" t="s">
        <v>725</v>
      </c>
      <c r="E7" t="s">
        <v>0</v>
      </c>
      <c r="F7" t="s">
        <v>1139</v>
      </c>
      <c r="G7" t="s">
        <v>0</v>
      </c>
    </row>
    <row r="8" spans="1:7" x14ac:dyDescent="0.35">
      <c r="A8">
        <v>7</v>
      </c>
      <c r="B8" t="s">
        <v>1339</v>
      </c>
      <c r="C8" t="str">
        <f>VLOOKUP(A8,Hoja3!$A$2:$D$230,4,0)</f>
        <v>ACA</v>
      </c>
      <c r="D8" t="s">
        <v>726</v>
      </c>
      <c r="E8" t="s">
        <v>0</v>
      </c>
      <c r="F8" t="s">
        <v>1140</v>
      </c>
      <c r="G8" t="s">
        <v>0</v>
      </c>
    </row>
    <row r="9" spans="1:7" x14ac:dyDescent="0.35">
      <c r="A9">
        <v>8</v>
      </c>
      <c r="B9" t="s">
        <v>1340</v>
      </c>
      <c r="C9" t="str">
        <f>VLOOKUP(A9,Hoja3!$A$2:$D$230,4,0)</f>
        <v>ACA</v>
      </c>
      <c r="D9" t="s">
        <v>988</v>
      </c>
      <c r="E9" t="s">
        <v>0</v>
      </c>
      <c r="F9" t="s">
        <v>1141</v>
      </c>
      <c r="G9" t="s">
        <v>0</v>
      </c>
    </row>
    <row r="10" spans="1:7" x14ac:dyDescent="0.35">
      <c r="A10">
        <v>9</v>
      </c>
      <c r="B10" t="s">
        <v>1341</v>
      </c>
      <c r="C10" t="str">
        <f>VLOOKUP(A10,Hoja3!$A$2:$D$230,4,0)</f>
        <v>ACA</v>
      </c>
      <c r="D10" t="s">
        <v>728</v>
      </c>
      <c r="E10" t="s">
        <v>0</v>
      </c>
      <c r="F10" t="s">
        <v>1142</v>
      </c>
      <c r="G10" t="s">
        <v>0</v>
      </c>
    </row>
    <row r="11" spans="1:7" x14ac:dyDescent="0.35">
      <c r="A11">
        <v>10</v>
      </c>
      <c r="B11" t="s">
        <v>1342</v>
      </c>
      <c r="C11" t="str">
        <f>VLOOKUP(A11,Hoja3!$A$2:$D$230,4,0)</f>
        <v>ACA</v>
      </c>
      <c r="D11" t="s">
        <v>26</v>
      </c>
      <c r="E11" t="s">
        <v>0</v>
      </c>
      <c r="F11" t="s">
        <v>1143</v>
      </c>
      <c r="G11" t="s">
        <v>0</v>
      </c>
    </row>
    <row r="12" spans="1:7" x14ac:dyDescent="0.35">
      <c r="A12">
        <v>11</v>
      </c>
      <c r="B12" t="s">
        <v>1343</v>
      </c>
      <c r="C12" t="str">
        <f>VLOOKUP(A12,Hoja3!$A$2:$D$230,4,0)</f>
        <v>ACA</v>
      </c>
      <c r="D12" t="s">
        <v>989</v>
      </c>
      <c r="E12" t="s">
        <v>0</v>
      </c>
      <c r="F12" t="s">
        <v>1144</v>
      </c>
      <c r="G12" t="s">
        <v>0</v>
      </c>
    </row>
    <row r="13" spans="1:7" x14ac:dyDescent="0.35">
      <c r="A13">
        <v>12</v>
      </c>
      <c r="B13" t="s">
        <v>1344</v>
      </c>
      <c r="C13" t="str">
        <f>VLOOKUP(A13,Hoja3!$A$2:$D$230,4,0)</f>
        <v>ACA</v>
      </c>
      <c r="D13" t="s">
        <v>990</v>
      </c>
      <c r="E13" t="s">
        <v>0</v>
      </c>
      <c r="F13" t="s">
        <v>1145</v>
      </c>
      <c r="G13" t="s">
        <v>0</v>
      </c>
    </row>
    <row r="14" spans="1:7" x14ac:dyDescent="0.35">
      <c r="A14">
        <v>13</v>
      </c>
      <c r="B14" t="s">
        <v>1345</v>
      </c>
      <c r="C14" t="str">
        <f>VLOOKUP(A14,Hoja3!$A$2:$D$230,4,0)</f>
        <v>ACA</v>
      </c>
      <c r="D14" t="s">
        <v>991</v>
      </c>
      <c r="E14" t="s">
        <v>0</v>
      </c>
      <c r="F14" t="s">
        <v>1146</v>
      </c>
      <c r="G14" t="s">
        <v>0</v>
      </c>
    </row>
    <row r="15" spans="1:7" x14ac:dyDescent="0.35">
      <c r="A15">
        <v>14</v>
      </c>
      <c r="B15" t="s">
        <v>629</v>
      </c>
      <c r="C15" t="str">
        <f>VLOOKUP(A15,Hoja3!$A$2:$D$230,4,0)</f>
        <v>ACA</v>
      </c>
      <c r="D15" t="s">
        <v>629</v>
      </c>
      <c r="E15" t="s">
        <v>0</v>
      </c>
      <c r="F15" t="s">
        <v>1147</v>
      </c>
      <c r="G15" t="s">
        <v>0</v>
      </c>
    </row>
    <row r="16" spans="1:7" x14ac:dyDescent="0.35">
      <c r="A16">
        <v>15</v>
      </c>
      <c r="B16" t="s">
        <v>992</v>
      </c>
      <c r="C16" t="str">
        <f>VLOOKUP(A16,Hoja3!$A$2:$D$230,4,0)</f>
        <v>ACA</v>
      </c>
      <c r="D16" t="s">
        <v>992</v>
      </c>
      <c r="E16" t="s">
        <v>0</v>
      </c>
      <c r="F16" t="s">
        <v>1148</v>
      </c>
      <c r="G16" t="s">
        <v>0</v>
      </c>
    </row>
    <row r="17" spans="1:7" x14ac:dyDescent="0.35">
      <c r="A17">
        <v>16</v>
      </c>
      <c r="B17" t="s">
        <v>1346</v>
      </c>
      <c r="C17" t="str">
        <f>VLOOKUP(A17,Hoja3!$A$2:$D$230,4,0)</f>
        <v>EXP</v>
      </c>
      <c r="D17" t="s">
        <v>1346</v>
      </c>
      <c r="E17" t="s">
        <v>11</v>
      </c>
      <c r="F17" t="s">
        <v>1274</v>
      </c>
      <c r="G17" t="s">
        <v>11</v>
      </c>
    </row>
    <row r="18" spans="1:7" x14ac:dyDescent="0.35">
      <c r="A18">
        <v>17</v>
      </c>
      <c r="B18" t="s">
        <v>1347</v>
      </c>
      <c r="C18" t="str">
        <f>VLOOKUP(A18,Hoja3!$A$2:$D$230,4,0)</f>
        <v>EXP</v>
      </c>
      <c r="D18" t="s">
        <v>1369</v>
      </c>
      <c r="E18" t="s">
        <v>11</v>
      </c>
      <c r="F18" t="s">
        <v>1275</v>
      </c>
      <c r="G18" t="s">
        <v>11</v>
      </c>
    </row>
    <row r="19" spans="1:7" x14ac:dyDescent="0.35">
      <c r="A19">
        <v>18</v>
      </c>
      <c r="B19" t="s">
        <v>1348</v>
      </c>
      <c r="C19" t="str">
        <f>VLOOKUP(A19,Hoja3!$A$2:$D$230,4,0)</f>
        <v>EXP</v>
      </c>
      <c r="D19" t="s">
        <v>1348</v>
      </c>
      <c r="E19" t="s">
        <v>11</v>
      </c>
      <c r="F19" t="s">
        <v>1276</v>
      </c>
      <c r="G19" t="s">
        <v>11</v>
      </c>
    </row>
    <row r="20" spans="1:7" x14ac:dyDescent="0.35">
      <c r="A20">
        <v>19</v>
      </c>
      <c r="B20" t="s">
        <v>1349</v>
      </c>
      <c r="C20" t="str">
        <f>VLOOKUP(A20,Hoja3!$A$2:$D$230,4,0)</f>
        <v>ACA</v>
      </c>
      <c r="D20" t="s">
        <v>1441</v>
      </c>
      <c r="E20" t="s">
        <v>0</v>
      </c>
      <c r="F20" t="s">
        <v>1149</v>
      </c>
      <c r="G20" t="s">
        <v>0</v>
      </c>
    </row>
    <row r="21" spans="1:7" x14ac:dyDescent="0.35">
      <c r="A21">
        <v>20</v>
      </c>
      <c r="B21" t="s">
        <v>1400</v>
      </c>
      <c r="C21" t="str">
        <f>VLOOKUP(A21,Hoja3!$A$2:$D$230,4,0)</f>
        <v>ACA</v>
      </c>
      <c r="D21" t="s">
        <v>1442</v>
      </c>
      <c r="E21" t="s">
        <v>0</v>
      </c>
      <c r="F21" t="s">
        <v>1150</v>
      </c>
      <c r="G21" t="s">
        <v>0</v>
      </c>
    </row>
    <row r="22" spans="1:7" x14ac:dyDescent="0.35">
      <c r="A22">
        <v>21</v>
      </c>
      <c r="B22" t="s">
        <v>1346</v>
      </c>
      <c r="C22" t="str">
        <f>VLOOKUP(A22,Hoja3!$A$2:$D$230,4,0)</f>
        <v>EXP</v>
      </c>
      <c r="D22" t="s">
        <v>1346</v>
      </c>
      <c r="E22" t="s">
        <v>11</v>
      </c>
      <c r="F22" t="s">
        <v>1277</v>
      </c>
      <c r="G22" t="s">
        <v>11</v>
      </c>
    </row>
    <row r="23" spans="1:7" x14ac:dyDescent="0.35">
      <c r="A23">
        <v>22</v>
      </c>
      <c r="B23" t="s">
        <v>1347</v>
      </c>
      <c r="C23" t="str">
        <f>VLOOKUP(A23,Hoja3!$A$2:$D$230,4,0)</f>
        <v>EXP</v>
      </c>
      <c r="D23" t="s">
        <v>1369</v>
      </c>
      <c r="E23" t="s">
        <v>11</v>
      </c>
      <c r="F23" t="s">
        <v>1278</v>
      </c>
      <c r="G23" t="s">
        <v>11</v>
      </c>
    </row>
    <row r="24" spans="1:7" x14ac:dyDescent="0.35">
      <c r="A24">
        <v>23</v>
      </c>
      <c r="B24" t="s">
        <v>1348</v>
      </c>
      <c r="C24" t="str">
        <f>VLOOKUP(A24,Hoja3!$A$2:$D$230,4,0)</f>
        <v>EXP</v>
      </c>
      <c r="D24" t="s">
        <v>1348</v>
      </c>
      <c r="E24" t="s">
        <v>11</v>
      </c>
      <c r="F24" t="s">
        <v>1279</v>
      </c>
      <c r="G24" t="s">
        <v>11</v>
      </c>
    </row>
    <row r="25" spans="1:7" x14ac:dyDescent="0.35">
      <c r="A25">
        <v>24</v>
      </c>
      <c r="B25" t="s">
        <v>996</v>
      </c>
      <c r="C25" t="str">
        <f>VLOOKUP(A25,Hoja3!$A$2:$D$230,4,0)</f>
        <v>COM</v>
      </c>
      <c r="D25" t="s">
        <v>996</v>
      </c>
      <c r="E25" t="s">
        <v>1429</v>
      </c>
      <c r="F25" t="s">
        <v>1240</v>
      </c>
      <c r="G25" t="s">
        <v>1429</v>
      </c>
    </row>
    <row r="26" spans="1:7" x14ac:dyDescent="0.35">
      <c r="A26">
        <v>25</v>
      </c>
      <c r="B26" t="s">
        <v>1350</v>
      </c>
      <c r="C26" t="str">
        <f>VLOOKUP(A26,Hoja3!$A$2:$D$230,4,0)</f>
        <v>COM</v>
      </c>
      <c r="D26" t="s">
        <v>1350</v>
      </c>
      <c r="E26" t="s">
        <v>1429</v>
      </c>
      <c r="F26" t="s">
        <v>1241</v>
      </c>
      <c r="G26" t="s">
        <v>1429</v>
      </c>
    </row>
    <row r="27" spans="1:7" x14ac:dyDescent="0.35">
      <c r="A27">
        <v>26</v>
      </c>
      <c r="B27" t="s">
        <v>996</v>
      </c>
      <c r="C27" t="str">
        <f>VLOOKUP(A27,Hoja3!$A$2:$D$230,4,0)</f>
        <v>COM</v>
      </c>
      <c r="D27" t="s">
        <v>996</v>
      </c>
      <c r="E27" t="s">
        <v>1429</v>
      </c>
      <c r="F27" t="s">
        <v>1242</v>
      </c>
      <c r="G27" t="s">
        <v>1429</v>
      </c>
    </row>
    <row r="28" spans="1:7" x14ac:dyDescent="0.35">
      <c r="A28">
        <v>27</v>
      </c>
      <c r="B28" t="s">
        <v>1351</v>
      </c>
      <c r="C28" t="str">
        <f>VLOOKUP(A28,Hoja3!$A$2:$D$230,4,0)</f>
        <v>COM</v>
      </c>
      <c r="D28" t="s">
        <v>1350</v>
      </c>
      <c r="E28" t="s">
        <v>1429</v>
      </c>
      <c r="F28" t="s">
        <v>1243</v>
      </c>
      <c r="G28" t="s">
        <v>1429</v>
      </c>
    </row>
    <row r="29" spans="1:7" x14ac:dyDescent="0.35">
      <c r="A29">
        <v>28</v>
      </c>
      <c r="B29" t="s">
        <v>1352</v>
      </c>
      <c r="C29" t="str">
        <f>VLOOKUP(A29,Hoja3!$A$2:$D$230,4,0)</f>
        <v>FAB</v>
      </c>
      <c r="D29" t="s">
        <v>741</v>
      </c>
      <c r="E29" t="s">
        <v>13</v>
      </c>
      <c r="F29" t="s">
        <v>1326</v>
      </c>
      <c r="G29" t="s">
        <v>13</v>
      </c>
    </row>
    <row r="30" spans="1:7" x14ac:dyDescent="0.35">
      <c r="A30">
        <v>29</v>
      </c>
      <c r="B30" t="s">
        <v>1353</v>
      </c>
      <c r="C30" t="str">
        <f>VLOOKUP(A30,Hoja3!$A$2:$D$230,4,0)</f>
        <v>FAB</v>
      </c>
      <c r="D30" t="s">
        <v>731</v>
      </c>
      <c r="E30" t="s">
        <v>13</v>
      </c>
      <c r="F30" t="s">
        <v>1588</v>
      </c>
      <c r="G30" t="s">
        <v>13</v>
      </c>
    </row>
    <row r="31" spans="1:7" x14ac:dyDescent="0.35">
      <c r="A31">
        <v>30</v>
      </c>
      <c r="B31" t="s">
        <v>1354</v>
      </c>
      <c r="C31" t="str">
        <f>VLOOKUP(A31,Hoja3!$A$2:$D$230,4,0)</f>
        <v>PLF</v>
      </c>
      <c r="D31" t="s">
        <v>732</v>
      </c>
      <c r="E31" t="s">
        <v>275</v>
      </c>
      <c r="F31" t="s">
        <v>1255</v>
      </c>
      <c r="G31" t="s">
        <v>275</v>
      </c>
    </row>
    <row r="32" spans="1:7" x14ac:dyDescent="0.35">
      <c r="A32">
        <v>31</v>
      </c>
      <c r="B32" t="s">
        <v>1355</v>
      </c>
      <c r="C32" t="str">
        <f>VLOOKUP(A32,Hoja3!$A$2:$D$230,4,0)</f>
        <v>PLF</v>
      </c>
      <c r="D32" t="s">
        <v>1443</v>
      </c>
      <c r="E32" t="s">
        <v>275</v>
      </c>
      <c r="F32" t="s">
        <v>1256</v>
      </c>
      <c r="G32" t="s">
        <v>275</v>
      </c>
    </row>
    <row r="33" spans="1:7" x14ac:dyDescent="0.35">
      <c r="A33">
        <v>32</v>
      </c>
      <c r="B33" t="s">
        <v>997</v>
      </c>
      <c r="C33" t="str">
        <f>VLOOKUP(A33,Hoja3!$A$2:$D$230,4,0)</f>
        <v>ACA</v>
      </c>
      <c r="D33" t="s">
        <v>1444</v>
      </c>
      <c r="E33" t="s">
        <v>0</v>
      </c>
      <c r="F33" t="s">
        <v>1151</v>
      </c>
      <c r="G33" t="s">
        <v>0</v>
      </c>
    </row>
    <row r="34" spans="1:7" x14ac:dyDescent="0.35">
      <c r="A34">
        <v>33</v>
      </c>
      <c r="B34" t="s">
        <v>1401</v>
      </c>
      <c r="C34" t="str">
        <f>VLOOKUP(A34,Hoja3!$A$2:$D$230,4,0)</f>
        <v>ACA</v>
      </c>
      <c r="D34" t="s">
        <v>1445</v>
      </c>
      <c r="E34" t="s">
        <v>0</v>
      </c>
      <c r="F34" t="s">
        <v>1152</v>
      </c>
      <c r="G34" t="s">
        <v>0</v>
      </c>
    </row>
    <row r="35" spans="1:7" x14ac:dyDescent="0.35">
      <c r="A35">
        <v>34</v>
      </c>
      <c r="B35" t="s">
        <v>1402</v>
      </c>
      <c r="C35" t="str">
        <f>VLOOKUP(A35,Hoja3!$A$2:$D$230,4,0)</f>
        <v>IMP</v>
      </c>
      <c r="D35" t="s">
        <v>1446</v>
      </c>
      <c r="E35" t="s">
        <v>1</v>
      </c>
      <c r="F35" t="s">
        <v>1164</v>
      </c>
      <c r="G35" t="s">
        <v>1</v>
      </c>
    </row>
    <row r="36" spans="1:7" x14ac:dyDescent="0.35">
      <c r="A36">
        <v>35</v>
      </c>
      <c r="B36" t="s">
        <v>1356</v>
      </c>
      <c r="C36" t="str">
        <f>VLOOKUP(A36,Hoja3!$A$2:$D$230,4,0)</f>
        <v>SOS</v>
      </c>
      <c r="D36" t="s">
        <v>1447</v>
      </c>
      <c r="E36" t="s">
        <v>2</v>
      </c>
      <c r="F36" t="s">
        <v>1176</v>
      </c>
      <c r="G36" t="s">
        <v>2</v>
      </c>
    </row>
    <row r="37" spans="1:7" x14ac:dyDescent="0.35">
      <c r="A37">
        <v>36</v>
      </c>
      <c r="B37" t="s">
        <v>1403</v>
      </c>
      <c r="C37" t="str">
        <f>VLOOKUP(A37,Hoja3!$A$2:$D$230,4,0)</f>
        <v>IMP</v>
      </c>
      <c r="D37" t="s">
        <v>1403</v>
      </c>
      <c r="E37" t="s">
        <v>1</v>
      </c>
      <c r="F37" t="s">
        <v>1165</v>
      </c>
      <c r="G37" t="s">
        <v>1</v>
      </c>
    </row>
    <row r="38" spans="1:7" x14ac:dyDescent="0.35">
      <c r="A38">
        <v>37</v>
      </c>
      <c r="B38" t="s">
        <v>1404</v>
      </c>
      <c r="C38" t="str">
        <f>VLOOKUP(A38,Hoja3!$A$2:$D$230,4,0)</f>
        <v>EMP</v>
      </c>
      <c r="D38" t="s">
        <v>1448</v>
      </c>
      <c r="E38" t="s">
        <v>14</v>
      </c>
      <c r="F38" t="s">
        <v>1327</v>
      </c>
      <c r="G38" t="s">
        <v>14</v>
      </c>
    </row>
    <row r="39" spans="1:7" x14ac:dyDescent="0.35">
      <c r="A39">
        <v>38</v>
      </c>
      <c r="B39" t="s">
        <v>1405</v>
      </c>
      <c r="C39" t="str">
        <f>VLOOKUP(A39,Hoja3!$A$2:$D$230,4,0)</f>
        <v>EMP</v>
      </c>
      <c r="D39" t="s">
        <v>1405</v>
      </c>
      <c r="E39" t="s">
        <v>14</v>
      </c>
      <c r="F39" t="s">
        <v>1328</v>
      </c>
      <c r="G39" t="s">
        <v>14</v>
      </c>
    </row>
    <row r="40" spans="1:7" x14ac:dyDescent="0.35">
      <c r="A40">
        <v>39</v>
      </c>
      <c r="B40" t="s">
        <v>1406</v>
      </c>
      <c r="C40" t="str">
        <f>VLOOKUP(A40,Hoja3!$A$2:$D$230,4,0)</f>
        <v>EXP</v>
      </c>
      <c r="D40" t="s">
        <v>1406</v>
      </c>
      <c r="E40" t="s">
        <v>11</v>
      </c>
      <c r="F40" t="s">
        <v>1280</v>
      </c>
      <c r="G40" t="s">
        <v>11</v>
      </c>
    </row>
    <row r="41" spans="1:7" x14ac:dyDescent="0.35">
      <c r="A41">
        <v>40</v>
      </c>
      <c r="B41" t="s">
        <v>1407</v>
      </c>
      <c r="C41" t="str">
        <f>VLOOKUP(A41,Hoja3!$A$2:$D$230,4,0)</f>
        <v>SOS</v>
      </c>
      <c r="D41" t="s">
        <v>1407</v>
      </c>
      <c r="E41" t="s">
        <v>2</v>
      </c>
      <c r="F41" t="s">
        <v>1177</v>
      </c>
      <c r="G41" t="s">
        <v>2</v>
      </c>
    </row>
    <row r="42" spans="1:7" x14ac:dyDescent="0.35">
      <c r="A42">
        <v>41</v>
      </c>
      <c r="B42" t="s">
        <v>1408</v>
      </c>
      <c r="C42" t="str">
        <f>VLOOKUP(A42,Hoja3!$A$2:$D$230,4,0)</f>
        <v>PLF</v>
      </c>
      <c r="D42" t="s">
        <v>1449</v>
      </c>
      <c r="E42" t="s">
        <v>275</v>
      </c>
      <c r="F42" t="s">
        <v>1257</v>
      </c>
      <c r="G42" t="s">
        <v>275</v>
      </c>
    </row>
    <row r="43" spans="1:7" x14ac:dyDescent="0.35">
      <c r="A43">
        <v>42</v>
      </c>
      <c r="B43" t="s">
        <v>1409</v>
      </c>
      <c r="C43" t="str">
        <f>VLOOKUP(A43,Hoja3!$A$2:$D$230,4,0)</f>
        <v>ACA</v>
      </c>
      <c r="D43" t="s">
        <v>1450</v>
      </c>
      <c r="E43" t="s">
        <v>0</v>
      </c>
      <c r="F43" t="s">
        <v>1153</v>
      </c>
      <c r="G43" t="s">
        <v>0</v>
      </c>
    </row>
    <row r="44" spans="1:7" x14ac:dyDescent="0.35">
      <c r="A44">
        <v>43</v>
      </c>
      <c r="B44" t="s">
        <v>1410</v>
      </c>
      <c r="C44" t="str">
        <f>VLOOKUP(A44,Hoja3!$A$2:$D$230,4,0)</f>
        <v>INT</v>
      </c>
      <c r="D44" t="s">
        <v>1451</v>
      </c>
      <c r="E44" t="s">
        <v>4</v>
      </c>
      <c r="F44" t="s">
        <v>409</v>
      </c>
      <c r="G44" t="s">
        <v>4</v>
      </c>
    </row>
    <row r="45" spans="1:7" x14ac:dyDescent="0.35">
      <c r="A45">
        <v>44</v>
      </c>
      <c r="B45" t="s">
        <v>1411</v>
      </c>
      <c r="C45" t="str">
        <f>VLOOKUP(A45,Hoja3!$A$2:$D$230,4,0)</f>
        <v>EMP</v>
      </c>
      <c r="D45" t="s">
        <v>1452</v>
      </c>
      <c r="E45" t="s">
        <v>14</v>
      </c>
      <c r="F45" t="s">
        <v>1329</v>
      </c>
      <c r="G45" t="s">
        <v>14</v>
      </c>
    </row>
    <row r="46" spans="1:7" x14ac:dyDescent="0.35">
      <c r="A46">
        <v>45</v>
      </c>
      <c r="B46" t="s">
        <v>1412</v>
      </c>
      <c r="C46" t="str">
        <f>VLOOKUP(A46,Hoja3!$A$2:$D$230,4,0)</f>
        <v>INSTI</v>
      </c>
      <c r="D46" t="s">
        <v>1453</v>
      </c>
      <c r="E46" t="s">
        <v>15</v>
      </c>
      <c r="F46" t="s">
        <v>1332</v>
      </c>
      <c r="G46" t="s">
        <v>15</v>
      </c>
    </row>
    <row r="47" spans="1:7" x14ac:dyDescent="0.35">
      <c r="A47">
        <v>46</v>
      </c>
      <c r="B47" t="s">
        <v>1357</v>
      </c>
      <c r="C47" t="str">
        <f>VLOOKUP(A47,Hoja3!$A$2:$D$230,4,0)</f>
        <v>IMP</v>
      </c>
      <c r="D47" t="s">
        <v>1454</v>
      </c>
      <c r="E47" t="s">
        <v>1</v>
      </c>
      <c r="F47" t="s">
        <v>1166</v>
      </c>
      <c r="G47" t="s">
        <v>1</v>
      </c>
    </row>
    <row r="48" spans="1:7" x14ac:dyDescent="0.35">
      <c r="A48">
        <v>47</v>
      </c>
      <c r="B48" t="s">
        <v>1007</v>
      </c>
      <c r="C48" t="str">
        <f>VLOOKUP(A48,Hoja3!$A$2:$D$230,4,0)</f>
        <v>SOS</v>
      </c>
      <c r="D48" t="s">
        <v>1455</v>
      </c>
      <c r="E48" t="s">
        <v>2</v>
      </c>
      <c r="F48" t="s">
        <v>1178</v>
      </c>
      <c r="G48" t="s">
        <v>2</v>
      </c>
    </row>
    <row r="49" spans="1:7" x14ac:dyDescent="0.35">
      <c r="A49">
        <v>48</v>
      </c>
      <c r="B49" t="s">
        <v>1413</v>
      </c>
      <c r="C49" t="str">
        <f>VLOOKUP(A49,Hoja3!$A$2:$D$230,4,0)</f>
        <v>SOS</v>
      </c>
      <c r="D49" t="s">
        <v>1456</v>
      </c>
      <c r="E49" t="s">
        <v>2</v>
      </c>
      <c r="F49" t="s">
        <v>1589</v>
      </c>
      <c r="G49" t="s">
        <v>2</v>
      </c>
    </row>
    <row r="50" spans="1:7" x14ac:dyDescent="0.35">
      <c r="A50">
        <v>49</v>
      </c>
      <c r="B50" t="s">
        <v>708</v>
      </c>
      <c r="C50" t="str">
        <f>VLOOKUP(A50,Hoja3!$A$2:$D$230,4,0)</f>
        <v>INSTI</v>
      </c>
      <c r="D50" t="s">
        <v>708</v>
      </c>
      <c r="E50" t="s">
        <v>15</v>
      </c>
      <c r="F50" t="s">
        <v>1333</v>
      </c>
      <c r="G50" t="s">
        <v>15</v>
      </c>
    </row>
    <row r="51" spans="1:7" x14ac:dyDescent="0.35">
      <c r="A51">
        <v>50</v>
      </c>
      <c r="B51" t="s">
        <v>1414</v>
      </c>
      <c r="C51" t="str">
        <f>VLOOKUP(A51,Hoja3!$A$2:$D$230,4,0)</f>
        <v>SOS</v>
      </c>
      <c r="D51" t="s">
        <v>1457</v>
      </c>
      <c r="E51" t="s">
        <v>2</v>
      </c>
      <c r="F51" t="s">
        <v>1590</v>
      </c>
      <c r="G51" t="s">
        <v>2</v>
      </c>
    </row>
    <row r="52" spans="1:7" x14ac:dyDescent="0.35">
      <c r="A52">
        <v>51</v>
      </c>
      <c r="B52" t="s">
        <v>1009</v>
      </c>
      <c r="C52" t="str">
        <f>VLOOKUP(A52,Hoja3!$A$2:$D$230,4,0)</f>
        <v>BIB</v>
      </c>
      <c r="D52" t="s">
        <v>1458</v>
      </c>
      <c r="E52" t="s">
        <v>3</v>
      </c>
      <c r="F52" t="s">
        <v>1179</v>
      </c>
      <c r="G52" t="s">
        <v>3</v>
      </c>
    </row>
    <row r="53" spans="1:7" x14ac:dyDescent="0.35">
      <c r="A53">
        <v>52</v>
      </c>
      <c r="B53" t="s">
        <v>44</v>
      </c>
      <c r="C53" t="str">
        <f>VLOOKUP(A53,Hoja3!$A$2:$D$230,4,0)</f>
        <v>BIB</v>
      </c>
      <c r="D53" t="s">
        <v>44</v>
      </c>
      <c r="E53" t="s">
        <v>3</v>
      </c>
      <c r="F53" t="s">
        <v>1180</v>
      </c>
      <c r="G53" t="s">
        <v>3</v>
      </c>
    </row>
    <row r="54" spans="1:7" x14ac:dyDescent="0.35">
      <c r="A54">
        <v>53</v>
      </c>
      <c r="B54" t="s">
        <v>49</v>
      </c>
      <c r="C54" t="str">
        <f>VLOOKUP(A54,Hoja3!$A$2:$D$230,4,0)</f>
        <v>BIB</v>
      </c>
      <c r="D54" t="s">
        <v>1459</v>
      </c>
      <c r="E54" t="s">
        <v>3</v>
      </c>
      <c r="F54" t="s">
        <v>1181</v>
      </c>
      <c r="G54" t="s">
        <v>3</v>
      </c>
    </row>
    <row r="55" spans="1:7" x14ac:dyDescent="0.35">
      <c r="A55">
        <v>54</v>
      </c>
      <c r="B55" t="s">
        <v>45</v>
      </c>
      <c r="C55" t="str">
        <f>VLOOKUP(A55,Hoja3!$A$2:$D$230,4,0)</f>
        <v>BIB</v>
      </c>
      <c r="D55" t="s">
        <v>45</v>
      </c>
      <c r="E55" t="s">
        <v>3</v>
      </c>
      <c r="F55" t="s">
        <v>1182</v>
      </c>
      <c r="G55" t="s">
        <v>3</v>
      </c>
    </row>
    <row r="56" spans="1:7" x14ac:dyDescent="0.35">
      <c r="A56">
        <v>55</v>
      </c>
      <c r="B56" t="s">
        <v>48</v>
      </c>
      <c r="C56" t="str">
        <f>VLOOKUP(A56,Hoja3!$A$2:$D$230,4,0)</f>
        <v>BIB</v>
      </c>
      <c r="D56" t="s">
        <v>48</v>
      </c>
      <c r="E56" t="s">
        <v>3</v>
      </c>
      <c r="F56" t="s">
        <v>1183</v>
      </c>
      <c r="G56" t="s">
        <v>3</v>
      </c>
    </row>
    <row r="57" spans="1:7" x14ac:dyDescent="0.35">
      <c r="A57">
        <v>56</v>
      </c>
      <c r="B57" t="s">
        <v>47</v>
      </c>
      <c r="C57" t="str">
        <f>VLOOKUP(A57,Hoja3!$A$2:$D$230,4,0)</f>
        <v>BIB</v>
      </c>
      <c r="D57" t="s">
        <v>47</v>
      </c>
      <c r="E57" t="s">
        <v>3</v>
      </c>
      <c r="F57" t="s">
        <v>1184</v>
      </c>
      <c r="G57" t="s">
        <v>3</v>
      </c>
    </row>
    <row r="58" spans="1:7" x14ac:dyDescent="0.35">
      <c r="A58">
        <v>57</v>
      </c>
      <c r="B58" t="s">
        <v>46</v>
      </c>
      <c r="C58" t="str">
        <f>VLOOKUP(A58,Hoja3!$A$2:$D$230,4,0)</f>
        <v>BIB</v>
      </c>
      <c r="D58" t="s">
        <v>1460</v>
      </c>
      <c r="E58" t="s">
        <v>3</v>
      </c>
      <c r="F58" t="s">
        <v>1185</v>
      </c>
      <c r="G58" t="s">
        <v>3</v>
      </c>
    </row>
    <row r="59" spans="1:7" x14ac:dyDescent="0.35">
      <c r="A59">
        <v>58</v>
      </c>
      <c r="B59" t="s">
        <v>1010</v>
      </c>
      <c r="C59" t="str">
        <f>VLOOKUP(A59,Hoja3!$A$2:$D$230,4,0)</f>
        <v>BIB</v>
      </c>
      <c r="D59" t="s">
        <v>1461</v>
      </c>
      <c r="E59" t="s">
        <v>3</v>
      </c>
      <c r="F59" t="s">
        <v>1186</v>
      </c>
      <c r="G59" t="s">
        <v>3</v>
      </c>
    </row>
    <row r="60" spans="1:7" x14ac:dyDescent="0.35">
      <c r="A60">
        <v>59</v>
      </c>
      <c r="B60" t="s">
        <v>1011</v>
      </c>
      <c r="C60" t="str">
        <f>VLOOKUP(A60,Hoja3!$A$2:$D$230,4,0)</f>
        <v>BIB</v>
      </c>
      <c r="D60" t="s">
        <v>1462</v>
      </c>
      <c r="E60" t="s">
        <v>3</v>
      </c>
      <c r="F60" t="s">
        <v>1188</v>
      </c>
      <c r="G60" t="s">
        <v>3</v>
      </c>
    </row>
    <row r="61" spans="1:7" x14ac:dyDescent="0.35">
      <c r="A61">
        <v>60</v>
      </c>
      <c r="B61" t="s">
        <v>1346</v>
      </c>
      <c r="C61" t="str">
        <f>VLOOKUP(A61,Hoja3!$A$2:$D$230,4,0)</f>
        <v>BIB</v>
      </c>
      <c r="D61" t="s">
        <v>1346</v>
      </c>
      <c r="E61" t="s">
        <v>3</v>
      </c>
      <c r="F61" t="s">
        <v>1189</v>
      </c>
      <c r="G61" t="s">
        <v>3</v>
      </c>
    </row>
    <row r="62" spans="1:7" x14ac:dyDescent="0.35">
      <c r="A62">
        <v>61</v>
      </c>
      <c r="B62" t="s">
        <v>1358</v>
      </c>
      <c r="C62" t="str">
        <f>VLOOKUP(A62,Hoja3!$A$2:$D$230,4,0)</f>
        <v>BIB</v>
      </c>
      <c r="D62" t="s">
        <v>1463</v>
      </c>
      <c r="E62" t="s">
        <v>3</v>
      </c>
      <c r="F62" t="s">
        <v>1190</v>
      </c>
      <c r="G62" t="s">
        <v>3</v>
      </c>
    </row>
    <row r="63" spans="1:7" x14ac:dyDescent="0.35">
      <c r="A63">
        <v>62</v>
      </c>
      <c r="B63" t="s">
        <v>1012</v>
      </c>
      <c r="C63" t="str">
        <f>VLOOKUP(A63,Hoja3!$A$2:$D$230,4,0)</f>
        <v>BIB</v>
      </c>
      <c r="D63" t="s">
        <v>1464</v>
      </c>
      <c r="E63" t="s">
        <v>3</v>
      </c>
      <c r="F63" t="s">
        <v>1191</v>
      </c>
      <c r="G63" t="s">
        <v>3</v>
      </c>
    </row>
    <row r="64" spans="1:7" x14ac:dyDescent="0.35">
      <c r="A64">
        <v>63</v>
      </c>
      <c r="B64" t="s">
        <v>1359</v>
      </c>
      <c r="C64" t="str">
        <f>VLOOKUP(A64,Hoja3!$A$2:$D$230,4,0)</f>
        <v>BIB</v>
      </c>
      <c r="D64" t="s">
        <v>1465</v>
      </c>
      <c r="E64" t="s">
        <v>3</v>
      </c>
      <c r="F64" t="s">
        <v>1591</v>
      </c>
      <c r="G64" t="s">
        <v>3</v>
      </c>
    </row>
    <row r="65" spans="1:7" x14ac:dyDescent="0.35">
      <c r="A65">
        <v>64</v>
      </c>
      <c r="B65" t="s">
        <v>637</v>
      </c>
      <c r="C65" t="str">
        <f>VLOOKUP(A65,Hoja3!$A$2:$D$230,4,0)</f>
        <v>INT</v>
      </c>
      <c r="D65" t="s">
        <v>637</v>
      </c>
      <c r="E65" t="s">
        <v>4</v>
      </c>
      <c r="F65" t="s">
        <v>410</v>
      </c>
      <c r="G65" t="s">
        <v>4</v>
      </c>
    </row>
    <row r="66" spans="1:7" x14ac:dyDescent="0.35">
      <c r="A66">
        <v>65</v>
      </c>
      <c r="B66" t="s">
        <v>497</v>
      </c>
      <c r="C66" t="str">
        <f>VLOOKUP(A66,Hoja3!$A$2:$D$230,4,0)</f>
        <v>INT</v>
      </c>
      <c r="D66" t="s">
        <v>1466</v>
      </c>
      <c r="E66" t="s">
        <v>4</v>
      </c>
      <c r="F66" t="s">
        <v>411</v>
      </c>
      <c r="G66" t="s">
        <v>4</v>
      </c>
    </row>
    <row r="67" spans="1:7" x14ac:dyDescent="0.35">
      <c r="A67">
        <v>66</v>
      </c>
      <c r="B67" t="s">
        <v>1360</v>
      </c>
      <c r="C67" t="str">
        <f>VLOOKUP(A67,Hoja3!$A$2:$D$230,4,0)</f>
        <v>INT</v>
      </c>
      <c r="D67" t="s">
        <v>1467</v>
      </c>
      <c r="E67" t="s">
        <v>4</v>
      </c>
      <c r="F67" t="s">
        <v>412</v>
      </c>
      <c r="G67" t="s">
        <v>4</v>
      </c>
    </row>
    <row r="68" spans="1:7" x14ac:dyDescent="0.35">
      <c r="A68">
        <v>67</v>
      </c>
      <c r="B68" t="s">
        <v>1014</v>
      </c>
      <c r="C68" t="str">
        <f>VLOOKUP(A68,Hoja3!$A$2:$D$230,4,0)</f>
        <v>INT</v>
      </c>
      <c r="D68" t="s">
        <v>1014</v>
      </c>
      <c r="E68" t="s">
        <v>4</v>
      </c>
      <c r="F68" t="s">
        <v>609</v>
      </c>
      <c r="G68" t="s">
        <v>4</v>
      </c>
    </row>
    <row r="69" spans="1:7" x14ac:dyDescent="0.35">
      <c r="A69">
        <v>68</v>
      </c>
      <c r="B69" t="s">
        <v>1015</v>
      </c>
      <c r="C69" t="str">
        <f>VLOOKUP(A69,Hoja3!$A$2:$D$230,4,0)</f>
        <v>INT</v>
      </c>
      <c r="D69" t="s">
        <v>1468</v>
      </c>
      <c r="E69" t="s">
        <v>4</v>
      </c>
      <c r="F69" t="s">
        <v>610</v>
      </c>
      <c r="G69" t="s">
        <v>4</v>
      </c>
    </row>
    <row r="70" spans="1:7" x14ac:dyDescent="0.35">
      <c r="A70">
        <v>69</v>
      </c>
      <c r="B70" t="s">
        <v>491</v>
      </c>
      <c r="C70" t="str">
        <f>VLOOKUP(A70,Hoja3!$A$2:$D$230,4,0)</f>
        <v>INT</v>
      </c>
      <c r="D70" t="s">
        <v>491</v>
      </c>
      <c r="E70" t="s">
        <v>4</v>
      </c>
      <c r="F70" t="s">
        <v>611</v>
      </c>
      <c r="G70" t="s">
        <v>4</v>
      </c>
    </row>
    <row r="71" spans="1:7" x14ac:dyDescent="0.35">
      <c r="A71">
        <v>70</v>
      </c>
      <c r="B71" t="s">
        <v>492</v>
      </c>
      <c r="C71" t="str">
        <f>VLOOKUP(A71,Hoja3!$A$2:$D$230,4,0)</f>
        <v>INT</v>
      </c>
      <c r="D71" t="s">
        <v>492</v>
      </c>
      <c r="E71" t="s">
        <v>4</v>
      </c>
      <c r="F71" t="s">
        <v>612</v>
      </c>
      <c r="G71" t="s">
        <v>4</v>
      </c>
    </row>
    <row r="72" spans="1:7" x14ac:dyDescent="0.35">
      <c r="A72">
        <v>71</v>
      </c>
      <c r="B72" t="s">
        <v>499</v>
      </c>
      <c r="C72" t="str">
        <f>VLOOKUP(A72,Hoja3!$A$2:$D$230,4,0)</f>
        <v>INT</v>
      </c>
      <c r="D72" t="s">
        <v>499</v>
      </c>
      <c r="E72" t="s">
        <v>4</v>
      </c>
      <c r="F72" t="s">
        <v>613</v>
      </c>
      <c r="G72" t="s">
        <v>4</v>
      </c>
    </row>
    <row r="73" spans="1:7" x14ac:dyDescent="0.35">
      <c r="A73">
        <v>72</v>
      </c>
      <c r="B73" t="s">
        <v>500</v>
      </c>
      <c r="C73" t="str">
        <f>VLOOKUP(A73,Hoja3!$A$2:$D$230,4,0)</f>
        <v>INT</v>
      </c>
      <c r="D73" t="s">
        <v>1469</v>
      </c>
      <c r="E73" t="s">
        <v>4</v>
      </c>
      <c r="F73" t="s">
        <v>614</v>
      </c>
      <c r="G73" t="s">
        <v>4</v>
      </c>
    </row>
    <row r="74" spans="1:7" x14ac:dyDescent="0.35">
      <c r="A74">
        <v>73</v>
      </c>
      <c r="B74" t="s">
        <v>1415</v>
      </c>
      <c r="C74" t="str">
        <f>VLOOKUP(A74,Hoja3!$A$2:$D$230,4,0)</f>
        <v>INT</v>
      </c>
      <c r="D74" t="s">
        <v>1470</v>
      </c>
      <c r="E74" t="s">
        <v>4</v>
      </c>
      <c r="F74" t="s">
        <v>615</v>
      </c>
      <c r="G74" t="s">
        <v>4</v>
      </c>
    </row>
    <row r="75" spans="1:7" x14ac:dyDescent="0.35">
      <c r="A75">
        <v>74</v>
      </c>
      <c r="B75" t="s">
        <v>1416</v>
      </c>
      <c r="C75" t="str">
        <f>VLOOKUP(A75,Hoja3!$A$2:$D$230,4,0)</f>
        <v>INT</v>
      </c>
      <c r="D75" t="s">
        <v>1471</v>
      </c>
      <c r="E75" t="s">
        <v>4</v>
      </c>
      <c r="F75" t="s">
        <v>616</v>
      </c>
      <c r="G75" t="s">
        <v>4</v>
      </c>
    </row>
    <row r="76" spans="1:7" x14ac:dyDescent="0.35">
      <c r="A76">
        <v>75</v>
      </c>
      <c r="B76" t="s">
        <v>503</v>
      </c>
      <c r="C76" t="str">
        <f>VLOOKUP(A76,Hoja3!$A$2:$D$230,4,0)</f>
        <v>INT</v>
      </c>
      <c r="D76" t="s">
        <v>1472</v>
      </c>
      <c r="E76" t="s">
        <v>4</v>
      </c>
      <c r="F76" t="s">
        <v>617</v>
      </c>
      <c r="G76" t="s">
        <v>4</v>
      </c>
    </row>
    <row r="77" spans="1:7" x14ac:dyDescent="0.35">
      <c r="A77">
        <v>76</v>
      </c>
      <c r="B77" t="s">
        <v>1361</v>
      </c>
      <c r="C77" t="str">
        <f>VLOOKUP(A77,Hoja3!$A$2:$D$230,4,0)</f>
        <v>FIN</v>
      </c>
      <c r="D77" t="s">
        <v>1361</v>
      </c>
      <c r="E77" t="s">
        <v>1428</v>
      </c>
      <c r="F77" t="s">
        <v>1225</v>
      </c>
      <c r="G77" t="s">
        <v>1428</v>
      </c>
    </row>
    <row r="78" spans="1:7" x14ac:dyDescent="0.35">
      <c r="A78">
        <v>77</v>
      </c>
      <c r="B78" t="s">
        <v>1362</v>
      </c>
      <c r="C78" t="str">
        <f>VLOOKUP(A78,Hoja3!$A$2:$D$230,4,0)</f>
        <v>FIN</v>
      </c>
      <c r="D78" t="s">
        <v>1473</v>
      </c>
      <c r="E78" t="s">
        <v>1428</v>
      </c>
      <c r="F78" t="s">
        <v>1226</v>
      </c>
      <c r="G78" t="s">
        <v>1428</v>
      </c>
    </row>
    <row r="79" spans="1:7" x14ac:dyDescent="0.35">
      <c r="A79">
        <v>78</v>
      </c>
      <c r="B79" t="s">
        <v>1363</v>
      </c>
      <c r="C79" t="str">
        <f>VLOOKUP(A79,Hoja3!$A$2:$D$230,4,0)</f>
        <v>FIN</v>
      </c>
      <c r="D79" t="s">
        <v>1021</v>
      </c>
      <c r="E79" t="s">
        <v>1428</v>
      </c>
      <c r="F79" t="s">
        <v>1227</v>
      </c>
      <c r="G79" t="s">
        <v>1428</v>
      </c>
    </row>
    <row r="80" spans="1:7" x14ac:dyDescent="0.35">
      <c r="A80">
        <v>79</v>
      </c>
      <c r="B80" t="s">
        <v>1364</v>
      </c>
      <c r="C80" t="str">
        <f>VLOOKUP(A80,Hoja3!$A$2:$D$230,4,0)</f>
        <v>FIN</v>
      </c>
      <c r="D80" t="s">
        <v>1474</v>
      </c>
      <c r="E80" t="s">
        <v>1428</v>
      </c>
      <c r="F80" t="s">
        <v>1228</v>
      </c>
      <c r="G80" t="s">
        <v>1428</v>
      </c>
    </row>
    <row r="81" spans="1:7" x14ac:dyDescent="0.35">
      <c r="A81">
        <v>80</v>
      </c>
      <c r="B81" t="s">
        <v>1022</v>
      </c>
      <c r="C81" t="str">
        <f>VLOOKUP(A81,Hoja3!$A$2:$D$230,4,0)</f>
        <v>FIN</v>
      </c>
      <c r="D81" t="s">
        <v>1475</v>
      </c>
      <c r="E81" t="s">
        <v>1428</v>
      </c>
      <c r="F81" t="s">
        <v>1229</v>
      </c>
      <c r="G81" t="s">
        <v>1428</v>
      </c>
    </row>
    <row r="82" spans="1:7" x14ac:dyDescent="0.35">
      <c r="A82">
        <v>81</v>
      </c>
      <c r="B82" t="s">
        <v>1348</v>
      </c>
      <c r="C82" t="str">
        <f>VLOOKUP(A82,Hoja3!$A$2:$D$230,4,0)</f>
        <v>PRA</v>
      </c>
      <c r="D82" t="s">
        <v>1476</v>
      </c>
      <c r="E82" t="s">
        <v>5</v>
      </c>
      <c r="F82" t="s">
        <v>1195</v>
      </c>
      <c r="G82" t="s">
        <v>5</v>
      </c>
    </row>
    <row r="83" spans="1:7" x14ac:dyDescent="0.35">
      <c r="A83">
        <v>82</v>
      </c>
      <c r="B83" t="s">
        <v>1365</v>
      </c>
      <c r="C83" t="str">
        <f>VLOOKUP(A83,Hoja3!$A$2:$D$230,4,0)</f>
        <v>PRA</v>
      </c>
      <c r="D83" t="s">
        <v>1477</v>
      </c>
      <c r="E83" t="s">
        <v>5</v>
      </c>
      <c r="F83" t="s">
        <v>1196</v>
      </c>
      <c r="G83" t="s">
        <v>5</v>
      </c>
    </row>
    <row r="84" spans="1:7" x14ac:dyDescent="0.35">
      <c r="A84">
        <v>83</v>
      </c>
      <c r="B84" t="s">
        <v>650</v>
      </c>
      <c r="C84" t="str">
        <f>VLOOKUP(A84,Hoja3!$A$2:$D$230,4,0)</f>
        <v>PRA</v>
      </c>
      <c r="D84" t="s">
        <v>1478</v>
      </c>
      <c r="E84" t="s">
        <v>5</v>
      </c>
      <c r="F84" t="s">
        <v>1197</v>
      </c>
      <c r="G84" t="s">
        <v>5</v>
      </c>
    </row>
    <row r="85" spans="1:7" x14ac:dyDescent="0.35">
      <c r="A85">
        <v>84</v>
      </c>
      <c r="B85" t="s">
        <v>1023</v>
      </c>
      <c r="C85" t="str">
        <f>VLOOKUP(A85,Hoja3!$A$2:$D$230,4,0)</f>
        <v>PRA</v>
      </c>
      <c r="D85" t="s">
        <v>1479</v>
      </c>
      <c r="E85" t="s">
        <v>5</v>
      </c>
      <c r="F85" t="s">
        <v>1198</v>
      </c>
      <c r="G85" t="s">
        <v>5</v>
      </c>
    </row>
    <row r="86" spans="1:7" x14ac:dyDescent="0.35">
      <c r="A86">
        <v>85</v>
      </c>
      <c r="B86" t="s">
        <v>1366</v>
      </c>
      <c r="C86" t="str">
        <f>VLOOKUP(A86,Hoja3!$A$2:$D$230,4,0)</f>
        <v>PRA</v>
      </c>
      <c r="D86" t="s">
        <v>1480</v>
      </c>
      <c r="E86" t="s">
        <v>5</v>
      </c>
      <c r="F86" t="s">
        <v>1592</v>
      </c>
      <c r="G86" t="s">
        <v>5</v>
      </c>
    </row>
    <row r="87" spans="1:7" x14ac:dyDescent="0.35">
      <c r="A87">
        <v>86</v>
      </c>
      <c r="B87" t="s">
        <v>1365</v>
      </c>
      <c r="C87" t="str">
        <f>VLOOKUP(A87,Hoja3!$A$2:$D$230,4,0)</f>
        <v>PRA</v>
      </c>
      <c r="D87" t="s">
        <v>1477</v>
      </c>
      <c r="E87" t="s">
        <v>5</v>
      </c>
      <c r="F87" t="s">
        <v>1593</v>
      </c>
      <c r="G87" t="s">
        <v>5</v>
      </c>
    </row>
    <row r="88" spans="1:7" x14ac:dyDescent="0.35">
      <c r="A88">
        <v>87</v>
      </c>
      <c r="B88" t="s">
        <v>1348</v>
      </c>
      <c r="C88" t="str">
        <f>VLOOKUP(A88,Hoja3!$A$2:$D$230,4,0)</f>
        <v>PRA</v>
      </c>
      <c r="D88" t="s">
        <v>1481</v>
      </c>
      <c r="E88" t="s">
        <v>5</v>
      </c>
      <c r="F88" t="s">
        <v>1594</v>
      </c>
      <c r="G88" t="s">
        <v>5</v>
      </c>
    </row>
    <row r="89" spans="1:7" x14ac:dyDescent="0.35">
      <c r="A89">
        <v>88</v>
      </c>
      <c r="B89" t="s">
        <v>1367</v>
      </c>
      <c r="C89" t="str">
        <f>VLOOKUP(A89,Hoja3!$A$2:$D$230,4,0)</f>
        <v>PRA</v>
      </c>
      <c r="D89" t="s">
        <v>1482</v>
      </c>
      <c r="E89" t="s">
        <v>5</v>
      </c>
      <c r="F89" t="s">
        <v>1595</v>
      </c>
      <c r="G89" t="s">
        <v>5</v>
      </c>
    </row>
    <row r="90" spans="1:7" x14ac:dyDescent="0.35">
      <c r="A90">
        <v>89</v>
      </c>
      <c r="B90" t="s">
        <v>1025</v>
      </c>
      <c r="C90" t="str">
        <f>VLOOKUP(A90,Hoja3!$A$2:$D$230,4,0)</f>
        <v>PLA</v>
      </c>
      <c r="D90" t="s">
        <v>1483</v>
      </c>
      <c r="E90" t="s">
        <v>1427</v>
      </c>
      <c r="F90" t="s">
        <v>1199</v>
      </c>
      <c r="G90" t="s">
        <v>1427</v>
      </c>
    </row>
    <row r="91" spans="1:7" x14ac:dyDescent="0.35">
      <c r="A91">
        <v>90</v>
      </c>
      <c r="B91" t="s">
        <v>1026</v>
      </c>
      <c r="C91" t="str">
        <f>VLOOKUP(A91,Hoja3!$A$2:$D$230,4,0)</f>
        <v>PLA</v>
      </c>
      <c r="D91" t="s">
        <v>1484</v>
      </c>
      <c r="E91" t="s">
        <v>1427</v>
      </c>
      <c r="F91" t="s">
        <v>1200</v>
      </c>
      <c r="G91" t="s">
        <v>1427</v>
      </c>
    </row>
    <row r="92" spans="1:7" x14ac:dyDescent="0.35">
      <c r="A92">
        <v>91</v>
      </c>
      <c r="B92" t="s">
        <v>1027</v>
      </c>
      <c r="C92" t="str">
        <f>VLOOKUP(A92,Hoja3!$A$2:$D$230,4,0)</f>
        <v>PLA</v>
      </c>
      <c r="D92" t="s">
        <v>1027</v>
      </c>
      <c r="E92" t="s">
        <v>1427</v>
      </c>
      <c r="F92" t="s">
        <v>1201</v>
      </c>
      <c r="G92" t="s">
        <v>1427</v>
      </c>
    </row>
    <row r="93" spans="1:7" x14ac:dyDescent="0.35">
      <c r="A93">
        <v>92</v>
      </c>
      <c r="B93" t="s">
        <v>1028</v>
      </c>
      <c r="C93" t="str">
        <f>VLOOKUP(A93,Hoja3!$A$2:$D$230,4,0)</f>
        <v>PLA</v>
      </c>
      <c r="D93" t="s">
        <v>1028</v>
      </c>
      <c r="E93" t="s">
        <v>1427</v>
      </c>
      <c r="F93" t="s">
        <v>1202</v>
      </c>
      <c r="G93" t="s">
        <v>1427</v>
      </c>
    </row>
    <row r="94" spans="1:7" x14ac:dyDescent="0.35">
      <c r="A94">
        <v>93</v>
      </c>
      <c r="B94" t="s">
        <v>1029</v>
      </c>
      <c r="C94" t="str">
        <f>VLOOKUP(A94,Hoja3!$A$2:$D$230,4,0)</f>
        <v>PLA</v>
      </c>
      <c r="D94" t="s">
        <v>1029</v>
      </c>
      <c r="E94" t="s">
        <v>1427</v>
      </c>
      <c r="F94" t="s">
        <v>1203</v>
      </c>
      <c r="G94" t="s">
        <v>1427</v>
      </c>
    </row>
    <row r="95" spans="1:7" x14ac:dyDescent="0.35">
      <c r="A95">
        <v>94</v>
      </c>
      <c r="B95" t="s">
        <v>67</v>
      </c>
      <c r="C95" t="str">
        <f>VLOOKUP(A95,Hoja3!$A$2:$D$230,4,0)</f>
        <v>PLA</v>
      </c>
      <c r="D95" t="s">
        <v>67</v>
      </c>
      <c r="E95" t="s">
        <v>1427</v>
      </c>
      <c r="F95" t="s">
        <v>1204</v>
      </c>
      <c r="G95" t="s">
        <v>1427</v>
      </c>
    </row>
    <row r="96" spans="1:7" x14ac:dyDescent="0.35">
      <c r="A96">
        <v>95</v>
      </c>
      <c r="B96" t="s">
        <v>1030</v>
      </c>
      <c r="C96" t="str">
        <f>VLOOKUP(A96,Hoja3!$A$2:$D$230,4,0)</f>
        <v>PLA</v>
      </c>
      <c r="D96" t="s">
        <v>1485</v>
      </c>
      <c r="E96" t="s">
        <v>1427</v>
      </c>
      <c r="F96" t="s">
        <v>1205</v>
      </c>
      <c r="G96" t="s">
        <v>1427</v>
      </c>
    </row>
    <row r="97" spans="1:7" x14ac:dyDescent="0.35">
      <c r="A97">
        <v>96</v>
      </c>
      <c r="B97" t="s">
        <v>1031</v>
      </c>
      <c r="C97" t="str">
        <f>VLOOKUP(A97,Hoja3!$A$2:$D$230,4,0)</f>
        <v>PLA</v>
      </c>
      <c r="D97" t="s">
        <v>1486</v>
      </c>
      <c r="E97" t="s">
        <v>1427</v>
      </c>
      <c r="F97" t="s">
        <v>1206</v>
      </c>
      <c r="G97" t="s">
        <v>1427</v>
      </c>
    </row>
    <row r="98" spans="1:7" x14ac:dyDescent="0.35">
      <c r="A98">
        <v>97</v>
      </c>
      <c r="B98" t="s">
        <v>1032</v>
      </c>
      <c r="C98" t="str">
        <f>VLOOKUP(A98,Hoja3!$A$2:$D$230,4,0)</f>
        <v>PLA</v>
      </c>
      <c r="D98" t="s">
        <v>1487</v>
      </c>
      <c r="E98" t="s">
        <v>1427</v>
      </c>
      <c r="F98" t="s">
        <v>1207</v>
      </c>
      <c r="G98" t="s">
        <v>1427</v>
      </c>
    </row>
    <row r="99" spans="1:7" x14ac:dyDescent="0.35">
      <c r="A99">
        <v>98</v>
      </c>
      <c r="B99" t="s">
        <v>1033</v>
      </c>
      <c r="C99" t="str">
        <f>VLOOKUP(A99,Hoja3!$A$2:$D$230,4,0)</f>
        <v>PLA</v>
      </c>
      <c r="D99" t="s">
        <v>1488</v>
      </c>
      <c r="E99" t="s">
        <v>1427</v>
      </c>
      <c r="F99" t="s">
        <v>1208</v>
      </c>
      <c r="G99" t="s">
        <v>1427</v>
      </c>
    </row>
    <row r="100" spans="1:7" x14ac:dyDescent="0.35">
      <c r="A100">
        <v>99</v>
      </c>
      <c r="B100" t="s">
        <v>1034</v>
      </c>
      <c r="C100" t="str">
        <f>VLOOKUP(A100,Hoja3!$A$2:$D$230,4,0)</f>
        <v>PLA</v>
      </c>
      <c r="D100" t="s">
        <v>1489</v>
      </c>
      <c r="E100" t="s">
        <v>1427</v>
      </c>
      <c r="F100" t="s">
        <v>1209</v>
      </c>
      <c r="G100" t="s">
        <v>1427</v>
      </c>
    </row>
    <row r="101" spans="1:7" x14ac:dyDescent="0.35">
      <c r="A101">
        <v>100</v>
      </c>
      <c r="B101" t="s">
        <v>1035</v>
      </c>
      <c r="C101" t="str">
        <f>VLOOKUP(A101,Hoja3!$A$2:$D$230,4,0)</f>
        <v>PLA</v>
      </c>
      <c r="D101" t="s">
        <v>1490</v>
      </c>
      <c r="E101" t="s">
        <v>1427</v>
      </c>
      <c r="F101" t="s">
        <v>1210</v>
      </c>
      <c r="G101" t="s">
        <v>1427</v>
      </c>
    </row>
    <row r="102" spans="1:7" x14ac:dyDescent="0.35">
      <c r="A102">
        <v>101</v>
      </c>
      <c r="B102" t="s">
        <v>1036</v>
      </c>
      <c r="C102" t="str">
        <f>VLOOKUP(A102,Hoja3!$A$2:$D$230,4,0)</f>
        <v>PLA</v>
      </c>
      <c r="D102" t="s">
        <v>1491</v>
      </c>
      <c r="E102" t="s">
        <v>1427</v>
      </c>
      <c r="F102" t="s">
        <v>1211</v>
      </c>
      <c r="G102" t="s">
        <v>1427</v>
      </c>
    </row>
    <row r="103" spans="1:7" x14ac:dyDescent="0.35">
      <c r="A103">
        <v>102</v>
      </c>
      <c r="B103" t="s">
        <v>1037</v>
      </c>
      <c r="C103" t="str">
        <f>VLOOKUP(A103,Hoja3!$A$2:$D$230,4,0)</f>
        <v>PLA</v>
      </c>
      <c r="D103" t="s">
        <v>1492</v>
      </c>
      <c r="E103" t="s">
        <v>1427</v>
      </c>
      <c r="F103" t="s">
        <v>1212</v>
      </c>
      <c r="G103" t="s">
        <v>1427</v>
      </c>
    </row>
    <row r="104" spans="1:7" x14ac:dyDescent="0.35">
      <c r="A104">
        <v>103</v>
      </c>
      <c r="B104" t="s">
        <v>1368</v>
      </c>
      <c r="C104" t="str">
        <f>VLOOKUP(A104,Hoja3!$A$2:$D$230,4,0)</f>
        <v>PLA</v>
      </c>
      <c r="D104" t="s">
        <v>1493</v>
      </c>
      <c r="E104" t="s">
        <v>1427</v>
      </c>
      <c r="F104" t="s">
        <v>1213</v>
      </c>
      <c r="G104" t="s">
        <v>1427</v>
      </c>
    </row>
    <row r="105" spans="1:7" x14ac:dyDescent="0.35">
      <c r="A105">
        <v>104</v>
      </c>
      <c r="B105" t="s">
        <v>1346</v>
      </c>
      <c r="C105" t="str">
        <f>VLOOKUP(A105,Hoja3!$A$2:$D$230,4,0)</f>
        <v>REG</v>
      </c>
      <c r="D105" t="s">
        <v>1494</v>
      </c>
      <c r="E105" t="s">
        <v>7</v>
      </c>
      <c r="F105" t="s">
        <v>1215</v>
      </c>
      <c r="G105" t="s">
        <v>7</v>
      </c>
    </row>
    <row r="106" spans="1:7" x14ac:dyDescent="0.35">
      <c r="A106">
        <v>105</v>
      </c>
      <c r="B106" t="s">
        <v>1369</v>
      </c>
      <c r="C106" t="str">
        <f>VLOOKUP(A106,Hoja3!$A$2:$D$230,4,0)</f>
        <v>REG</v>
      </c>
      <c r="D106" t="s">
        <v>1495</v>
      </c>
      <c r="E106" t="s">
        <v>7</v>
      </c>
      <c r="F106" t="s">
        <v>1216</v>
      </c>
      <c r="G106" t="s">
        <v>7</v>
      </c>
    </row>
    <row r="107" spans="1:7" x14ac:dyDescent="0.35">
      <c r="A107">
        <v>106</v>
      </c>
      <c r="B107" t="s">
        <v>1348</v>
      </c>
      <c r="C107" t="str">
        <f>VLOOKUP(A107,Hoja3!$A$2:$D$230,4,0)</f>
        <v>REG</v>
      </c>
      <c r="D107" t="s">
        <v>1496</v>
      </c>
      <c r="E107" t="s">
        <v>7</v>
      </c>
      <c r="F107" t="s">
        <v>1217</v>
      </c>
      <c r="G107" t="s">
        <v>7</v>
      </c>
    </row>
    <row r="108" spans="1:7" x14ac:dyDescent="0.35">
      <c r="A108">
        <v>107</v>
      </c>
      <c r="B108" t="s">
        <v>1038</v>
      </c>
      <c r="C108" t="str">
        <f>VLOOKUP(A108,Hoja3!$A$2:$D$230,4,0)</f>
        <v>REG</v>
      </c>
      <c r="D108" t="s">
        <v>1497</v>
      </c>
      <c r="E108" t="s">
        <v>7</v>
      </c>
      <c r="F108" t="s">
        <v>1218</v>
      </c>
      <c r="G108" t="s">
        <v>7</v>
      </c>
    </row>
    <row r="109" spans="1:7" x14ac:dyDescent="0.35">
      <c r="A109">
        <v>108</v>
      </c>
      <c r="B109" t="s">
        <v>1039</v>
      </c>
      <c r="C109" t="str">
        <f>VLOOKUP(A109,Hoja3!$A$2:$D$230,4,0)</f>
        <v>REG</v>
      </c>
      <c r="D109" t="s">
        <v>1498</v>
      </c>
      <c r="E109" t="s">
        <v>7</v>
      </c>
      <c r="F109" t="s">
        <v>1219</v>
      </c>
      <c r="G109" t="s">
        <v>7</v>
      </c>
    </row>
    <row r="110" spans="1:7" x14ac:dyDescent="0.35">
      <c r="A110">
        <v>109</v>
      </c>
      <c r="B110" t="s">
        <v>74</v>
      </c>
      <c r="C110" t="str">
        <f>VLOOKUP(A110,Hoja3!$A$2:$D$230,4,0)</f>
        <v>REG</v>
      </c>
      <c r="D110" t="s">
        <v>74</v>
      </c>
      <c r="E110" t="s">
        <v>7</v>
      </c>
      <c r="F110" t="s">
        <v>1220</v>
      </c>
      <c r="G110" t="s">
        <v>7</v>
      </c>
    </row>
    <row r="111" spans="1:7" x14ac:dyDescent="0.35">
      <c r="A111">
        <v>110</v>
      </c>
      <c r="B111" t="s">
        <v>1040</v>
      </c>
      <c r="C111" t="str">
        <f>VLOOKUP(A111,Hoja3!$A$2:$D$230,4,0)</f>
        <v>REG</v>
      </c>
      <c r="D111" t="s">
        <v>1499</v>
      </c>
      <c r="E111" t="s">
        <v>7</v>
      </c>
      <c r="F111" t="s">
        <v>1221</v>
      </c>
      <c r="G111" t="s">
        <v>7</v>
      </c>
    </row>
    <row r="112" spans="1:7" x14ac:dyDescent="0.35">
      <c r="A112">
        <v>111</v>
      </c>
      <c r="B112" t="s">
        <v>1041</v>
      </c>
      <c r="C112" t="str">
        <f>VLOOKUP(A112,Hoja3!$A$2:$D$230,4,0)</f>
        <v>REG</v>
      </c>
      <c r="D112" t="s">
        <v>1500</v>
      </c>
      <c r="E112" t="s">
        <v>7</v>
      </c>
      <c r="F112" t="s">
        <v>1222</v>
      </c>
      <c r="G112" t="s">
        <v>7</v>
      </c>
    </row>
    <row r="113" spans="1:7" x14ac:dyDescent="0.35">
      <c r="A113">
        <v>112</v>
      </c>
      <c r="B113" t="s">
        <v>77</v>
      </c>
      <c r="C113" t="str">
        <f>VLOOKUP(A113,Hoja3!$A$2:$D$230,4,0)</f>
        <v>REG</v>
      </c>
      <c r="D113" t="s">
        <v>1501</v>
      </c>
      <c r="E113" t="s">
        <v>7</v>
      </c>
      <c r="F113" t="s">
        <v>1223</v>
      </c>
      <c r="G113" t="s">
        <v>7</v>
      </c>
    </row>
    <row r="114" spans="1:7" x14ac:dyDescent="0.35">
      <c r="A114">
        <v>113</v>
      </c>
      <c r="B114" t="s">
        <v>1042</v>
      </c>
      <c r="C114" t="str">
        <f>VLOOKUP(A114,Hoja3!$A$2:$D$230,4,0)</f>
        <v>REG</v>
      </c>
      <c r="D114" t="s">
        <v>1502</v>
      </c>
      <c r="E114" t="s">
        <v>7</v>
      </c>
      <c r="F114" t="s">
        <v>1224</v>
      </c>
      <c r="G114" t="s">
        <v>7</v>
      </c>
    </row>
    <row r="115" spans="1:7" x14ac:dyDescent="0.35">
      <c r="A115">
        <v>114</v>
      </c>
      <c r="B115" t="s">
        <v>1370</v>
      </c>
      <c r="C115" t="str">
        <f>VLOOKUP(A115,Hoja3!$A$2:$D$230,4,0)</f>
        <v>REG</v>
      </c>
      <c r="D115" t="s">
        <v>1370</v>
      </c>
      <c r="E115" t="s">
        <v>7</v>
      </c>
      <c r="F115" t="s">
        <v>1596</v>
      </c>
      <c r="G115" t="s">
        <v>7</v>
      </c>
    </row>
    <row r="116" spans="1:7" x14ac:dyDescent="0.35">
      <c r="A116">
        <v>115</v>
      </c>
      <c r="B116" t="s">
        <v>1371</v>
      </c>
      <c r="C116" t="str">
        <f>VLOOKUP(A116,Hoja3!$A$2:$D$230,4,0)</f>
        <v>REG</v>
      </c>
      <c r="D116" t="s">
        <v>1503</v>
      </c>
      <c r="E116" t="s">
        <v>7</v>
      </c>
      <c r="F116" t="s">
        <v>1597</v>
      </c>
      <c r="G116" t="s">
        <v>7</v>
      </c>
    </row>
    <row r="117" spans="1:7" x14ac:dyDescent="0.35">
      <c r="A117">
        <v>116</v>
      </c>
      <c r="B117" t="s">
        <v>1346</v>
      </c>
      <c r="C117" t="str">
        <f>VLOOKUP(A117,Hoja3!$A$2:$D$230,4,0)</f>
        <v>REG</v>
      </c>
      <c r="D117" t="s">
        <v>1494</v>
      </c>
      <c r="E117" t="s">
        <v>7</v>
      </c>
      <c r="F117" t="s">
        <v>1598</v>
      </c>
      <c r="G117" t="s">
        <v>7</v>
      </c>
    </row>
    <row r="118" spans="1:7" x14ac:dyDescent="0.35">
      <c r="A118">
        <v>117</v>
      </c>
      <c r="B118" t="s">
        <v>1369</v>
      </c>
      <c r="C118" t="str">
        <f>VLOOKUP(A118,Hoja3!$A$2:$D$230,4,0)</f>
        <v>REG</v>
      </c>
      <c r="D118" t="s">
        <v>1504</v>
      </c>
      <c r="E118" t="s">
        <v>7</v>
      </c>
      <c r="F118" t="s">
        <v>1599</v>
      </c>
      <c r="G118" t="s">
        <v>7</v>
      </c>
    </row>
    <row r="119" spans="1:7" x14ac:dyDescent="0.35">
      <c r="A119">
        <v>118</v>
      </c>
      <c r="B119" t="s">
        <v>1348</v>
      </c>
      <c r="C119" t="str">
        <f>VLOOKUP(A119,Hoja3!$A$2:$D$230,4,0)</f>
        <v>REG</v>
      </c>
      <c r="D119" t="s">
        <v>1496</v>
      </c>
      <c r="E119" t="s">
        <v>7</v>
      </c>
      <c r="F119" t="s">
        <v>1600</v>
      </c>
      <c r="G119" t="s">
        <v>7</v>
      </c>
    </row>
    <row r="120" spans="1:7" x14ac:dyDescent="0.35">
      <c r="A120">
        <v>119</v>
      </c>
      <c r="B120" t="s">
        <v>1044</v>
      </c>
      <c r="C120" t="str">
        <f>VLOOKUP(A120,Hoja3!$A$2:$D$230,4,0)</f>
        <v>FIN</v>
      </c>
      <c r="D120" t="s">
        <v>1505</v>
      </c>
      <c r="E120" t="s">
        <v>1428</v>
      </c>
      <c r="F120" t="s">
        <v>1230</v>
      </c>
      <c r="G120" t="s">
        <v>1428</v>
      </c>
    </row>
    <row r="121" spans="1:7" x14ac:dyDescent="0.35">
      <c r="A121">
        <v>120</v>
      </c>
      <c r="B121" t="s">
        <v>667</v>
      </c>
      <c r="C121" t="str">
        <f>VLOOKUP(A121,Hoja3!$A$2:$D$230,4,0)</f>
        <v>FIN</v>
      </c>
      <c r="D121" t="s">
        <v>97</v>
      </c>
      <c r="E121" t="s">
        <v>1428</v>
      </c>
      <c r="F121" t="s">
        <v>1231</v>
      </c>
      <c r="G121" t="s">
        <v>1428</v>
      </c>
    </row>
    <row r="122" spans="1:7" x14ac:dyDescent="0.35">
      <c r="A122">
        <v>121</v>
      </c>
      <c r="B122" t="s">
        <v>658</v>
      </c>
      <c r="C122" t="str">
        <f>VLOOKUP(A122,Hoja3!$A$2:$D$230,4,0)</f>
        <v>FIN</v>
      </c>
      <c r="D122" t="s">
        <v>658</v>
      </c>
      <c r="E122" t="s">
        <v>1428</v>
      </c>
      <c r="F122" t="s">
        <v>1232</v>
      </c>
      <c r="G122" t="s">
        <v>1428</v>
      </c>
    </row>
    <row r="123" spans="1:7" x14ac:dyDescent="0.35">
      <c r="A123">
        <v>122</v>
      </c>
      <c r="B123" t="s">
        <v>657</v>
      </c>
      <c r="C123" t="str">
        <f>VLOOKUP(A123,Hoja3!$A$2:$D$230,4,0)</f>
        <v>FIN</v>
      </c>
      <c r="D123" t="s">
        <v>657</v>
      </c>
      <c r="E123" t="s">
        <v>1428</v>
      </c>
      <c r="F123" t="s">
        <v>1233</v>
      </c>
      <c r="G123" t="s">
        <v>1428</v>
      </c>
    </row>
    <row r="124" spans="1:7" x14ac:dyDescent="0.35">
      <c r="A124">
        <v>123</v>
      </c>
      <c r="B124" t="s">
        <v>660</v>
      </c>
      <c r="C124" t="str">
        <f>VLOOKUP(A124,Hoja3!$A$2:$D$230,4,0)</f>
        <v>FIN</v>
      </c>
      <c r="D124" t="s">
        <v>660</v>
      </c>
      <c r="E124" t="s">
        <v>1428</v>
      </c>
      <c r="F124" t="s">
        <v>1234</v>
      </c>
      <c r="G124" t="s">
        <v>1428</v>
      </c>
    </row>
    <row r="125" spans="1:7" x14ac:dyDescent="0.35">
      <c r="A125">
        <v>124</v>
      </c>
      <c r="B125" t="s">
        <v>665</v>
      </c>
      <c r="C125" t="str">
        <f>VLOOKUP(A125,Hoja3!$A$2:$D$230,4,0)</f>
        <v>FIN</v>
      </c>
      <c r="D125" t="s">
        <v>1506</v>
      </c>
      <c r="E125" t="s">
        <v>1428</v>
      </c>
      <c r="F125" t="s">
        <v>1235</v>
      </c>
      <c r="G125" t="s">
        <v>1428</v>
      </c>
    </row>
    <row r="126" spans="1:7" x14ac:dyDescent="0.35">
      <c r="A126">
        <v>125</v>
      </c>
      <c r="B126" t="s">
        <v>1045</v>
      </c>
      <c r="C126" t="str">
        <f>VLOOKUP(A126,Hoja3!$A$2:$D$230,4,0)</f>
        <v>FIN</v>
      </c>
      <c r="D126" t="s">
        <v>1507</v>
      </c>
      <c r="E126" t="s">
        <v>1428</v>
      </c>
      <c r="F126" t="s">
        <v>1236</v>
      </c>
      <c r="G126" t="s">
        <v>1428</v>
      </c>
    </row>
    <row r="127" spans="1:7" x14ac:dyDescent="0.35">
      <c r="A127">
        <v>126</v>
      </c>
      <c r="B127" t="s">
        <v>668</v>
      </c>
      <c r="C127" t="str">
        <f>VLOOKUP(A127,Hoja3!$A$2:$D$230,4,0)</f>
        <v>FIN</v>
      </c>
      <c r="D127" t="s">
        <v>668</v>
      </c>
      <c r="E127" t="s">
        <v>1428</v>
      </c>
      <c r="F127" t="s">
        <v>1237</v>
      </c>
      <c r="G127" t="s">
        <v>1428</v>
      </c>
    </row>
    <row r="128" spans="1:7" x14ac:dyDescent="0.35">
      <c r="A128">
        <v>127</v>
      </c>
      <c r="B128" t="s">
        <v>661</v>
      </c>
      <c r="C128" t="str">
        <f>VLOOKUP(A128,Hoja3!$A$2:$D$230,4,0)</f>
        <v>FIN</v>
      </c>
      <c r="D128" t="s">
        <v>661</v>
      </c>
      <c r="E128" t="s">
        <v>1428</v>
      </c>
      <c r="F128" t="s">
        <v>1238</v>
      </c>
      <c r="G128" t="s">
        <v>1428</v>
      </c>
    </row>
    <row r="129" spans="1:7" x14ac:dyDescent="0.35">
      <c r="A129">
        <v>128</v>
      </c>
      <c r="B129" t="s">
        <v>662</v>
      </c>
      <c r="C129" t="str">
        <f>VLOOKUP(A129,Hoja3!$A$2:$D$230,4,0)</f>
        <v>FIN</v>
      </c>
      <c r="D129" t="s">
        <v>662</v>
      </c>
      <c r="E129" t="s">
        <v>1428</v>
      </c>
      <c r="F129" t="s">
        <v>1239</v>
      </c>
      <c r="G129" t="s">
        <v>1428</v>
      </c>
    </row>
    <row r="130" spans="1:7" x14ac:dyDescent="0.35">
      <c r="A130">
        <v>129</v>
      </c>
      <c r="B130" t="s">
        <v>669</v>
      </c>
      <c r="C130" t="str">
        <f>VLOOKUP(A130,Hoja3!$A$2:$D$230,4,0)</f>
        <v>FIN</v>
      </c>
      <c r="D130" t="s">
        <v>1508</v>
      </c>
      <c r="E130" t="s">
        <v>1428</v>
      </c>
      <c r="F130" t="s">
        <v>1601</v>
      </c>
      <c r="G130" t="s">
        <v>1428</v>
      </c>
    </row>
    <row r="131" spans="1:7" x14ac:dyDescent="0.35">
      <c r="A131">
        <v>130</v>
      </c>
      <c r="B131" t="s">
        <v>1417</v>
      </c>
      <c r="C131" t="str">
        <f>VLOOKUP(A131,Hoja3!$A$2:$D$230,4,0)</f>
        <v>FIN</v>
      </c>
      <c r="D131" t="s">
        <v>1509</v>
      </c>
      <c r="E131" t="s">
        <v>1428</v>
      </c>
      <c r="F131" t="s">
        <v>1602</v>
      </c>
      <c r="G131" t="s">
        <v>1428</v>
      </c>
    </row>
    <row r="132" spans="1:7" x14ac:dyDescent="0.35">
      <c r="A132">
        <v>131</v>
      </c>
      <c r="B132" t="s">
        <v>1418</v>
      </c>
      <c r="C132" t="str">
        <f>VLOOKUP(A132,Hoja3!$A$2:$D$230,4,0)</f>
        <v>FIN</v>
      </c>
      <c r="D132" t="s">
        <v>1510</v>
      </c>
      <c r="E132" t="s">
        <v>1428</v>
      </c>
      <c r="F132" t="s">
        <v>1603</v>
      </c>
      <c r="G132" t="s">
        <v>1428</v>
      </c>
    </row>
    <row r="133" spans="1:7" x14ac:dyDescent="0.35">
      <c r="A133">
        <v>132</v>
      </c>
      <c r="B133" t="s">
        <v>1346</v>
      </c>
      <c r="C133" t="str">
        <f>VLOOKUP(A133,Hoja3!$A$2:$D$230,4,0)</f>
        <v>COM</v>
      </c>
      <c r="D133" t="s">
        <v>1511</v>
      </c>
      <c r="E133" t="s">
        <v>1429</v>
      </c>
      <c r="F133" t="s">
        <v>1244</v>
      </c>
      <c r="G133" t="s">
        <v>1429</v>
      </c>
    </row>
    <row r="134" spans="1:7" x14ac:dyDescent="0.35">
      <c r="A134">
        <v>133</v>
      </c>
      <c r="B134" t="s">
        <v>1369</v>
      </c>
      <c r="C134" t="str">
        <f>VLOOKUP(A134,Hoja3!$A$2:$D$230,4,0)</f>
        <v>COM</v>
      </c>
      <c r="D134" t="s">
        <v>1512</v>
      </c>
      <c r="E134" t="s">
        <v>1429</v>
      </c>
      <c r="F134" t="s">
        <v>1245</v>
      </c>
      <c r="G134" t="s">
        <v>1429</v>
      </c>
    </row>
    <row r="135" spans="1:7" x14ac:dyDescent="0.35">
      <c r="A135">
        <v>134</v>
      </c>
      <c r="B135" t="s">
        <v>1348</v>
      </c>
      <c r="C135" t="str">
        <f>VLOOKUP(A135,Hoja3!$A$2:$D$230,4,0)</f>
        <v>COM</v>
      </c>
      <c r="D135" t="s">
        <v>1513</v>
      </c>
      <c r="E135" t="s">
        <v>1429</v>
      </c>
      <c r="F135" t="s">
        <v>1246</v>
      </c>
      <c r="G135" t="s">
        <v>1429</v>
      </c>
    </row>
    <row r="136" spans="1:7" x14ac:dyDescent="0.35">
      <c r="A136">
        <v>135</v>
      </c>
      <c r="B136" t="s">
        <v>1372</v>
      </c>
      <c r="C136" t="str">
        <f>VLOOKUP(A136,Hoja3!$A$2:$D$230,4,0)</f>
        <v>COM</v>
      </c>
      <c r="D136" t="s">
        <v>1514</v>
      </c>
      <c r="E136" t="s">
        <v>1429</v>
      </c>
      <c r="F136" t="s">
        <v>1247</v>
      </c>
      <c r="G136" t="s">
        <v>1429</v>
      </c>
    </row>
    <row r="137" spans="1:7" x14ac:dyDescent="0.35">
      <c r="A137">
        <v>136</v>
      </c>
      <c r="B137" t="s">
        <v>1373</v>
      </c>
      <c r="C137" t="str">
        <f>VLOOKUP(A137,Hoja3!$A$2:$D$230,4,0)</f>
        <v>COM</v>
      </c>
      <c r="D137" t="s">
        <v>1515</v>
      </c>
      <c r="E137" t="s">
        <v>1429</v>
      </c>
      <c r="F137" t="s">
        <v>1248</v>
      </c>
      <c r="G137" t="s">
        <v>1429</v>
      </c>
    </row>
    <row r="138" spans="1:7" x14ac:dyDescent="0.35">
      <c r="A138">
        <v>137</v>
      </c>
      <c r="B138" t="s">
        <v>1374</v>
      </c>
      <c r="C138" t="str">
        <f>VLOOKUP(A138,Hoja3!$A$2:$D$230,4,0)</f>
        <v>COM</v>
      </c>
      <c r="D138" t="s">
        <v>1516</v>
      </c>
      <c r="E138" t="s">
        <v>1429</v>
      </c>
      <c r="F138" t="s">
        <v>1249</v>
      </c>
      <c r="G138" t="s">
        <v>1429</v>
      </c>
    </row>
    <row r="139" spans="1:7" x14ac:dyDescent="0.35">
      <c r="A139">
        <v>138</v>
      </c>
      <c r="B139" t="s">
        <v>1375</v>
      </c>
      <c r="C139" t="str">
        <f>VLOOKUP(A139,Hoja3!$A$2:$D$230,4,0)</f>
        <v>COM</v>
      </c>
      <c r="D139" t="s">
        <v>1517</v>
      </c>
      <c r="E139" t="s">
        <v>1429</v>
      </c>
      <c r="F139" t="s">
        <v>1250</v>
      </c>
      <c r="G139" t="s">
        <v>1429</v>
      </c>
    </row>
    <row r="140" spans="1:7" x14ac:dyDescent="0.35">
      <c r="A140">
        <v>139</v>
      </c>
      <c r="B140" t="s">
        <v>1419</v>
      </c>
      <c r="C140" t="str">
        <f>VLOOKUP(A140,Hoja3!$A$2:$D$230,4,0)</f>
        <v>COM</v>
      </c>
      <c r="D140" t="s">
        <v>1518</v>
      </c>
      <c r="E140" t="s">
        <v>1429</v>
      </c>
      <c r="F140" t="s">
        <v>1251</v>
      </c>
      <c r="G140" t="s">
        <v>1429</v>
      </c>
    </row>
    <row r="141" spans="1:7" x14ac:dyDescent="0.35">
      <c r="A141">
        <v>140</v>
      </c>
      <c r="B141" t="s">
        <v>1376</v>
      </c>
      <c r="C141" t="str">
        <f>VLOOKUP(A141,Hoja3!$A$2:$D$230,4,0)</f>
        <v>COM</v>
      </c>
      <c r="D141" t="s">
        <v>1519</v>
      </c>
      <c r="E141" t="s">
        <v>1429</v>
      </c>
      <c r="F141" t="s">
        <v>1252</v>
      </c>
      <c r="G141" t="s">
        <v>1429</v>
      </c>
    </row>
    <row r="142" spans="1:7" x14ac:dyDescent="0.35">
      <c r="A142">
        <v>141</v>
      </c>
      <c r="B142" t="s">
        <v>1377</v>
      </c>
      <c r="C142" t="str">
        <f>VLOOKUP(A142,Hoja3!$A$2:$D$230,4,0)</f>
        <v>COM</v>
      </c>
      <c r="D142" t="s">
        <v>1520</v>
      </c>
      <c r="E142" t="s">
        <v>1429</v>
      </c>
      <c r="F142" t="s">
        <v>1253</v>
      </c>
      <c r="G142" t="s">
        <v>1429</v>
      </c>
    </row>
    <row r="143" spans="1:7" x14ac:dyDescent="0.35">
      <c r="A143">
        <v>142</v>
      </c>
      <c r="B143" t="s">
        <v>524</v>
      </c>
      <c r="C143" t="str">
        <f>VLOOKUP(A143,Hoja3!$A$2:$D$230,4,0)</f>
        <v>COM</v>
      </c>
      <c r="D143" t="s">
        <v>524</v>
      </c>
      <c r="E143" t="s">
        <v>1429</v>
      </c>
      <c r="F143" t="s">
        <v>1254</v>
      </c>
      <c r="G143" t="s">
        <v>1429</v>
      </c>
    </row>
    <row r="144" spans="1:7" x14ac:dyDescent="0.35">
      <c r="A144">
        <v>143</v>
      </c>
      <c r="B144" t="s">
        <v>525</v>
      </c>
      <c r="C144" t="str">
        <f>VLOOKUP(A144,Hoja3!$A$2:$D$230,4,0)</f>
        <v>COM</v>
      </c>
      <c r="D144" t="s">
        <v>525</v>
      </c>
      <c r="E144" t="s">
        <v>1429</v>
      </c>
      <c r="F144" t="s">
        <v>1604</v>
      </c>
      <c r="G144" t="s">
        <v>1429</v>
      </c>
    </row>
    <row r="145" spans="1:7" x14ac:dyDescent="0.35">
      <c r="A145">
        <v>144</v>
      </c>
      <c r="B145" t="s">
        <v>527</v>
      </c>
      <c r="C145" t="str">
        <f>VLOOKUP(A145,Hoja3!$A$2:$D$230,4,0)</f>
        <v>COM</v>
      </c>
      <c r="D145" t="s">
        <v>1521</v>
      </c>
      <c r="E145" t="s">
        <v>1429</v>
      </c>
      <c r="F145" t="s">
        <v>1605</v>
      </c>
      <c r="G145" t="s">
        <v>1429</v>
      </c>
    </row>
    <row r="146" spans="1:7" x14ac:dyDescent="0.35">
      <c r="A146">
        <v>145</v>
      </c>
      <c r="B146" t="s">
        <v>1048</v>
      </c>
      <c r="C146" t="str">
        <f>VLOOKUP(A146,Hoja3!$A$2:$D$230,4,0)</f>
        <v>COM</v>
      </c>
      <c r="D146" t="s">
        <v>1048</v>
      </c>
      <c r="E146" t="s">
        <v>1429</v>
      </c>
      <c r="F146" t="s">
        <v>1606</v>
      </c>
      <c r="G146" t="s">
        <v>1429</v>
      </c>
    </row>
    <row r="147" spans="1:7" x14ac:dyDescent="0.35">
      <c r="A147">
        <v>146</v>
      </c>
      <c r="B147" t="s">
        <v>886</v>
      </c>
      <c r="C147" t="str">
        <f>VLOOKUP(A147,Hoja3!$A$2:$D$230,4,0)</f>
        <v>COM</v>
      </c>
      <c r="D147" t="s">
        <v>886</v>
      </c>
      <c r="E147" t="s">
        <v>1429</v>
      </c>
      <c r="F147" t="s">
        <v>1607</v>
      </c>
      <c r="G147" t="s">
        <v>1429</v>
      </c>
    </row>
    <row r="148" spans="1:7" x14ac:dyDescent="0.35">
      <c r="A148">
        <v>147</v>
      </c>
      <c r="B148" t="s">
        <v>526</v>
      </c>
      <c r="C148" t="str">
        <f>VLOOKUP(A148,Hoja3!$A$2:$D$230,4,0)</f>
        <v>COM</v>
      </c>
      <c r="D148" t="s">
        <v>526</v>
      </c>
      <c r="E148" t="s">
        <v>1429</v>
      </c>
      <c r="F148" t="s">
        <v>1608</v>
      </c>
      <c r="G148" t="s">
        <v>1429</v>
      </c>
    </row>
    <row r="149" spans="1:7" x14ac:dyDescent="0.35">
      <c r="A149">
        <v>148</v>
      </c>
      <c r="B149" t="s">
        <v>1049</v>
      </c>
      <c r="C149" t="str">
        <f>VLOOKUP(A149,Hoja3!$A$2:$D$230,4,0)</f>
        <v>COM</v>
      </c>
      <c r="D149" t="s">
        <v>1522</v>
      </c>
      <c r="E149" t="s">
        <v>1429</v>
      </c>
      <c r="F149" t="s">
        <v>1609</v>
      </c>
      <c r="G149" t="s">
        <v>1429</v>
      </c>
    </row>
    <row r="150" spans="1:7" x14ac:dyDescent="0.35">
      <c r="A150">
        <v>149</v>
      </c>
      <c r="B150" t="s">
        <v>529</v>
      </c>
      <c r="C150" t="str">
        <f>VLOOKUP(A150,Hoja3!$A$2:$D$230,4,0)</f>
        <v>COM</v>
      </c>
      <c r="D150" t="s">
        <v>1523</v>
      </c>
      <c r="E150" t="s">
        <v>1429</v>
      </c>
      <c r="F150" t="s">
        <v>1610</v>
      </c>
      <c r="G150" t="s">
        <v>1429</v>
      </c>
    </row>
    <row r="151" spans="1:7" x14ac:dyDescent="0.35">
      <c r="A151">
        <v>150</v>
      </c>
      <c r="B151" t="s">
        <v>1050</v>
      </c>
      <c r="C151" t="str">
        <f>VLOOKUP(A151,Hoja3!$A$2:$D$230,4,0)</f>
        <v>PLA</v>
      </c>
      <c r="D151" t="s">
        <v>1524</v>
      </c>
      <c r="E151" t="s">
        <v>1427</v>
      </c>
      <c r="F151" t="s">
        <v>1214</v>
      </c>
      <c r="G151" t="s">
        <v>1427</v>
      </c>
    </row>
    <row r="152" spans="1:7" x14ac:dyDescent="0.35">
      <c r="A152">
        <v>151</v>
      </c>
      <c r="B152" t="s">
        <v>1378</v>
      </c>
      <c r="C152" t="str">
        <f>VLOOKUP(A152,Hoja3!$A$2:$D$230,4,0)</f>
        <v>EXP</v>
      </c>
      <c r="D152" t="s">
        <v>1525</v>
      </c>
      <c r="E152" t="s">
        <v>11</v>
      </c>
      <c r="F152" t="s">
        <v>1281</v>
      </c>
      <c r="G152" t="s">
        <v>11</v>
      </c>
    </row>
    <row r="153" spans="1:7" x14ac:dyDescent="0.35">
      <c r="A153">
        <v>152</v>
      </c>
      <c r="B153" t="s">
        <v>1051</v>
      </c>
      <c r="C153" t="str">
        <f>VLOOKUP(A153,Hoja3!$A$2:$D$230,4,0)</f>
        <v>COM</v>
      </c>
      <c r="D153" t="s">
        <v>1526</v>
      </c>
      <c r="E153" t="s">
        <v>1429</v>
      </c>
      <c r="F153" t="s">
        <v>1611</v>
      </c>
      <c r="G153" t="s">
        <v>1429</v>
      </c>
    </row>
    <row r="154" spans="1:7" x14ac:dyDescent="0.35">
      <c r="A154">
        <v>153</v>
      </c>
      <c r="B154" t="s">
        <v>1379</v>
      </c>
      <c r="C154" t="str">
        <f>VLOOKUP(A154,Hoja3!$A$2:$D$230,4,0)</f>
        <v>COM</v>
      </c>
      <c r="D154" t="s">
        <v>1527</v>
      </c>
      <c r="E154" t="s">
        <v>1429</v>
      </c>
      <c r="F154" t="s">
        <v>1612</v>
      </c>
      <c r="G154" t="s">
        <v>1429</v>
      </c>
    </row>
    <row r="155" spans="1:7" x14ac:dyDescent="0.35">
      <c r="A155">
        <v>154</v>
      </c>
      <c r="B155" t="s">
        <v>1380</v>
      </c>
      <c r="C155" t="str">
        <f>VLOOKUP(A155,Hoja3!$A$2:$D$230,4,0)</f>
        <v>COM</v>
      </c>
      <c r="D155" t="s">
        <v>1528</v>
      </c>
      <c r="E155" t="s">
        <v>1429</v>
      </c>
      <c r="F155" t="s">
        <v>1613</v>
      </c>
      <c r="G155" t="s">
        <v>1429</v>
      </c>
    </row>
    <row r="156" spans="1:7" x14ac:dyDescent="0.35">
      <c r="A156">
        <v>155</v>
      </c>
      <c r="B156" t="s">
        <v>1381</v>
      </c>
      <c r="C156" t="str">
        <f>VLOOKUP(A156,Hoja3!$A$2:$D$230,4,0)</f>
        <v>COM</v>
      </c>
      <c r="D156" t="s">
        <v>1529</v>
      </c>
      <c r="E156" t="s">
        <v>1429</v>
      </c>
      <c r="F156" t="s">
        <v>1614</v>
      </c>
      <c r="G156" t="s">
        <v>1429</v>
      </c>
    </row>
    <row r="157" spans="1:7" x14ac:dyDescent="0.35">
      <c r="A157">
        <v>156</v>
      </c>
      <c r="B157" t="s">
        <v>1382</v>
      </c>
      <c r="C157" t="str">
        <f>VLOOKUP(A157,Hoja3!$A$2:$D$230,4,0)</f>
        <v>COM</v>
      </c>
      <c r="D157" t="s">
        <v>1530</v>
      </c>
      <c r="E157" t="s">
        <v>1429</v>
      </c>
      <c r="F157" t="s">
        <v>1615</v>
      </c>
      <c r="G157" t="s">
        <v>1429</v>
      </c>
    </row>
    <row r="158" spans="1:7" x14ac:dyDescent="0.35">
      <c r="A158">
        <v>157</v>
      </c>
      <c r="B158" t="s">
        <v>146</v>
      </c>
      <c r="C158" t="str">
        <f>VLOOKUP(A158,Hoja3!$A$2:$D$230,4,0)</f>
        <v>PLF</v>
      </c>
      <c r="D158" t="s">
        <v>1531</v>
      </c>
      <c r="E158" t="s">
        <v>275</v>
      </c>
      <c r="F158" t="s">
        <v>1258</v>
      </c>
      <c r="G158" t="s">
        <v>275</v>
      </c>
    </row>
    <row r="159" spans="1:7" x14ac:dyDescent="0.35">
      <c r="A159">
        <v>158</v>
      </c>
      <c r="B159" t="s">
        <v>685</v>
      </c>
      <c r="C159" t="str">
        <f>VLOOKUP(A159,Hoja3!$A$2:$D$230,4,0)</f>
        <v>PLF</v>
      </c>
      <c r="D159" t="s">
        <v>1532</v>
      </c>
      <c r="E159" t="s">
        <v>275</v>
      </c>
      <c r="F159" t="s">
        <v>1259</v>
      </c>
      <c r="G159" t="s">
        <v>275</v>
      </c>
    </row>
    <row r="160" spans="1:7" x14ac:dyDescent="0.35">
      <c r="A160">
        <v>159</v>
      </c>
      <c r="B160" t="s">
        <v>148</v>
      </c>
      <c r="C160" t="str">
        <f>VLOOKUP(A160,Hoja3!$A$2:$D$230,4,0)</f>
        <v>PLF</v>
      </c>
      <c r="D160" t="s">
        <v>1533</v>
      </c>
      <c r="E160" t="s">
        <v>275</v>
      </c>
      <c r="F160" t="s">
        <v>1260</v>
      </c>
      <c r="G160" t="s">
        <v>275</v>
      </c>
    </row>
    <row r="161" spans="1:7" x14ac:dyDescent="0.35">
      <c r="A161">
        <v>160</v>
      </c>
      <c r="B161" t="s">
        <v>686</v>
      </c>
      <c r="C161" t="str">
        <f>VLOOKUP(A161,Hoja3!$A$2:$D$230,4,0)</f>
        <v>PLF</v>
      </c>
      <c r="D161" t="s">
        <v>1534</v>
      </c>
      <c r="E161" t="s">
        <v>275</v>
      </c>
      <c r="F161" t="s">
        <v>1261</v>
      </c>
      <c r="G161" t="s">
        <v>275</v>
      </c>
    </row>
    <row r="162" spans="1:7" x14ac:dyDescent="0.35">
      <c r="A162">
        <v>161</v>
      </c>
      <c r="B162" t="s">
        <v>95</v>
      </c>
      <c r="C162" t="str">
        <f>VLOOKUP(A162,Hoja3!$A$2:$D$230,4,0)</f>
        <v>PLF</v>
      </c>
      <c r="D162" t="s">
        <v>1535</v>
      </c>
      <c r="E162" t="s">
        <v>275</v>
      </c>
      <c r="F162" t="s">
        <v>1262</v>
      </c>
      <c r="G162" t="s">
        <v>275</v>
      </c>
    </row>
    <row r="163" spans="1:7" x14ac:dyDescent="0.35">
      <c r="A163">
        <v>162</v>
      </c>
      <c r="B163" t="s">
        <v>687</v>
      </c>
      <c r="C163" t="str">
        <f>VLOOKUP(A163,Hoja3!$A$2:$D$230,4,0)</f>
        <v>PLF</v>
      </c>
      <c r="D163" t="s">
        <v>1536</v>
      </c>
      <c r="E163" t="s">
        <v>275</v>
      </c>
      <c r="F163" t="s">
        <v>1263</v>
      </c>
      <c r="G163" t="s">
        <v>275</v>
      </c>
    </row>
    <row r="164" spans="1:7" x14ac:dyDescent="0.35">
      <c r="A164">
        <v>163</v>
      </c>
      <c r="B164" t="s">
        <v>895</v>
      </c>
      <c r="C164" t="str">
        <f>VLOOKUP(A164,Hoja3!$A$2:$D$230,4,0)</f>
        <v>PLF</v>
      </c>
      <c r="D164" t="s">
        <v>1537</v>
      </c>
      <c r="E164" t="s">
        <v>275</v>
      </c>
      <c r="F164" t="s">
        <v>1264</v>
      </c>
      <c r="G164" t="s">
        <v>275</v>
      </c>
    </row>
    <row r="165" spans="1:7" x14ac:dyDescent="0.35">
      <c r="A165">
        <v>164</v>
      </c>
      <c r="B165" t="s">
        <v>1383</v>
      </c>
      <c r="C165" t="str">
        <f>VLOOKUP(A165,Hoja3!$A$2:$D$230,4,0)</f>
        <v>PLF</v>
      </c>
      <c r="D165" t="s">
        <v>1538</v>
      </c>
      <c r="E165" t="s">
        <v>275</v>
      </c>
      <c r="F165" t="s">
        <v>1265</v>
      </c>
      <c r="G165" t="s">
        <v>275</v>
      </c>
    </row>
    <row r="166" spans="1:7" x14ac:dyDescent="0.35">
      <c r="A166">
        <v>165</v>
      </c>
      <c r="B166" t="s">
        <v>1056</v>
      </c>
      <c r="C166" t="str">
        <f>VLOOKUP(A166,Hoja3!$A$2:$D$230,4,0)</f>
        <v>PLF</v>
      </c>
      <c r="D166" t="s">
        <v>1539</v>
      </c>
      <c r="E166" t="s">
        <v>275</v>
      </c>
      <c r="F166" t="s">
        <v>1266</v>
      </c>
      <c r="G166" t="s">
        <v>275</v>
      </c>
    </row>
    <row r="167" spans="1:7" x14ac:dyDescent="0.35">
      <c r="A167">
        <v>166</v>
      </c>
      <c r="B167" t="s">
        <v>1384</v>
      </c>
      <c r="C167" t="str">
        <f>VLOOKUP(A167,Hoja3!$A$2:$D$230,4,0)</f>
        <v>PLF</v>
      </c>
      <c r="D167" t="s">
        <v>903</v>
      </c>
      <c r="E167" t="s">
        <v>275</v>
      </c>
      <c r="F167" t="s">
        <v>1267</v>
      </c>
      <c r="G167" t="s">
        <v>275</v>
      </c>
    </row>
    <row r="168" spans="1:7" x14ac:dyDescent="0.35">
      <c r="A168">
        <v>167</v>
      </c>
      <c r="B168" t="s">
        <v>1385</v>
      </c>
      <c r="C168" t="str">
        <f>VLOOKUP(A168,Hoja3!$A$2:$D$230,4,0)</f>
        <v>PLF</v>
      </c>
      <c r="D168" t="s">
        <v>1060</v>
      </c>
      <c r="E168" t="s">
        <v>275</v>
      </c>
      <c r="F168" t="s">
        <v>1268</v>
      </c>
      <c r="G168" t="s">
        <v>275</v>
      </c>
    </row>
    <row r="169" spans="1:7" x14ac:dyDescent="0.35">
      <c r="A169">
        <v>168</v>
      </c>
      <c r="B169" t="s">
        <v>903</v>
      </c>
      <c r="C169" t="str">
        <f>VLOOKUP(A169,Hoja3!$A$2:$D$230,4,0)</f>
        <v>PLF</v>
      </c>
      <c r="D169" t="s">
        <v>903</v>
      </c>
      <c r="E169" t="s">
        <v>275</v>
      </c>
      <c r="F169" t="s">
        <v>1269</v>
      </c>
      <c r="G169" t="s">
        <v>275</v>
      </c>
    </row>
    <row r="170" spans="1:7" x14ac:dyDescent="0.35">
      <c r="A170">
        <v>169</v>
      </c>
      <c r="B170" t="s">
        <v>1059</v>
      </c>
      <c r="C170" t="str">
        <f>VLOOKUP(A170,Hoja3!$A$2:$D$230,4,0)</f>
        <v>PLF</v>
      </c>
      <c r="D170" t="s">
        <v>1059</v>
      </c>
      <c r="E170" t="s">
        <v>275</v>
      </c>
      <c r="F170" t="s">
        <v>1270</v>
      </c>
      <c r="G170" t="s">
        <v>275</v>
      </c>
    </row>
    <row r="171" spans="1:7" x14ac:dyDescent="0.35">
      <c r="A171">
        <v>170</v>
      </c>
      <c r="B171" t="s">
        <v>1060</v>
      </c>
      <c r="C171" t="str">
        <f>VLOOKUP(A171,Hoja3!$A$2:$D$230,4,0)</f>
        <v>PLF</v>
      </c>
      <c r="D171" t="s">
        <v>1060</v>
      </c>
      <c r="E171" t="s">
        <v>275</v>
      </c>
      <c r="F171" t="s">
        <v>1271</v>
      </c>
      <c r="G171" t="s">
        <v>275</v>
      </c>
    </row>
    <row r="172" spans="1:7" x14ac:dyDescent="0.35">
      <c r="A172">
        <v>171</v>
      </c>
      <c r="B172" t="s">
        <v>94</v>
      </c>
      <c r="C172" t="str">
        <f>VLOOKUP(A172,Hoja3!$A$2:$D$230,4,0)</f>
        <v>PLF</v>
      </c>
      <c r="D172" t="s">
        <v>1540</v>
      </c>
      <c r="E172" t="s">
        <v>275</v>
      </c>
      <c r="F172" t="s">
        <v>1272</v>
      </c>
      <c r="G172" t="s">
        <v>275</v>
      </c>
    </row>
    <row r="173" spans="1:7" x14ac:dyDescent="0.35">
      <c r="A173">
        <v>172</v>
      </c>
      <c r="B173" t="s">
        <v>95</v>
      </c>
      <c r="C173" t="str">
        <f>VLOOKUP(A173,Hoja3!$A$2:$D$230,4,0)</f>
        <v>PLF</v>
      </c>
      <c r="D173" t="s">
        <v>1541</v>
      </c>
      <c r="E173" t="s">
        <v>275</v>
      </c>
      <c r="F173" t="s">
        <v>1273</v>
      </c>
      <c r="G173" t="s">
        <v>275</v>
      </c>
    </row>
    <row r="174" spans="1:7" x14ac:dyDescent="0.35">
      <c r="A174">
        <v>173</v>
      </c>
      <c r="B174" t="s">
        <v>1061</v>
      </c>
      <c r="C174" t="str">
        <f>VLOOKUP(A174,Hoja3!$A$2:$D$230,4,0)</f>
        <v>PLF</v>
      </c>
      <c r="D174" t="s">
        <v>1542</v>
      </c>
      <c r="E174" t="s">
        <v>275</v>
      </c>
      <c r="F174" t="s">
        <v>1616</v>
      </c>
      <c r="G174" t="s">
        <v>275</v>
      </c>
    </row>
    <row r="175" spans="1:7" x14ac:dyDescent="0.35">
      <c r="A175">
        <v>174</v>
      </c>
      <c r="B175" t="s">
        <v>97</v>
      </c>
      <c r="C175" t="str">
        <f>VLOOKUP(A175,Hoja3!$A$2:$D$230,4,0)</f>
        <v>PLF</v>
      </c>
      <c r="D175" t="s">
        <v>1543</v>
      </c>
      <c r="E175" t="s">
        <v>275</v>
      </c>
      <c r="F175" t="s">
        <v>1617</v>
      </c>
      <c r="G175" t="s">
        <v>275</v>
      </c>
    </row>
    <row r="176" spans="1:7" x14ac:dyDescent="0.35">
      <c r="A176">
        <v>175</v>
      </c>
      <c r="B176" t="s">
        <v>98</v>
      </c>
      <c r="C176" t="str">
        <f>VLOOKUP(A176,Hoja3!$A$2:$D$230,4,0)</f>
        <v>PLF</v>
      </c>
      <c r="D176" t="s">
        <v>1544</v>
      </c>
      <c r="E176" t="s">
        <v>275</v>
      </c>
      <c r="F176" t="s">
        <v>1618</v>
      </c>
      <c r="G176" t="s">
        <v>275</v>
      </c>
    </row>
    <row r="177" spans="1:7" x14ac:dyDescent="0.35">
      <c r="A177">
        <v>176</v>
      </c>
      <c r="B177" t="s">
        <v>1062</v>
      </c>
      <c r="C177" t="str">
        <f>VLOOKUP(A177,Hoja3!$A$2:$D$230,4,0)</f>
        <v>EXP</v>
      </c>
      <c r="D177" t="s">
        <v>1062</v>
      </c>
      <c r="E177" t="s">
        <v>11</v>
      </c>
      <c r="F177" t="s">
        <v>1282</v>
      </c>
      <c r="G177" t="s">
        <v>11</v>
      </c>
    </row>
    <row r="178" spans="1:7" x14ac:dyDescent="0.35">
      <c r="A178">
        <v>177</v>
      </c>
      <c r="B178" t="s">
        <v>1386</v>
      </c>
      <c r="C178" t="str">
        <f>VLOOKUP(A178,Hoja3!$A$2:$D$230,4,0)</f>
        <v>EXP</v>
      </c>
      <c r="D178" t="s">
        <v>1545</v>
      </c>
      <c r="E178" t="s">
        <v>11</v>
      </c>
      <c r="F178" t="s">
        <v>1283</v>
      </c>
      <c r="G178" t="s">
        <v>11</v>
      </c>
    </row>
    <row r="179" spans="1:7" x14ac:dyDescent="0.35">
      <c r="A179">
        <v>178</v>
      </c>
      <c r="B179" t="s">
        <v>1064</v>
      </c>
      <c r="C179" t="str">
        <f>VLOOKUP(A179,Hoja3!$A$2:$D$230,4,0)</f>
        <v>EVC</v>
      </c>
      <c r="D179" t="s">
        <v>1546</v>
      </c>
      <c r="E179" t="s">
        <v>1431</v>
      </c>
      <c r="F179" t="s">
        <v>1320</v>
      </c>
      <c r="G179" t="s">
        <v>1431</v>
      </c>
    </row>
    <row r="180" spans="1:7" x14ac:dyDescent="0.35">
      <c r="A180">
        <v>179</v>
      </c>
      <c r="B180" t="s">
        <v>1065</v>
      </c>
      <c r="C180" t="str">
        <f>VLOOKUP(A180,Hoja3!$A$2:$D$230,4,0)</f>
        <v>EVC</v>
      </c>
      <c r="D180" t="s">
        <v>1547</v>
      </c>
      <c r="E180" t="s">
        <v>1431</v>
      </c>
      <c r="F180" t="s">
        <v>1321</v>
      </c>
      <c r="G180" t="s">
        <v>1431</v>
      </c>
    </row>
    <row r="181" spans="1:7" x14ac:dyDescent="0.35">
      <c r="A181">
        <v>180</v>
      </c>
      <c r="B181" t="s">
        <v>1066</v>
      </c>
      <c r="C181" t="str">
        <f>VLOOKUP(A181,Hoja3!$A$2:$D$230,4,0)</f>
        <v>EVC</v>
      </c>
      <c r="D181" t="s">
        <v>1066</v>
      </c>
      <c r="E181" t="s">
        <v>1431</v>
      </c>
      <c r="F181" t="s">
        <v>1322</v>
      </c>
      <c r="G181" t="s">
        <v>1431</v>
      </c>
    </row>
    <row r="182" spans="1:7" x14ac:dyDescent="0.35">
      <c r="A182">
        <v>181</v>
      </c>
      <c r="B182" t="s">
        <v>1068</v>
      </c>
      <c r="C182" t="str">
        <f>VLOOKUP(A182,Hoja3!$A$2:$D$230,4,0)</f>
        <v>EVC</v>
      </c>
      <c r="D182" t="s">
        <v>1548</v>
      </c>
      <c r="E182" t="s">
        <v>1431</v>
      </c>
      <c r="F182" t="s">
        <v>1323</v>
      </c>
      <c r="G182" t="s">
        <v>1431</v>
      </c>
    </row>
    <row r="183" spans="1:7" x14ac:dyDescent="0.35">
      <c r="A183">
        <v>182</v>
      </c>
      <c r="B183" t="s">
        <v>1387</v>
      </c>
      <c r="C183" t="str">
        <f>VLOOKUP(A183,Hoja3!$A$2:$D$230,4,0)</f>
        <v>EXP</v>
      </c>
      <c r="D183" t="s">
        <v>1549</v>
      </c>
      <c r="E183" t="s">
        <v>11</v>
      </c>
      <c r="F183" t="s">
        <v>1284</v>
      </c>
      <c r="G183" t="s">
        <v>11</v>
      </c>
    </row>
    <row r="184" spans="1:7" x14ac:dyDescent="0.35">
      <c r="A184">
        <v>183</v>
      </c>
      <c r="B184" t="s">
        <v>1070</v>
      </c>
      <c r="C184" t="str">
        <f>VLOOKUP(A184,Hoja3!$A$2:$D$230,4,0)</f>
        <v>EXP</v>
      </c>
      <c r="D184" t="s">
        <v>1550</v>
      </c>
      <c r="E184" t="s">
        <v>11</v>
      </c>
      <c r="F184" t="s">
        <v>1285</v>
      </c>
      <c r="G184" t="s">
        <v>11</v>
      </c>
    </row>
    <row r="185" spans="1:7" x14ac:dyDescent="0.35">
      <c r="A185">
        <v>184</v>
      </c>
      <c r="B185" t="s">
        <v>547</v>
      </c>
      <c r="C185" t="str">
        <f>VLOOKUP(A185,Hoja3!$A$2:$D$230,4,0)</f>
        <v>EXP</v>
      </c>
      <c r="D185" t="s">
        <v>1551</v>
      </c>
      <c r="E185" t="s">
        <v>11</v>
      </c>
      <c r="F185" t="s">
        <v>1286</v>
      </c>
      <c r="G185" t="s">
        <v>11</v>
      </c>
    </row>
    <row r="186" spans="1:7" x14ac:dyDescent="0.35">
      <c r="A186">
        <v>185</v>
      </c>
      <c r="B186" t="s">
        <v>1071</v>
      </c>
      <c r="C186" t="str">
        <f>VLOOKUP(A186,Hoja3!$A$2:$D$230,4,0)</f>
        <v>EXP</v>
      </c>
      <c r="D186" t="s">
        <v>1552</v>
      </c>
      <c r="E186" t="s">
        <v>11</v>
      </c>
      <c r="F186" t="s">
        <v>1287</v>
      </c>
      <c r="G186" t="s">
        <v>11</v>
      </c>
    </row>
    <row r="187" spans="1:7" x14ac:dyDescent="0.35">
      <c r="A187">
        <v>186</v>
      </c>
      <c r="B187" t="s">
        <v>1072</v>
      </c>
      <c r="C187" t="str">
        <f>VLOOKUP(A187,Hoja3!$A$2:$D$230,4,0)</f>
        <v>EXP</v>
      </c>
      <c r="D187" t="s">
        <v>1553</v>
      </c>
      <c r="E187" t="s">
        <v>11</v>
      </c>
      <c r="F187" t="s">
        <v>1288</v>
      </c>
      <c r="G187" t="s">
        <v>11</v>
      </c>
    </row>
    <row r="188" spans="1:7" x14ac:dyDescent="0.35">
      <c r="A188">
        <v>187</v>
      </c>
      <c r="B188" t="s">
        <v>1073</v>
      </c>
      <c r="C188" t="str">
        <f>VLOOKUP(A188,Hoja3!$A$2:$D$230,4,0)</f>
        <v>EXP</v>
      </c>
      <c r="D188" t="s">
        <v>1554</v>
      </c>
      <c r="E188" t="s">
        <v>11</v>
      </c>
      <c r="F188" t="s">
        <v>1289</v>
      </c>
      <c r="G188" t="s">
        <v>11</v>
      </c>
    </row>
    <row r="189" spans="1:7" x14ac:dyDescent="0.35">
      <c r="A189">
        <v>188</v>
      </c>
      <c r="B189" t="s">
        <v>1074</v>
      </c>
      <c r="C189" t="str">
        <f>VLOOKUP(A189,Hoja3!$A$2:$D$230,4,0)</f>
        <v>EXP</v>
      </c>
      <c r="D189" t="s">
        <v>1074</v>
      </c>
      <c r="E189" t="s">
        <v>11</v>
      </c>
      <c r="F189" t="s">
        <v>1290</v>
      </c>
      <c r="G189" t="s">
        <v>11</v>
      </c>
    </row>
    <row r="190" spans="1:7" x14ac:dyDescent="0.35">
      <c r="A190">
        <v>189</v>
      </c>
      <c r="B190" t="s">
        <v>1075</v>
      </c>
      <c r="C190" t="str">
        <f>VLOOKUP(A190,Hoja3!$A$2:$D$230,4,0)</f>
        <v>EMP</v>
      </c>
      <c r="D190" t="s">
        <v>1075</v>
      </c>
      <c r="E190" t="s">
        <v>14</v>
      </c>
      <c r="F190" t="s">
        <v>1330</v>
      </c>
      <c r="G190" t="s">
        <v>14</v>
      </c>
    </row>
    <row r="191" spans="1:7" x14ac:dyDescent="0.35">
      <c r="A191">
        <v>190</v>
      </c>
      <c r="B191" t="s">
        <v>1388</v>
      </c>
      <c r="C191" t="str">
        <f>VLOOKUP(A191,Hoja3!$A$2:$D$230,4,0)</f>
        <v>EVC</v>
      </c>
      <c r="D191" t="s">
        <v>1555</v>
      </c>
      <c r="E191" t="s">
        <v>1431</v>
      </c>
      <c r="F191" t="s">
        <v>1324</v>
      </c>
      <c r="G191" t="s">
        <v>1431</v>
      </c>
    </row>
    <row r="192" spans="1:7" x14ac:dyDescent="0.35">
      <c r="A192">
        <v>191</v>
      </c>
      <c r="B192" t="s">
        <v>1389</v>
      </c>
      <c r="C192" t="str">
        <f>VLOOKUP(A192,Hoja3!$A$2:$D$230,4,0)</f>
        <v>EVC</v>
      </c>
      <c r="D192" t="s">
        <v>1556</v>
      </c>
      <c r="E192" t="s">
        <v>1431</v>
      </c>
      <c r="F192" t="s">
        <v>1325</v>
      </c>
      <c r="G192" t="s">
        <v>1431</v>
      </c>
    </row>
    <row r="193" spans="1:7" x14ac:dyDescent="0.35">
      <c r="A193">
        <v>192</v>
      </c>
      <c r="B193" t="s">
        <v>1076</v>
      </c>
      <c r="C193" t="str">
        <f>VLOOKUP(A193,Hoja3!$A$2:$D$230,4,0)</f>
        <v>EXP</v>
      </c>
      <c r="D193" t="s">
        <v>1076</v>
      </c>
      <c r="E193" t="s">
        <v>11</v>
      </c>
      <c r="F193" t="s">
        <v>1291</v>
      </c>
      <c r="G193" t="s">
        <v>11</v>
      </c>
    </row>
    <row r="194" spans="1:7" x14ac:dyDescent="0.35">
      <c r="A194">
        <v>193</v>
      </c>
      <c r="B194" t="s">
        <v>1077</v>
      </c>
      <c r="C194" t="str">
        <f>VLOOKUP(A194,Hoja3!$A$2:$D$230,4,0)</f>
        <v>EXP</v>
      </c>
      <c r="D194" t="s">
        <v>1557</v>
      </c>
      <c r="E194" t="s">
        <v>11</v>
      </c>
      <c r="F194" t="s">
        <v>1292</v>
      </c>
      <c r="G194" t="s">
        <v>11</v>
      </c>
    </row>
    <row r="195" spans="1:7" x14ac:dyDescent="0.35">
      <c r="A195">
        <v>194</v>
      </c>
      <c r="B195" t="s">
        <v>1078</v>
      </c>
      <c r="C195" t="str">
        <f>VLOOKUP(A195,Hoja3!$A$2:$D$230,4,0)</f>
        <v>EXP</v>
      </c>
      <c r="D195" t="s">
        <v>1558</v>
      </c>
      <c r="E195" t="s">
        <v>11</v>
      </c>
      <c r="F195" t="s">
        <v>1293</v>
      </c>
      <c r="G195" t="s">
        <v>11</v>
      </c>
    </row>
    <row r="196" spans="1:7" x14ac:dyDescent="0.35">
      <c r="A196">
        <v>195</v>
      </c>
      <c r="B196" t="s">
        <v>1079</v>
      </c>
      <c r="C196" t="str">
        <f>VLOOKUP(A196,Hoja3!$A$2:$D$230,4,0)</f>
        <v>EXP</v>
      </c>
      <c r="D196" t="s">
        <v>1559</v>
      </c>
      <c r="E196" t="s">
        <v>11</v>
      </c>
      <c r="F196" t="s">
        <v>1294</v>
      </c>
      <c r="G196" t="s">
        <v>11</v>
      </c>
    </row>
    <row r="197" spans="1:7" x14ac:dyDescent="0.35">
      <c r="A197">
        <v>196</v>
      </c>
      <c r="B197" t="s">
        <v>1080</v>
      </c>
      <c r="C197" t="str">
        <f>VLOOKUP(A197,Hoja3!$A$2:$D$230,4,0)</f>
        <v>EXP</v>
      </c>
      <c r="D197" t="s">
        <v>1560</v>
      </c>
      <c r="E197" t="s">
        <v>11</v>
      </c>
      <c r="F197" t="s">
        <v>1295</v>
      </c>
      <c r="G197" t="s">
        <v>11</v>
      </c>
    </row>
    <row r="198" spans="1:7" x14ac:dyDescent="0.35">
      <c r="A198">
        <v>197</v>
      </c>
      <c r="B198" t="s">
        <v>1081</v>
      </c>
      <c r="C198" t="str">
        <f>VLOOKUP(A198,Hoja3!$A$2:$D$230,4,0)</f>
        <v>EXP</v>
      </c>
      <c r="D198" t="s">
        <v>1561</v>
      </c>
      <c r="E198" t="s">
        <v>11</v>
      </c>
      <c r="F198" t="s">
        <v>1296</v>
      </c>
      <c r="G198" t="s">
        <v>11</v>
      </c>
    </row>
    <row r="199" spans="1:7" x14ac:dyDescent="0.35">
      <c r="A199">
        <v>198</v>
      </c>
      <c r="B199" t="s">
        <v>1082</v>
      </c>
      <c r="C199" t="str">
        <f>VLOOKUP(A199,Hoja3!$A$2:$D$230,4,0)</f>
        <v>EXP</v>
      </c>
      <c r="D199" t="s">
        <v>1562</v>
      </c>
      <c r="E199" t="s">
        <v>11</v>
      </c>
      <c r="F199" t="s">
        <v>1297</v>
      </c>
      <c r="G199" t="s">
        <v>11</v>
      </c>
    </row>
    <row r="200" spans="1:7" x14ac:dyDescent="0.35">
      <c r="A200">
        <v>199</v>
      </c>
      <c r="B200" t="s">
        <v>1390</v>
      </c>
      <c r="C200" t="str">
        <f>VLOOKUP(A200,Hoja3!$A$2:$D$230,4,0)</f>
        <v>EXP</v>
      </c>
      <c r="D200" t="s">
        <v>1563</v>
      </c>
      <c r="E200" t="s">
        <v>11</v>
      </c>
      <c r="F200" t="s">
        <v>1298</v>
      </c>
      <c r="G200" t="s">
        <v>11</v>
      </c>
    </row>
    <row r="201" spans="1:7" x14ac:dyDescent="0.35">
      <c r="A201">
        <v>200</v>
      </c>
      <c r="B201" t="s">
        <v>1084</v>
      </c>
      <c r="C201" t="str">
        <f>VLOOKUP(A201,Hoja3!$A$2:$D$230,4,0)</f>
        <v>EXP</v>
      </c>
      <c r="D201" t="s">
        <v>1564</v>
      </c>
      <c r="E201" t="s">
        <v>11</v>
      </c>
      <c r="F201" t="s">
        <v>1299</v>
      </c>
      <c r="G201" t="s">
        <v>11</v>
      </c>
    </row>
    <row r="202" spans="1:7" x14ac:dyDescent="0.35">
      <c r="A202">
        <v>201</v>
      </c>
      <c r="B202" t="s">
        <v>1391</v>
      </c>
      <c r="C202" t="str">
        <f>VLOOKUP(A202,Hoja3!$A$2:$D$230,4,0)</f>
        <v>EXP</v>
      </c>
      <c r="D202" t="s">
        <v>1565</v>
      </c>
      <c r="E202" t="s">
        <v>11</v>
      </c>
      <c r="F202" t="s">
        <v>1300</v>
      </c>
      <c r="G202" t="s">
        <v>11</v>
      </c>
    </row>
    <row r="203" spans="1:7" x14ac:dyDescent="0.35">
      <c r="A203">
        <v>202</v>
      </c>
      <c r="B203" t="s">
        <v>1392</v>
      </c>
      <c r="C203" t="str">
        <f>VLOOKUP(A203,Hoja3!$A$2:$D$230,4,0)</f>
        <v>EXP</v>
      </c>
      <c r="D203" t="s">
        <v>1566</v>
      </c>
      <c r="E203" t="s">
        <v>11</v>
      </c>
      <c r="F203" t="s">
        <v>1301</v>
      </c>
      <c r="G203" t="s">
        <v>11</v>
      </c>
    </row>
    <row r="204" spans="1:7" x14ac:dyDescent="0.35">
      <c r="A204">
        <v>203</v>
      </c>
      <c r="B204" t="s">
        <v>711</v>
      </c>
      <c r="C204" t="str">
        <f>VLOOKUP(A204,Hoja3!$A$2:$D$230,4,0)</f>
        <v>EXP</v>
      </c>
      <c r="D204" t="s">
        <v>1567</v>
      </c>
      <c r="E204" t="s">
        <v>11</v>
      </c>
      <c r="F204" t="s">
        <v>1302</v>
      </c>
      <c r="G204" t="s">
        <v>11</v>
      </c>
    </row>
    <row r="205" spans="1:7" x14ac:dyDescent="0.35">
      <c r="A205">
        <v>204</v>
      </c>
      <c r="B205" t="s">
        <v>1086</v>
      </c>
      <c r="C205" t="str">
        <f>VLOOKUP(A205,Hoja3!$A$2:$D$230,4,0)</f>
        <v>EXP</v>
      </c>
      <c r="D205" t="s">
        <v>557</v>
      </c>
      <c r="E205" t="s">
        <v>11</v>
      </c>
      <c r="F205" t="s">
        <v>1303</v>
      </c>
      <c r="G205" t="s">
        <v>11</v>
      </c>
    </row>
    <row r="206" spans="1:7" x14ac:dyDescent="0.35">
      <c r="A206">
        <v>205</v>
      </c>
      <c r="B206" t="s">
        <v>558</v>
      </c>
      <c r="C206" t="str">
        <f>VLOOKUP(A206,Hoja3!$A$2:$D$230,4,0)</f>
        <v>EXP</v>
      </c>
      <c r="D206" t="s">
        <v>1568</v>
      </c>
      <c r="E206" t="s">
        <v>11</v>
      </c>
      <c r="F206" t="s">
        <v>1304</v>
      </c>
      <c r="G206" t="s">
        <v>11</v>
      </c>
    </row>
    <row r="207" spans="1:7" x14ac:dyDescent="0.35">
      <c r="A207">
        <v>206</v>
      </c>
      <c r="B207" t="s">
        <v>1393</v>
      </c>
      <c r="C207" t="str">
        <f>VLOOKUP(A207,Hoja3!$A$2:$D$230,4,0)</f>
        <v>EXP</v>
      </c>
      <c r="D207" t="s">
        <v>1393</v>
      </c>
      <c r="E207" t="s">
        <v>11</v>
      </c>
      <c r="F207" t="s">
        <v>1305</v>
      </c>
      <c r="G207" t="s">
        <v>11</v>
      </c>
    </row>
    <row r="208" spans="1:7" x14ac:dyDescent="0.35">
      <c r="A208">
        <v>207</v>
      </c>
      <c r="B208" t="s">
        <v>1394</v>
      </c>
      <c r="C208" t="str">
        <f>VLOOKUP(A208,Hoja3!$A$2:$D$230,4,0)</f>
        <v>EXP</v>
      </c>
      <c r="D208" t="s">
        <v>1569</v>
      </c>
      <c r="E208" t="s">
        <v>11</v>
      </c>
      <c r="F208" t="s">
        <v>1306</v>
      </c>
      <c r="G208" t="s">
        <v>11</v>
      </c>
    </row>
    <row r="209" spans="1:7" x14ac:dyDescent="0.35">
      <c r="A209">
        <v>208</v>
      </c>
      <c r="B209" t="s">
        <v>1395</v>
      </c>
      <c r="C209" t="str">
        <f>VLOOKUP(A209,Hoja3!$A$2:$D$230,4,0)</f>
        <v>EXP</v>
      </c>
      <c r="D209" t="s">
        <v>1570</v>
      </c>
      <c r="E209" t="s">
        <v>11</v>
      </c>
      <c r="F209" t="s">
        <v>1307</v>
      </c>
      <c r="G209" t="s">
        <v>11</v>
      </c>
    </row>
    <row r="210" spans="1:7" x14ac:dyDescent="0.35">
      <c r="A210">
        <v>209</v>
      </c>
      <c r="B210" t="s">
        <v>1089</v>
      </c>
      <c r="C210" t="str">
        <f>VLOOKUP(A210,Hoja3!$A$2:$D$230,4,0)</f>
        <v>EXP</v>
      </c>
      <c r="D210" t="s">
        <v>1571</v>
      </c>
      <c r="E210" t="s">
        <v>11</v>
      </c>
      <c r="F210" t="s">
        <v>1308</v>
      </c>
      <c r="G210" t="s">
        <v>11</v>
      </c>
    </row>
    <row r="211" spans="1:7" x14ac:dyDescent="0.35">
      <c r="A211">
        <v>210</v>
      </c>
      <c r="B211" t="s">
        <v>1091</v>
      </c>
      <c r="C211" t="str">
        <f>VLOOKUP(A211,Hoja3!$A$2:$D$230,4,0)</f>
        <v>EXP</v>
      </c>
      <c r="D211" t="s">
        <v>1572</v>
      </c>
      <c r="E211" t="s">
        <v>11</v>
      </c>
      <c r="F211" t="s">
        <v>1309</v>
      </c>
      <c r="G211" t="s">
        <v>11</v>
      </c>
    </row>
    <row r="212" spans="1:7" x14ac:dyDescent="0.35">
      <c r="A212">
        <v>211</v>
      </c>
      <c r="B212" t="s">
        <v>1092</v>
      </c>
      <c r="C212" t="str">
        <f>VLOOKUP(A212,Hoja3!$A$2:$D$230,4,0)</f>
        <v>EXP</v>
      </c>
      <c r="D212" t="s">
        <v>1573</v>
      </c>
      <c r="E212" t="s">
        <v>11</v>
      </c>
      <c r="F212" t="s">
        <v>1310</v>
      </c>
      <c r="G212" t="s">
        <v>11</v>
      </c>
    </row>
    <row r="213" spans="1:7" x14ac:dyDescent="0.35">
      <c r="A213">
        <v>212</v>
      </c>
      <c r="B213" t="s">
        <v>1093</v>
      </c>
      <c r="C213" t="str">
        <f>VLOOKUP(A213,Hoja3!$A$2:$D$230,4,0)</f>
        <v>EXP</v>
      </c>
      <c r="D213" t="s">
        <v>1574</v>
      </c>
      <c r="E213" t="s">
        <v>11</v>
      </c>
      <c r="F213" t="s">
        <v>1311</v>
      </c>
      <c r="G213" t="s">
        <v>11</v>
      </c>
    </row>
    <row r="214" spans="1:7" x14ac:dyDescent="0.35">
      <c r="A214">
        <v>213</v>
      </c>
      <c r="B214" t="s">
        <v>1094</v>
      </c>
      <c r="C214" t="str">
        <f>VLOOKUP(A214,Hoja3!$A$2:$D$230,4,0)</f>
        <v>EXP</v>
      </c>
      <c r="D214" t="s">
        <v>1575</v>
      </c>
      <c r="E214" t="s">
        <v>11</v>
      </c>
      <c r="F214" t="s">
        <v>1312</v>
      </c>
      <c r="G214" t="s">
        <v>11</v>
      </c>
    </row>
    <row r="215" spans="1:7" x14ac:dyDescent="0.35">
      <c r="A215">
        <v>214</v>
      </c>
      <c r="B215" t="s">
        <v>105</v>
      </c>
      <c r="C215" t="str">
        <f>VLOOKUP(A215,Hoja3!$A$2:$D$230,4,0)</f>
        <v>EVC</v>
      </c>
      <c r="D215" t="s">
        <v>105</v>
      </c>
      <c r="E215" t="s">
        <v>1431</v>
      </c>
      <c r="F215" t="s">
        <v>1619</v>
      </c>
      <c r="G215" t="s">
        <v>1431</v>
      </c>
    </row>
    <row r="216" spans="1:7" x14ac:dyDescent="0.35">
      <c r="A216">
        <v>215</v>
      </c>
      <c r="B216" t="s">
        <v>106</v>
      </c>
      <c r="C216" t="str">
        <f>VLOOKUP(A216,Hoja3!$A$2:$D$230,4,0)</f>
        <v>EVC</v>
      </c>
      <c r="D216" t="s">
        <v>106</v>
      </c>
      <c r="E216" t="s">
        <v>1431</v>
      </c>
      <c r="F216" t="s">
        <v>1620</v>
      </c>
      <c r="G216" t="s">
        <v>1431</v>
      </c>
    </row>
    <row r="217" spans="1:7" x14ac:dyDescent="0.35">
      <c r="A217">
        <v>216</v>
      </c>
      <c r="B217" t="s">
        <v>1420</v>
      </c>
      <c r="C217" t="str">
        <f>VLOOKUP(A217,Hoja3!$A$2:$D$230,4,0)</f>
        <v>EVC</v>
      </c>
      <c r="D217" t="s">
        <v>1576</v>
      </c>
      <c r="E217" t="s">
        <v>1431</v>
      </c>
      <c r="F217" t="s">
        <v>1621</v>
      </c>
      <c r="G217" t="s">
        <v>1431</v>
      </c>
    </row>
    <row r="218" spans="1:7" x14ac:dyDescent="0.35">
      <c r="A218">
        <v>217</v>
      </c>
      <c r="B218" t="s">
        <v>1100</v>
      </c>
      <c r="C218" t="str">
        <f>VLOOKUP(A218,Hoja3!$A$2:$D$230,4,0)</f>
        <v>FAB</v>
      </c>
      <c r="D218" t="s">
        <v>1577</v>
      </c>
      <c r="E218" t="s">
        <v>13</v>
      </c>
      <c r="F218" t="s">
        <v>1622</v>
      </c>
      <c r="G218" t="s">
        <v>13</v>
      </c>
    </row>
    <row r="219" spans="1:7" x14ac:dyDescent="0.35">
      <c r="A219">
        <v>218</v>
      </c>
      <c r="B219" t="s">
        <v>1396</v>
      </c>
      <c r="C219" t="str">
        <f>VLOOKUP(A219,Hoja3!$A$2:$D$230,4,0)</f>
        <v>EMP</v>
      </c>
      <c r="D219" t="s">
        <v>1578</v>
      </c>
      <c r="E219" t="s">
        <v>14</v>
      </c>
      <c r="F219" t="s">
        <v>1331</v>
      </c>
      <c r="G219" t="s">
        <v>14</v>
      </c>
    </row>
    <row r="220" spans="1:7" x14ac:dyDescent="0.35">
      <c r="A220">
        <v>219</v>
      </c>
      <c r="B220" t="s">
        <v>1102</v>
      </c>
      <c r="C220" t="str">
        <f>VLOOKUP(A220,Hoja3!$A$2:$D$230,4,0)</f>
        <v>EMP</v>
      </c>
      <c r="D220" t="s">
        <v>1579</v>
      </c>
      <c r="E220" t="s">
        <v>14</v>
      </c>
      <c r="F220" t="s">
        <v>1623</v>
      </c>
      <c r="G220" t="s">
        <v>14</v>
      </c>
    </row>
    <row r="221" spans="1:7" x14ac:dyDescent="0.35">
      <c r="A221">
        <v>220</v>
      </c>
      <c r="B221" t="s">
        <v>111</v>
      </c>
      <c r="C221" t="str">
        <f>VLOOKUP(A221,Hoja3!$A$2:$D$230,4,0)</f>
        <v>EMP</v>
      </c>
      <c r="D221" t="s">
        <v>111</v>
      </c>
      <c r="E221" t="s">
        <v>14</v>
      </c>
      <c r="F221" t="s">
        <v>1624</v>
      </c>
      <c r="G221" t="s">
        <v>14</v>
      </c>
    </row>
    <row r="222" spans="1:7" x14ac:dyDescent="0.35">
      <c r="A222">
        <v>221</v>
      </c>
      <c r="B222" t="s">
        <v>1103</v>
      </c>
      <c r="C222" t="str">
        <f>VLOOKUP(A222,Hoja3!$A$2:$D$230,4,0)</f>
        <v>EMP</v>
      </c>
      <c r="D222" t="s">
        <v>1580</v>
      </c>
      <c r="E222" t="s">
        <v>14</v>
      </c>
      <c r="F222" t="s">
        <v>1625</v>
      </c>
      <c r="G222" t="s">
        <v>14</v>
      </c>
    </row>
    <row r="223" spans="1:7" x14ac:dyDescent="0.35">
      <c r="A223">
        <v>222</v>
      </c>
      <c r="B223" t="s">
        <v>113</v>
      </c>
      <c r="C223" t="str">
        <f>VLOOKUP(A223,Hoja3!$A$2:$D$230,4,0)</f>
        <v>EMP</v>
      </c>
      <c r="D223" t="s">
        <v>113</v>
      </c>
      <c r="E223" t="s">
        <v>14</v>
      </c>
      <c r="F223" t="s">
        <v>1626</v>
      </c>
      <c r="G223" t="s">
        <v>14</v>
      </c>
    </row>
    <row r="224" spans="1:7" x14ac:dyDescent="0.35">
      <c r="A224">
        <v>223</v>
      </c>
      <c r="B224" t="s">
        <v>1397</v>
      </c>
      <c r="C224" t="str">
        <f>VLOOKUP(A224,Hoja3!$A$2:$D$230,4,0)</f>
        <v>INSTI</v>
      </c>
      <c r="D224" t="s">
        <v>1581</v>
      </c>
      <c r="E224" t="s">
        <v>15</v>
      </c>
      <c r="F224" t="s">
        <v>1334</v>
      </c>
      <c r="G224" t="s">
        <v>15</v>
      </c>
    </row>
    <row r="225" spans="1:7" x14ac:dyDescent="0.35">
      <c r="A225">
        <v>224</v>
      </c>
      <c r="B225" t="s">
        <v>1421</v>
      </c>
      <c r="C225" t="str">
        <f>VLOOKUP(A225,Hoja3!$A$2:$D$230,4,0)</f>
        <v>INSTI</v>
      </c>
      <c r="D225" t="s">
        <v>1582</v>
      </c>
      <c r="E225" t="s">
        <v>15</v>
      </c>
      <c r="F225" t="s">
        <v>1627</v>
      </c>
      <c r="G225" t="s">
        <v>15</v>
      </c>
    </row>
    <row r="226" spans="1:7" x14ac:dyDescent="0.35">
      <c r="A226">
        <v>225</v>
      </c>
      <c r="B226" t="s">
        <v>1422</v>
      </c>
      <c r="C226" t="str">
        <f>VLOOKUP(A226,Hoja3!$A$2:$D$230,4,0)</f>
        <v>EXP</v>
      </c>
      <c r="D226" t="s">
        <v>1583</v>
      </c>
      <c r="E226" t="s">
        <v>11</v>
      </c>
      <c r="F226" t="s">
        <v>1313</v>
      </c>
      <c r="G226" t="s">
        <v>11</v>
      </c>
    </row>
    <row r="227" spans="1:7" x14ac:dyDescent="0.35">
      <c r="A227">
        <v>226</v>
      </c>
      <c r="B227" t="s">
        <v>1423</v>
      </c>
      <c r="C227" t="str">
        <f>VLOOKUP(A227,Hoja3!$A$2:$D$230,4,0)</f>
        <v>EXP</v>
      </c>
      <c r="D227" t="s">
        <v>1584</v>
      </c>
      <c r="E227" t="s">
        <v>11</v>
      </c>
      <c r="F227" t="s">
        <v>1314</v>
      </c>
      <c r="G227" t="s">
        <v>11</v>
      </c>
    </row>
    <row r="228" spans="1:7" x14ac:dyDescent="0.35">
      <c r="A228">
        <v>227</v>
      </c>
      <c r="B228" t="s">
        <v>1398</v>
      </c>
      <c r="C228" t="str">
        <f>VLOOKUP(A228,Hoja3!$A$2:$D$230,4,0)</f>
        <v>INSTI</v>
      </c>
      <c r="D228" t="s">
        <v>1585</v>
      </c>
      <c r="E228" t="s">
        <v>15</v>
      </c>
      <c r="F228" t="s">
        <v>1628</v>
      </c>
      <c r="G228" t="s">
        <v>15</v>
      </c>
    </row>
    <row r="229" spans="1:7" x14ac:dyDescent="0.35">
      <c r="A229">
        <v>228</v>
      </c>
      <c r="B229" t="s">
        <v>1424</v>
      </c>
      <c r="C229" t="str">
        <f>VLOOKUP(A229,Hoja3!$A$2:$D$230,4,0)</f>
        <v>INSTI</v>
      </c>
      <c r="D229" t="s">
        <v>1586</v>
      </c>
      <c r="E229" t="s">
        <v>15</v>
      </c>
      <c r="F229" t="s">
        <v>1629</v>
      </c>
      <c r="G229" t="s">
        <v>15</v>
      </c>
    </row>
    <row r="230" spans="1:7" x14ac:dyDescent="0.35">
      <c r="A230">
        <v>229</v>
      </c>
      <c r="B230" t="s">
        <v>1425</v>
      </c>
      <c r="C230" t="str">
        <f>VLOOKUP(A230,Hoja3!$A$2:$D$230,4,0)</f>
        <v>INSTI</v>
      </c>
      <c r="D230" t="s">
        <v>1587</v>
      </c>
      <c r="E230" t="s">
        <v>15</v>
      </c>
      <c r="F230" t="s">
        <v>1630</v>
      </c>
      <c r="G230" t="s">
        <v>15</v>
      </c>
    </row>
  </sheetData>
  <autoFilter ref="A1:F230" xr:uid="{62C623E9-5113-401A-9C29-B706D003AE6D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6F8B-AB88-4BE9-A980-02B56522B5A3}">
  <dimension ref="A1:D230"/>
  <sheetViews>
    <sheetView topLeftCell="A212" workbookViewId="0">
      <selection activeCell="B15" sqref="B15"/>
    </sheetView>
  </sheetViews>
  <sheetFormatPr baseColWidth="10" defaultRowHeight="14.5" x14ac:dyDescent="0.35"/>
  <cols>
    <col min="1" max="1" width="4.453125" bestFit="1" customWidth="1"/>
    <col min="2" max="2" width="113.7265625" bestFit="1" customWidth="1"/>
    <col min="3" max="3" width="13.54296875" customWidth="1"/>
    <col min="4" max="4" width="4.90625" bestFit="1" customWidth="1"/>
  </cols>
  <sheetData>
    <row r="1" spans="1:4" x14ac:dyDescent="0.35">
      <c r="A1" t="s">
        <v>1438</v>
      </c>
      <c r="B1" t="s">
        <v>1107</v>
      </c>
      <c r="C1" t="s">
        <v>1439</v>
      </c>
      <c r="D1" t="s">
        <v>1440</v>
      </c>
    </row>
    <row r="2" spans="1:4" x14ac:dyDescent="0.35">
      <c r="A2">
        <v>1</v>
      </c>
      <c r="B2" t="s">
        <v>723</v>
      </c>
      <c r="C2" t="s">
        <v>0</v>
      </c>
      <c r="D2" t="s">
        <v>1110</v>
      </c>
    </row>
    <row r="3" spans="1:4" x14ac:dyDescent="0.35">
      <c r="A3">
        <v>2</v>
      </c>
      <c r="B3" t="s">
        <v>985</v>
      </c>
      <c r="C3" t="s">
        <v>0</v>
      </c>
      <c r="D3" t="s">
        <v>1110</v>
      </c>
    </row>
    <row r="4" spans="1:4" x14ac:dyDescent="0.35">
      <c r="A4">
        <v>3</v>
      </c>
      <c r="B4" t="s">
        <v>986</v>
      </c>
      <c r="C4" t="s">
        <v>0</v>
      </c>
      <c r="D4" t="s">
        <v>1110</v>
      </c>
    </row>
    <row r="5" spans="1:4" x14ac:dyDescent="0.35">
      <c r="A5">
        <v>4</v>
      </c>
      <c r="B5" t="s">
        <v>628</v>
      </c>
      <c r="C5" t="s">
        <v>0</v>
      </c>
      <c r="D5" t="s">
        <v>1110</v>
      </c>
    </row>
    <row r="6" spans="1:4" x14ac:dyDescent="0.35">
      <c r="A6">
        <v>5</v>
      </c>
      <c r="B6" t="s">
        <v>987</v>
      </c>
      <c r="C6" t="s">
        <v>0</v>
      </c>
      <c r="D6" t="s">
        <v>1110</v>
      </c>
    </row>
    <row r="7" spans="1:4" x14ac:dyDescent="0.35">
      <c r="A7">
        <v>6</v>
      </c>
      <c r="B7" t="s">
        <v>725</v>
      </c>
      <c r="C7" t="s">
        <v>0</v>
      </c>
      <c r="D7" t="s">
        <v>1110</v>
      </c>
    </row>
    <row r="8" spans="1:4" x14ac:dyDescent="0.35">
      <c r="A8">
        <v>7</v>
      </c>
      <c r="B8" t="s">
        <v>726</v>
      </c>
      <c r="C8" t="s">
        <v>0</v>
      </c>
      <c r="D8" t="s">
        <v>1110</v>
      </c>
    </row>
    <row r="9" spans="1:4" x14ac:dyDescent="0.35">
      <c r="A9">
        <v>8</v>
      </c>
      <c r="B9" t="s">
        <v>988</v>
      </c>
      <c r="C9" t="s">
        <v>0</v>
      </c>
      <c r="D9" t="s">
        <v>1110</v>
      </c>
    </row>
    <row r="10" spans="1:4" x14ac:dyDescent="0.35">
      <c r="A10">
        <v>9</v>
      </c>
      <c r="B10" t="s">
        <v>728</v>
      </c>
      <c r="C10" t="s">
        <v>0</v>
      </c>
      <c r="D10" t="s">
        <v>1110</v>
      </c>
    </row>
    <row r="11" spans="1:4" x14ac:dyDescent="0.35">
      <c r="A11">
        <v>10</v>
      </c>
      <c r="B11" t="s">
        <v>26</v>
      </c>
      <c r="C11" t="s">
        <v>0</v>
      </c>
      <c r="D11" t="s">
        <v>1110</v>
      </c>
    </row>
    <row r="12" spans="1:4" x14ac:dyDescent="0.35">
      <c r="A12">
        <v>11</v>
      </c>
      <c r="B12" t="s">
        <v>989</v>
      </c>
      <c r="C12" t="s">
        <v>0</v>
      </c>
      <c r="D12" t="s">
        <v>1110</v>
      </c>
    </row>
    <row r="13" spans="1:4" x14ac:dyDescent="0.35">
      <c r="A13">
        <v>12</v>
      </c>
      <c r="B13" t="s">
        <v>990</v>
      </c>
      <c r="C13" t="s">
        <v>0</v>
      </c>
      <c r="D13" t="s">
        <v>1110</v>
      </c>
    </row>
    <row r="14" spans="1:4" x14ac:dyDescent="0.35">
      <c r="A14">
        <v>13</v>
      </c>
      <c r="B14" t="s">
        <v>991</v>
      </c>
      <c r="C14" t="s">
        <v>0</v>
      </c>
      <c r="D14" t="s">
        <v>1110</v>
      </c>
    </row>
    <row r="15" spans="1:4" x14ac:dyDescent="0.35">
      <c r="A15">
        <v>14</v>
      </c>
      <c r="B15" t="s">
        <v>629</v>
      </c>
      <c r="C15" t="s">
        <v>0</v>
      </c>
      <c r="D15" t="s">
        <v>1110</v>
      </c>
    </row>
    <row r="16" spans="1:4" x14ac:dyDescent="0.35">
      <c r="A16">
        <v>15</v>
      </c>
      <c r="B16" t="s">
        <v>992</v>
      </c>
      <c r="C16" t="s">
        <v>0</v>
      </c>
      <c r="D16" t="s">
        <v>1110</v>
      </c>
    </row>
    <row r="17" spans="1:4" x14ac:dyDescent="0.35">
      <c r="A17">
        <v>16</v>
      </c>
      <c r="B17" t="s">
        <v>1346</v>
      </c>
      <c r="C17" t="s">
        <v>1121</v>
      </c>
      <c r="D17" t="s">
        <v>1121</v>
      </c>
    </row>
    <row r="18" spans="1:4" x14ac:dyDescent="0.35">
      <c r="A18">
        <v>17</v>
      </c>
      <c r="B18" t="s">
        <v>1369</v>
      </c>
      <c r="C18" t="s">
        <v>1121</v>
      </c>
      <c r="D18" t="s">
        <v>1121</v>
      </c>
    </row>
    <row r="19" spans="1:4" x14ac:dyDescent="0.35">
      <c r="A19">
        <v>18</v>
      </c>
      <c r="B19" t="s">
        <v>1348</v>
      </c>
      <c r="C19" t="s">
        <v>1121</v>
      </c>
      <c r="D19" t="s">
        <v>1121</v>
      </c>
    </row>
    <row r="20" spans="1:4" x14ac:dyDescent="0.35">
      <c r="A20">
        <v>19</v>
      </c>
      <c r="B20" t="s">
        <v>1441</v>
      </c>
      <c r="C20" t="s">
        <v>1110</v>
      </c>
      <c r="D20" t="s">
        <v>1110</v>
      </c>
    </row>
    <row r="21" spans="1:4" x14ac:dyDescent="0.35">
      <c r="A21">
        <v>20</v>
      </c>
      <c r="B21" t="s">
        <v>1442</v>
      </c>
      <c r="C21" t="s">
        <v>1110</v>
      </c>
      <c r="D21" t="s">
        <v>1110</v>
      </c>
    </row>
    <row r="22" spans="1:4" x14ac:dyDescent="0.35">
      <c r="A22">
        <v>21</v>
      </c>
      <c r="B22" t="s">
        <v>1346</v>
      </c>
      <c r="C22" t="s">
        <v>1121</v>
      </c>
      <c r="D22" t="s">
        <v>1121</v>
      </c>
    </row>
    <row r="23" spans="1:4" x14ac:dyDescent="0.35">
      <c r="A23">
        <v>22</v>
      </c>
      <c r="B23" t="s">
        <v>1369</v>
      </c>
      <c r="C23" t="s">
        <v>1121</v>
      </c>
      <c r="D23" t="s">
        <v>1121</v>
      </c>
    </row>
    <row r="24" spans="1:4" x14ac:dyDescent="0.35">
      <c r="A24">
        <v>23</v>
      </c>
      <c r="B24" t="s">
        <v>1348</v>
      </c>
      <c r="C24" t="s">
        <v>1121</v>
      </c>
      <c r="D24" t="s">
        <v>1121</v>
      </c>
    </row>
    <row r="25" spans="1:4" x14ac:dyDescent="0.35">
      <c r="A25">
        <v>24</v>
      </c>
      <c r="B25" t="s">
        <v>996</v>
      </c>
      <c r="C25" t="s">
        <v>1118</v>
      </c>
      <c r="D25" t="s">
        <v>1118</v>
      </c>
    </row>
    <row r="26" spans="1:4" x14ac:dyDescent="0.35">
      <c r="A26">
        <v>25</v>
      </c>
      <c r="B26" t="s">
        <v>1350</v>
      </c>
      <c r="C26" t="s">
        <v>1118</v>
      </c>
      <c r="D26" t="s">
        <v>1118</v>
      </c>
    </row>
    <row r="27" spans="1:4" x14ac:dyDescent="0.35">
      <c r="A27">
        <v>26</v>
      </c>
      <c r="B27" t="s">
        <v>996</v>
      </c>
      <c r="C27" t="s">
        <v>1118</v>
      </c>
      <c r="D27" t="s">
        <v>1118</v>
      </c>
    </row>
    <row r="28" spans="1:4" x14ac:dyDescent="0.35">
      <c r="A28">
        <v>27</v>
      </c>
      <c r="B28" t="s">
        <v>1350</v>
      </c>
      <c r="C28" t="s">
        <v>1118</v>
      </c>
      <c r="D28" t="s">
        <v>1118</v>
      </c>
    </row>
    <row r="29" spans="1:4" x14ac:dyDescent="0.35">
      <c r="A29">
        <v>28</v>
      </c>
      <c r="B29" t="s">
        <v>741</v>
      </c>
      <c r="C29" t="s">
        <v>1123</v>
      </c>
      <c r="D29" t="s">
        <v>1123</v>
      </c>
    </row>
    <row r="30" spans="1:4" x14ac:dyDescent="0.35">
      <c r="A30">
        <v>29</v>
      </c>
      <c r="B30" t="s">
        <v>731</v>
      </c>
      <c r="C30" t="s">
        <v>1123</v>
      </c>
      <c r="D30" t="s">
        <v>1123</v>
      </c>
    </row>
    <row r="31" spans="1:4" x14ac:dyDescent="0.35">
      <c r="A31">
        <v>30</v>
      </c>
      <c r="B31" t="s">
        <v>732</v>
      </c>
      <c r="C31" t="s">
        <v>1120</v>
      </c>
      <c r="D31" t="s">
        <v>1120</v>
      </c>
    </row>
    <row r="32" spans="1:4" x14ac:dyDescent="0.35">
      <c r="A32">
        <v>31</v>
      </c>
      <c r="B32" t="s">
        <v>1443</v>
      </c>
      <c r="C32" t="s">
        <v>1120</v>
      </c>
      <c r="D32" t="s">
        <v>1120</v>
      </c>
    </row>
    <row r="33" spans="1:4" x14ac:dyDescent="0.35">
      <c r="A33">
        <v>32</v>
      </c>
      <c r="B33" t="s">
        <v>1444</v>
      </c>
      <c r="C33" t="s">
        <v>1110</v>
      </c>
      <c r="D33" t="s">
        <v>1110</v>
      </c>
    </row>
    <row r="34" spans="1:4" x14ac:dyDescent="0.35">
      <c r="A34">
        <v>33</v>
      </c>
      <c r="B34" t="s">
        <v>1445</v>
      </c>
      <c r="C34" t="s">
        <v>1110</v>
      </c>
      <c r="D34" t="s">
        <v>1110</v>
      </c>
    </row>
    <row r="35" spans="1:4" x14ac:dyDescent="0.35">
      <c r="A35">
        <v>34</v>
      </c>
      <c r="B35" t="s">
        <v>1446</v>
      </c>
      <c r="C35" t="s">
        <v>1111</v>
      </c>
      <c r="D35" t="s">
        <v>1111</v>
      </c>
    </row>
    <row r="36" spans="1:4" x14ac:dyDescent="0.35">
      <c r="A36">
        <v>35</v>
      </c>
      <c r="B36" t="s">
        <v>1447</v>
      </c>
      <c r="C36" t="s">
        <v>1112</v>
      </c>
      <c r="D36" t="s">
        <v>1112</v>
      </c>
    </row>
    <row r="37" spans="1:4" x14ac:dyDescent="0.35">
      <c r="A37">
        <v>36</v>
      </c>
      <c r="B37" t="s">
        <v>1403</v>
      </c>
      <c r="C37" t="s">
        <v>1111</v>
      </c>
      <c r="D37" t="s">
        <v>1111</v>
      </c>
    </row>
    <row r="38" spans="1:4" x14ac:dyDescent="0.35">
      <c r="A38">
        <v>37</v>
      </c>
      <c r="B38" t="s">
        <v>1448</v>
      </c>
      <c r="C38" t="s">
        <v>1124</v>
      </c>
      <c r="D38" t="s">
        <v>1124</v>
      </c>
    </row>
    <row r="39" spans="1:4" x14ac:dyDescent="0.35">
      <c r="A39">
        <v>38</v>
      </c>
      <c r="B39" t="s">
        <v>1405</v>
      </c>
      <c r="C39" t="s">
        <v>1124</v>
      </c>
      <c r="D39" t="s">
        <v>1124</v>
      </c>
    </row>
    <row r="40" spans="1:4" x14ac:dyDescent="0.35">
      <c r="A40">
        <v>39</v>
      </c>
      <c r="B40" t="s">
        <v>1406</v>
      </c>
      <c r="C40" t="s">
        <v>1121</v>
      </c>
      <c r="D40" t="s">
        <v>1121</v>
      </c>
    </row>
    <row r="41" spans="1:4" x14ac:dyDescent="0.35">
      <c r="A41">
        <v>40</v>
      </c>
      <c r="B41" t="s">
        <v>1407</v>
      </c>
      <c r="C41" t="s">
        <v>1112</v>
      </c>
      <c r="D41" t="s">
        <v>1112</v>
      </c>
    </row>
    <row r="42" spans="1:4" x14ac:dyDescent="0.35">
      <c r="A42">
        <v>41</v>
      </c>
      <c r="B42" t="s">
        <v>1449</v>
      </c>
      <c r="C42" t="s">
        <v>1120</v>
      </c>
      <c r="D42" t="s">
        <v>1120</v>
      </c>
    </row>
    <row r="43" spans="1:4" x14ac:dyDescent="0.35">
      <c r="A43">
        <v>42</v>
      </c>
      <c r="B43" t="s">
        <v>1450</v>
      </c>
      <c r="C43" t="s">
        <v>1110</v>
      </c>
      <c r="D43" t="s">
        <v>1110</v>
      </c>
    </row>
    <row r="44" spans="1:4" x14ac:dyDescent="0.35">
      <c r="A44">
        <v>43</v>
      </c>
      <c r="B44" t="s">
        <v>1451</v>
      </c>
      <c r="C44" t="s">
        <v>787</v>
      </c>
      <c r="D44" t="s">
        <v>787</v>
      </c>
    </row>
    <row r="45" spans="1:4" x14ac:dyDescent="0.35">
      <c r="A45">
        <v>44</v>
      </c>
      <c r="B45" t="s">
        <v>1452</v>
      </c>
      <c r="C45" t="s">
        <v>1124</v>
      </c>
      <c r="D45" t="s">
        <v>1124</v>
      </c>
    </row>
    <row r="46" spans="1:4" x14ac:dyDescent="0.35">
      <c r="A46">
        <v>45</v>
      </c>
      <c r="B46" t="s">
        <v>1453</v>
      </c>
      <c r="C46" t="s">
        <v>1133</v>
      </c>
      <c r="D46" t="s">
        <v>1133</v>
      </c>
    </row>
    <row r="47" spans="1:4" x14ac:dyDescent="0.35">
      <c r="A47">
        <v>46</v>
      </c>
      <c r="B47" t="s">
        <v>1454</v>
      </c>
      <c r="C47" t="s">
        <v>1111</v>
      </c>
      <c r="D47" t="s">
        <v>1111</v>
      </c>
    </row>
    <row r="48" spans="1:4" x14ac:dyDescent="0.35">
      <c r="A48">
        <v>47</v>
      </c>
      <c r="B48" t="s">
        <v>1455</v>
      </c>
      <c r="C48" t="s">
        <v>1112</v>
      </c>
      <c r="D48" t="s">
        <v>1112</v>
      </c>
    </row>
    <row r="49" spans="1:4" x14ac:dyDescent="0.35">
      <c r="A49">
        <v>48</v>
      </c>
      <c r="B49" t="s">
        <v>1456</v>
      </c>
      <c r="C49" t="s">
        <v>1112</v>
      </c>
      <c r="D49" t="s">
        <v>1112</v>
      </c>
    </row>
    <row r="50" spans="1:4" x14ac:dyDescent="0.35">
      <c r="A50">
        <v>49</v>
      </c>
      <c r="B50" t="s">
        <v>708</v>
      </c>
      <c r="C50" t="s">
        <v>1133</v>
      </c>
      <c r="D50" t="s">
        <v>1133</v>
      </c>
    </row>
    <row r="51" spans="1:4" x14ac:dyDescent="0.35">
      <c r="A51">
        <v>50</v>
      </c>
      <c r="B51" t="s">
        <v>1457</v>
      </c>
      <c r="C51" t="s">
        <v>1112</v>
      </c>
      <c r="D51" t="s">
        <v>1112</v>
      </c>
    </row>
    <row r="52" spans="1:4" x14ac:dyDescent="0.35">
      <c r="A52">
        <v>51</v>
      </c>
      <c r="B52" t="s">
        <v>1458</v>
      </c>
      <c r="C52" t="s">
        <v>1113</v>
      </c>
      <c r="D52" t="s">
        <v>1113</v>
      </c>
    </row>
    <row r="53" spans="1:4" x14ac:dyDescent="0.35">
      <c r="A53">
        <v>52</v>
      </c>
      <c r="B53" t="s">
        <v>44</v>
      </c>
      <c r="C53" t="s">
        <v>1113</v>
      </c>
      <c r="D53" t="s">
        <v>1113</v>
      </c>
    </row>
    <row r="54" spans="1:4" x14ac:dyDescent="0.35">
      <c r="A54">
        <v>53</v>
      </c>
      <c r="B54" t="s">
        <v>1459</v>
      </c>
      <c r="C54" t="s">
        <v>1113</v>
      </c>
      <c r="D54" t="s">
        <v>1113</v>
      </c>
    </row>
    <row r="55" spans="1:4" x14ac:dyDescent="0.35">
      <c r="A55">
        <v>54</v>
      </c>
      <c r="B55" t="s">
        <v>45</v>
      </c>
      <c r="C55" t="s">
        <v>1113</v>
      </c>
      <c r="D55" t="s">
        <v>1113</v>
      </c>
    </row>
    <row r="56" spans="1:4" x14ac:dyDescent="0.35">
      <c r="A56">
        <v>55</v>
      </c>
      <c r="B56" t="s">
        <v>48</v>
      </c>
      <c r="C56" t="s">
        <v>1113</v>
      </c>
      <c r="D56" t="s">
        <v>1113</v>
      </c>
    </row>
    <row r="57" spans="1:4" x14ac:dyDescent="0.35">
      <c r="A57">
        <v>56</v>
      </c>
      <c r="B57" t="s">
        <v>47</v>
      </c>
      <c r="C57" t="s">
        <v>1113</v>
      </c>
      <c r="D57" t="s">
        <v>1113</v>
      </c>
    </row>
    <row r="58" spans="1:4" x14ac:dyDescent="0.35">
      <c r="A58">
        <v>57</v>
      </c>
      <c r="B58" t="s">
        <v>1460</v>
      </c>
      <c r="C58" t="s">
        <v>1113</v>
      </c>
      <c r="D58" t="s">
        <v>1113</v>
      </c>
    </row>
    <row r="59" spans="1:4" x14ac:dyDescent="0.35">
      <c r="A59">
        <v>58</v>
      </c>
      <c r="B59" t="s">
        <v>1461</v>
      </c>
      <c r="C59" t="s">
        <v>1113</v>
      </c>
      <c r="D59" t="s">
        <v>1113</v>
      </c>
    </row>
    <row r="60" spans="1:4" x14ac:dyDescent="0.35">
      <c r="A60">
        <v>59</v>
      </c>
      <c r="B60" t="s">
        <v>1462</v>
      </c>
      <c r="C60" t="s">
        <v>1113</v>
      </c>
      <c r="D60" t="s">
        <v>1113</v>
      </c>
    </row>
    <row r="61" spans="1:4" x14ac:dyDescent="0.35">
      <c r="A61">
        <v>60</v>
      </c>
      <c r="B61" t="s">
        <v>1346</v>
      </c>
      <c r="C61" t="s">
        <v>1113</v>
      </c>
      <c r="D61" t="s">
        <v>1113</v>
      </c>
    </row>
    <row r="62" spans="1:4" x14ac:dyDescent="0.35">
      <c r="A62">
        <v>61</v>
      </c>
      <c r="B62" t="s">
        <v>1463</v>
      </c>
      <c r="C62" t="s">
        <v>1113</v>
      </c>
      <c r="D62" t="s">
        <v>1113</v>
      </c>
    </row>
    <row r="63" spans="1:4" x14ac:dyDescent="0.35">
      <c r="A63">
        <v>62</v>
      </c>
      <c r="B63" t="s">
        <v>1464</v>
      </c>
      <c r="C63" t="s">
        <v>1113</v>
      </c>
      <c r="D63" t="s">
        <v>1113</v>
      </c>
    </row>
    <row r="64" spans="1:4" x14ac:dyDescent="0.35">
      <c r="A64">
        <v>63</v>
      </c>
      <c r="B64" t="s">
        <v>1465</v>
      </c>
      <c r="C64" t="s">
        <v>1113</v>
      </c>
      <c r="D64" t="s">
        <v>1113</v>
      </c>
    </row>
    <row r="65" spans="1:4" x14ac:dyDescent="0.35">
      <c r="A65">
        <v>64</v>
      </c>
      <c r="B65" t="s">
        <v>637</v>
      </c>
      <c r="C65" t="s">
        <v>787</v>
      </c>
      <c r="D65" t="s">
        <v>787</v>
      </c>
    </row>
    <row r="66" spans="1:4" x14ac:dyDescent="0.35">
      <c r="A66">
        <v>65</v>
      </c>
      <c r="B66" t="s">
        <v>1466</v>
      </c>
      <c r="C66" t="s">
        <v>787</v>
      </c>
      <c r="D66" t="s">
        <v>787</v>
      </c>
    </row>
    <row r="67" spans="1:4" x14ac:dyDescent="0.35">
      <c r="A67">
        <v>66</v>
      </c>
      <c r="B67" t="s">
        <v>1467</v>
      </c>
      <c r="C67" t="s">
        <v>787</v>
      </c>
      <c r="D67" t="s">
        <v>787</v>
      </c>
    </row>
    <row r="68" spans="1:4" x14ac:dyDescent="0.35">
      <c r="A68">
        <v>67</v>
      </c>
      <c r="B68" t="s">
        <v>1014</v>
      </c>
      <c r="C68" t="s">
        <v>787</v>
      </c>
      <c r="D68" t="s">
        <v>787</v>
      </c>
    </row>
    <row r="69" spans="1:4" x14ac:dyDescent="0.35">
      <c r="A69">
        <v>68</v>
      </c>
      <c r="B69" t="s">
        <v>1468</v>
      </c>
      <c r="C69" t="s">
        <v>787</v>
      </c>
      <c r="D69" t="s">
        <v>787</v>
      </c>
    </row>
    <row r="70" spans="1:4" x14ac:dyDescent="0.35">
      <c r="A70">
        <v>69</v>
      </c>
      <c r="B70" t="s">
        <v>491</v>
      </c>
      <c r="C70" t="s">
        <v>787</v>
      </c>
      <c r="D70" t="s">
        <v>787</v>
      </c>
    </row>
    <row r="71" spans="1:4" x14ac:dyDescent="0.35">
      <c r="A71">
        <v>70</v>
      </c>
      <c r="B71" t="s">
        <v>492</v>
      </c>
      <c r="C71" t="s">
        <v>787</v>
      </c>
      <c r="D71" t="s">
        <v>787</v>
      </c>
    </row>
    <row r="72" spans="1:4" x14ac:dyDescent="0.35">
      <c r="A72">
        <v>71</v>
      </c>
      <c r="B72" t="s">
        <v>499</v>
      </c>
      <c r="C72" t="s">
        <v>787</v>
      </c>
      <c r="D72" t="s">
        <v>787</v>
      </c>
    </row>
    <row r="73" spans="1:4" x14ac:dyDescent="0.35">
      <c r="A73">
        <v>72</v>
      </c>
      <c r="B73" t="s">
        <v>1469</v>
      </c>
      <c r="C73" t="s">
        <v>787</v>
      </c>
      <c r="D73" t="s">
        <v>787</v>
      </c>
    </row>
    <row r="74" spans="1:4" x14ac:dyDescent="0.35">
      <c r="A74">
        <v>73</v>
      </c>
      <c r="B74" t="s">
        <v>1470</v>
      </c>
      <c r="C74" t="s">
        <v>787</v>
      </c>
      <c r="D74" t="s">
        <v>787</v>
      </c>
    </row>
    <row r="75" spans="1:4" x14ac:dyDescent="0.35">
      <c r="A75">
        <v>74</v>
      </c>
      <c r="B75" t="s">
        <v>1471</v>
      </c>
      <c r="C75" t="s">
        <v>787</v>
      </c>
      <c r="D75" t="s">
        <v>787</v>
      </c>
    </row>
    <row r="76" spans="1:4" x14ac:dyDescent="0.35">
      <c r="A76">
        <v>75</v>
      </c>
      <c r="B76" t="s">
        <v>1472</v>
      </c>
      <c r="C76" t="s">
        <v>787</v>
      </c>
      <c r="D76" t="s">
        <v>787</v>
      </c>
    </row>
    <row r="77" spans="1:4" x14ac:dyDescent="0.35">
      <c r="A77">
        <v>76</v>
      </c>
      <c r="B77" t="s">
        <v>1361</v>
      </c>
      <c r="C77" t="s">
        <v>1117</v>
      </c>
      <c r="D77" t="s">
        <v>1117</v>
      </c>
    </row>
    <row r="78" spans="1:4" x14ac:dyDescent="0.35">
      <c r="A78">
        <v>77</v>
      </c>
      <c r="B78" t="s">
        <v>1473</v>
      </c>
      <c r="C78" t="s">
        <v>1117</v>
      </c>
      <c r="D78" t="s">
        <v>1117</v>
      </c>
    </row>
    <row r="79" spans="1:4" x14ac:dyDescent="0.35">
      <c r="A79">
        <v>78</v>
      </c>
      <c r="B79" t="s">
        <v>1021</v>
      </c>
      <c r="C79" t="s">
        <v>1117</v>
      </c>
      <c r="D79" t="s">
        <v>1117</v>
      </c>
    </row>
    <row r="80" spans="1:4" x14ac:dyDescent="0.35">
      <c r="A80">
        <v>79</v>
      </c>
      <c r="B80" t="s">
        <v>1474</v>
      </c>
      <c r="C80" t="s">
        <v>1117</v>
      </c>
      <c r="D80" t="s">
        <v>1117</v>
      </c>
    </row>
    <row r="81" spans="1:4" x14ac:dyDescent="0.35">
      <c r="A81">
        <v>80</v>
      </c>
      <c r="B81" t="s">
        <v>1475</v>
      </c>
      <c r="C81" t="s">
        <v>1117</v>
      </c>
      <c r="D81" t="s">
        <v>1117</v>
      </c>
    </row>
    <row r="82" spans="1:4" x14ac:dyDescent="0.35">
      <c r="A82">
        <v>81</v>
      </c>
      <c r="B82" t="s">
        <v>1476</v>
      </c>
      <c r="C82" t="s">
        <v>1114</v>
      </c>
      <c r="D82" t="s">
        <v>1114</v>
      </c>
    </row>
    <row r="83" spans="1:4" x14ac:dyDescent="0.35">
      <c r="A83">
        <v>82</v>
      </c>
      <c r="B83" t="s">
        <v>1477</v>
      </c>
      <c r="C83" t="s">
        <v>1114</v>
      </c>
      <c r="D83" t="s">
        <v>1114</v>
      </c>
    </row>
    <row r="84" spans="1:4" x14ac:dyDescent="0.35">
      <c r="A84">
        <v>83</v>
      </c>
      <c r="B84" t="s">
        <v>1478</v>
      </c>
      <c r="C84" t="s">
        <v>1114</v>
      </c>
      <c r="D84" t="s">
        <v>1114</v>
      </c>
    </row>
    <row r="85" spans="1:4" x14ac:dyDescent="0.35">
      <c r="A85">
        <v>84</v>
      </c>
      <c r="B85" t="s">
        <v>1479</v>
      </c>
      <c r="C85" t="s">
        <v>1114</v>
      </c>
      <c r="D85" t="s">
        <v>1114</v>
      </c>
    </row>
    <row r="86" spans="1:4" x14ac:dyDescent="0.35">
      <c r="A86">
        <v>85</v>
      </c>
      <c r="B86" t="s">
        <v>1480</v>
      </c>
      <c r="C86" t="s">
        <v>1114</v>
      </c>
      <c r="D86" t="s">
        <v>1114</v>
      </c>
    </row>
    <row r="87" spans="1:4" x14ac:dyDescent="0.35">
      <c r="A87">
        <v>86</v>
      </c>
      <c r="B87" t="s">
        <v>1477</v>
      </c>
      <c r="C87" t="s">
        <v>1114</v>
      </c>
      <c r="D87" t="s">
        <v>1114</v>
      </c>
    </row>
    <row r="88" spans="1:4" x14ac:dyDescent="0.35">
      <c r="A88">
        <v>87</v>
      </c>
      <c r="B88" t="s">
        <v>1481</v>
      </c>
      <c r="C88" t="s">
        <v>1114</v>
      </c>
      <c r="D88" t="s">
        <v>1114</v>
      </c>
    </row>
    <row r="89" spans="1:4" x14ac:dyDescent="0.35">
      <c r="A89">
        <v>88</v>
      </c>
      <c r="B89" t="s">
        <v>1482</v>
      </c>
      <c r="C89" t="s">
        <v>1114</v>
      </c>
      <c r="D89" t="s">
        <v>1114</v>
      </c>
    </row>
    <row r="90" spans="1:4" x14ac:dyDescent="0.35">
      <c r="A90">
        <v>89</v>
      </c>
      <c r="B90" t="s">
        <v>1483</v>
      </c>
      <c r="C90" t="s">
        <v>1115</v>
      </c>
      <c r="D90" t="s">
        <v>1115</v>
      </c>
    </row>
    <row r="91" spans="1:4" x14ac:dyDescent="0.35">
      <c r="A91">
        <v>90</v>
      </c>
      <c r="B91" t="s">
        <v>1484</v>
      </c>
      <c r="C91" t="s">
        <v>1115</v>
      </c>
      <c r="D91" t="s">
        <v>1115</v>
      </c>
    </row>
    <row r="92" spans="1:4" x14ac:dyDescent="0.35">
      <c r="A92">
        <v>91</v>
      </c>
      <c r="B92" t="s">
        <v>1027</v>
      </c>
      <c r="C92" t="s">
        <v>1115</v>
      </c>
      <c r="D92" t="s">
        <v>1115</v>
      </c>
    </row>
    <row r="93" spans="1:4" x14ac:dyDescent="0.35">
      <c r="A93">
        <v>92</v>
      </c>
      <c r="B93" t="s">
        <v>1028</v>
      </c>
      <c r="C93" t="s">
        <v>1115</v>
      </c>
      <c r="D93" t="s">
        <v>1115</v>
      </c>
    </row>
    <row r="94" spans="1:4" x14ac:dyDescent="0.35">
      <c r="A94">
        <v>93</v>
      </c>
      <c r="B94" t="s">
        <v>1029</v>
      </c>
      <c r="C94" t="s">
        <v>1115</v>
      </c>
      <c r="D94" t="s">
        <v>1115</v>
      </c>
    </row>
    <row r="95" spans="1:4" x14ac:dyDescent="0.35">
      <c r="A95">
        <v>94</v>
      </c>
      <c r="B95" t="s">
        <v>67</v>
      </c>
      <c r="C95" t="s">
        <v>1115</v>
      </c>
      <c r="D95" t="s">
        <v>1115</v>
      </c>
    </row>
    <row r="96" spans="1:4" x14ac:dyDescent="0.35">
      <c r="A96">
        <v>95</v>
      </c>
      <c r="B96" t="s">
        <v>1485</v>
      </c>
      <c r="C96" t="s">
        <v>1115</v>
      </c>
      <c r="D96" t="s">
        <v>1115</v>
      </c>
    </row>
    <row r="97" spans="1:4" x14ac:dyDescent="0.35">
      <c r="A97">
        <v>96</v>
      </c>
      <c r="B97" t="s">
        <v>1486</v>
      </c>
      <c r="C97" t="s">
        <v>1115</v>
      </c>
      <c r="D97" t="s">
        <v>1115</v>
      </c>
    </row>
    <row r="98" spans="1:4" x14ac:dyDescent="0.35">
      <c r="A98">
        <v>97</v>
      </c>
      <c r="B98" t="s">
        <v>1487</v>
      </c>
      <c r="C98" t="s">
        <v>1115</v>
      </c>
      <c r="D98" t="s">
        <v>1115</v>
      </c>
    </row>
    <row r="99" spans="1:4" x14ac:dyDescent="0.35">
      <c r="A99">
        <v>98</v>
      </c>
      <c r="B99" t="s">
        <v>1488</v>
      </c>
      <c r="C99" t="s">
        <v>1115</v>
      </c>
      <c r="D99" t="s">
        <v>1115</v>
      </c>
    </row>
    <row r="100" spans="1:4" x14ac:dyDescent="0.35">
      <c r="A100">
        <v>99</v>
      </c>
      <c r="B100" t="s">
        <v>1489</v>
      </c>
      <c r="C100" t="s">
        <v>1115</v>
      </c>
      <c r="D100" t="s">
        <v>1115</v>
      </c>
    </row>
    <row r="101" spans="1:4" x14ac:dyDescent="0.35">
      <c r="A101">
        <v>100</v>
      </c>
      <c r="B101" t="s">
        <v>1490</v>
      </c>
      <c r="C101" t="s">
        <v>1115</v>
      </c>
      <c r="D101" t="s">
        <v>1115</v>
      </c>
    </row>
    <row r="102" spans="1:4" x14ac:dyDescent="0.35">
      <c r="A102">
        <v>101</v>
      </c>
      <c r="B102" t="s">
        <v>1491</v>
      </c>
      <c r="C102" t="s">
        <v>1115</v>
      </c>
      <c r="D102" t="s">
        <v>1115</v>
      </c>
    </row>
    <row r="103" spans="1:4" x14ac:dyDescent="0.35">
      <c r="A103">
        <v>102</v>
      </c>
      <c r="B103" t="s">
        <v>1492</v>
      </c>
      <c r="C103" t="s">
        <v>1115</v>
      </c>
      <c r="D103" t="s">
        <v>1115</v>
      </c>
    </row>
    <row r="104" spans="1:4" x14ac:dyDescent="0.35">
      <c r="A104">
        <v>103</v>
      </c>
      <c r="B104" t="s">
        <v>1493</v>
      </c>
      <c r="C104" t="s">
        <v>1115</v>
      </c>
      <c r="D104" t="s">
        <v>1115</v>
      </c>
    </row>
    <row r="105" spans="1:4" x14ac:dyDescent="0.35">
      <c r="A105">
        <v>104</v>
      </c>
      <c r="B105" t="s">
        <v>1494</v>
      </c>
      <c r="C105" t="s">
        <v>1116</v>
      </c>
      <c r="D105" t="s">
        <v>1116</v>
      </c>
    </row>
    <row r="106" spans="1:4" x14ac:dyDescent="0.35">
      <c r="A106">
        <v>105</v>
      </c>
      <c r="B106" t="s">
        <v>1495</v>
      </c>
      <c r="C106" t="s">
        <v>1116</v>
      </c>
      <c r="D106" t="s">
        <v>1116</v>
      </c>
    </row>
    <row r="107" spans="1:4" x14ac:dyDescent="0.35">
      <c r="A107">
        <v>106</v>
      </c>
      <c r="B107" t="s">
        <v>1496</v>
      </c>
      <c r="C107" t="s">
        <v>1116</v>
      </c>
      <c r="D107" t="s">
        <v>1116</v>
      </c>
    </row>
    <row r="108" spans="1:4" x14ac:dyDescent="0.35">
      <c r="A108">
        <v>107</v>
      </c>
      <c r="B108" t="s">
        <v>1497</v>
      </c>
      <c r="C108" t="s">
        <v>1116</v>
      </c>
      <c r="D108" t="s">
        <v>1116</v>
      </c>
    </row>
    <row r="109" spans="1:4" x14ac:dyDescent="0.35">
      <c r="A109">
        <v>108</v>
      </c>
      <c r="B109" t="s">
        <v>1498</v>
      </c>
      <c r="C109" t="s">
        <v>1116</v>
      </c>
      <c r="D109" t="s">
        <v>1116</v>
      </c>
    </row>
    <row r="110" spans="1:4" x14ac:dyDescent="0.35">
      <c r="A110">
        <v>109</v>
      </c>
      <c r="B110" t="s">
        <v>74</v>
      </c>
      <c r="C110" t="s">
        <v>1116</v>
      </c>
      <c r="D110" t="s">
        <v>1116</v>
      </c>
    </row>
    <row r="111" spans="1:4" x14ac:dyDescent="0.35">
      <c r="A111">
        <v>110</v>
      </c>
      <c r="B111" t="s">
        <v>1499</v>
      </c>
      <c r="C111" t="s">
        <v>1116</v>
      </c>
      <c r="D111" t="s">
        <v>1116</v>
      </c>
    </row>
    <row r="112" spans="1:4" x14ac:dyDescent="0.35">
      <c r="A112">
        <v>111</v>
      </c>
      <c r="B112" t="s">
        <v>1500</v>
      </c>
      <c r="C112" t="s">
        <v>1116</v>
      </c>
      <c r="D112" t="s">
        <v>1116</v>
      </c>
    </row>
    <row r="113" spans="1:4" x14ac:dyDescent="0.35">
      <c r="A113">
        <v>112</v>
      </c>
      <c r="B113" t="s">
        <v>1501</v>
      </c>
      <c r="C113" t="s">
        <v>1116</v>
      </c>
      <c r="D113" t="s">
        <v>1116</v>
      </c>
    </row>
    <row r="114" spans="1:4" x14ac:dyDescent="0.35">
      <c r="A114">
        <v>113</v>
      </c>
      <c r="B114" t="s">
        <v>1502</v>
      </c>
      <c r="C114" t="s">
        <v>1116</v>
      </c>
      <c r="D114" t="s">
        <v>1116</v>
      </c>
    </row>
    <row r="115" spans="1:4" x14ac:dyDescent="0.35">
      <c r="A115">
        <v>114</v>
      </c>
      <c r="B115" t="s">
        <v>1370</v>
      </c>
      <c r="C115" t="s">
        <v>1116</v>
      </c>
      <c r="D115" t="s">
        <v>1116</v>
      </c>
    </row>
    <row r="116" spans="1:4" x14ac:dyDescent="0.35">
      <c r="A116">
        <v>115</v>
      </c>
      <c r="B116" t="s">
        <v>1503</v>
      </c>
      <c r="C116" t="s">
        <v>1116</v>
      </c>
      <c r="D116" t="s">
        <v>1116</v>
      </c>
    </row>
    <row r="117" spans="1:4" x14ac:dyDescent="0.35">
      <c r="A117">
        <v>116</v>
      </c>
      <c r="B117" t="s">
        <v>1494</v>
      </c>
      <c r="C117" t="s">
        <v>1116</v>
      </c>
      <c r="D117" t="s">
        <v>1116</v>
      </c>
    </row>
    <row r="118" spans="1:4" x14ac:dyDescent="0.35">
      <c r="A118">
        <v>117</v>
      </c>
      <c r="B118" t="s">
        <v>1504</v>
      </c>
      <c r="C118" t="s">
        <v>1116</v>
      </c>
      <c r="D118" t="s">
        <v>1116</v>
      </c>
    </row>
    <row r="119" spans="1:4" x14ac:dyDescent="0.35">
      <c r="A119">
        <v>118</v>
      </c>
      <c r="B119" t="s">
        <v>1496</v>
      </c>
      <c r="C119" t="s">
        <v>1116</v>
      </c>
      <c r="D119" t="s">
        <v>1116</v>
      </c>
    </row>
    <row r="120" spans="1:4" x14ac:dyDescent="0.35">
      <c r="A120">
        <v>119</v>
      </c>
      <c r="B120" t="s">
        <v>1505</v>
      </c>
      <c r="C120" t="s">
        <v>1117</v>
      </c>
      <c r="D120" t="s">
        <v>1117</v>
      </c>
    </row>
    <row r="121" spans="1:4" x14ac:dyDescent="0.35">
      <c r="A121">
        <v>120</v>
      </c>
      <c r="B121" t="s">
        <v>97</v>
      </c>
      <c r="C121" t="s">
        <v>1117</v>
      </c>
      <c r="D121" t="s">
        <v>1117</v>
      </c>
    </row>
    <row r="122" spans="1:4" x14ac:dyDescent="0.35">
      <c r="A122">
        <v>121</v>
      </c>
      <c r="B122" t="s">
        <v>658</v>
      </c>
      <c r="C122" t="s">
        <v>1117</v>
      </c>
      <c r="D122" t="s">
        <v>1117</v>
      </c>
    </row>
    <row r="123" spans="1:4" x14ac:dyDescent="0.35">
      <c r="A123">
        <v>122</v>
      </c>
      <c r="B123" t="s">
        <v>657</v>
      </c>
      <c r="C123" t="s">
        <v>1117</v>
      </c>
      <c r="D123" t="s">
        <v>1117</v>
      </c>
    </row>
    <row r="124" spans="1:4" x14ac:dyDescent="0.35">
      <c r="A124">
        <v>123</v>
      </c>
      <c r="B124" t="s">
        <v>660</v>
      </c>
      <c r="C124" t="s">
        <v>1117</v>
      </c>
      <c r="D124" t="s">
        <v>1117</v>
      </c>
    </row>
    <row r="125" spans="1:4" x14ac:dyDescent="0.35">
      <c r="A125">
        <v>124</v>
      </c>
      <c r="B125" t="s">
        <v>1506</v>
      </c>
      <c r="C125" t="s">
        <v>1117</v>
      </c>
      <c r="D125" t="s">
        <v>1117</v>
      </c>
    </row>
    <row r="126" spans="1:4" x14ac:dyDescent="0.35">
      <c r="A126">
        <v>125</v>
      </c>
      <c r="B126" t="s">
        <v>1507</v>
      </c>
      <c r="C126" t="s">
        <v>1117</v>
      </c>
      <c r="D126" t="s">
        <v>1117</v>
      </c>
    </row>
    <row r="127" spans="1:4" x14ac:dyDescent="0.35">
      <c r="A127">
        <v>126</v>
      </c>
      <c r="B127" t="s">
        <v>668</v>
      </c>
      <c r="C127" t="s">
        <v>1117</v>
      </c>
      <c r="D127" t="s">
        <v>1117</v>
      </c>
    </row>
    <row r="128" spans="1:4" x14ac:dyDescent="0.35">
      <c r="A128">
        <v>127</v>
      </c>
      <c r="B128" t="s">
        <v>661</v>
      </c>
      <c r="C128" t="s">
        <v>1117</v>
      </c>
      <c r="D128" t="s">
        <v>1117</v>
      </c>
    </row>
    <row r="129" spans="1:4" x14ac:dyDescent="0.35">
      <c r="A129">
        <v>128</v>
      </c>
      <c r="B129" t="s">
        <v>662</v>
      </c>
      <c r="C129" t="s">
        <v>1117</v>
      </c>
      <c r="D129" t="s">
        <v>1117</v>
      </c>
    </row>
    <row r="130" spans="1:4" x14ac:dyDescent="0.35">
      <c r="A130">
        <v>129</v>
      </c>
      <c r="B130" t="s">
        <v>1508</v>
      </c>
      <c r="C130" t="s">
        <v>1117</v>
      </c>
      <c r="D130" t="s">
        <v>1117</v>
      </c>
    </row>
    <row r="131" spans="1:4" x14ac:dyDescent="0.35">
      <c r="A131">
        <v>130</v>
      </c>
      <c r="B131" t="s">
        <v>1509</v>
      </c>
      <c r="C131" t="s">
        <v>1117</v>
      </c>
      <c r="D131" t="s">
        <v>1117</v>
      </c>
    </row>
    <row r="132" spans="1:4" x14ac:dyDescent="0.35">
      <c r="A132">
        <v>131</v>
      </c>
      <c r="B132" t="s">
        <v>1510</v>
      </c>
      <c r="C132" t="s">
        <v>1117</v>
      </c>
      <c r="D132" t="s">
        <v>1117</v>
      </c>
    </row>
    <row r="133" spans="1:4" x14ac:dyDescent="0.35">
      <c r="A133">
        <v>132</v>
      </c>
      <c r="B133" t="s">
        <v>1511</v>
      </c>
      <c r="C133" t="s">
        <v>1118</v>
      </c>
      <c r="D133" t="s">
        <v>1118</v>
      </c>
    </row>
    <row r="134" spans="1:4" x14ac:dyDescent="0.35">
      <c r="A134">
        <v>133</v>
      </c>
      <c r="B134" t="s">
        <v>1512</v>
      </c>
      <c r="C134" t="s">
        <v>1118</v>
      </c>
      <c r="D134" t="s">
        <v>1118</v>
      </c>
    </row>
    <row r="135" spans="1:4" x14ac:dyDescent="0.35">
      <c r="A135">
        <v>134</v>
      </c>
      <c r="B135" t="s">
        <v>1513</v>
      </c>
      <c r="C135" t="s">
        <v>1118</v>
      </c>
      <c r="D135" t="s">
        <v>1118</v>
      </c>
    </row>
    <row r="136" spans="1:4" x14ac:dyDescent="0.35">
      <c r="A136">
        <v>135</v>
      </c>
      <c r="B136" t="s">
        <v>1514</v>
      </c>
      <c r="C136" t="s">
        <v>1118</v>
      </c>
      <c r="D136" t="s">
        <v>1118</v>
      </c>
    </row>
    <row r="137" spans="1:4" x14ac:dyDescent="0.35">
      <c r="A137">
        <v>136</v>
      </c>
      <c r="B137" t="s">
        <v>1515</v>
      </c>
      <c r="C137" t="s">
        <v>1118</v>
      </c>
      <c r="D137" t="s">
        <v>1118</v>
      </c>
    </row>
    <row r="138" spans="1:4" x14ac:dyDescent="0.35">
      <c r="A138">
        <v>137</v>
      </c>
      <c r="B138" t="s">
        <v>1516</v>
      </c>
      <c r="C138" t="s">
        <v>1118</v>
      </c>
      <c r="D138" t="s">
        <v>1118</v>
      </c>
    </row>
    <row r="139" spans="1:4" x14ac:dyDescent="0.35">
      <c r="A139">
        <v>138</v>
      </c>
      <c r="B139" t="s">
        <v>1517</v>
      </c>
      <c r="C139" t="s">
        <v>1118</v>
      </c>
      <c r="D139" t="s">
        <v>1118</v>
      </c>
    </row>
    <row r="140" spans="1:4" x14ac:dyDescent="0.35">
      <c r="A140">
        <v>139</v>
      </c>
      <c r="B140" t="s">
        <v>1518</v>
      </c>
      <c r="C140" t="s">
        <v>1118</v>
      </c>
      <c r="D140" t="s">
        <v>1118</v>
      </c>
    </row>
    <row r="141" spans="1:4" x14ac:dyDescent="0.35">
      <c r="A141">
        <v>140</v>
      </c>
      <c r="B141" t="s">
        <v>1519</v>
      </c>
      <c r="C141" t="s">
        <v>1118</v>
      </c>
      <c r="D141" t="s">
        <v>1118</v>
      </c>
    </row>
    <row r="142" spans="1:4" x14ac:dyDescent="0.35">
      <c r="A142">
        <v>141</v>
      </c>
      <c r="B142" t="s">
        <v>1520</v>
      </c>
      <c r="C142" t="s">
        <v>1118</v>
      </c>
      <c r="D142" t="s">
        <v>1118</v>
      </c>
    </row>
    <row r="143" spans="1:4" x14ac:dyDescent="0.35">
      <c r="A143">
        <v>142</v>
      </c>
      <c r="B143" t="s">
        <v>524</v>
      </c>
      <c r="C143" t="s">
        <v>1118</v>
      </c>
      <c r="D143" t="s">
        <v>1118</v>
      </c>
    </row>
    <row r="144" spans="1:4" x14ac:dyDescent="0.35">
      <c r="A144">
        <v>143</v>
      </c>
      <c r="B144" t="s">
        <v>525</v>
      </c>
      <c r="C144" t="s">
        <v>1118</v>
      </c>
      <c r="D144" t="s">
        <v>1118</v>
      </c>
    </row>
    <row r="145" spans="1:4" x14ac:dyDescent="0.35">
      <c r="A145">
        <v>144</v>
      </c>
      <c r="B145" t="s">
        <v>1521</v>
      </c>
      <c r="C145" t="s">
        <v>1118</v>
      </c>
      <c r="D145" t="s">
        <v>1118</v>
      </c>
    </row>
    <row r="146" spans="1:4" x14ac:dyDescent="0.35">
      <c r="A146">
        <v>145</v>
      </c>
      <c r="B146" t="s">
        <v>1048</v>
      </c>
      <c r="C146" t="s">
        <v>1118</v>
      </c>
      <c r="D146" t="s">
        <v>1118</v>
      </c>
    </row>
    <row r="147" spans="1:4" x14ac:dyDescent="0.35">
      <c r="A147">
        <v>146</v>
      </c>
      <c r="B147" t="s">
        <v>886</v>
      </c>
      <c r="C147" t="s">
        <v>1118</v>
      </c>
      <c r="D147" t="s">
        <v>1118</v>
      </c>
    </row>
    <row r="148" spans="1:4" x14ac:dyDescent="0.35">
      <c r="A148">
        <v>147</v>
      </c>
      <c r="B148" t="s">
        <v>526</v>
      </c>
      <c r="C148" t="s">
        <v>1118</v>
      </c>
      <c r="D148" t="s">
        <v>1118</v>
      </c>
    </row>
    <row r="149" spans="1:4" x14ac:dyDescent="0.35">
      <c r="A149">
        <v>148</v>
      </c>
      <c r="B149" t="s">
        <v>1522</v>
      </c>
      <c r="C149" t="s">
        <v>1118</v>
      </c>
      <c r="D149" t="s">
        <v>1118</v>
      </c>
    </row>
    <row r="150" spans="1:4" x14ac:dyDescent="0.35">
      <c r="A150">
        <v>149</v>
      </c>
      <c r="B150" t="s">
        <v>1523</v>
      </c>
      <c r="C150" t="s">
        <v>1118</v>
      </c>
      <c r="D150" t="s">
        <v>1118</v>
      </c>
    </row>
    <row r="151" spans="1:4" x14ac:dyDescent="0.35">
      <c r="A151">
        <v>150</v>
      </c>
      <c r="B151" t="s">
        <v>1524</v>
      </c>
      <c r="C151" t="s">
        <v>1115</v>
      </c>
      <c r="D151" t="s">
        <v>1115</v>
      </c>
    </row>
    <row r="152" spans="1:4" x14ac:dyDescent="0.35">
      <c r="A152">
        <v>151</v>
      </c>
      <c r="B152" t="s">
        <v>1525</v>
      </c>
      <c r="C152" t="s">
        <v>1121</v>
      </c>
      <c r="D152" t="s">
        <v>1121</v>
      </c>
    </row>
    <row r="153" spans="1:4" x14ac:dyDescent="0.35">
      <c r="A153">
        <v>152</v>
      </c>
      <c r="B153" t="s">
        <v>1526</v>
      </c>
      <c r="C153" t="s">
        <v>1118</v>
      </c>
      <c r="D153" t="s">
        <v>1118</v>
      </c>
    </row>
    <row r="154" spans="1:4" x14ac:dyDescent="0.35">
      <c r="A154">
        <v>153</v>
      </c>
      <c r="B154" t="s">
        <v>1527</v>
      </c>
      <c r="C154" t="s">
        <v>1118</v>
      </c>
      <c r="D154" t="s">
        <v>1118</v>
      </c>
    </row>
    <row r="155" spans="1:4" x14ac:dyDescent="0.35">
      <c r="A155">
        <v>154</v>
      </c>
      <c r="B155" t="s">
        <v>1528</v>
      </c>
      <c r="C155" t="s">
        <v>1118</v>
      </c>
      <c r="D155" t="s">
        <v>1118</v>
      </c>
    </row>
    <row r="156" spans="1:4" x14ac:dyDescent="0.35">
      <c r="A156">
        <v>155</v>
      </c>
      <c r="B156" t="s">
        <v>1529</v>
      </c>
      <c r="C156" t="s">
        <v>1118</v>
      </c>
      <c r="D156" t="s">
        <v>1118</v>
      </c>
    </row>
    <row r="157" spans="1:4" x14ac:dyDescent="0.35">
      <c r="A157">
        <v>156</v>
      </c>
      <c r="B157" t="s">
        <v>1530</v>
      </c>
      <c r="C157" t="s">
        <v>1118</v>
      </c>
      <c r="D157" t="s">
        <v>1118</v>
      </c>
    </row>
    <row r="158" spans="1:4" x14ac:dyDescent="0.35">
      <c r="A158">
        <v>157</v>
      </c>
      <c r="B158" t="s">
        <v>1531</v>
      </c>
      <c r="C158" t="s">
        <v>1120</v>
      </c>
      <c r="D158" t="s">
        <v>1120</v>
      </c>
    </row>
    <row r="159" spans="1:4" x14ac:dyDescent="0.35">
      <c r="A159">
        <v>158</v>
      </c>
      <c r="B159" t="s">
        <v>1532</v>
      </c>
      <c r="C159" t="s">
        <v>1120</v>
      </c>
      <c r="D159" t="s">
        <v>1120</v>
      </c>
    </row>
    <row r="160" spans="1:4" x14ac:dyDescent="0.35">
      <c r="A160">
        <v>159</v>
      </c>
      <c r="B160" t="s">
        <v>1533</v>
      </c>
      <c r="C160" t="s">
        <v>1120</v>
      </c>
      <c r="D160" t="s">
        <v>1120</v>
      </c>
    </row>
    <row r="161" spans="1:4" x14ac:dyDescent="0.35">
      <c r="A161">
        <v>160</v>
      </c>
      <c r="B161" t="s">
        <v>1534</v>
      </c>
      <c r="C161" t="s">
        <v>1120</v>
      </c>
      <c r="D161" t="s">
        <v>1120</v>
      </c>
    </row>
    <row r="162" spans="1:4" x14ac:dyDescent="0.35">
      <c r="A162">
        <v>161</v>
      </c>
      <c r="B162" t="s">
        <v>1535</v>
      </c>
      <c r="C162" t="s">
        <v>1120</v>
      </c>
      <c r="D162" t="s">
        <v>1120</v>
      </c>
    </row>
    <row r="163" spans="1:4" x14ac:dyDescent="0.35">
      <c r="A163">
        <v>162</v>
      </c>
      <c r="B163" t="s">
        <v>1536</v>
      </c>
      <c r="C163" t="s">
        <v>1120</v>
      </c>
      <c r="D163" t="s">
        <v>1120</v>
      </c>
    </row>
    <row r="164" spans="1:4" x14ac:dyDescent="0.35">
      <c r="A164">
        <v>163</v>
      </c>
      <c r="B164" t="s">
        <v>1537</v>
      </c>
      <c r="C164" t="s">
        <v>1120</v>
      </c>
      <c r="D164" t="s">
        <v>1120</v>
      </c>
    </row>
    <row r="165" spans="1:4" x14ac:dyDescent="0.35">
      <c r="A165">
        <v>164</v>
      </c>
      <c r="B165" t="s">
        <v>1538</v>
      </c>
      <c r="C165" t="s">
        <v>1120</v>
      </c>
      <c r="D165" t="s">
        <v>1120</v>
      </c>
    </row>
    <row r="166" spans="1:4" x14ac:dyDescent="0.35">
      <c r="A166">
        <v>165</v>
      </c>
      <c r="B166" t="s">
        <v>1539</v>
      </c>
      <c r="C166" t="s">
        <v>1120</v>
      </c>
      <c r="D166" t="s">
        <v>1120</v>
      </c>
    </row>
    <row r="167" spans="1:4" x14ac:dyDescent="0.35">
      <c r="A167">
        <v>166</v>
      </c>
      <c r="B167" t="s">
        <v>903</v>
      </c>
      <c r="C167" t="s">
        <v>1120</v>
      </c>
      <c r="D167" t="s">
        <v>1120</v>
      </c>
    </row>
    <row r="168" spans="1:4" x14ac:dyDescent="0.35">
      <c r="A168">
        <v>167</v>
      </c>
      <c r="B168" t="s">
        <v>1060</v>
      </c>
      <c r="C168" t="s">
        <v>1120</v>
      </c>
      <c r="D168" t="s">
        <v>1120</v>
      </c>
    </row>
    <row r="169" spans="1:4" x14ac:dyDescent="0.35">
      <c r="A169">
        <v>168</v>
      </c>
      <c r="B169" t="s">
        <v>903</v>
      </c>
      <c r="C169" t="s">
        <v>1120</v>
      </c>
      <c r="D169" t="s">
        <v>1120</v>
      </c>
    </row>
    <row r="170" spans="1:4" x14ac:dyDescent="0.35">
      <c r="A170">
        <v>169</v>
      </c>
      <c r="B170" t="s">
        <v>1059</v>
      </c>
      <c r="C170" t="s">
        <v>1120</v>
      </c>
      <c r="D170" t="s">
        <v>1120</v>
      </c>
    </row>
    <row r="171" spans="1:4" x14ac:dyDescent="0.35">
      <c r="A171">
        <v>170</v>
      </c>
      <c r="B171" t="s">
        <v>1060</v>
      </c>
      <c r="C171" t="s">
        <v>1120</v>
      </c>
      <c r="D171" t="s">
        <v>1120</v>
      </c>
    </row>
    <row r="172" spans="1:4" x14ac:dyDescent="0.35">
      <c r="A172">
        <v>171</v>
      </c>
      <c r="B172" t="s">
        <v>1540</v>
      </c>
      <c r="C172" t="s">
        <v>1120</v>
      </c>
      <c r="D172" t="s">
        <v>1120</v>
      </c>
    </row>
    <row r="173" spans="1:4" x14ac:dyDescent="0.35">
      <c r="A173">
        <v>172</v>
      </c>
      <c r="B173" t="s">
        <v>1541</v>
      </c>
      <c r="C173" t="s">
        <v>1120</v>
      </c>
      <c r="D173" t="s">
        <v>1120</v>
      </c>
    </row>
    <row r="174" spans="1:4" x14ac:dyDescent="0.35">
      <c r="A174">
        <v>173</v>
      </c>
      <c r="B174" t="s">
        <v>1542</v>
      </c>
      <c r="C174" t="s">
        <v>1120</v>
      </c>
      <c r="D174" t="s">
        <v>1120</v>
      </c>
    </row>
    <row r="175" spans="1:4" x14ac:dyDescent="0.35">
      <c r="A175">
        <v>174</v>
      </c>
      <c r="B175" t="s">
        <v>1543</v>
      </c>
      <c r="C175" t="s">
        <v>1120</v>
      </c>
      <c r="D175" t="s">
        <v>1120</v>
      </c>
    </row>
    <row r="176" spans="1:4" x14ac:dyDescent="0.35">
      <c r="A176">
        <v>175</v>
      </c>
      <c r="B176" t="s">
        <v>1544</v>
      </c>
      <c r="C176" t="s">
        <v>1120</v>
      </c>
      <c r="D176" t="s">
        <v>1120</v>
      </c>
    </row>
    <row r="177" spans="1:4" x14ac:dyDescent="0.35">
      <c r="A177">
        <v>176</v>
      </c>
      <c r="B177" t="s">
        <v>1062</v>
      </c>
      <c r="C177" t="s">
        <v>1121</v>
      </c>
      <c r="D177" t="s">
        <v>1121</v>
      </c>
    </row>
    <row r="178" spans="1:4" x14ac:dyDescent="0.35">
      <c r="A178">
        <v>177</v>
      </c>
      <c r="B178" t="s">
        <v>1545</v>
      </c>
      <c r="C178" t="s">
        <v>1121</v>
      </c>
      <c r="D178" t="s">
        <v>1121</v>
      </c>
    </row>
    <row r="179" spans="1:4" x14ac:dyDescent="0.35">
      <c r="A179">
        <v>178</v>
      </c>
      <c r="B179" t="s">
        <v>1546</v>
      </c>
      <c r="C179" t="s">
        <v>1122</v>
      </c>
      <c r="D179" t="s">
        <v>1122</v>
      </c>
    </row>
    <row r="180" spans="1:4" x14ac:dyDescent="0.35">
      <c r="A180">
        <v>179</v>
      </c>
      <c r="B180" t="s">
        <v>1547</v>
      </c>
      <c r="C180" t="s">
        <v>1122</v>
      </c>
      <c r="D180" t="s">
        <v>1122</v>
      </c>
    </row>
    <row r="181" spans="1:4" x14ac:dyDescent="0.35">
      <c r="A181">
        <v>180</v>
      </c>
      <c r="B181" t="s">
        <v>1066</v>
      </c>
      <c r="C181" t="s">
        <v>1122</v>
      </c>
      <c r="D181" t="s">
        <v>1122</v>
      </c>
    </row>
    <row r="182" spans="1:4" x14ac:dyDescent="0.35">
      <c r="A182">
        <v>181</v>
      </c>
      <c r="B182" t="s">
        <v>1548</v>
      </c>
      <c r="C182" t="s">
        <v>1122</v>
      </c>
      <c r="D182" t="s">
        <v>1122</v>
      </c>
    </row>
    <row r="183" spans="1:4" x14ac:dyDescent="0.35">
      <c r="A183">
        <v>182</v>
      </c>
      <c r="B183" t="s">
        <v>1549</v>
      </c>
      <c r="C183" t="s">
        <v>1121</v>
      </c>
      <c r="D183" t="s">
        <v>1121</v>
      </c>
    </row>
    <row r="184" spans="1:4" x14ac:dyDescent="0.35">
      <c r="A184">
        <v>183</v>
      </c>
      <c r="B184" t="s">
        <v>1550</v>
      </c>
      <c r="C184" t="s">
        <v>1121</v>
      </c>
      <c r="D184" t="s">
        <v>1121</v>
      </c>
    </row>
    <row r="185" spans="1:4" x14ac:dyDescent="0.35">
      <c r="A185">
        <v>184</v>
      </c>
      <c r="B185" t="s">
        <v>1551</v>
      </c>
      <c r="C185" t="s">
        <v>1121</v>
      </c>
      <c r="D185" t="s">
        <v>1121</v>
      </c>
    </row>
    <row r="186" spans="1:4" x14ac:dyDescent="0.35">
      <c r="A186">
        <v>185</v>
      </c>
      <c r="B186" t="s">
        <v>1552</v>
      </c>
      <c r="C186" t="s">
        <v>1121</v>
      </c>
      <c r="D186" t="s">
        <v>1121</v>
      </c>
    </row>
    <row r="187" spans="1:4" x14ac:dyDescent="0.35">
      <c r="A187">
        <v>186</v>
      </c>
      <c r="B187" t="s">
        <v>1553</v>
      </c>
      <c r="C187" t="s">
        <v>1121</v>
      </c>
      <c r="D187" t="s">
        <v>1121</v>
      </c>
    </row>
    <row r="188" spans="1:4" x14ac:dyDescent="0.35">
      <c r="A188">
        <v>187</v>
      </c>
      <c r="B188" t="s">
        <v>1554</v>
      </c>
      <c r="C188" t="s">
        <v>1121</v>
      </c>
      <c r="D188" t="s">
        <v>1121</v>
      </c>
    </row>
    <row r="189" spans="1:4" x14ac:dyDescent="0.35">
      <c r="A189">
        <v>188</v>
      </c>
      <c r="B189" t="s">
        <v>1074</v>
      </c>
      <c r="C189" t="s">
        <v>1121</v>
      </c>
      <c r="D189" t="s">
        <v>1121</v>
      </c>
    </row>
    <row r="190" spans="1:4" x14ac:dyDescent="0.35">
      <c r="A190">
        <v>189</v>
      </c>
      <c r="B190" t="s">
        <v>1075</v>
      </c>
      <c r="C190" t="s">
        <v>1124</v>
      </c>
      <c r="D190" t="s">
        <v>1124</v>
      </c>
    </row>
    <row r="191" spans="1:4" x14ac:dyDescent="0.35">
      <c r="A191">
        <v>190</v>
      </c>
      <c r="B191" t="s">
        <v>1555</v>
      </c>
      <c r="C191" t="s">
        <v>1122</v>
      </c>
      <c r="D191" t="s">
        <v>1122</v>
      </c>
    </row>
    <row r="192" spans="1:4" x14ac:dyDescent="0.35">
      <c r="A192">
        <v>191</v>
      </c>
      <c r="B192" t="s">
        <v>1556</v>
      </c>
      <c r="C192" t="s">
        <v>1122</v>
      </c>
      <c r="D192" t="s">
        <v>1122</v>
      </c>
    </row>
    <row r="193" spans="1:4" x14ac:dyDescent="0.35">
      <c r="A193">
        <v>192</v>
      </c>
      <c r="B193" t="s">
        <v>1076</v>
      </c>
      <c r="C193" t="s">
        <v>1121</v>
      </c>
      <c r="D193" t="s">
        <v>1121</v>
      </c>
    </row>
    <row r="194" spans="1:4" x14ac:dyDescent="0.35">
      <c r="A194">
        <v>193</v>
      </c>
      <c r="B194" t="s">
        <v>1557</v>
      </c>
      <c r="C194" t="s">
        <v>1121</v>
      </c>
      <c r="D194" t="s">
        <v>1121</v>
      </c>
    </row>
    <row r="195" spans="1:4" x14ac:dyDescent="0.35">
      <c r="A195">
        <v>194</v>
      </c>
      <c r="B195" t="s">
        <v>1558</v>
      </c>
      <c r="C195" t="s">
        <v>1121</v>
      </c>
      <c r="D195" t="s">
        <v>1121</v>
      </c>
    </row>
    <row r="196" spans="1:4" x14ac:dyDescent="0.35">
      <c r="A196">
        <v>195</v>
      </c>
      <c r="B196" t="s">
        <v>1559</v>
      </c>
      <c r="C196" t="s">
        <v>1121</v>
      </c>
      <c r="D196" t="s">
        <v>1121</v>
      </c>
    </row>
    <row r="197" spans="1:4" x14ac:dyDescent="0.35">
      <c r="A197">
        <v>196</v>
      </c>
      <c r="B197" t="s">
        <v>1560</v>
      </c>
      <c r="C197" t="s">
        <v>1121</v>
      </c>
      <c r="D197" t="s">
        <v>1121</v>
      </c>
    </row>
    <row r="198" spans="1:4" x14ac:dyDescent="0.35">
      <c r="A198">
        <v>197</v>
      </c>
      <c r="B198" t="s">
        <v>1561</v>
      </c>
      <c r="C198" t="s">
        <v>1121</v>
      </c>
      <c r="D198" t="s">
        <v>1121</v>
      </c>
    </row>
    <row r="199" spans="1:4" x14ac:dyDescent="0.35">
      <c r="A199">
        <v>198</v>
      </c>
      <c r="B199" t="s">
        <v>1562</v>
      </c>
      <c r="C199" t="s">
        <v>1121</v>
      </c>
      <c r="D199" t="s">
        <v>1121</v>
      </c>
    </row>
    <row r="200" spans="1:4" x14ac:dyDescent="0.35">
      <c r="A200">
        <v>199</v>
      </c>
      <c r="B200" t="s">
        <v>1563</v>
      </c>
      <c r="C200" t="s">
        <v>1121</v>
      </c>
      <c r="D200" t="s">
        <v>1121</v>
      </c>
    </row>
    <row r="201" spans="1:4" x14ac:dyDescent="0.35">
      <c r="A201">
        <v>200</v>
      </c>
      <c r="B201" t="s">
        <v>1564</v>
      </c>
      <c r="C201" t="s">
        <v>1121</v>
      </c>
      <c r="D201" t="s">
        <v>1121</v>
      </c>
    </row>
    <row r="202" spans="1:4" x14ac:dyDescent="0.35">
      <c r="A202">
        <v>201</v>
      </c>
      <c r="B202" t="s">
        <v>1565</v>
      </c>
      <c r="C202" t="s">
        <v>1121</v>
      </c>
      <c r="D202" t="s">
        <v>1121</v>
      </c>
    </row>
    <row r="203" spans="1:4" x14ac:dyDescent="0.35">
      <c r="A203">
        <v>202</v>
      </c>
      <c r="B203" t="s">
        <v>1566</v>
      </c>
      <c r="C203" t="s">
        <v>1121</v>
      </c>
      <c r="D203" t="s">
        <v>1121</v>
      </c>
    </row>
    <row r="204" spans="1:4" x14ac:dyDescent="0.35">
      <c r="A204">
        <v>203</v>
      </c>
      <c r="B204" t="s">
        <v>1567</v>
      </c>
      <c r="C204" t="s">
        <v>1121</v>
      </c>
      <c r="D204" t="s">
        <v>1121</v>
      </c>
    </row>
    <row r="205" spans="1:4" x14ac:dyDescent="0.35">
      <c r="A205">
        <v>204</v>
      </c>
      <c r="B205" t="s">
        <v>557</v>
      </c>
      <c r="C205" t="s">
        <v>1121</v>
      </c>
      <c r="D205" t="s">
        <v>1121</v>
      </c>
    </row>
    <row r="206" spans="1:4" x14ac:dyDescent="0.35">
      <c r="A206">
        <v>205</v>
      </c>
      <c r="B206" t="s">
        <v>1568</v>
      </c>
      <c r="C206" t="s">
        <v>1121</v>
      </c>
      <c r="D206" t="s">
        <v>1121</v>
      </c>
    </row>
    <row r="207" spans="1:4" x14ac:dyDescent="0.35">
      <c r="A207">
        <v>206</v>
      </c>
      <c r="B207" t="s">
        <v>1393</v>
      </c>
      <c r="C207" t="s">
        <v>1121</v>
      </c>
      <c r="D207" t="s">
        <v>1121</v>
      </c>
    </row>
    <row r="208" spans="1:4" x14ac:dyDescent="0.35">
      <c r="A208">
        <v>207</v>
      </c>
      <c r="B208" t="s">
        <v>1569</v>
      </c>
      <c r="C208" t="s">
        <v>1121</v>
      </c>
      <c r="D208" t="s">
        <v>1121</v>
      </c>
    </row>
    <row r="209" spans="1:4" x14ac:dyDescent="0.35">
      <c r="A209">
        <v>208</v>
      </c>
      <c r="B209" t="s">
        <v>1570</v>
      </c>
      <c r="C209" t="s">
        <v>1121</v>
      </c>
      <c r="D209" t="s">
        <v>1121</v>
      </c>
    </row>
    <row r="210" spans="1:4" x14ac:dyDescent="0.35">
      <c r="A210">
        <v>209</v>
      </c>
      <c r="B210" t="s">
        <v>1571</v>
      </c>
      <c r="C210" t="s">
        <v>1121</v>
      </c>
      <c r="D210" t="s">
        <v>1121</v>
      </c>
    </row>
    <row r="211" spans="1:4" x14ac:dyDescent="0.35">
      <c r="A211">
        <v>210</v>
      </c>
      <c r="B211" t="s">
        <v>1572</v>
      </c>
      <c r="C211" t="s">
        <v>1121</v>
      </c>
      <c r="D211" t="s">
        <v>1121</v>
      </c>
    </row>
    <row r="212" spans="1:4" x14ac:dyDescent="0.35">
      <c r="A212">
        <v>211</v>
      </c>
      <c r="B212" t="s">
        <v>1573</v>
      </c>
      <c r="C212" t="s">
        <v>1121</v>
      </c>
      <c r="D212" t="s">
        <v>1121</v>
      </c>
    </row>
    <row r="213" spans="1:4" x14ac:dyDescent="0.35">
      <c r="A213">
        <v>212</v>
      </c>
      <c r="B213" t="s">
        <v>1574</v>
      </c>
      <c r="C213" t="s">
        <v>1121</v>
      </c>
      <c r="D213" t="s">
        <v>1121</v>
      </c>
    </row>
    <row r="214" spans="1:4" x14ac:dyDescent="0.35">
      <c r="A214">
        <v>213</v>
      </c>
      <c r="B214" t="s">
        <v>1575</v>
      </c>
      <c r="C214" t="s">
        <v>1121</v>
      </c>
      <c r="D214" t="s">
        <v>1121</v>
      </c>
    </row>
    <row r="215" spans="1:4" x14ac:dyDescent="0.35">
      <c r="A215">
        <v>214</v>
      </c>
      <c r="B215" t="s">
        <v>105</v>
      </c>
      <c r="C215" t="s">
        <v>1122</v>
      </c>
      <c r="D215" t="s">
        <v>1122</v>
      </c>
    </row>
    <row r="216" spans="1:4" x14ac:dyDescent="0.35">
      <c r="A216">
        <v>215</v>
      </c>
      <c r="B216" t="s">
        <v>106</v>
      </c>
      <c r="C216" t="s">
        <v>1122</v>
      </c>
      <c r="D216" t="s">
        <v>1122</v>
      </c>
    </row>
    <row r="217" spans="1:4" x14ac:dyDescent="0.35">
      <c r="A217">
        <v>216</v>
      </c>
      <c r="B217" t="s">
        <v>1576</v>
      </c>
      <c r="C217" t="s">
        <v>1122</v>
      </c>
      <c r="D217" t="s">
        <v>1122</v>
      </c>
    </row>
    <row r="218" spans="1:4" x14ac:dyDescent="0.35">
      <c r="A218">
        <v>217</v>
      </c>
      <c r="B218" t="s">
        <v>1577</v>
      </c>
      <c r="C218" t="s">
        <v>1123</v>
      </c>
      <c r="D218" t="s">
        <v>1123</v>
      </c>
    </row>
    <row r="219" spans="1:4" x14ac:dyDescent="0.35">
      <c r="A219">
        <v>218</v>
      </c>
      <c r="B219" t="s">
        <v>1578</v>
      </c>
      <c r="C219" t="s">
        <v>1124</v>
      </c>
      <c r="D219" t="s">
        <v>1124</v>
      </c>
    </row>
    <row r="220" spans="1:4" x14ac:dyDescent="0.35">
      <c r="A220">
        <v>219</v>
      </c>
      <c r="B220" t="s">
        <v>1579</v>
      </c>
      <c r="C220" t="s">
        <v>1124</v>
      </c>
      <c r="D220" t="s">
        <v>1124</v>
      </c>
    </row>
    <row r="221" spans="1:4" x14ac:dyDescent="0.35">
      <c r="A221">
        <v>220</v>
      </c>
      <c r="B221" t="s">
        <v>111</v>
      </c>
      <c r="C221" t="s">
        <v>1124</v>
      </c>
      <c r="D221" t="s">
        <v>1124</v>
      </c>
    </row>
    <row r="222" spans="1:4" x14ac:dyDescent="0.35">
      <c r="A222">
        <v>221</v>
      </c>
      <c r="B222" t="s">
        <v>1580</v>
      </c>
      <c r="C222" t="s">
        <v>1124</v>
      </c>
      <c r="D222" t="s">
        <v>1124</v>
      </c>
    </row>
    <row r="223" spans="1:4" x14ac:dyDescent="0.35">
      <c r="A223">
        <v>222</v>
      </c>
      <c r="B223" t="s">
        <v>113</v>
      </c>
      <c r="C223" t="s">
        <v>1124</v>
      </c>
      <c r="D223" t="s">
        <v>1124</v>
      </c>
    </row>
    <row r="224" spans="1:4" x14ac:dyDescent="0.35">
      <c r="A224">
        <v>223</v>
      </c>
      <c r="B224" t="s">
        <v>1581</v>
      </c>
      <c r="C224" t="s">
        <v>1133</v>
      </c>
      <c r="D224" t="s">
        <v>1133</v>
      </c>
    </row>
    <row r="225" spans="1:4" x14ac:dyDescent="0.35">
      <c r="A225">
        <v>224</v>
      </c>
      <c r="B225" t="s">
        <v>1582</v>
      </c>
      <c r="C225" t="s">
        <v>1133</v>
      </c>
      <c r="D225" t="s">
        <v>1133</v>
      </c>
    </row>
    <row r="226" spans="1:4" x14ac:dyDescent="0.35">
      <c r="A226">
        <v>225</v>
      </c>
      <c r="B226" t="s">
        <v>1583</v>
      </c>
      <c r="C226" t="s">
        <v>1121</v>
      </c>
      <c r="D226" t="s">
        <v>1121</v>
      </c>
    </row>
    <row r="227" spans="1:4" x14ac:dyDescent="0.35">
      <c r="A227">
        <v>226</v>
      </c>
      <c r="B227" t="s">
        <v>1584</v>
      </c>
      <c r="C227" t="s">
        <v>1121</v>
      </c>
      <c r="D227" t="s">
        <v>1121</v>
      </c>
    </row>
    <row r="228" spans="1:4" x14ac:dyDescent="0.35">
      <c r="A228">
        <v>227</v>
      </c>
      <c r="B228" t="s">
        <v>1585</v>
      </c>
      <c r="C228" t="s">
        <v>1133</v>
      </c>
      <c r="D228" t="s">
        <v>1133</v>
      </c>
    </row>
    <row r="229" spans="1:4" x14ac:dyDescent="0.35">
      <c r="A229">
        <v>228</v>
      </c>
      <c r="B229" t="s">
        <v>1586</v>
      </c>
      <c r="C229" t="s">
        <v>1133</v>
      </c>
      <c r="D229" t="s">
        <v>1133</v>
      </c>
    </row>
    <row r="230" spans="1:4" x14ac:dyDescent="0.35">
      <c r="A230">
        <v>229</v>
      </c>
      <c r="B230" t="s">
        <v>1587</v>
      </c>
      <c r="C230" t="s">
        <v>1133</v>
      </c>
      <c r="D230" t="s">
        <v>1133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0B25-74E7-42B8-B826-DD6102301CF8}">
  <dimension ref="A1:D24"/>
  <sheetViews>
    <sheetView workbookViewId="0">
      <selection activeCell="D25" sqref="D25"/>
    </sheetView>
  </sheetViews>
  <sheetFormatPr baseColWidth="10" defaultRowHeight="14.5" x14ac:dyDescent="0.35"/>
  <cols>
    <col min="1" max="1" width="46.36328125" customWidth="1"/>
    <col min="2" max="2" width="35.08984375" customWidth="1"/>
    <col min="4" max="4" width="32" customWidth="1"/>
    <col min="5" max="5" width="42.54296875" customWidth="1"/>
  </cols>
  <sheetData>
    <row r="1" spans="1:4" x14ac:dyDescent="0.35">
      <c r="A1" s="10" t="s">
        <v>1434</v>
      </c>
      <c r="B1" s="10" t="s">
        <v>1433</v>
      </c>
      <c r="C1" s="10" t="s">
        <v>1435</v>
      </c>
      <c r="D1" s="10" t="s">
        <v>1434</v>
      </c>
    </row>
    <row r="2" spans="1:4" x14ac:dyDescent="0.35">
      <c r="A2" t="s">
        <v>0</v>
      </c>
      <c r="B2" t="s">
        <v>0</v>
      </c>
      <c r="C2" t="s">
        <v>1110</v>
      </c>
      <c r="D2" t="s">
        <v>0</v>
      </c>
    </row>
    <row r="3" spans="1:4" x14ac:dyDescent="0.35">
      <c r="A3" t="s">
        <v>1</v>
      </c>
      <c r="B3" t="s">
        <v>1</v>
      </c>
      <c r="C3" t="s">
        <v>1111</v>
      </c>
      <c r="D3" t="s">
        <v>1</v>
      </c>
    </row>
    <row r="4" spans="1:4" x14ac:dyDescent="0.35">
      <c r="A4" t="s">
        <v>2</v>
      </c>
      <c r="B4" t="s">
        <v>2</v>
      </c>
      <c r="C4" t="s">
        <v>1112</v>
      </c>
      <c r="D4" t="s">
        <v>2</v>
      </c>
    </row>
    <row r="5" spans="1:4" x14ac:dyDescent="0.35">
      <c r="A5" t="s">
        <v>3</v>
      </c>
      <c r="B5" t="s">
        <v>3</v>
      </c>
      <c r="C5" t="s">
        <v>1113</v>
      </c>
      <c r="D5" t="s">
        <v>3</v>
      </c>
    </row>
    <row r="6" spans="1:4" x14ac:dyDescent="0.35">
      <c r="A6" t="s">
        <v>4</v>
      </c>
      <c r="B6" t="s">
        <v>4</v>
      </c>
      <c r="C6" t="s">
        <v>787</v>
      </c>
      <c r="D6" t="s">
        <v>4</v>
      </c>
    </row>
    <row r="7" spans="1:4" x14ac:dyDescent="0.35">
      <c r="A7" t="s">
        <v>5</v>
      </c>
      <c r="B7" t="s">
        <v>5</v>
      </c>
      <c r="C7" t="s">
        <v>1114</v>
      </c>
      <c r="D7" t="s">
        <v>5</v>
      </c>
    </row>
    <row r="8" spans="1:4" x14ac:dyDescent="0.35">
      <c r="A8" t="s">
        <v>1427</v>
      </c>
      <c r="B8" t="s">
        <v>6</v>
      </c>
      <c r="C8" t="s">
        <v>1115</v>
      </c>
      <c r="D8" t="s">
        <v>1427</v>
      </c>
    </row>
    <row r="9" spans="1:4" x14ac:dyDescent="0.35">
      <c r="A9" t="s">
        <v>7</v>
      </c>
      <c r="B9" t="s">
        <v>7</v>
      </c>
      <c r="C9" t="s">
        <v>1116</v>
      </c>
      <c r="D9" t="s">
        <v>7</v>
      </c>
    </row>
    <row r="10" spans="1:4" x14ac:dyDescent="0.35">
      <c r="A10" t="s">
        <v>1428</v>
      </c>
      <c r="B10" t="s">
        <v>8</v>
      </c>
      <c r="C10" t="s">
        <v>1117</v>
      </c>
      <c r="D10" t="s">
        <v>1428</v>
      </c>
    </row>
    <row r="11" spans="1:4" x14ac:dyDescent="0.35">
      <c r="A11" t="s">
        <v>1429</v>
      </c>
      <c r="B11" t="s">
        <v>9</v>
      </c>
      <c r="C11" t="s">
        <v>1118</v>
      </c>
      <c r="D11" t="s">
        <v>1429</v>
      </c>
    </row>
    <row r="12" spans="1:4" x14ac:dyDescent="0.35">
      <c r="A12" t="s">
        <v>1430</v>
      </c>
      <c r="B12" t="s">
        <v>9</v>
      </c>
      <c r="C12" t="s">
        <v>1118</v>
      </c>
      <c r="D12" t="s">
        <v>1430</v>
      </c>
    </row>
    <row r="13" spans="1:4" x14ac:dyDescent="0.35">
      <c r="A13" t="s">
        <v>275</v>
      </c>
      <c r="B13" t="s">
        <v>10</v>
      </c>
      <c r="C13" t="s">
        <v>1120</v>
      </c>
      <c r="D13" t="s">
        <v>275</v>
      </c>
    </row>
    <row r="14" spans="1:4" x14ac:dyDescent="0.35">
      <c r="A14" t="s">
        <v>11</v>
      </c>
      <c r="B14" t="s">
        <v>11</v>
      </c>
      <c r="C14" t="s">
        <v>1121</v>
      </c>
      <c r="D14" t="s">
        <v>11</v>
      </c>
    </row>
    <row r="15" spans="1:4" x14ac:dyDescent="0.35">
      <c r="A15" t="s">
        <v>1431</v>
      </c>
      <c r="B15" t="s">
        <v>12</v>
      </c>
      <c r="C15" t="s">
        <v>1122</v>
      </c>
      <c r="D15" t="s">
        <v>1431</v>
      </c>
    </row>
    <row r="16" spans="1:4" x14ac:dyDescent="0.35">
      <c r="A16" t="s">
        <v>13</v>
      </c>
      <c r="B16" t="s">
        <v>13</v>
      </c>
      <c r="C16" t="s">
        <v>1123</v>
      </c>
      <c r="D16" t="s">
        <v>13</v>
      </c>
    </row>
    <row r="17" spans="1:4" x14ac:dyDescent="0.35">
      <c r="A17" t="s">
        <v>14</v>
      </c>
      <c r="B17" t="s">
        <v>14</v>
      </c>
      <c r="C17" t="s">
        <v>1124</v>
      </c>
      <c r="D17" t="s">
        <v>14</v>
      </c>
    </row>
    <row r="18" spans="1:4" x14ac:dyDescent="0.35">
      <c r="A18" t="s">
        <v>538</v>
      </c>
      <c r="B18" t="s">
        <v>11</v>
      </c>
      <c r="C18" t="s">
        <v>1121</v>
      </c>
      <c r="D18" t="s">
        <v>538</v>
      </c>
    </row>
    <row r="19" spans="1:4" x14ac:dyDescent="0.35">
      <c r="A19" t="s">
        <v>541</v>
      </c>
      <c r="B19" t="s">
        <v>11</v>
      </c>
      <c r="C19" t="s">
        <v>1121</v>
      </c>
      <c r="D19" t="s">
        <v>541</v>
      </c>
    </row>
    <row r="20" spans="1:4" x14ac:dyDescent="0.35">
      <c r="A20" t="s">
        <v>1432</v>
      </c>
      <c r="B20" t="s">
        <v>9</v>
      </c>
      <c r="C20" t="s">
        <v>1118</v>
      </c>
      <c r="D20" t="s">
        <v>1432</v>
      </c>
    </row>
    <row r="21" spans="1:4" x14ac:dyDescent="0.35">
      <c r="A21" t="s">
        <v>539</v>
      </c>
      <c r="B21" t="s">
        <v>11</v>
      </c>
      <c r="C21" t="s">
        <v>1121</v>
      </c>
      <c r="D21" t="s">
        <v>539</v>
      </c>
    </row>
    <row r="22" spans="1:4" x14ac:dyDescent="0.35">
      <c r="A22" t="s">
        <v>15</v>
      </c>
      <c r="B22" t="s">
        <v>599</v>
      </c>
      <c r="C22" t="s">
        <v>1133</v>
      </c>
      <c r="D22" t="s">
        <v>15</v>
      </c>
    </row>
    <row r="24" spans="1:4" x14ac:dyDescent="0.35">
      <c r="C24" t="s">
        <v>1631</v>
      </c>
      <c r="D24" t="s">
        <v>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Clasificacion</vt:lpstr>
      <vt:lpstr>Siglas</vt:lpstr>
      <vt:lpstr>Diccionario preguntas</vt:lpstr>
      <vt:lpstr>2019</vt:lpstr>
      <vt:lpstr>Diccionario 2019</vt:lpstr>
      <vt:lpstr>2020</vt:lpstr>
      <vt:lpstr>Diccionario 2020</vt:lpstr>
      <vt:lpstr>2021</vt:lpstr>
      <vt:lpstr>Diccionario 2021</vt:lpstr>
      <vt:lpstr>2022</vt:lpstr>
      <vt:lpstr>Diccionario 2022</vt:lpstr>
      <vt:lpstr>2023</vt:lpstr>
      <vt:lpstr>Diccionario 2023</vt:lpstr>
      <vt:lpstr>2024</vt:lpstr>
      <vt:lpstr>Diccionario 2024</vt:lpstr>
      <vt:lpstr>Hoja3</vt:lpstr>
      <vt:lpstr>Siglas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2026-01-13T15:12:56Z</dcterms:created>
  <dcterms:modified xsi:type="dcterms:W3CDTF">2026-03-24T14:22:02Z</dcterms:modified>
</cp:coreProperties>
</file>