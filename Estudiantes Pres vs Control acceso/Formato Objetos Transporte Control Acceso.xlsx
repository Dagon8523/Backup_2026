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Estudiantes Pres vs Control acceso\"/>
    </mc:Choice>
  </mc:AlternateContent>
  <xr:revisionPtr revIDLastSave="0" documentId="13_ncr:1_{222C91F0-9BFF-4E65-A676-EDF94C0D66BE}" xr6:coauthVersionLast="47" xr6:coauthVersionMax="47" xr10:uidLastSave="{00000000-0000-0000-0000-000000000000}"/>
  <bookViews>
    <workbookView xWindow="-120" yWindow="-120" windowWidth="20730" windowHeight="11040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2" i="1"/>
  <c r="E2" i="1" s="1"/>
  <c r="D4" i="1"/>
  <c r="E4" i="1" s="1"/>
  <c r="D5" i="1"/>
  <c r="E5" i="1" s="1"/>
  <c r="D6" i="1"/>
  <c r="E6" i="1" s="1"/>
  <c r="D7" i="1"/>
  <c r="E7" i="1" s="1"/>
  <c r="E12" i="1"/>
  <c r="E13" i="1"/>
  <c r="E14" i="1"/>
  <c r="E16" i="1"/>
  <c r="E20" i="1"/>
  <c r="E21" i="1"/>
  <c r="E22" i="1"/>
  <c r="E24" i="1"/>
  <c r="E28" i="1"/>
  <c r="E29" i="1"/>
  <c r="E30" i="1"/>
  <c r="E32" i="1"/>
  <c r="E36" i="1"/>
  <c r="E37" i="1"/>
  <c r="E38" i="1"/>
  <c r="E40" i="1"/>
  <c r="E44" i="1"/>
  <c r="E45" i="1"/>
  <c r="E46" i="1"/>
  <c r="E48" i="1"/>
  <c r="E52" i="1"/>
  <c r="E53" i="1"/>
  <c r="E54" i="1"/>
  <c r="E56" i="1"/>
  <c r="E60" i="1"/>
  <c r="E61" i="1"/>
  <c r="E62" i="1"/>
  <c r="E64" i="1"/>
  <c r="E68" i="1"/>
  <c r="E69" i="1"/>
  <c r="E70" i="1"/>
  <c r="E72" i="1"/>
  <c r="E76" i="1"/>
  <c r="E77" i="1"/>
  <c r="E78" i="1"/>
  <c r="E80" i="1"/>
  <c r="E84" i="1"/>
  <c r="E85" i="1"/>
  <c r="E86" i="1"/>
  <c r="E88" i="1"/>
  <c r="D8" i="1"/>
  <c r="E8" i="1" s="1"/>
  <c r="D9" i="1"/>
  <c r="E9" i="1" s="1"/>
  <c r="D10" i="1"/>
  <c r="E10" i="1" s="1"/>
  <c r="D11" i="1"/>
  <c r="E11" i="1" s="1"/>
  <c r="D12" i="1"/>
  <c r="D13" i="1"/>
  <c r="D14" i="1"/>
  <c r="D15" i="1"/>
  <c r="E15" i="1" s="1"/>
  <c r="D16" i="1"/>
  <c r="D17" i="1"/>
  <c r="E17" i="1" s="1"/>
  <c r="D18" i="1"/>
  <c r="E18" i="1" s="1"/>
  <c r="D19" i="1"/>
  <c r="E19" i="1" s="1"/>
  <c r="D20" i="1"/>
  <c r="D21" i="1"/>
  <c r="D22" i="1"/>
  <c r="D23" i="1"/>
  <c r="E23" i="1" s="1"/>
  <c r="D24" i="1"/>
  <c r="D25" i="1"/>
  <c r="E25" i="1" s="1"/>
  <c r="D26" i="1"/>
  <c r="E26" i="1" s="1"/>
  <c r="D27" i="1"/>
  <c r="E27" i="1" s="1"/>
  <c r="D28" i="1"/>
  <c r="D29" i="1"/>
  <c r="D30" i="1"/>
  <c r="D31" i="1"/>
  <c r="E31" i="1" s="1"/>
  <c r="D32" i="1"/>
  <c r="D33" i="1"/>
  <c r="E33" i="1" s="1"/>
  <c r="D34" i="1"/>
  <c r="E34" i="1" s="1"/>
  <c r="D35" i="1"/>
  <c r="E35" i="1" s="1"/>
  <c r="D36" i="1"/>
  <c r="D37" i="1"/>
  <c r="D38" i="1"/>
  <c r="D39" i="1"/>
  <c r="E39" i="1" s="1"/>
  <c r="D40" i="1"/>
  <c r="D41" i="1"/>
  <c r="E41" i="1" s="1"/>
  <c r="D42" i="1"/>
  <c r="E42" i="1" s="1"/>
  <c r="D43" i="1"/>
  <c r="E43" i="1" s="1"/>
  <c r="D44" i="1"/>
  <c r="D45" i="1"/>
  <c r="D46" i="1"/>
  <c r="D47" i="1"/>
  <c r="E47" i="1" s="1"/>
  <c r="D48" i="1"/>
  <c r="D49" i="1"/>
  <c r="E49" i="1" s="1"/>
  <c r="D50" i="1"/>
  <c r="E50" i="1" s="1"/>
  <c r="D51" i="1"/>
  <c r="E51" i="1" s="1"/>
  <c r="D52" i="1"/>
  <c r="D53" i="1"/>
  <c r="D54" i="1"/>
  <c r="D55" i="1"/>
  <c r="E55" i="1" s="1"/>
  <c r="D56" i="1"/>
  <c r="D57" i="1"/>
  <c r="E57" i="1" s="1"/>
  <c r="D58" i="1"/>
  <c r="E58" i="1" s="1"/>
  <c r="D59" i="1"/>
  <c r="E59" i="1" s="1"/>
  <c r="D60" i="1"/>
  <c r="D61" i="1"/>
  <c r="D62" i="1"/>
  <c r="D63" i="1"/>
  <c r="E63" i="1" s="1"/>
  <c r="D64" i="1"/>
  <c r="D65" i="1"/>
  <c r="E65" i="1" s="1"/>
  <c r="D66" i="1"/>
  <c r="E66" i="1" s="1"/>
  <c r="D67" i="1"/>
  <c r="E67" i="1" s="1"/>
  <c r="D68" i="1"/>
  <c r="D69" i="1"/>
  <c r="D70" i="1"/>
  <c r="D71" i="1"/>
  <c r="E71" i="1" s="1"/>
  <c r="D72" i="1"/>
  <c r="D73" i="1"/>
  <c r="E73" i="1" s="1"/>
  <c r="D74" i="1"/>
  <c r="E74" i="1" s="1"/>
  <c r="D75" i="1"/>
  <c r="E75" i="1" s="1"/>
  <c r="D76" i="1"/>
  <c r="D77" i="1"/>
  <c r="D78" i="1"/>
  <c r="D79" i="1"/>
  <c r="E79" i="1" s="1"/>
  <c r="D80" i="1"/>
  <c r="D81" i="1"/>
  <c r="E81" i="1" s="1"/>
  <c r="D82" i="1"/>
  <c r="E82" i="1" s="1"/>
  <c r="D83" i="1"/>
  <c r="E83" i="1" s="1"/>
  <c r="D84" i="1"/>
  <c r="D85" i="1"/>
  <c r="D86" i="1"/>
  <c r="D87" i="1"/>
  <c r="E87" i="1" s="1"/>
  <c r="D88" i="1"/>
  <c r="D89" i="1"/>
  <c r="E89" i="1" s="1"/>
  <c r="D90" i="1"/>
  <c r="E90" i="1" s="1"/>
  <c r="D91" i="1"/>
  <c r="D92" i="1"/>
  <c r="D93" i="1"/>
  <c r="D94" i="1"/>
  <c r="D95" i="1"/>
</calcChain>
</file>

<file path=xl/sharedStrings.xml><?xml version="1.0" encoding="utf-8"?>
<sst xmlns="http://schemas.openxmlformats.org/spreadsheetml/2006/main" count="62" uniqueCount="41">
  <si>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</si>
  <si>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</si>
  <si>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</si>
  <si>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</si>
  <si>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</si>
  <si>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</si>
  <si>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</si>
  <si>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</si>
  <si>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</si>
  <si>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</si>
  <si>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</si>
  <si>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</si>
  <si>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</si>
  <si>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</si>
  <si>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</si>
  <si>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</si>
  <si>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</si>
  <si>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</si>
  <si>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</si>
  <si>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</si>
  <si>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</si>
  <si>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</si>
  <si>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</si>
  <si>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</si>
  <si>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</si>
  <si>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</si>
  <si>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</si>
  <si>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</si>
  <si>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</si>
  <si>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</si>
  <si>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</si>
  <si>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</si>
  <si>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Bussines Inteligence/tableros/entradas vs control acceso</t>
  </si>
  <si>
    <t>Bussines Inteligence/tableros/entradas vs control acceso/Control  Acesso</t>
  </si>
  <si>
    <t>03_SV_DP_Estudiantes_vs_Ingreso_01</t>
  </si>
  <si>
    <t>01_LT_DP_IngresoEstudiantes_01</t>
  </si>
  <si>
    <t>02_DF_DP_IngresoEstudiantes_01</t>
  </si>
  <si>
    <t>Ingreso Estudiantes Pregrado Presencial</t>
  </si>
  <si>
    <t>Estudiantes vs Ingreso</t>
  </si>
  <si>
    <t>Ingreso_Estudiantes_PregraPresen</t>
  </si>
  <si>
    <t>04_AM_DP_Estudiantes_vs_Ingreso_01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</si>
</sst>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F95"/>
  <sheetViews>
    <sheetView tabSelected="1" workbookViewId="0">
      <selection activeCell="C6" sqref="C6"/>
    </sheetView>
  </sheetViews>
  <sheetFormatPr baseColWidth="10" defaultRowHeight="15" x14ac:dyDescent="0.25"/>
  <cols>
    <col min="1" max="1" width="37.5703125" customWidth="1"/>
    <col min="2" max="2" width="38.140625" customWidth="1"/>
    <col min="3" max="3" width="19.140625" customWidth="1"/>
    <col min="4" max="4" width="16.42578125" style="4" customWidth="1"/>
    <col min="5" max="5" width="34" style="5" customWidth="1"/>
    <col min="6" max="6" width="69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s="2" t="s">
        <v>15</v>
      </c>
      <c r="E1" s="3" t="s">
        <v>9</v>
      </c>
      <c r="F1" t="s">
        <v>3</v>
      </c>
    </row>
    <row r="2" spans="1:6" x14ac:dyDescent="0.25">
      <c r="A2" t="s">
        <v>38</v>
      </c>
      <c r="B2" t="s">
        <v>38</v>
      </c>
      <c r="C2" t="s">
        <v>4</v>
      </c>
      <c r="D2" s="4" t="str">
        <f>IFERROR(VLOOKUP(C2,listas!$A$2:$B$8,2,0),"")</f>
        <v>Folder</v>
      </c>
      <c r="E2" s="5" t="str">
        <f>_xlfn.CONCAT(D2," ",B2)</f>
        <v>Folder Estudiantes vs Ingreso</v>
      </c>
      <c r="F2" t="s">
        <v>32</v>
      </c>
    </row>
    <row r="3" spans="1:6" x14ac:dyDescent="0.25">
      <c r="A3" t="s">
        <v>37</v>
      </c>
      <c r="B3" t="s">
        <v>39</v>
      </c>
      <c r="C3" t="s">
        <v>4</v>
      </c>
      <c r="D3" s="4" t="str">
        <f>IFERROR(VLOOKUP(C3,listas!$A$2:$B$8,2,0),"")</f>
        <v>Folder</v>
      </c>
      <c r="E3" s="5" t="str">
        <f>_xlfn.CONCAT(D3," ",B3)</f>
        <v>Folder Ingreso_Estudiantes_PregraPresen</v>
      </c>
      <c r="F3" t="s">
        <v>32</v>
      </c>
    </row>
    <row r="4" spans="1:6" x14ac:dyDescent="0.25">
      <c r="A4" t="s">
        <v>37</v>
      </c>
      <c r="B4" t="s">
        <v>35</v>
      </c>
      <c r="C4" t="s">
        <v>7</v>
      </c>
      <c r="D4" s="4" t="str">
        <f>IFERROR(VLOOKUP(C4,listas!$A$2:$B$8,2,0),"")</f>
        <v>LT</v>
      </c>
      <c r="E4" s="5" t="str">
        <f t="shared" ref="E4:E67" si="0">_xlfn.CONCAT(D4," ",B4)</f>
        <v>LT 01_LT_DP_IngresoEstudiantes_01</v>
      </c>
      <c r="F4" t="s">
        <v>33</v>
      </c>
    </row>
    <row r="5" spans="1:6" x14ac:dyDescent="0.25">
      <c r="A5" t="s">
        <v>37</v>
      </c>
      <c r="B5" t="s">
        <v>36</v>
      </c>
      <c r="C5" t="s">
        <v>8</v>
      </c>
      <c r="D5" s="4" t="str">
        <f>IFERROR(VLOOKUP(C5,listas!$A$2:$B$8,2,0),"")</f>
        <v>DF</v>
      </c>
      <c r="E5" s="5" t="str">
        <f t="shared" si="0"/>
        <v>DF 02_DF_DP_IngresoEstudiantes_01</v>
      </c>
      <c r="F5" t="s">
        <v>33</v>
      </c>
    </row>
    <row r="6" spans="1:6" x14ac:dyDescent="0.25">
      <c r="A6" t="s">
        <v>38</v>
      </c>
      <c r="B6" t="s">
        <v>34</v>
      </c>
      <c r="C6" t="s">
        <v>30</v>
      </c>
      <c r="D6" s="4" t="str">
        <f>IFERROR(VLOOKUP(C6,listas!$A$2:$B$8,2,0),"")</f>
        <v>SV</v>
      </c>
      <c r="E6" s="5" t="str">
        <f t="shared" si="0"/>
        <v>SV 03_SV_DP_Estudiantes_vs_Ingreso_01</v>
      </c>
      <c r="F6" t="s">
        <v>32</v>
      </c>
    </row>
    <row r="7" spans="1:6" x14ac:dyDescent="0.25">
      <c r="A7" t="s">
        <v>38</v>
      </c>
      <c r="B7" t="s">
        <v>40</v>
      </c>
      <c r="C7" t="s">
        <v>6</v>
      </c>
      <c r="D7" s="4" t="str">
        <f>IFERROR(VLOOKUP(C7,listas!$A$2:$B$8,2,0),"")</f>
        <v>AM</v>
      </c>
      <c r="E7" s="5" t="str">
        <f t="shared" si="0"/>
        <v>AM 04_AM_DP_Estudiantes_vs_Ingreso_01</v>
      </c>
      <c r="F7" t="s">
        <v>32</v>
      </c>
    </row>
    <row r="8" spans="1:6" x14ac:dyDescent="0.25">
      <c r="D8" s="4" t="str">
        <f>IFERROR(VLOOKUP(C8,listas!$A$2:$B$8,2,0),"")</f>
        <v/>
      </c>
      <c r="E8" s="5" t="str">
        <f t="shared" si="0"/>
        <v xml:space="preserve"> </v>
      </c>
    </row>
    <row r="9" spans="1:6" x14ac:dyDescent="0.25">
      <c r="D9" s="4" t="str">
        <f>IFERROR(VLOOKUP(C9,listas!$A$2:$B$8,2,0),"")</f>
        <v/>
      </c>
      <c r="E9" s="5" t="str">
        <f t="shared" si="0"/>
        <v xml:space="preserve"> </v>
      </c>
    </row>
    <row r="10" spans="1:6" x14ac:dyDescent="0.25">
      <c r="D10" s="4" t="str">
        <f>IFERROR(VLOOKUP(C10,listas!$A$2:$B$8,2,0),"")</f>
        <v/>
      </c>
      <c r="E10" s="5" t="str">
        <f t="shared" si="0"/>
        <v xml:space="preserve"> </v>
      </c>
    </row>
    <row r="11" spans="1:6" x14ac:dyDescent="0.25">
      <c r="D11" s="4" t="str">
        <f>IFERROR(VLOOKUP(C11,listas!$A$2:$B$8,2,0),"")</f>
        <v/>
      </c>
      <c r="E11" s="5" t="str">
        <f t="shared" si="0"/>
        <v xml:space="preserve"> </v>
      </c>
    </row>
    <row r="12" spans="1:6" x14ac:dyDescent="0.25">
      <c r="D12" s="4" t="str">
        <f>IFERROR(VLOOKUP(C12,listas!$A$2:$B$8,2,0),"")</f>
        <v/>
      </c>
      <c r="E12" s="5" t="str">
        <f t="shared" si="0"/>
        <v xml:space="preserve"> </v>
      </c>
    </row>
    <row r="13" spans="1:6" x14ac:dyDescent="0.25">
      <c r="D13" s="4" t="str">
        <f>IFERROR(VLOOKUP(C13,listas!$A$2:$B$8,2,0),"")</f>
        <v/>
      </c>
      <c r="E13" s="5" t="str">
        <f t="shared" si="0"/>
        <v xml:space="preserve"> </v>
      </c>
    </row>
    <row r="14" spans="1:6" x14ac:dyDescent="0.25">
      <c r="D14" s="4" t="str">
        <f>IFERROR(VLOOKUP(C14,listas!$A$2:$B$8,2,0),"")</f>
        <v/>
      </c>
      <c r="E14" s="5" t="str">
        <f t="shared" si="0"/>
        <v xml:space="preserve"> </v>
      </c>
    </row>
    <row r="15" spans="1:6" x14ac:dyDescent="0.25">
      <c r="D15" s="4" t="str">
        <f>IFERROR(VLOOKUP(C15,listas!$A$2:$B$8,2,0),"")</f>
        <v/>
      </c>
      <c r="E15" s="5" t="str">
        <f t="shared" si="0"/>
        <v xml:space="preserve"> </v>
      </c>
    </row>
    <row r="16" spans="1:6" x14ac:dyDescent="0.25">
      <c r="D16" s="4" t="str">
        <f>IFERROR(VLOOKUP(C16,listas!$A$2:$B$8,2,0),"")</f>
        <v/>
      </c>
      <c r="E16" s="5" t="str">
        <f t="shared" si="0"/>
        <v xml:space="preserve"> </v>
      </c>
    </row>
    <row r="17" spans="4:5" x14ac:dyDescent="0.25">
      <c r="D17" s="4" t="str">
        <f>IFERROR(VLOOKUP(C17,listas!$A$2:$B$8,2,0),"")</f>
        <v/>
      </c>
      <c r="E17" s="5" t="str">
        <f t="shared" si="0"/>
        <v xml:space="preserve"> </v>
      </c>
    </row>
    <row r="18" spans="4:5" x14ac:dyDescent="0.25">
      <c r="D18" s="4" t="str">
        <f>IFERROR(VLOOKUP(C18,listas!$A$2:$B$8,2,0),"")</f>
        <v/>
      </c>
      <c r="E18" s="5" t="str">
        <f t="shared" si="0"/>
        <v xml:space="preserve"> </v>
      </c>
    </row>
    <row r="19" spans="4:5" x14ac:dyDescent="0.25">
      <c r="D19" s="4" t="str">
        <f>IFERROR(VLOOKUP(C19,listas!$A$2:$B$8,2,0),"")</f>
        <v/>
      </c>
      <c r="E19" s="5" t="str">
        <f t="shared" si="0"/>
        <v xml:space="preserve"> </v>
      </c>
    </row>
    <row r="20" spans="4:5" x14ac:dyDescent="0.25">
      <c r="D20" s="4" t="str">
        <f>IFERROR(VLOOKUP(C20,listas!$A$2:$B$8,2,0),"")</f>
        <v/>
      </c>
      <c r="E20" s="5" t="str">
        <f t="shared" si="0"/>
        <v xml:space="preserve"> </v>
      </c>
    </row>
    <row r="21" spans="4:5" x14ac:dyDescent="0.25">
      <c r="D21" s="4" t="str">
        <f>IFERROR(VLOOKUP(C21,listas!$A$2:$B$8,2,0),"")</f>
        <v/>
      </c>
      <c r="E21" s="5" t="str">
        <f t="shared" si="0"/>
        <v xml:space="preserve"> </v>
      </c>
    </row>
    <row r="22" spans="4:5" x14ac:dyDescent="0.25">
      <c r="D22" s="4" t="str">
        <f>IFERROR(VLOOKUP(C22,listas!$A$2:$B$8,2,0),"")</f>
        <v/>
      </c>
      <c r="E22" s="5" t="str">
        <f t="shared" si="0"/>
        <v xml:space="preserve"> </v>
      </c>
    </row>
    <row r="23" spans="4:5" x14ac:dyDescent="0.25">
      <c r="D23" s="4" t="str">
        <f>IFERROR(VLOOKUP(C23,listas!$A$2:$B$8,2,0),"")</f>
        <v/>
      </c>
      <c r="E23" s="5" t="str">
        <f t="shared" si="0"/>
        <v xml:space="preserve"> </v>
      </c>
    </row>
    <row r="24" spans="4:5" x14ac:dyDescent="0.25">
      <c r="D24" s="4" t="str">
        <f>IFERROR(VLOOKUP(C24,listas!$A$2:$B$8,2,0),"")</f>
        <v/>
      </c>
      <c r="E24" s="5" t="str">
        <f t="shared" si="0"/>
        <v xml:space="preserve"> </v>
      </c>
    </row>
    <row r="25" spans="4:5" x14ac:dyDescent="0.25">
      <c r="D25" s="4" t="str">
        <f>IFERROR(VLOOKUP(C25,listas!$A$2:$B$8,2,0),"")</f>
        <v/>
      </c>
      <c r="E25" s="5" t="str">
        <f t="shared" si="0"/>
        <v xml:space="preserve"> </v>
      </c>
    </row>
    <row r="26" spans="4:5" x14ac:dyDescent="0.25">
      <c r="D26" s="4" t="str">
        <f>IFERROR(VLOOKUP(C26,listas!$A$2:$B$8,2,0),"")</f>
        <v/>
      </c>
      <c r="E26" s="5" t="str">
        <f t="shared" si="0"/>
        <v xml:space="preserve"> </v>
      </c>
    </row>
    <row r="27" spans="4:5" x14ac:dyDescent="0.25">
      <c r="D27" s="4" t="str">
        <f>IFERROR(VLOOKUP(C27,listas!$A$2:$B$8,2,0),"")</f>
        <v/>
      </c>
      <c r="E27" s="5" t="str">
        <f t="shared" si="0"/>
        <v xml:space="preserve"> </v>
      </c>
    </row>
    <row r="28" spans="4:5" x14ac:dyDescent="0.25">
      <c r="D28" s="4" t="str">
        <f>IFERROR(VLOOKUP(C28,listas!$A$2:$B$8,2,0),"")</f>
        <v/>
      </c>
      <c r="E28" s="5" t="str">
        <f t="shared" si="0"/>
        <v xml:space="preserve"> </v>
      </c>
    </row>
    <row r="29" spans="4:5" x14ac:dyDescent="0.25">
      <c r="D29" s="4" t="str">
        <f>IFERROR(VLOOKUP(C29,listas!$A$2:$B$8,2,0),"")</f>
        <v/>
      </c>
      <c r="E29" s="5" t="str">
        <f t="shared" si="0"/>
        <v xml:space="preserve"> </v>
      </c>
    </row>
    <row r="30" spans="4:5" x14ac:dyDescent="0.25">
      <c r="D30" s="4" t="str">
        <f>IFERROR(VLOOKUP(C30,listas!$A$2:$B$8,2,0),"")</f>
        <v/>
      </c>
      <c r="E30" s="5" t="str">
        <f t="shared" si="0"/>
        <v xml:space="preserve"> </v>
      </c>
    </row>
    <row r="31" spans="4:5" x14ac:dyDescent="0.25">
      <c r="D31" s="4" t="str">
        <f>IFERROR(VLOOKUP(C31,listas!$A$2:$B$8,2,0),"")</f>
        <v/>
      </c>
      <c r="E31" s="5" t="str">
        <f t="shared" si="0"/>
        <v xml:space="preserve"> </v>
      </c>
    </row>
    <row r="32" spans="4:5" x14ac:dyDescent="0.25">
      <c r="D32" s="4" t="str">
        <f>IFERROR(VLOOKUP(C32,listas!$A$2:$B$8,2,0),"")</f>
        <v/>
      </c>
      <c r="E32" s="5" t="str">
        <f t="shared" si="0"/>
        <v xml:space="preserve"> </v>
      </c>
    </row>
    <row r="33" spans="4:5" x14ac:dyDescent="0.25">
      <c r="D33" s="4" t="str">
        <f>IFERROR(VLOOKUP(C33,listas!$A$2:$B$8,2,0),"")</f>
        <v/>
      </c>
      <c r="E33" s="5" t="str">
        <f t="shared" si="0"/>
        <v xml:space="preserve"> </v>
      </c>
    </row>
    <row r="34" spans="4:5" x14ac:dyDescent="0.25">
      <c r="D34" s="4" t="str">
        <f>IFERROR(VLOOKUP(C34,listas!$A$2:$B$8,2,0),"")</f>
        <v/>
      </c>
      <c r="E34" s="5" t="str">
        <f t="shared" si="0"/>
        <v xml:space="preserve"> </v>
      </c>
    </row>
    <row r="35" spans="4:5" x14ac:dyDescent="0.25">
      <c r="D35" s="4" t="str">
        <f>IFERROR(VLOOKUP(C35,listas!$A$2:$B$8,2,0),"")</f>
        <v/>
      </c>
      <c r="E35" s="5" t="str">
        <f t="shared" si="0"/>
        <v xml:space="preserve"> </v>
      </c>
    </row>
    <row r="36" spans="4:5" x14ac:dyDescent="0.25">
      <c r="D36" s="4" t="str">
        <f>IFERROR(VLOOKUP(C36,listas!$A$2:$B$8,2,0),"")</f>
        <v/>
      </c>
      <c r="E36" s="5" t="str">
        <f t="shared" si="0"/>
        <v xml:space="preserve"> </v>
      </c>
    </row>
    <row r="37" spans="4:5" x14ac:dyDescent="0.25">
      <c r="D37" s="4" t="str">
        <f>IFERROR(VLOOKUP(C37,listas!$A$2:$B$8,2,0),"")</f>
        <v/>
      </c>
      <c r="E37" s="5" t="str">
        <f t="shared" si="0"/>
        <v xml:space="preserve"> </v>
      </c>
    </row>
    <row r="38" spans="4:5" x14ac:dyDescent="0.25">
      <c r="D38" s="4" t="str">
        <f>IFERROR(VLOOKUP(C38,listas!$A$2:$B$8,2,0),"")</f>
        <v/>
      </c>
      <c r="E38" s="5" t="str">
        <f t="shared" si="0"/>
        <v xml:space="preserve"> </v>
      </c>
    </row>
    <row r="39" spans="4:5" x14ac:dyDescent="0.25">
      <c r="D39" s="4" t="str">
        <f>IFERROR(VLOOKUP(C39,listas!$A$2:$B$8,2,0),"")</f>
        <v/>
      </c>
      <c r="E39" s="5" t="str">
        <f t="shared" si="0"/>
        <v xml:space="preserve"> </v>
      </c>
    </row>
    <row r="40" spans="4:5" x14ac:dyDescent="0.25">
      <c r="D40" s="4" t="str">
        <f>IFERROR(VLOOKUP(C40,listas!$A$2:$B$8,2,0),"")</f>
        <v/>
      </c>
      <c r="E40" s="5" t="str">
        <f t="shared" si="0"/>
        <v xml:space="preserve"> </v>
      </c>
    </row>
    <row r="41" spans="4:5" x14ac:dyDescent="0.25">
      <c r="D41" s="4" t="str">
        <f>IFERROR(VLOOKUP(C41,listas!$A$2:$B$8,2,0),"")</f>
        <v/>
      </c>
      <c r="E41" s="5" t="str">
        <f t="shared" si="0"/>
        <v xml:space="preserve"> </v>
      </c>
    </row>
    <row r="42" spans="4:5" x14ac:dyDescent="0.25">
      <c r="D42" s="4" t="str">
        <f>IFERROR(VLOOKUP(C42,listas!$A$2:$B$8,2,0),"")</f>
        <v/>
      </c>
      <c r="E42" s="5" t="str">
        <f t="shared" si="0"/>
        <v xml:space="preserve"> </v>
      </c>
    </row>
    <row r="43" spans="4:5" x14ac:dyDescent="0.25">
      <c r="D43" s="4" t="str">
        <f>IFERROR(VLOOKUP(C43,listas!$A$2:$B$8,2,0),"")</f>
        <v/>
      </c>
      <c r="E43" s="5" t="str">
        <f t="shared" si="0"/>
        <v xml:space="preserve"> </v>
      </c>
    </row>
    <row r="44" spans="4:5" x14ac:dyDescent="0.25">
      <c r="D44" s="4" t="str">
        <f>IFERROR(VLOOKUP(C44,listas!$A$2:$B$8,2,0),"")</f>
        <v/>
      </c>
      <c r="E44" s="5" t="str">
        <f t="shared" si="0"/>
        <v xml:space="preserve"> </v>
      </c>
    </row>
    <row r="45" spans="4:5" x14ac:dyDescent="0.25">
      <c r="D45" s="4" t="str">
        <f>IFERROR(VLOOKUP(C45,listas!$A$2:$B$8,2,0),"")</f>
        <v/>
      </c>
      <c r="E45" s="5" t="str">
        <f t="shared" si="0"/>
        <v xml:space="preserve"> </v>
      </c>
    </row>
    <row r="46" spans="4:5" x14ac:dyDescent="0.25">
      <c r="D46" s="4" t="str">
        <f>IFERROR(VLOOKUP(C46,listas!$A$2:$B$8,2,0),"")</f>
        <v/>
      </c>
      <c r="E46" s="5" t="str">
        <f t="shared" si="0"/>
        <v xml:space="preserve"> </v>
      </c>
    </row>
    <row r="47" spans="4:5" x14ac:dyDescent="0.25">
      <c r="D47" s="4" t="str">
        <f>IFERROR(VLOOKUP(C47,listas!$A$2:$B$8,2,0),"")</f>
        <v/>
      </c>
      <c r="E47" s="5" t="str">
        <f t="shared" si="0"/>
        <v xml:space="preserve"> </v>
      </c>
    </row>
    <row r="48" spans="4:5" x14ac:dyDescent="0.25">
      <c r="D48" s="4" t="str">
        <f>IFERROR(VLOOKUP(C48,listas!$A$2:$B$8,2,0),"")</f>
        <v/>
      </c>
      <c r="E48" s="5" t="str">
        <f t="shared" si="0"/>
        <v xml:space="preserve"> </v>
      </c>
    </row>
    <row r="49" spans="4:5" x14ac:dyDescent="0.25">
      <c r="D49" s="4" t="str">
        <f>IFERROR(VLOOKUP(C49,listas!$A$2:$B$8,2,0),"")</f>
        <v/>
      </c>
      <c r="E49" s="5" t="str">
        <f t="shared" si="0"/>
        <v xml:space="preserve"> </v>
      </c>
    </row>
    <row r="50" spans="4:5" x14ac:dyDescent="0.25">
      <c r="D50" s="4" t="str">
        <f>IFERROR(VLOOKUP(C50,listas!$A$2:$B$8,2,0),"")</f>
        <v/>
      </c>
      <c r="E50" s="5" t="str">
        <f t="shared" si="0"/>
        <v xml:space="preserve"> </v>
      </c>
    </row>
    <row r="51" spans="4:5" x14ac:dyDescent="0.25">
      <c r="D51" s="4" t="str">
        <f>IFERROR(VLOOKUP(C51,listas!$A$2:$B$8,2,0),"")</f>
        <v/>
      </c>
      <c r="E51" s="5" t="str">
        <f t="shared" si="0"/>
        <v xml:space="preserve"> </v>
      </c>
    </row>
    <row r="52" spans="4:5" x14ac:dyDescent="0.25">
      <c r="D52" s="4" t="str">
        <f>IFERROR(VLOOKUP(C52,listas!$A$2:$B$8,2,0),"")</f>
        <v/>
      </c>
      <c r="E52" s="5" t="str">
        <f t="shared" si="0"/>
        <v xml:space="preserve"> </v>
      </c>
    </row>
    <row r="53" spans="4:5" x14ac:dyDescent="0.25">
      <c r="D53" s="4" t="str">
        <f>IFERROR(VLOOKUP(C53,listas!$A$2:$B$8,2,0),"")</f>
        <v/>
      </c>
      <c r="E53" s="5" t="str">
        <f t="shared" si="0"/>
        <v xml:space="preserve"> </v>
      </c>
    </row>
    <row r="54" spans="4:5" x14ac:dyDescent="0.25">
      <c r="D54" s="4" t="str">
        <f>IFERROR(VLOOKUP(C54,listas!$A$2:$B$8,2,0),"")</f>
        <v/>
      </c>
      <c r="E54" s="5" t="str">
        <f t="shared" si="0"/>
        <v xml:space="preserve"> </v>
      </c>
    </row>
    <row r="55" spans="4:5" x14ac:dyDescent="0.25">
      <c r="D55" s="4" t="str">
        <f>IFERROR(VLOOKUP(C55,listas!$A$2:$B$8,2,0),"")</f>
        <v/>
      </c>
      <c r="E55" s="5" t="str">
        <f t="shared" si="0"/>
        <v xml:space="preserve"> </v>
      </c>
    </row>
    <row r="56" spans="4:5" x14ac:dyDescent="0.25">
      <c r="D56" s="4" t="str">
        <f>IFERROR(VLOOKUP(C56,listas!$A$2:$B$8,2,0),"")</f>
        <v/>
      </c>
      <c r="E56" s="5" t="str">
        <f t="shared" si="0"/>
        <v xml:space="preserve"> </v>
      </c>
    </row>
    <row r="57" spans="4:5" x14ac:dyDescent="0.25">
      <c r="D57" s="4" t="str">
        <f>IFERROR(VLOOKUP(C57,listas!$A$2:$B$8,2,0),"")</f>
        <v/>
      </c>
      <c r="E57" s="5" t="str">
        <f t="shared" si="0"/>
        <v xml:space="preserve"> </v>
      </c>
    </row>
    <row r="58" spans="4:5" x14ac:dyDescent="0.25">
      <c r="D58" s="4" t="str">
        <f>IFERROR(VLOOKUP(C58,listas!$A$2:$B$8,2,0),"")</f>
        <v/>
      </c>
      <c r="E58" s="5" t="str">
        <f t="shared" si="0"/>
        <v xml:space="preserve"> </v>
      </c>
    </row>
    <row r="59" spans="4:5" x14ac:dyDescent="0.25">
      <c r="D59" s="4" t="str">
        <f>IFERROR(VLOOKUP(C59,listas!$A$2:$B$8,2,0),"")</f>
        <v/>
      </c>
      <c r="E59" s="5" t="str">
        <f t="shared" si="0"/>
        <v xml:space="preserve"> </v>
      </c>
    </row>
    <row r="60" spans="4:5" x14ac:dyDescent="0.25">
      <c r="D60" s="4" t="str">
        <f>IFERROR(VLOOKUP(C60,listas!$A$2:$B$8,2,0),"")</f>
        <v/>
      </c>
      <c r="E60" s="5" t="str">
        <f t="shared" si="0"/>
        <v xml:space="preserve"> </v>
      </c>
    </row>
    <row r="61" spans="4:5" x14ac:dyDescent="0.25">
      <c r="D61" s="4" t="str">
        <f>IFERROR(VLOOKUP(C61,listas!$A$2:$B$8,2,0),"")</f>
        <v/>
      </c>
      <c r="E61" s="5" t="str">
        <f t="shared" si="0"/>
        <v xml:space="preserve"> </v>
      </c>
    </row>
    <row r="62" spans="4:5" x14ac:dyDescent="0.25">
      <c r="D62" s="4" t="str">
        <f>IFERROR(VLOOKUP(C62,listas!$A$2:$B$8,2,0),"")</f>
        <v/>
      </c>
      <c r="E62" s="5" t="str">
        <f t="shared" si="0"/>
        <v xml:space="preserve"> </v>
      </c>
    </row>
    <row r="63" spans="4:5" x14ac:dyDescent="0.25">
      <c r="D63" s="4" t="str">
        <f>IFERROR(VLOOKUP(C63,listas!$A$2:$B$8,2,0),"")</f>
        <v/>
      </c>
      <c r="E63" s="5" t="str">
        <f t="shared" si="0"/>
        <v xml:space="preserve"> </v>
      </c>
    </row>
    <row r="64" spans="4:5" x14ac:dyDescent="0.25">
      <c r="D64" s="4" t="str">
        <f>IFERROR(VLOOKUP(C64,listas!$A$2:$B$8,2,0),"")</f>
        <v/>
      </c>
      <c r="E64" s="5" t="str">
        <f t="shared" si="0"/>
        <v xml:space="preserve"> </v>
      </c>
    </row>
    <row r="65" spans="4:5" x14ac:dyDescent="0.25">
      <c r="D65" s="4" t="str">
        <f>IFERROR(VLOOKUP(C65,listas!$A$2:$B$8,2,0),"")</f>
        <v/>
      </c>
      <c r="E65" s="5" t="str">
        <f t="shared" si="0"/>
        <v xml:space="preserve"> </v>
      </c>
    </row>
    <row r="66" spans="4:5" x14ac:dyDescent="0.25">
      <c r="D66" s="4" t="str">
        <f>IFERROR(VLOOKUP(C66,listas!$A$2:$B$8,2,0),"")</f>
        <v/>
      </c>
      <c r="E66" s="5" t="str">
        <f t="shared" si="0"/>
        <v xml:space="preserve"> </v>
      </c>
    </row>
    <row r="67" spans="4:5" x14ac:dyDescent="0.25">
      <c r="D67" s="4" t="str">
        <f>IFERROR(VLOOKUP(C67,listas!$A$2:$B$8,2,0),"")</f>
        <v/>
      </c>
      <c r="E67" s="5" t="str">
        <f t="shared" si="0"/>
        <v xml:space="preserve"> </v>
      </c>
    </row>
    <row r="68" spans="4:5" x14ac:dyDescent="0.25">
      <c r="D68" s="4" t="str">
        <f>IFERROR(VLOOKUP(C68,listas!$A$2:$B$8,2,0),"")</f>
        <v/>
      </c>
      <c r="E68" s="5" t="str">
        <f t="shared" ref="E68:E90" si="1">_xlfn.CONCAT(D68," ",B68)</f>
        <v xml:space="preserve"> </v>
      </c>
    </row>
    <row r="69" spans="4:5" x14ac:dyDescent="0.25">
      <c r="D69" s="4" t="str">
        <f>IFERROR(VLOOKUP(C69,listas!$A$2:$B$8,2,0),"")</f>
        <v/>
      </c>
      <c r="E69" s="5" t="str">
        <f t="shared" si="1"/>
        <v xml:space="preserve"> </v>
      </c>
    </row>
    <row r="70" spans="4:5" x14ac:dyDescent="0.25">
      <c r="D70" s="4" t="str">
        <f>IFERROR(VLOOKUP(C70,listas!$A$2:$B$8,2,0),"")</f>
        <v/>
      </c>
      <c r="E70" s="5" t="str">
        <f t="shared" si="1"/>
        <v xml:space="preserve"> </v>
      </c>
    </row>
    <row r="71" spans="4:5" x14ac:dyDescent="0.25">
      <c r="D71" s="4" t="str">
        <f>IFERROR(VLOOKUP(C71,listas!$A$2:$B$8,2,0),"")</f>
        <v/>
      </c>
      <c r="E71" s="5" t="str">
        <f t="shared" si="1"/>
        <v xml:space="preserve"> </v>
      </c>
    </row>
    <row r="72" spans="4:5" x14ac:dyDescent="0.25">
      <c r="D72" s="4" t="str">
        <f>IFERROR(VLOOKUP(C72,listas!$A$2:$B$8,2,0),"")</f>
        <v/>
      </c>
      <c r="E72" s="5" t="str">
        <f t="shared" si="1"/>
        <v xml:space="preserve"> </v>
      </c>
    </row>
    <row r="73" spans="4:5" x14ac:dyDescent="0.25">
      <c r="D73" s="4" t="str">
        <f>IFERROR(VLOOKUP(C73,listas!$A$2:$B$8,2,0),"")</f>
        <v/>
      </c>
      <c r="E73" s="5" t="str">
        <f t="shared" si="1"/>
        <v xml:space="preserve"> </v>
      </c>
    </row>
    <row r="74" spans="4:5" x14ac:dyDescent="0.25">
      <c r="D74" s="4" t="str">
        <f>IFERROR(VLOOKUP(C74,listas!$A$2:$B$8,2,0),"")</f>
        <v/>
      </c>
      <c r="E74" s="5" t="str">
        <f t="shared" si="1"/>
        <v xml:space="preserve"> </v>
      </c>
    </row>
    <row r="75" spans="4:5" x14ac:dyDescent="0.25">
      <c r="D75" s="4" t="str">
        <f>IFERROR(VLOOKUP(C75,listas!$A$2:$B$8,2,0),"")</f>
        <v/>
      </c>
      <c r="E75" s="5" t="str">
        <f t="shared" si="1"/>
        <v xml:space="preserve"> </v>
      </c>
    </row>
    <row r="76" spans="4:5" x14ac:dyDescent="0.25">
      <c r="D76" s="4" t="str">
        <f>IFERROR(VLOOKUP(C76,listas!$A$2:$B$8,2,0),"")</f>
        <v/>
      </c>
      <c r="E76" s="5" t="str">
        <f t="shared" si="1"/>
        <v xml:space="preserve"> </v>
      </c>
    </row>
    <row r="77" spans="4:5" x14ac:dyDescent="0.25">
      <c r="D77" s="4" t="str">
        <f>IFERROR(VLOOKUP(C77,listas!$A$2:$B$8,2,0),"")</f>
        <v/>
      </c>
      <c r="E77" s="5" t="str">
        <f t="shared" si="1"/>
        <v xml:space="preserve"> </v>
      </c>
    </row>
    <row r="78" spans="4:5" x14ac:dyDescent="0.25">
      <c r="D78" s="4" t="str">
        <f>IFERROR(VLOOKUP(C78,listas!$A$2:$B$8,2,0),"")</f>
        <v/>
      </c>
      <c r="E78" s="5" t="str">
        <f t="shared" si="1"/>
        <v xml:space="preserve"> </v>
      </c>
    </row>
    <row r="79" spans="4:5" x14ac:dyDescent="0.25">
      <c r="D79" s="4" t="str">
        <f>IFERROR(VLOOKUP(C79,listas!$A$2:$B$8,2,0),"")</f>
        <v/>
      </c>
      <c r="E79" s="5" t="str">
        <f t="shared" si="1"/>
        <v xml:space="preserve"> </v>
      </c>
    </row>
    <row r="80" spans="4:5" x14ac:dyDescent="0.25">
      <c r="D80" s="4" t="str">
        <f>IFERROR(VLOOKUP(C80,listas!$A$2:$B$8,2,0),"")</f>
        <v/>
      </c>
      <c r="E80" s="5" t="str">
        <f t="shared" si="1"/>
        <v xml:space="preserve"> </v>
      </c>
    </row>
    <row r="81" spans="4:5" x14ac:dyDescent="0.25">
      <c r="D81" s="4" t="str">
        <f>IFERROR(VLOOKUP(C81,listas!$A$2:$B$8,2,0),"")</f>
        <v/>
      </c>
      <c r="E81" s="5" t="str">
        <f t="shared" si="1"/>
        <v xml:space="preserve"> </v>
      </c>
    </row>
    <row r="82" spans="4:5" x14ac:dyDescent="0.25">
      <c r="D82" s="4" t="str">
        <f>IFERROR(VLOOKUP(C82,listas!$A$2:$B$8,2,0),"")</f>
        <v/>
      </c>
      <c r="E82" s="5" t="str">
        <f t="shared" si="1"/>
        <v xml:space="preserve"> </v>
      </c>
    </row>
    <row r="83" spans="4:5" x14ac:dyDescent="0.25">
      <c r="D83" s="4" t="str">
        <f>IFERROR(VLOOKUP(C83,listas!$A$2:$B$8,2,0),"")</f>
        <v/>
      </c>
      <c r="E83" s="5" t="str">
        <f t="shared" si="1"/>
        <v xml:space="preserve"> </v>
      </c>
    </row>
    <row r="84" spans="4:5" x14ac:dyDescent="0.25">
      <c r="D84" s="4" t="str">
        <f>IFERROR(VLOOKUP(C84,listas!$A$2:$B$8,2,0),"")</f>
        <v/>
      </c>
      <c r="E84" s="5" t="str">
        <f t="shared" si="1"/>
        <v xml:space="preserve"> </v>
      </c>
    </row>
    <row r="85" spans="4:5" x14ac:dyDescent="0.25">
      <c r="D85" s="4" t="str">
        <f>IFERROR(VLOOKUP(C85,listas!$A$2:$B$8,2,0),"")</f>
        <v/>
      </c>
      <c r="E85" s="5" t="str">
        <f t="shared" si="1"/>
        <v xml:space="preserve"> </v>
      </c>
    </row>
    <row r="86" spans="4:5" x14ac:dyDescent="0.25">
      <c r="D86" s="4" t="str">
        <f>IFERROR(VLOOKUP(C86,listas!$A$2:$B$8,2,0),"")</f>
        <v/>
      </c>
      <c r="E86" s="5" t="str">
        <f t="shared" si="1"/>
        <v xml:space="preserve"> </v>
      </c>
    </row>
    <row r="87" spans="4:5" x14ac:dyDescent="0.25">
      <c r="D87" s="4" t="str">
        <f>IFERROR(VLOOKUP(C87,listas!$A$2:$B$8,2,0),"")</f>
        <v/>
      </c>
      <c r="E87" s="5" t="str">
        <f t="shared" si="1"/>
        <v xml:space="preserve"> </v>
      </c>
    </row>
    <row r="88" spans="4:5" x14ac:dyDescent="0.25">
      <c r="D88" s="4" t="str">
        <f>IFERROR(VLOOKUP(C88,listas!$A$2:$B$8,2,0),"")</f>
        <v/>
      </c>
      <c r="E88" s="5" t="str">
        <f t="shared" si="1"/>
        <v xml:space="preserve"> </v>
      </c>
    </row>
    <row r="89" spans="4:5" x14ac:dyDescent="0.25">
      <c r="D89" s="4" t="str">
        <f>IFERROR(VLOOKUP(C89,listas!$A$2:$B$8,2,0),"")</f>
        <v/>
      </c>
      <c r="E89" s="5" t="str">
        <f t="shared" si="1"/>
        <v xml:space="preserve"> </v>
      </c>
    </row>
    <row r="90" spans="4:5" x14ac:dyDescent="0.25">
      <c r="D90" s="4" t="str">
        <f>IFERROR(VLOOKUP(C90,listas!$A$2:$B$8,2,0),"")</f>
        <v/>
      </c>
      <c r="E90" s="5" t="str">
        <f t="shared" si="1"/>
        <v xml:space="preserve"> </v>
      </c>
    </row>
    <row r="91" spans="4:5" x14ac:dyDescent="0.25">
      <c r="D91" s="4" t="str">
        <f>IFERROR(VLOOKUP(C91,listas!$A$2:$B$8,2,0),"")</f>
        <v/>
      </c>
    </row>
    <row r="92" spans="4:5" x14ac:dyDescent="0.25">
      <c r="D92" s="4" t="str">
        <f>IFERROR(VLOOKUP(C92,listas!$A$2:$B$8,2,0),"")</f>
        <v/>
      </c>
    </row>
    <row r="93" spans="4:5" x14ac:dyDescent="0.25">
      <c r="D93" s="4" t="str">
        <f>IFERROR(VLOOKUP(C93,listas!$A$2:$B$8,2,0),"")</f>
        <v/>
      </c>
    </row>
    <row r="94" spans="4:5" x14ac:dyDescent="0.25">
      <c r="D94" s="4" t="str">
        <f>IFERROR(VLOOKUP(C94,listas!$A$2:$B$8,2,0),"")</f>
        <v/>
      </c>
    </row>
    <row r="95" spans="4:5" x14ac:dyDescent="0.25">
      <c r="D95" s="4" t="str">
        <f>IFERROR(VLOOKUP(C95,listas!$A$2:$B$8,2,0),"")</f>
        <v/>
      </c>
    </row>
  </sheetData>
  <dataValidations count="1">
    <dataValidation type="list" allowBlank="1" showInputMessage="1" showErrorMessage="1" sqref="C2:C15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6" sqref="B6"/>
    </sheetView>
  </sheetViews>
  <sheetFormatPr baseColWidth="10" defaultRowHeight="15" x14ac:dyDescent="0.25"/>
  <cols>
    <col min="2" max="2" width="41.42578125" customWidth="1"/>
  </cols>
  <sheetData>
    <row r="1" spans="1:3" x14ac:dyDescent="0.25">
      <c r="B1" t="s">
        <v>9</v>
      </c>
    </row>
    <row r="2" spans="1:3" x14ac:dyDescent="0.25">
      <c r="A2" t="s">
        <v>21</v>
      </c>
      <c r="B2" t="s">
        <v>16</v>
      </c>
      <c r="C2" t="s">
        <v>26</v>
      </c>
    </row>
    <row r="3" spans="1:3" x14ac:dyDescent="0.25">
      <c r="A3" t="s">
        <v>22</v>
      </c>
      <c r="B3" t="s">
        <v>17</v>
      </c>
      <c r="C3" t="s">
        <v>26</v>
      </c>
    </row>
    <row r="4" spans="1:3" x14ac:dyDescent="0.25">
      <c r="A4" t="s">
        <v>23</v>
      </c>
      <c r="B4" t="s">
        <v>18</v>
      </c>
      <c r="C4" t="s">
        <v>26</v>
      </c>
    </row>
    <row r="5" spans="1:3" x14ac:dyDescent="0.25">
      <c r="A5" t="s">
        <v>24</v>
      </c>
      <c r="B5" t="s">
        <v>19</v>
      </c>
      <c r="C5" t="s">
        <v>26</v>
      </c>
    </row>
    <row r="6" spans="1:3" x14ac:dyDescent="0.2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5" x14ac:dyDescent="0.25"/>
  <cols>
    <col min="1" max="1" width="36.140625" customWidth="1"/>
    <col min="2" max="2" width="23.85546875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t="s">
        <v>7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2026-04-20T17:49:48Z</dcterms:modified>
</cp:coreProperties>
</file>