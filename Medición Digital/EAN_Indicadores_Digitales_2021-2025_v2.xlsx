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jhstgarcia\OneDrive - universidadean.edu.co\Documentos\METRICAS 2025\Métricas Universidad Ean\"/>
    </mc:Choice>
  </mc:AlternateContent>
  <xr:revisionPtr revIDLastSave="0" documentId="13_ncr:1_{002AA217-0370-4C3E-A4DD-99E3E46374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men Ejecutivo" sheetId="1" r:id="rId1"/>
    <sheet name="YouTube 2021–2025" sheetId="2" r:id="rId2"/>
    <sheet name="Facebook 2023–2025" sheetId="3" r:id="rId3"/>
    <sheet name="Instagram 2024–2025" sheetId="4" r:id="rId4"/>
    <sheet name="TikTok y LinkedIn 2025" sheetId="5" r:id="rId5"/>
    <sheet name="LinkedIn 2025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  <c r="E27" i="6"/>
  <c r="E26" i="6"/>
  <c r="E25" i="6"/>
  <c r="E24" i="6"/>
  <c r="E23" i="6"/>
  <c r="E22" i="6"/>
  <c r="E21" i="6"/>
  <c r="E20" i="6"/>
  <c r="E19" i="6"/>
  <c r="E18" i="6"/>
</calcChain>
</file>

<file path=xl/sharedStrings.xml><?xml version="1.0" encoding="utf-8"?>
<sst xmlns="http://schemas.openxmlformats.org/spreadsheetml/2006/main" count="262" uniqueCount="160">
  <si>
    <t>UNIVERSIDAD EAN – CONSOLIDADO DE AUDIENCIAS DIGITALES Y REDES SOCIALES 2020–2025</t>
  </si>
  <si>
    <t>Elaborado por: Dirección de Comunicaciones | Fuente: Plataformas nativas de cada red social | Fecha de corte: Marzo 2026</t>
  </si>
  <si>
    <t>Red Social / Canal</t>
  </si>
  <si>
    <t>Métrica Principal</t>
  </si>
  <si>
    <t>2021</t>
  </si>
  <si>
    <t>2022</t>
  </si>
  <si>
    <t>2023</t>
  </si>
  <si>
    <t>2024</t>
  </si>
  <si>
    <t>2025</t>
  </si>
  <si>
    <t>Facebook</t>
  </si>
  <si>
    <t>Seguidores nuevos</t>
  </si>
  <si>
    <t>N/D</t>
  </si>
  <si>
    <t>Clics en enlace</t>
  </si>
  <si>
    <t>Interacciones con contenido</t>
  </si>
  <si>
    <t>Visualizaciones (2025)</t>
  </si>
  <si>
    <t>Instagram</t>
  </si>
  <si>
    <t>Alcance acumulado</t>
  </si>
  <si>
    <t>Visitas al perfil</t>
  </si>
  <si>
    <t>YouTube</t>
  </si>
  <si>
    <t>Horas de reproducción</t>
  </si>
  <si>
    <t>Vistas totales (2021–2025)</t>
  </si>
  <si>
    <t>12.352.108</t>
  </si>
  <si>
    <t>TikTok</t>
  </si>
  <si>
    <t>Vistas de video</t>
  </si>
  <si>
    <t>Me gusta (Likes)</t>
  </si>
  <si>
    <t>LinkedIn</t>
  </si>
  <si>
    <t>Impresiones orgánicas</t>
  </si>
  <si>
    <t>Clics orgánicos</t>
  </si>
  <si>
    <t>Tasa de engagement promedio</t>
  </si>
  <si>
    <t>16,97%</t>
  </si>
  <si>
    <t>NOTAS: N/D = No Disponible. Los datos de TikTok corresponden al período marzo 2025–marzo 2026. LinkedIn cubre septiembre 2025–enero 2026. YouTube incluye datos desde 2021. Facebook desde 2023. Instagram desde 2024.</t>
  </si>
  <si>
    <t>Fuentes: Meta Business Suite (Facebook e Instagram), YouTube Studio, TikTok Creator Studio, LinkedIn Analytics | Datos exportados de plataformas nativas</t>
  </si>
  <si>
    <t>YOUTUBE – SERIES HISTÓRICAS DE DESEMPEÑO 2021–2025</t>
  </si>
  <si>
    <t>Fuente: YouTube Studio | Datos exportados directamente de la plataforma</t>
  </si>
  <si>
    <t>Año</t>
  </si>
  <si>
    <t>Horas de Reproducción</t>
  </si>
  <si>
    <t>Vistas (2021–2025 total)</t>
  </si>
  <si>
    <t>Observaciones</t>
  </si>
  <si>
    <t>Ver detalle hoja</t>
  </si>
  <si>
    <t>Período completo</t>
  </si>
  <si>
    <t>Reducción por cambio en mix de contenido</t>
  </si>
  <si>
    <t>Recuperación sostenida; 1,47M vistas en diciembre</t>
  </si>
  <si>
    <t>TOTAL</t>
  </si>
  <si>
    <t>Período 2021–2025 (YouTube Studio)</t>
  </si>
  <si>
    <t>DETALLE MENSUAL 2025</t>
  </si>
  <si>
    <t>Mes</t>
  </si>
  <si>
    <t>Nombre</t>
  </si>
  <si>
    <t>Vistas</t>
  </si>
  <si>
    <t>2025-01</t>
  </si>
  <si>
    <t>Enero</t>
  </si>
  <si>
    <t>2025-02</t>
  </si>
  <si>
    <t>Febrero</t>
  </si>
  <si>
    <t>2025-03</t>
  </si>
  <si>
    <t>Marzo</t>
  </si>
  <si>
    <t>2025-04</t>
  </si>
  <si>
    <t>Abril</t>
  </si>
  <si>
    <t>2025-05</t>
  </si>
  <si>
    <t>Mayo</t>
  </si>
  <si>
    <t>2025-06</t>
  </si>
  <si>
    <t>Junio</t>
  </si>
  <si>
    <t>2025-07</t>
  </si>
  <si>
    <t>Julio</t>
  </si>
  <si>
    <t>2025-08</t>
  </si>
  <si>
    <t>Agosto</t>
  </si>
  <si>
    <t>2025-09</t>
  </si>
  <si>
    <t>Septiembre</t>
  </si>
  <si>
    <t>2025-10</t>
  </si>
  <si>
    <t>Octubre</t>
  </si>
  <si>
    <t>2025-11</t>
  </si>
  <si>
    <t>Noviembre</t>
  </si>
  <si>
    <t>2025-12</t>
  </si>
  <si>
    <t>Diciembre</t>
  </si>
  <si>
    <t>TOTAL 2025</t>
  </si>
  <si>
    <t>FACEBOOK – INDICADORES DE DESEMPEÑO 2023–2025</t>
  </si>
  <si>
    <t>Fuente: Meta Business Suite | Exportación directa de la plataforma</t>
  </si>
  <si>
    <t>Indicador</t>
  </si>
  <si>
    <t>2023 (feb–feb)</t>
  </si>
  <si>
    <t>2024 (mar–mar)</t>
  </si>
  <si>
    <t>2025 (ene–dic)</t>
  </si>
  <si>
    <t>Notas</t>
  </si>
  <si>
    <t>Nuevos seguidores en el período</t>
  </si>
  <si>
    <t>Total clics en enlaces de publicaciones</t>
  </si>
  <si>
    <t>Likes, comentarios, compartidos</t>
  </si>
  <si>
    <t>Visualizaciones</t>
  </si>
  <si>
    <t>Disponible desde 2025</t>
  </si>
  <si>
    <t>INSTAGRAM – INDICADORES DE DESEMPEÑO 2024–2025</t>
  </si>
  <si>
    <t>Fuente: Meta Business Suite (Instagram) | Datos exportados directamente</t>
  </si>
  <si>
    <t>2024 (feb–ene)</t>
  </si>
  <si>
    <t>Suma de alcance diario</t>
  </si>
  <si>
    <t>Clics en el enlace del perfil</t>
  </si>
  <si>
    <t>Interacciones</t>
  </si>
  <si>
    <t>Ver fuente</t>
  </si>
  <si>
    <t>Meta reporta en agregado</t>
  </si>
  <si>
    <t>TIKTOK – INDICADORES DE DESEMPEÑO (Período: marzo 2025 – marzo 2026)</t>
  </si>
  <si>
    <t>Total del Período</t>
  </si>
  <si>
    <t>Total reproducciones acumuladas</t>
  </si>
  <si>
    <t>Reacciones de usuarios</t>
  </si>
  <si>
    <t>Veces compartido</t>
  </si>
  <si>
    <t>Compartidos de contenido</t>
  </si>
  <si>
    <t>Vistas de perfil</t>
  </si>
  <si>
    <t>Visitas al perfil de la cuenta</t>
  </si>
  <si>
    <t>Comentarios</t>
  </si>
  <si>
    <t>Total comentarios en contenido</t>
  </si>
  <si>
    <t>LINKEDIN – INDICADORES DE DESEMPEÑO (Período: septiembre 2025 – enero 2026)</t>
  </si>
  <si>
    <t>Total impresiones de publicaciones</t>
  </si>
  <si>
    <t>Clics en contenido orgánico</t>
  </si>
  <si>
    <t>Reacciones totales</t>
  </si>
  <si>
    <t>Likes y reacciones al contenido</t>
  </si>
  <si>
    <t>14,89%</t>
  </si>
  <si>
    <t>Tasa de interacción orgánica</t>
  </si>
  <si>
    <t>LINKEDIN – INDICADORES DE DESEMPEÑO 2025 (AÑO COMPLETO)</t>
  </si>
  <si>
    <t>Fuente: LinkedIn Analytics – Exportación directa de la plataforma | Período: enero 2025 – diciembre 2025</t>
  </si>
  <si>
    <t>RESUMEN ANUAL 2025</t>
  </si>
  <si>
    <t>Total Año 2025</t>
  </si>
  <si>
    <t>Total impresiones 2025</t>
  </si>
  <si>
    <t>Clics en publicaciones orgánicas</t>
  </si>
  <si>
    <t>Comentarios en publicaciones</t>
  </si>
  <si>
    <t>Shares de contenido</t>
  </si>
  <si>
    <t>14,89 %</t>
  </si>
  <si>
    <t>ER orgánico diario promedio</t>
  </si>
  <si>
    <t>Total publicaciones</t>
  </si>
  <si>
    <t>Publicaciones orgánicas en el año</t>
  </si>
  <si>
    <t>DESGLOSE MENSUAL 2025</t>
  </si>
  <si>
    <t>Impresiones Org.</t>
  </si>
  <si>
    <t>Clics Org.</t>
  </si>
  <si>
    <t>Reacciones</t>
  </si>
  <si>
    <t>Var. Impr. vs mes ant.</t>
  </si>
  <si>
    <t>Enero 2025</t>
  </si>
  <si>
    <t>—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</si>
  <si>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</si>
  <si>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</si>
  <si>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</si>
  <si>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</si>
  <si>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</si>
  <si>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</si>
  <si>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</si>
  <si>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</si>
  <si>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</si>
  <si>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</si>
  <si>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</si>
  <si>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TOP 5 PUBLICACIONES POR IMPRESIONES – 2025</t>
  </si>
  <si>
    <t>Fecha</t>
  </si>
  <si>
    <t>Impresiones</t>
  </si>
  <si>
    <t>Tema del contenido</t>
  </si>
  <si>
    <t>Enlace</t>
  </si>
  <si>
    <t>16/01/2025</t>
  </si>
  <si>
    <t>#JuevesDeVacante – Convocatoria talento docente y administrativo</t>
  </si>
  <si>
    <t>https://www.linkedin.com/feed/update/urn:li:activity:7285751791697158144</t>
  </si>
  <si>
    <t>26/08/2025</t>
  </si>
  <si>
    <t>Alianza EAN + OpenAI para transformar la educación en Latinoamérica</t>
  </si>
  <si>
    <t>https://www.linkedin.com/feed/update/urn:li:activity:7366236491942998016</t>
  </si>
  <si>
    <t>21/01/2025</t>
  </si>
  <si>
    <t>#EanenMedios – La República: Ean entre las 3 universidades de mayor crecimiento</t>
  </si>
  <si>
    <t>https://www.linkedin.com/feed/update/urn:li:activity:7287595131673694209</t>
  </si>
  <si>
    <t>30/04/2025</t>
  </si>
  <si>
    <t>#JuevesVacantes – Perfiles creativos e innovación digital</t>
  </si>
  <si>
    <t>https://www.linkedin.com/feed/update/urn:li:activity:7323707830010585088</t>
  </si>
  <si>
    <t>23/10/2025</t>
  </si>
  <si>
    <t>Cumpleaños rectora Brigitte Baptiste – liderazgo con propósito</t>
  </si>
  <si>
    <t>https://www.linkedin.com/feed/update/urn:li:activity:7387179759966887936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</si>
</sst>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color rgb="FF003087"/>
      <name val="Arial"/>
    </font>
    <font>
      <sz val="9"/>
      <name val="Arial"/>
    </font>
    <font>
      <i/>
      <sz val="9"/>
      <color rgb="FF999999"/>
      <name val="Arial"/>
    </font>
    <font>
      <sz val="9"/>
      <color rgb="FF003087"/>
      <name val="Arial"/>
    </font>
    <font>
      <i/>
      <sz val="8"/>
      <color rgb="FF555555"/>
      <name val="Arial"/>
    </font>
    <font>
      <b/>
      <sz val="11"/>
      <color rgb="FFFFFFFF"/>
      <name val="Arial"/>
    </font>
    <font>
      <b/>
      <sz val="9"/>
      <name val="Arial"/>
    </font>
    <font>
      <b/>
      <sz val="9"/>
      <color rgb="FFFFFFFF"/>
      <name val="Arial"/>
    </font>
  </fonts>
  <fills count="21">
    <fill>
      <patternFill patternType="none"/>
    </fill>
    <fill>
      <patternFill patternType="gray125"/>
    </fill>
    <fill>
      <patternFill patternType="solid">
        <fgColor rgb="FF003087"/>
      </patternFill>
    </fill>
    <fill>
      <patternFill patternType="solid">
        <fgColor rgb="FFEBF0FA"/>
      </patternFill>
    </fill>
    <fill>
      <patternFill patternType="solid">
        <fgColor rgb="FFFFF3E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4E6F7"/>
      </patternFill>
    </fill>
    <fill>
      <patternFill patternType="solid">
        <fgColor rgb="FFFF0000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1877F2"/>
      </patternFill>
    </fill>
    <fill>
      <patternFill patternType="solid">
        <fgColor rgb="FF833AB4"/>
      </patternFill>
    </fill>
    <fill>
      <patternFill patternType="solid">
        <fgColor rgb="FFF3E5FF"/>
      </patternFill>
    </fill>
    <fill>
      <patternFill patternType="solid">
        <fgColor rgb="FF010101"/>
      </patternFill>
    </fill>
    <fill>
      <patternFill patternType="solid">
        <fgColor rgb="FFE8E8E8"/>
      </patternFill>
    </fill>
    <fill>
      <patternFill patternType="solid">
        <fgColor rgb="FF0077B5"/>
      </patternFill>
    </fill>
    <fill>
      <patternFill patternType="solid">
        <fgColor rgb="FFE5F4FB"/>
      </patternFill>
    </fill>
    <fill>
      <patternFill patternType="solid">
        <fgColor rgb="FF005E8A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right" vertical="center"/>
    </xf>
    <xf numFmtId="0" fontId="10" fillId="9" borderId="1" xfId="0" applyFont="1" applyFill="1" applyBorder="1" applyAlignment="1">
      <alignment horizontal="center" vertical="center"/>
    </xf>
    <xf numFmtId="3" fontId="10" fillId="9" borderId="1" xfId="0" applyNumberFormat="1" applyFont="1" applyFill="1" applyBorder="1" applyAlignment="1">
      <alignment horizontal="right" vertical="center"/>
    </xf>
    <xf numFmtId="0" fontId="10" fillId="9" borderId="1" xfId="0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0" fontId="5" fillId="10" borderId="1" xfId="0" applyFont="1" applyFill="1" applyBorder="1" applyAlignment="1">
      <alignment horizontal="left" vertical="center" wrapText="1"/>
    </xf>
    <xf numFmtId="3" fontId="5" fillId="10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5" fillId="10" borderId="1" xfId="0" applyFont="1" applyFill="1" applyBorder="1" applyAlignment="1">
      <alignment horizontal="right" vertical="center" wrapText="1"/>
    </xf>
    <xf numFmtId="0" fontId="3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3" fontId="5" fillId="14" borderId="1" xfId="0" applyNumberFormat="1" applyFont="1" applyFill="1" applyBorder="1" applyAlignment="1">
      <alignment horizontal="right" vertical="center" wrapText="1"/>
    </xf>
    <xf numFmtId="0" fontId="5" fillId="14" borderId="1" xfId="0" applyFont="1" applyFill="1" applyBorder="1" applyAlignment="1">
      <alignment horizontal="right" vertical="center" wrapText="1"/>
    </xf>
    <xf numFmtId="0" fontId="3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3" fontId="5" fillId="16" borderId="1" xfId="0" applyNumberFormat="1" applyFont="1" applyFill="1" applyBorder="1" applyAlignment="1">
      <alignment horizontal="right" vertical="center"/>
    </xf>
    <xf numFmtId="0" fontId="3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3" fontId="5" fillId="18" borderId="1" xfId="0" applyNumberFormat="1" applyFont="1" applyFill="1" applyBorder="1" applyAlignment="1">
      <alignment horizontal="right" vertical="center"/>
    </xf>
    <xf numFmtId="0" fontId="11" fillId="17" borderId="1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 wrapText="1"/>
    </xf>
    <xf numFmtId="0" fontId="5" fillId="18" borderId="1" xfId="0" applyFont="1" applyFill="1" applyBorder="1" applyAlignment="1">
      <alignment horizontal="center"/>
    </xf>
    <xf numFmtId="164" fontId="5" fillId="10" borderId="1" xfId="0" applyNumberFormat="1" applyFont="1" applyFill="1" applyBorder="1"/>
    <xf numFmtId="164" fontId="5" fillId="18" borderId="1" xfId="0" applyNumberFormat="1" applyFont="1" applyFill="1" applyBorder="1"/>
    <xf numFmtId="0" fontId="10" fillId="9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right" vertical="center"/>
    </xf>
    <xf numFmtId="0" fontId="5" fillId="18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center"/>
    </xf>
    <xf numFmtId="0" fontId="0" fillId="20" borderId="0" xfId="0" applyFill="1" applyAlignment="1"/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sqref="A1:G1"/>
    </sheetView>
  </sheetViews>
  <sheetFormatPr defaultColWidth="8.7109375" defaultRowHeight="14.45"/>
  <cols>
    <col min="1" max="1" width="28" customWidth="1"/>
    <col min="2" max="5" width="16" customWidth="1"/>
    <col min="6" max="7" width="20" customWidth="1"/>
  </cols>
  <sheetData>
    <row r="1" spans="1:7" ht="30" customHeight="1">
      <c r="A1" s="68" t="s">
        <v>0</v>
      </c>
      <c r="B1" s="77"/>
      <c r="C1" s="77"/>
      <c r="D1" s="77"/>
      <c r="E1" s="77"/>
      <c r="F1" s="77"/>
      <c r="G1" s="77"/>
    </row>
    <row r="2" spans="1:7" ht="18" customHeight="1">
      <c r="A2" s="67" t="s">
        <v>1</v>
      </c>
      <c r="B2" s="78"/>
      <c r="C2" s="78"/>
      <c r="D2" s="78"/>
      <c r="E2" s="78"/>
      <c r="F2" s="78"/>
      <c r="G2" s="78"/>
    </row>
    <row r="3" spans="1:7" ht="8.1" customHeight="1"/>
    <row r="4" spans="1:7" ht="21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8" customHeight="1">
      <c r="A5" s="2" t="s">
        <v>9</v>
      </c>
      <c r="B5" s="3" t="s">
        <v>10</v>
      </c>
      <c r="C5" s="4" t="s">
        <v>11</v>
      </c>
      <c r="D5" s="4" t="s">
        <v>11</v>
      </c>
      <c r="E5" s="5">
        <v>4995</v>
      </c>
      <c r="F5" s="5">
        <v>10588</v>
      </c>
      <c r="G5" s="5">
        <v>8694</v>
      </c>
    </row>
    <row r="6" spans="1:7" ht="18" customHeight="1">
      <c r="A6" s="6"/>
      <c r="B6" s="3" t="s">
        <v>12</v>
      </c>
      <c r="C6" s="4" t="s">
        <v>11</v>
      </c>
      <c r="D6" s="4" t="s">
        <v>11</v>
      </c>
      <c r="E6" s="5">
        <v>1251928</v>
      </c>
      <c r="F6" s="5">
        <v>1315005</v>
      </c>
      <c r="G6" s="5">
        <v>1363349</v>
      </c>
    </row>
    <row r="7" spans="1:7" ht="18" customHeight="1">
      <c r="A7" s="6"/>
      <c r="B7" s="3" t="s">
        <v>13</v>
      </c>
      <c r="C7" s="4" t="s">
        <v>11</v>
      </c>
      <c r="D7" s="4" t="s">
        <v>11</v>
      </c>
      <c r="E7" s="4" t="s">
        <v>11</v>
      </c>
      <c r="F7" s="5">
        <v>165426</v>
      </c>
      <c r="G7" s="5">
        <v>221317</v>
      </c>
    </row>
    <row r="8" spans="1:7" ht="18" customHeight="1">
      <c r="A8" s="6"/>
      <c r="B8" s="3" t="s">
        <v>14</v>
      </c>
      <c r="C8" s="4" t="s">
        <v>11</v>
      </c>
      <c r="D8" s="4" t="s">
        <v>11</v>
      </c>
      <c r="E8" s="4" t="s">
        <v>11</v>
      </c>
      <c r="F8" s="4" t="s">
        <v>11</v>
      </c>
      <c r="G8" s="5">
        <v>787201695</v>
      </c>
    </row>
    <row r="9" spans="1:7" ht="18" customHeight="1">
      <c r="A9" s="7" t="s">
        <v>15</v>
      </c>
      <c r="B9" s="8" t="s">
        <v>16</v>
      </c>
      <c r="C9" s="9" t="s">
        <v>11</v>
      </c>
      <c r="D9" s="9" t="s">
        <v>11</v>
      </c>
      <c r="E9" s="9" t="s">
        <v>11</v>
      </c>
      <c r="F9" s="10">
        <v>31621463</v>
      </c>
      <c r="G9" s="10">
        <v>52862314</v>
      </c>
    </row>
    <row r="10" spans="1:7" ht="18" customHeight="1">
      <c r="A10" s="11"/>
      <c r="B10" s="8" t="s">
        <v>12</v>
      </c>
      <c r="C10" s="9" t="s">
        <v>11</v>
      </c>
      <c r="D10" s="9" t="s">
        <v>11</v>
      </c>
      <c r="E10" s="9" t="s">
        <v>11</v>
      </c>
      <c r="F10" s="10">
        <v>120268</v>
      </c>
      <c r="G10" s="10">
        <v>221199</v>
      </c>
    </row>
    <row r="11" spans="1:7" ht="18" customHeight="1">
      <c r="A11" s="11"/>
      <c r="B11" s="8" t="s">
        <v>10</v>
      </c>
      <c r="C11" s="9" t="s">
        <v>11</v>
      </c>
      <c r="D11" s="9" t="s">
        <v>11</v>
      </c>
      <c r="E11" s="9" t="s">
        <v>11</v>
      </c>
      <c r="F11" s="9" t="s">
        <v>11</v>
      </c>
      <c r="G11" s="10">
        <v>20886</v>
      </c>
    </row>
    <row r="12" spans="1:7" ht="18" customHeight="1">
      <c r="A12" s="11"/>
      <c r="B12" s="8" t="s">
        <v>17</v>
      </c>
      <c r="C12" s="9" t="s">
        <v>11</v>
      </c>
      <c r="D12" s="9" t="s">
        <v>11</v>
      </c>
      <c r="E12" s="9" t="s">
        <v>11</v>
      </c>
      <c r="F12" s="9" t="s">
        <v>11</v>
      </c>
      <c r="G12" s="10">
        <v>277605</v>
      </c>
    </row>
    <row r="13" spans="1:7" ht="18" customHeight="1">
      <c r="A13" s="12" t="s">
        <v>18</v>
      </c>
      <c r="B13" s="13" t="s">
        <v>19</v>
      </c>
      <c r="C13" s="14">
        <v>71597</v>
      </c>
      <c r="D13" s="14">
        <v>47569</v>
      </c>
      <c r="E13" s="14">
        <v>52882</v>
      </c>
      <c r="F13" s="14">
        <v>33616</v>
      </c>
      <c r="G13" s="14">
        <v>53518</v>
      </c>
    </row>
    <row r="14" spans="1:7" ht="18" customHeight="1">
      <c r="A14" s="15"/>
      <c r="B14" s="13" t="s">
        <v>20</v>
      </c>
      <c r="C14" s="16" t="s">
        <v>11</v>
      </c>
      <c r="D14" s="16" t="s">
        <v>11</v>
      </c>
      <c r="E14" s="16" t="s">
        <v>11</v>
      </c>
      <c r="F14" s="16" t="s">
        <v>11</v>
      </c>
      <c r="G14" s="17" t="s">
        <v>21</v>
      </c>
    </row>
    <row r="15" spans="1:7" ht="18" customHeight="1">
      <c r="A15" s="18" t="s">
        <v>22</v>
      </c>
      <c r="B15" s="19" t="s">
        <v>23</v>
      </c>
      <c r="C15" s="20" t="s">
        <v>11</v>
      </c>
      <c r="D15" s="20" t="s">
        <v>11</v>
      </c>
      <c r="E15" s="20" t="s">
        <v>11</v>
      </c>
      <c r="F15" s="20" t="s">
        <v>11</v>
      </c>
      <c r="G15" s="21">
        <v>182535945</v>
      </c>
    </row>
    <row r="16" spans="1:7" ht="18" customHeight="1">
      <c r="A16" s="22"/>
      <c r="B16" s="19" t="s">
        <v>24</v>
      </c>
      <c r="C16" s="20" t="s">
        <v>11</v>
      </c>
      <c r="D16" s="20" t="s">
        <v>11</v>
      </c>
      <c r="E16" s="20" t="s">
        <v>11</v>
      </c>
      <c r="F16" s="20" t="s">
        <v>11</v>
      </c>
      <c r="G16" s="21">
        <v>274618</v>
      </c>
    </row>
    <row r="17" spans="1:7" ht="18" customHeight="1">
      <c r="A17" s="23" t="s">
        <v>25</v>
      </c>
      <c r="B17" s="24" t="s">
        <v>26</v>
      </c>
      <c r="C17" s="25" t="s">
        <v>11</v>
      </c>
      <c r="D17" s="25" t="s">
        <v>11</v>
      </c>
      <c r="E17" s="25" t="s">
        <v>11</v>
      </c>
      <c r="F17" s="25" t="s">
        <v>11</v>
      </c>
      <c r="G17" s="26">
        <v>2331296</v>
      </c>
    </row>
    <row r="18" spans="1:7" ht="18" customHeight="1">
      <c r="A18" s="27"/>
      <c r="B18" s="24" t="s">
        <v>27</v>
      </c>
      <c r="C18" s="25" t="s">
        <v>11</v>
      </c>
      <c r="D18" s="25" t="s">
        <v>11</v>
      </c>
      <c r="E18" s="25" t="s">
        <v>11</v>
      </c>
      <c r="F18" s="25" t="s">
        <v>11</v>
      </c>
      <c r="G18" s="26">
        <v>20089</v>
      </c>
    </row>
    <row r="19" spans="1:7" ht="18" customHeight="1">
      <c r="A19" s="27"/>
      <c r="B19" s="24" t="s">
        <v>28</v>
      </c>
      <c r="C19" s="25" t="s">
        <v>11</v>
      </c>
      <c r="D19" s="25" t="s">
        <v>11</v>
      </c>
      <c r="E19" s="25" t="s">
        <v>11</v>
      </c>
      <c r="F19" s="25" t="s">
        <v>11</v>
      </c>
      <c r="G19" s="28" t="s">
        <v>29</v>
      </c>
    </row>
    <row r="21" spans="1:7" ht="27.95" customHeight="1">
      <c r="A21" s="66" t="s">
        <v>30</v>
      </c>
      <c r="B21" s="78"/>
      <c r="C21" s="78"/>
      <c r="D21" s="78"/>
      <c r="E21" s="78"/>
      <c r="F21" s="78"/>
      <c r="G21" s="78"/>
    </row>
    <row r="22" spans="1:7">
      <c r="A22" s="66" t="s">
        <v>31</v>
      </c>
      <c r="B22" s="78"/>
      <c r="C22" s="78"/>
      <c r="D22" s="78"/>
      <c r="E22" s="78"/>
      <c r="F22" s="78"/>
      <c r="G22" s="78"/>
    </row>
  </sheetData>
  <mergeCells count="4">
    <mergeCell ref="A21:G21"/>
    <mergeCell ref="A2:G2"/>
    <mergeCell ref="A22:G2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/>
  </sheetViews>
  <sheetFormatPr defaultColWidth="8.7109375" defaultRowHeight="14.45"/>
  <cols>
    <col min="1" max="1" width="14" customWidth="1"/>
    <col min="2" max="4" width="22" customWidth="1"/>
  </cols>
  <sheetData>
    <row r="1" spans="1:4" ht="26.1" customHeight="1">
      <c r="A1" s="69" t="s">
        <v>32</v>
      </c>
      <c r="B1" s="78"/>
      <c r="C1" s="78"/>
      <c r="D1" s="78"/>
    </row>
    <row r="2" spans="1:4" ht="15" customHeight="1">
      <c r="A2" s="71" t="s">
        <v>33</v>
      </c>
      <c r="B2" s="78"/>
      <c r="C2" s="78"/>
      <c r="D2" s="78"/>
    </row>
    <row r="4" spans="1:4" ht="20.100000000000001" customHeight="1">
      <c r="A4" s="29" t="s">
        <v>34</v>
      </c>
      <c r="B4" s="29" t="s">
        <v>35</v>
      </c>
      <c r="C4" s="29" t="s">
        <v>36</v>
      </c>
      <c r="D4" s="29" t="s">
        <v>37</v>
      </c>
    </row>
    <row r="5" spans="1:4" ht="15.95" customHeight="1">
      <c r="A5" s="30">
        <v>2021</v>
      </c>
      <c r="B5" s="14">
        <v>71597</v>
      </c>
      <c r="C5" s="16" t="s">
        <v>38</v>
      </c>
      <c r="D5" s="17" t="s">
        <v>39</v>
      </c>
    </row>
    <row r="6" spans="1:4" ht="15.95" customHeight="1">
      <c r="A6" s="31">
        <v>2022</v>
      </c>
      <c r="B6" s="32">
        <v>47569</v>
      </c>
      <c r="C6" s="33" t="s">
        <v>38</v>
      </c>
      <c r="D6" s="34"/>
    </row>
    <row r="7" spans="1:4" ht="15.95" customHeight="1">
      <c r="A7" s="30">
        <v>2023</v>
      </c>
      <c r="B7" s="14">
        <v>52882</v>
      </c>
      <c r="C7" s="16" t="s">
        <v>38</v>
      </c>
      <c r="D7" s="17"/>
    </row>
    <row r="8" spans="1:4" ht="15.95" customHeight="1">
      <c r="A8" s="31">
        <v>2024</v>
      </c>
      <c r="B8" s="32">
        <v>33616</v>
      </c>
      <c r="C8" s="33" t="s">
        <v>38</v>
      </c>
      <c r="D8" s="34" t="s">
        <v>40</v>
      </c>
    </row>
    <row r="9" spans="1:4" ht="15.95" customHeight="1">
      <c r="A9" s="30">
        <v>2025</v>
      </c>
      <c r="B9" s="14">
        <v>53518</v>
      </c>
      <c r="C9" s="14">
        <v>5699361</v>
      </c>
      <c r="D9" s="17" t="s">
        <v>41</v>
      </c>
    </row>
    <row r="10" spans="1:4" ht="15.95" customHeight="1">
      <c r="A10" s="35" t="s">
        <v>42</v>
      </c>
      <c r="B10" s="36">
        <v>259182</v>
      </c>
      <c r="C10" s="36">
        <v>12352108</v>
      </c>
      <c r="D10" s="37" t="s">
        <v>43</v>
      </c>
    </row>
    <row r="13" spans="1:4">
      <c r="A13" s="70" t="s">
        <v>44</v>
      </c>
      <c r="B13" s="79"/>
      <c r="C13" s="79"/>
      <c r="D13" s="80"/>
    </row>
    <row r="14" spans="1:4">
      <c r="A14" s="38" t="s">
        <v>45</v>
      </c>
      <c r="B14" s="38" t="s">
        <v>46</v>
      </c>
      <c r="C14" s="38" t="s">
        <v>47</v>
      </c>
    </row>
    <row r="15" spans="1:4" ht="15" customHeight="1">
      <c r="A15" s="39" t="s">
        <v>48</v>
      </c>
      <c r="B15" s="39" t="s">
        <v>49</v>
      </c>
      <c r="C15" s="14">
        <v>296918</v>
      </c>
    </row>
    <row r="16" spans="1:4" ht="15" customHeight="1">
      <c r="A16" s="40" t="s">
        <v>50</v>
      </c>
      <c r="B16" s="40" t="s">
        <v>51</v>
      </c>
      <c r="C16" s="32">
        <v>248591</v>
      </c>
    </row>
    <row r="17" spans="1:3" ht="15" customHeight="1">
      <c r="A17" s="39" t="s">
        <v>52</v>
      </c>
      <c r="B17" s="39" t="s">
        <v>53</v>
      </c>
      <c r="C17" s="14">
        <v>287268</v>
      </c>
    </row>
    <row r="18" spans="1:3" ht="15" customHeight="1">
      <c r="A18" s="40" t="s">
        <v>54</v>
      </c>
      <c r="B18" s="40" t="s">
        <v>55</v>
      </c>
      <c r="C18" s="32">
        <v>308481</v>
      </c>
    </row>
    <row r="19" spans="1:3" ht="15" customHeight="1">
      <c r="A19" s="39" t="s">
        <v>56</v>
      </c>
      <c r="B19" s="39" t="s">
        <v>57</v>
      </c>
      <c r="C19" s="14">
        <v>499127</v>
      </c>
    </row>
    <row r="20" spans="1:3" ht="15" customHeight="1">
      <c r="A20" s="40" t="s">
        <v>58</v>
      </c>
      <c r="B20" s="40" t="s">
        <v>59</v>
      </c>
      <c r="C20" s="32">
        <v>155618</v>
      </c>
    </row>
    <row r="21" spans="1:3" ht="15" customHeight="1">
      <c r="A21" s="39" t="s">
        <v>60</v>
      </c>
      <c r="B21" s="39" t="s">
        <v>61</v>
      </c>
      <c r="C21" s="14">
        <v>232777</v>
      </c>
    </row>
    <row r="22" spans="1:3" ht="15" customHeight="1">
      <c r="A22" s="40" t="s">
        <v>62</v>
      </c>
      <c r="B22" s="40" t="s">
        <v>63</v>
      </c>
      <c r="C22" s="32">
        <v>464983</v>
      </c>
    </row>
    <row r="23" spans="1:3" ht="15" customHeight="1">
      <c r="A23" s="39" t="s">
        <v>64</v>
      </c>
      <c r="B23" s="39" t="s">
        <v>65</v>
      </c>
      <c r="C23" s="14">
        <v>489992</v>
      </c>
    </row>
    <row r="24" spans="1:3" ht="15" customHeight="1">
      <c r="A24" s="40" t="s">
        <v>66</v>
      </c>
      <c r="B24" s="40" t="s">
        <v>67</v>
      </c>
      <c r="C24" s="32">
        <v>532290</v>
      </c>
    </row>
    <row r="25" spans="1:3" ht="15" customHeight="1">
      <c r="A25" s="39" t="s">
        <v>68</v>
      </c>
      <c r="B25" s="39" t="s">
        <v>69</v>
      </c>
      <c r="C25" s="14">
        <v>712849</v>
      </c>
    </row>
    <row r="26" spans="1:3" ht="15" customHeight="1">
      <c r="A26" s="40" t="s">
        <v>70</v>
      </c>
      <c r="B26" s="40" t="s">
        <v>71</v>
      </c>
      <c r="C26" s="32">
        <v>1470467</v>
      </c>
    </row>
    <row r="27" spans="1:3">
      <c r="A27" s="41"/>
      <c r="B27" s="37" t="s">
        <v>72</v>
      </c>
      <c r="C27" s="36">
        <v>5699361</v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ColWidth="8.7109375" defaultRowHeight="14.45"/>
  <cols>
    <col min="1" max="1" width="22" customWidth="1"/>
    <col min="2" max="4" width="18" customWidth="1"/>
    <col min="5" max="5" width="22" customWidth="1"/>
  </cols>
  <sheetData>
    <row r="1" spans="1:5" ht="26.1" customHeight="1">
      <c r="A1" s="72" t="s">
        <v>73</v>
      </c>
      <c r="B1" s="78"/>
      <c r="C1" s="78"/>
      <c r="D1" s="78"/>
      <c r="E1" s="78"/>
    </row>
    <row r="2" spans="1:5" ht="15" customHeight="1">
      <c r="A2" s="71" t="s">
        <v>74</v>
      </c>
      <c r="B2" s="78"/>
      <c r="C2" s="78"/>
      <c r="D2" s="78"/>
      <c r="E2" s="78"/>
    </row>
    <row r="4" spans="1:5" ht="21.95" customHeight="1">
      <c r="A4" s="42" t="s">
        <v>75</v>
      </c>
      <c r="B4" s="42" t="s">
        <v>76</v>
      </c>
      <c r="C4" s="42" t="s">
        <v>77</v>
      </c>
      <c r="D4" s="42" t="s">
        <v>78</v>
      </c>
      <c r="E4" s="42" t="s">
        <v>79</v>
      </c>
    </row>
    <row r="5" spans="1:5" ht="18" customHeight="1">
      <c r="A5" s="3" t="s">
        <v>10</v>
      </c>
      <c r="B5" s="43">
        <v>4995</v>
      </c>
      <c r="C5" s="43">
        <v>10588</v>
      </c>
      <c r="D5" s="43">
        <v>8694</v>
      </c>
      <c r="E5" s="3" t="s">
        <v>80</v>
      </c>
    </row>
    <row r="6" spans="1:5" ht="18" customHeight="1">
      <c r="A6" s="44" t="s">
        <v>12</v>
      </c>
      <c r="B6" s="45">
        <v>1251928</v>
      </c>
      <c r="C6" s="45">
        <v>1315005</v>
      </c>
      <c r="D6" s="45">
        <v>1363349</v>
      </c>
      <c r="E6" s="44" t="s">
        <v>81</v>
      </c>
    </row>
    <row r="7" spans="1:5" ht="18" customHeight="1">
      <c r="A7" s="3" t="s">
        <v>13</v>
      </c>
      <c r="B7" s="46" t="s">
        <v>11</v>
      </c>
      <c r="C7" s="43">
        <v>165426</v>
      </c>
      <c r="D7" s="43">
        <v>221317</v>
      </c>
      <c r="E7" s="3" t="s">
        <v>82</v>
      </c>
    </row>
    <row r="8" spans="1:5" ht="18" customHeight="1">
      <c r="A8" s="44" t="s">
        <v>83</v>
      </c>
      <c r="B8" s="47" t="s">
        <v>11</v>
      </c>
      <c r="C8" s="47" t="s">
        <v>11</v>
      </c>
      <c r="D8" s="45">
        <v>787201695</v>
      </c>
      <c r="E8" s="44" t="s">
        <v>84</v>
      </c>
    </row>
    <row r="9" spans="1:5" ht="18" customHeight="1">
      <c r="A9" s="3" t="s">
        <v>17</v>
      </c>
      <c r="B9" s="46" t="s">
        <v>11</v>
      </c>
      <c r="C9" s="46" t="s">
        <v>11</v>
      </c>
      <c r="D9" s="43">
        <v>409785</v>
      </c>
      <c r="E9" s="3" t="s">
        <v>84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ColWidth="8.7109375" defaultRowHeight="14.45"/>
  <cols>
    <col min="1" max="1" width="24" customWidth="1"/>
    <col min="2" max="3" width="20" customWidth="1"/>
    <col min="4" max="4" width="22" customWidth="1"/>
  </cols>
  <sheetData>
    <row r="1" spans="1:4" ht="26.1" customHeight="1">
      <c r="A1" s="73" t="s">
        <v>85</v>
      </c>
      <c r="B1" s="78"/>
      <c r="C1" s="78"/>
      <c r="D1" s="78"/>
    </row>
    <row r="2" spans="1:4" ht="15" customHeight="1">
      <c r="A2" s="71" t="s">
        <v>86</v>
      </c>
      <c r="B2" s="78"/>
      <c r="C2" s="78"/>
      <c r="D2" s="78"/>
    </row>
    <row r="4" spans="1:4" ht="21.95" customHeight="1">
      <c r="A4" s="48" t="s">
        <v>75</v>
      </c>
      <c r="B4" s="48" t="s">
        <v>87</v>
      </c>
      <c r="C4" s="48" t="s">
        <v>78</v>
      </c>
      <c r="D4" s="48" t="s">
        <v>79</v>
      </c>
    </row>
    <row r="5" spans="1:4" ht="18" customHeight="1">
      <c r="A5" s="49" t="s">
        <v>16</v>
      </c>
      <c r="B5" s="50">
        <v>31621463</v>
      </c>
      <c r="C5" s="50">
        <v>52862314</v>
      </c>
      <c r="D5" s="49" t="s">
        <v>88</v>
      </c>
    </row>
    <row r="6" spans="1:4" ht="18" customHeight="1">
      <c r="A6" s="44" t="s">
        <v>12</v>
      </c>
      <c r="B6" s="45">
        <v>120268</v>
      </c>
      <c r="C6" s="45">
        <v>221199</v>
      </c>
      <c r="D6" s="44" t="s">
        <v>89</v>
      </c>
    </row>
    <row r="7" spans="1:4" ht="18" customHeight="1">
      <c r="A7" s="49" t="s">
        <v>10</v>
      </c>
      <c r="B7" s="51" t="s">
        <v>11</v>
      </c>
      <c r="C7" s="50">
        <v>20886</v>
      </c>
      <c r="D7" s="49" t="s">
        <v>84</v>
      </c>
    </row>
    <row r="8" spans="1:4" ht="18" customHeight="1">
      <c r="A8" s="44" t="s">
        <v>17</v>
      </c>
      <c r="B8" s="47" t="s">
        <v>11</v>
      </c>
      <c r="C8" s="45">
        <v>277605</v>
      </c>
      <c r="D8" s="44" t="s">
        <v>84</v>
      </c>
    </row>
    <row r="9" spans="1:4" ht="18" customHeight="1">
      <c r="A9" s="49" t="s">
        <v>90</v>
      </c>
      <c r="B9" s="51" t="s">
        <v>11</v>
      </c>
      <c r="C9" s="51" t="s">
        <v>91</v>
      </c>
      <c r="D9" s="49" t="s">
        <v>92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/>
  </sheetViews>
  <sheetFormatPr defaultColWidth="8.7109375" defaultRowHeight="14.45"/>
  <cols>
    <col min="1" max="1" width="28" customWidth="1"/>
    <col min="2" max="2" width="24" customWidth="1"/>
    <col min="3" max="3" width="22" customWidth="1"/>
  </cols>
  <sheetData>
    <row r="1" spans="1:3" ht="26.1" customHeight="1">
      <c r="A1" s="74" t="s">
        <v>93</v>
      </c>
      <c r="B1" s="78"/>
      <c r="C1" s="78"/>
    </row>
    <row r="3" spans="1:3" ht="20.100000000000001" customHeight="1">
      <c r="A3" s="52" t="s">
        <v>75</v>
      </c>
      <c r="B3" s="52" t="s">
        <v>94</v>
      </c>
      <c r="C3" s="52" t="s">
        <v>79</v>
      </c>
    </row>
    <row r="4" spans="1:3" ht="15.95" customHeight="1">
      <c r="A4" s="53" t="s">
        <v>23</v>
      </c>
      <c r="B4" s="54">
        <v>182535945</v>
      </c>
      <c r="C4" s="53" t="s">
        <v>95</v>
      </c>
    </row>
    <row r="5" spans="1:3" ht="15.95" customHeight="1">
      <c r="A5" s="40" t="s">
        <v>24</v>
      </c>
      <c r="B5" s="32">
        <v>274618</v>
      </c>
      <c r="C5" s="40" t="s">
        <v>96</v>
      </c>
    </row>
    <row r="6" spans="1:3" ht="15.95" customHeight="1">
      <c r="A6" s="53" t="s">
        <v>97</v>
      </c>
      <c r="B6" s="54">
        <v>18186</v>
      </c>
      <c r="C6" s="53" t="s">
        <v>98</v>
      </c>
    </row>
    <row r="7" spans="1:3" ht="15.95" customHeight="1">
      <c r="A7" s="40" t="s">
        <v>99</v>
      </c>
      <c r="B7" s="32">
        <v>203684</v>
      </c>
      <c r="C7" s="40" t="s">
        <v>100</v>
      </c>
    </row>
    <row r="8" spans="1:3" ht="15.95" customHeight="1">
      <c r="A8" s="53" t="s">
        <v>101</v>
      </c>
      <c r="B8" s="54">
        <v>3180</v>
      </c>
      <c r="C8" s="53" t="s">
        <v>102</v>
      </c>
    </row>
    <row r="11" spans="1:3" ht="26.1" customHeight="1">
      <c r="A11" s="75" t="s">
        <v>103</v>
      </c>
      <c r="B11" s="78"/>
      <c r="C11" s="78"/>
    </row>
    <row r="12" spans="1:3">
      <c r="A12" s="55" t="s">
        <v>75</v>
      </c>
      <c r="B12" s="55" t="s">
        <v>94</v>
      </c>
      <c r="C12" s="55" t="s">
        <v>79</v>
      </c>
    </row>
    <row r="13" spans="1:3" ht="15.95" customHeight="1">
      <c r="A13" s="56" t="s">
        <v>26</v>
      </c>
      <c r="B13" s="57">
        <v>2331296</v>
      </c>
      <c r="C13" s="56" t="s">
        <v>104</v>
      </c>
    </row>
    <row r="14" spans="1:3" ht="15.95" customHeight="1">
      <c r="A14" s="40" t="s">
        <v>27</v>
      </c>
      <c r="B14" s="32">
        <v>304608</v>
      </c>
      <c r="C14" s="40" t="s">
        <v>105</v>
      </c>
    </row>
    <row r="15" spans="1:3" ht="15.95" customHeight="1">
      <c r="A15" s="56" t="s">
        <v>106</v>
      </c>
      <c r="B15" s="57">
        <v>26885</v>
      </c>
      <c r="C15" s="56" t="s">
        <v>107</v>
      </c>
    </row>
    <row r="16" spans="1:3" ht="15.95" customHeight="1">
      <c r="A16" s="40" t="s">
        <v>28</v>
      </c>
      <c r="B16" s="34" t="s">
        <v>108</v>
      </c>
      <c r="C16" s="40" t="s">
        <v>109</v>
      </c>
    </row>
  </sheetData>
  <mergeCells count="2">
    <mergeCell ref="A1:C1"/>
    <mergeCell ref="A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workbookViewId="0"/>
  </sheetViews>
  <sheetFormatPr defaultColWidth="8.7109375" defaultRowHeight="14.45"/>
  <cols>
    <col min="1" max="1" width="16" customWidth="1"/>
    <col min="2" max="2" width="22" customWidth="1"/>
    <col min="3" max="3" width="18" customWidth="1"/>
    <col min="4" max="4" width="16" customWidth="1"/>
    <col min="5" max="5" width="14" customWidth="1"/>
    <col min="6" max="6" width="30" customWidth="1"/>
  </cols>
  <sheetData>
    <row r="1" spans="1:6" ht="26.1" customHeight="1">
      <c r="A1" s="75" t="s">
        <v>110</v>
      </c>
      <c r="B1" s="78"/>
      <c r="C1" s="78"/>
      <c r="D1" s="78"/>
      <c r="E1" s="78"/>
      <c r="F1" s="78"/>
    </row>
    <row r="2" spans="1:6" ht="15" customHeight="1">
      <c r="A2" s="71" t="s">
        <v>111</v>
      </c>
      <c r="B2" s="78"/>
      <c r="C2" s="78"/>
      <c r="D2" s="78"/>
      <c r="E2" s="78"/>
      <c r="F2" s="78"/>
    </row>
    <row r="4" spans="1:6" ht="20.100000000000001" customHeight="1">
      <c r="A4" s="76" t="s">
        <v>112</v>
      </c>
      <c r="B4" s="78"/>
      <c r="C4" s="78"/>
      <c r="D4" s="78"/>
      <c r="E4" s="78"/>
      <c r="F4" s="78"/>
    </row>
    <row r="5" spans="1:6">
      <c r="A5" s="58" t="s">
        <v>75</v>
      </c>
      <c r="B5" s="58" t="s">
        <v>113</v>
      </c>
      <c r="C5" s="58" t="s">
        <v>79</v>
      </c>
    </row>
    <row r="6" spans="1:6" ht="15.95" customHeight="1">
      <c r="A6" s="56" t="s">
        <v>26</v>
      </c>
      <c r="B6" s="57">
        <v>2331296</v>
      </c>
      <c r="C6" s="56" t="s">
        <v>114</v>
      </c>
    </row>
    <row r="7" spans="1:6" ht="15.95" customHeight="1">
      <c r="A7" s="40" t="s">
        <v>27</v>
      </c>
      <c r="B7" s="32">
        <v>304608</v>
      </c>
      <c r="C7" s="40" t="s">
        <v>115</v>
      </c>
    </row>
    <row r="8" spans="1:6" ht="15.95" customHeight="1">
      <c r="A8" s="56" t="s">
        <v>106</v>
      </c>
      <c r="B8" s="57">
        <v>26885</v>
      </c>
      <c r="C8" s="56" t="s">
        <v>107</v>
      </c>
    </row>
    <row r="9" spans="1:6" ht="15.95" customHeight="1">
      <c r="A9" s="40" t="s">
        <v>101</v>
      </c>
      <c r="B9" s="32">
        <v>808</v>
      </c>
      <c r="C9" s="40" t="s">
        <v>116</v>
      </c>
    </row>
    <row r="10" spans="1:6" ht="15.95" customHeight="1">
      <c r="A10" s="56" t="s">
        <v>97</v>
      </c>
      <c r="B10" s="57">
        <v>292</v>
      </c>
      <c r="C10" s="56" t="s">
        <v>117</v>
      </c>
    </row>
    <row r="11" spans="1:6" ht="15.95" customHeight="1">
      <c r="A11" s="40" t="s">
        <v>28</v>
      </c>
      <c r="B11" s="34" t="s">
        <v>118</v>
      </c>
      <c r="C11" s="40" t="s">
        <v>119</v>
      </c>
    </row>
    <row r="12" spans="1:6" ht="15.95" customHeight="1">
      <c r="A12" s="56" t="s">
        <v>120</v>
      </c>
      <c r="B12" s="57">
        <v>332</v>
      </c>
      <c r="C12" s="56" t="s">
        <v>121</v>
      </c>
    </row>
    <row r="15" spans="1:6">
      <c r="A15" s="76" t="s">
        <v>122</v>
      </c>
      <c r="B15" s="78"/>
      <c r="C15" s="78"/>
      <c r="D15" s="78"/>
      <c r="E15" s="78"/>
      <c r="F15" s="78"/>
    </row>
    <row r="16" spans="1:6" ht="21.95" customHeight="1">
      <c r="A16" s="59" t="s">
        <v>45</v>
      </c>
      <c r="B16" s="59" t="s">
        <v>123</v>
      </c>
      <c r="C16" s="59" t="s">
        <v>124</v>
      </c>
      <c r="D16" s="59" t="s">
        <v>125</v>
      </c>
      <c r="E16" s="59" t="s">
        <v>126</v>
      </c>
    </row>
    <row r="17" spans="1:6" ht="15.95" customHeight="1">
      <c r="A17" s="56" t="s">
        <v>127</v>
      </c>
      <c r="B17" s="57">
        <v>325953</v>
      </c>
      <c r="C17" s="57">
        <v>39034</v>
      </c>
      <c r="D17" s="57">
        <v>2736</v>
      </c>
      <c r="E17" s="60" t="s">
        <v>128</v>
      </c>
    </row>
    <row r="18" spans="1:6" ht="15.95" customHeight="1">
      <c r="A18" s="40" t="s">
        <v>129</v>
      </c>
      <c r="B18" s="32">
        <v>208892</v>
      </c>
      <c r="C18" s="32">
        <v>21054</v>
      </c>
      <c r="D18" s="32">
        <v>2093</v>
      </c>
      <c r="E18" s="61">
        <f t="shared" ref="E18:E28" si="0">(B18-B17)/B17</f>
        <v>-0.35913459916000162</v>
      </c>
    </row>
    <row r="19" spans="1:6" ht="15.95" customHeight="1">
      <c r="A19" s="56" t="s">
        <v>130</v>
      </c>
      <c r="B19" s="57">
        <v>175467</v>
      </c>
      <c r="C19" s="57">
        <v>25446</v>
      </c>
      <c r="D19" s="57">
        <v>2655</v>
      </c>
      <c r="E19" s="62">
        <f t="shared" si="0"/>
        <v>-0.16001091473105719</v>
      </c>
    </row>
    <row r="20" spans="1:6" ht="15.95" customHeight="1">
      <c r="A20" s="40" t="s">
        <v>131</v>
      </c>
      <c r="B20" s="32">
        <v>83111</v>
      </c>
      <c r="C20" s="32">
        <v>8737</v>
      </c>
      <c r="D20" s="32">
        <v>1150</v>
      </c>
      <c r="E20" s="61">
        <f t="shared" si="0"/>
        <v>-0.52634398490884327</v>
      </c>
    </row>
    <row r="21" spans="1:6" ht="15.95" customHeight="1">
      <c r="A21" s="56" t="s">
        <v>132</v>
      </c>
      <c r="B21" s="57">
        <v>167435</v>
      </c>
      <c r="C21" s="57">
        <v>18119</v>
      </c>
      <c r="D21" s="57">
        <v>1559</v>
      </c>
      <c r="E21" s="62">
        <f t="shared" si="0"/>
        <v>1.0145949392980471</v>
      </c>
    </row>
    <row r="22" spans="1:6" ht="15.95" customHeight="1">
      <c r="A22" s="40" t="s">
        <v>133</v>
      </c>
      <c r="B22" s="32">
        <v>174288</v>
      </c>
      <c r="C22" s="32">
        <v>13598</v>
      </c>
      <c r="D22" s="32">
        <v>2021</v>
      </c>
      <c r="E22" s="61">
        <f t="shared" si="0"/>
        <v>4.0929315853913462E-2</v>
      </c>
    </row>
    <row r="23" spans="1:6" ht="15.95" customHeight="1">
      <c r="A23" s="56" t="s">
        <v>134</v>
      </c>
      <c r="B23" s="57">
        <v>215067</v>
      </c>
      <c r="C23" s="57">
        <v>26012</v>
      </c>
      <c r="D23" s="57">
        <v>2079</v>
      </c>
      <c r="E23" s="62">
        <f t="shared" si="0"/>
        <v>0.23397480033048748</v>
      </c>
    </row>
    <row r="24" spans="1:6" ht="15.95" customHeight="1">
      <c r="A24" s="40" t="s">
        <v>135</v>
      </c>
      <c r="B24" s="32">
        <v>185715</v>
      </c>
      <c r="C24" s="32">
        <v>23782</v>
      </c>
      <c r="D24" s="32">
        <v>2557</v>
      </c>
      <c r="E24" s="61">
        <f t="shared" si="0"/>
        <v>-0.13647839975449511</v>
      </c>
    </row>
    <row r="25" spans="1:6" ht="15.95" customHeight="1">
      <c r="A25" s="56" t="s">
        <v>136</v>
      </c>
      <c r="B25" s="57">
        <v>241508</v>
      </c>
      <c r="C25" s="57">
        <v>23856</v>
      </c>
      <c r="D25" s="57">
        <v>2608</v>
      </c>
      <c r="E25" s="62">
        <f t="shared" si="0"/>
        <v>0.30042269068195893</v>
      </c>
    </row>
    <row r="26" spans="1:6" ht="15.95" customHeight="1">
      <c r="A26" s="40" t="s">
        <v>137</v>
      </c>
      <c r="B26" s="32">
        <v>225722</v>
      </c>
      <c r="C26" s="32">
        <v>34969</v>
      </c>
      <c r="D26" s="32">
        <v>3206</v>
      </c>
      <c r="E26" s="61">
        <f t="shared" si="0"/>
        <v>-6.5364294350497704E-2</v>
      </c>
    </row>
    <row r="27" spans="1:6" ht="15.95" customHeight="1">
      <c r="A27" s="56" t="s">
        <v>138</v>
      </c>
      <c r="B27" s="57">
        <v>196758</v>
      </c>
      <c r="C27" s="57">
        <v>45185</v>
      </c>
      <c r="D27" s="57">
        <v>2752</v>
      </c>
      <c r="E27" s="62">
        <f t="shared" si="0"/>
        <v>-0.1283171334650588</v>
      </c>
    </row>
    <row r="28" spans="1:6" ht="15.95" customHeight="1">
      <c r="A28" s="40" t="s">
        <v>139</v>
      </c>
      <c r="B28" s="32">
        <v>131380</v>
      </c>
      <c r="C28" s="32">
        <v>24816</v>
      </c>
      <c r="D28" s="32">
        <v>1469</v>
      </c>
      <c r="E28" s="61">
        <f t="shared" si="0"/>
        <v>-0.33227619715589707</v>
      </c>
    </row>
    <row r="29" spans="1:6" ht="15.95" customHeight="1">
      <c r="A29" s="41" t="s">
        <v>72</v>
      </c>
      <c r="B29" s="36">
        <v>2331296</v>
      </c>
      <c r="C29" s="36">
        <v>304608</v>
      </c>
      <c r="D29" s="36">
        <v>26885</v>
      </c>
      <c r="E29" s="63" t="s">
        <v>128</v>
      </c>
    </row>
    <row r="32" spans="1:6">
      <c r="A32" s="76" t="s">
        <v>140</v>
      </c>
      <c r="B32" s="78"/>
      <c r="C32" s="78"/>
      <c r="D32" s="78"/>
      <c r="E32" s="78"/>
      <c r="F32" s="78"/>
    </row>
    <row r="33" spans="1:5" ht="24">
      <c r="A33" s="59" t="s">
        <v>141</v>
      </c>
      <c r="B33" s="59" t="s">
        <v>142</v>
      </c>
      <c r="C33" s="59" t="s">
        <v>83</v>
      </c>
      <c r="D33" s="59" t="s">
        <v>143</v>
      </c>
      <c r="E33" s="59" t="s">
        <v>144</v>
      </c>
    </row>
    <row r="34" spans="1:5" ht="27.95" customHeight="1">
      <c r="A34" s="56" t="s">
        <v>145</v>
      </c>
      <c r="B34" s="57">
        <v>57756</v>
      </c>
      <c r="C34" s="64" t="s">
        <v>11</v>
      </c>
      <c r="D34" s="65" t="s">
        <v>146</v>
      </c>
      <c r="E34" s="65" t="s">
        <v>147</v>
      </c>
    </row>
    <row r="35" spans="1:5" ht="27.95" customHeight="1">
      <c r="A35" s="40" t="s">
        <v>148</v>
      </c>
      <c r="B35" s="32">
        <v>43084</v>
      </c>
      <c r="C35" s="32">
        <v>18973</v>
      </c>
      <c r="D35" s="44" t="s">
        <v>149</v>
      </c>
      <c r="E35" s="44" t="s">
        <v>150</v>
      </c>
    </row>
    <row r="36" spans="1:5" ht="27.95" customHeight="1">
      <c r="A36" s="56" t="s">
        <v>151</v>
      </c>
      <c r="B36" s="57">
        <v>43000</v>
      </c>
      <c r="C36" s="64" t="s">
        <v>11</v>
      </c>
      <c r="D36" s="65" t="s">
        <v>152</v>
      </c>
      <c r="E36" s="65" t="s">
        <v>153</v>
      </c>
    </row>
    <row r="37" spans="1:5" ht="27.95" customHeight="1">
      <c r="A37" s="40" t="s">
        <v>154</v>
      </c>
      <c r="B37" s="32">
        <v>39841</v>
      </c>
      <c r="C37" s="34" t="s">
        <v>11</v>
      </c>
      <c r="D37" s="44" t="s">
        <v>155</v>
      </c>
      <c r="E37" s="44" t="s">
        <v>156</v>
      </c>
    </row>
    <row r="38" spans="1:5" ht="27.95" customHeight="1">
      <c r="A38" s="56" t="s">
        <v>157</v>
      </c>
      <c r="B38" s="57">
        <v>36075</v>
      </c>
      <c r="C38" s="64" t="s">
        <v>11</v>
      </c>
      <c r="D38" s="65" t="s">
        <v>158</v>
      </c>
      <c r="E38" s="65" t="s">
        <v>159</v>
      </c>
    </row>
  </sheetData>
  <mergeCells count="5">
    <mergeCell ref="A2:F2"/>
    <mergeCell ref="A1:F1"/>
    <mergeCell ref="A32:F32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JHONNATAN STEVEN GARCIA NOSSA</cp:lastModifiedBy>
  <cp:revision/>
  <dcterms:created xsi:type="dcterms:W3CDTF">2026-03-23T21:25:22Z</dcterms:created>
  <dcterms:modified xsi:type="dcterms:W3CDTF">2026-03-25T00:44:04Z</dcterms:modified>
  <cp:category/>
  <cp:contentStatus/>
</cp:coreProperties>
</file>