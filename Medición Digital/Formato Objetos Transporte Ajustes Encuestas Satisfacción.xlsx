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Medición Digital\"/>
    </mc:Choice>
  </mc:AlternateContent>
  <xr:revisionPtr revIDLastSave="0" documentId="13_ncr:1_{3B498644-7B36-42E0-B1EB-8964FEE2FFA2}" xr6:coauthVersionLast="47" xr6:coauthVersionMax="47" xr10:uidLastSave="{00000000-0000-0000-0000-000000000000}"/>
  <bookViews>
    <workbookView xWindow="-20610" yWindow="285" windowWidth="20730" windowHeight="11040" xr2:uid="{B9009996-7F59-40D8-9537-CE1DA053594C}"/>
  </bookViews>
  <sheets>
    <sheet name="Objetos" sheetId="1" r:id="rId1"/>
    <sheet name="Hoja2" sheetId="5" r:id="rId2"/>
    <sheet name="Orden Paquetes" sheetId="2" r:id="rId3"/>
    <sheet name="listas" sheetId="3" r:id="rId4"/>
  </sheets>
  <definedNames>
    <definedName name="TIPO_OBJETO">listas!$A$2:$A$8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F5" i="1" s="1"/>
  <c r="U5" i="5"/>
  <c r="S5" i="5"/>
  <c r="S3" i="5"/>
  <c r="R5" i="5"/>
  <c r="R3" i="5"/>
  <c r="Q5" i="5"/>
  <c r="Q3" i="5"/>
  <c r="P3" i="5"/>
  <c r="O3" i="5"/>
  <c r="N3" i="5"/>
  <c r="L3" i="5"/>
  <c r="K3" i="5"/>
  <c r="J3" i="5"/>
  <c r="I3" i="5"/>
  <c r="H3" i="5"/>
  <c r="F3" i="5"/>
  <c r="E3" i="5"/>
  <c r="D3" i="5"/>
  <c r="C3" i="5"/>
  <c r="A3" i="5"/>
  <c r="B3" i="5"/>
  <c r="E2" i="1"/>
  <c r="F2" i="1" s="1"/>
  <c r="E3" i="1"/>
  <c r="F3" i="1" s="1"/>
  <c r="E4" i="1"/>
  <c r="F4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E74" i="1"/>
  <c r="E75" i="1"/>
  <c r="E76" i="1"/>
  <c r="E77" i="1"/>
</calcChain>
</file>

<file path=xl/sharedStrings.xml><?xml version="1.0" encoding="utf-8"?>
<sst xmlns="http://schemas.openxmlformats.org/spreadsheetml/2006/main" count="75" uniqueCount="49">
  <si>
    <t>NOMBRE TECNICO</t>
  </si>
  <si>
    <t>DESCRIPCION</t>
  </si>
  <si>
    <t>TIPO OBJETO</t>
  </si>
  <si>
    <t>RUTA</t>
  </si>
  <si>
    <t>CARPETA</t>
  </si>
  <si>
    <t>GRAFICAL VIEW</t>
  </si>
  <si>
    <t>MODELO ANALITICO</t>
  </si>
  <si>
    <t>TABLA LOCAL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</si>
  <si>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</si>
  <si>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</si>
  <si>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</si>
  <si>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</si>
  <si>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</si>
  <si>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</si>
  <si>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</si>
  <si>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</si>
  <si>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</si>
  <si>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</si>
  <si>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</si>
  <si>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</si>
  <si>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</si>
  <si>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</si>
  <si>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</si>
  <si>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</si>
  <si>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</si>
  <si>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</si>
  <si>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</si>
  <si>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SIGLA OBJETOS</t>
  </si>
  <si>
    <t>TABLA REMOTA</t>
  </si>
  <si>
    <t>RT</t>
  </si>
  <si>
    <t>SQL VIEW</t>
  </si>
  <si>
    <t>SV</t>
  </si>
  <si>
    <t>ESTADO</t>
  </si>
  <si>
    <t>Medición Digital</t>
  </si>
  <si>
    <t>01_LT_AWS_DIGITAL_TIKTOK_01</t>
  </si>
  <si>
    <t>02_DF_AWS_DIGITAL_TIKTOK_01</t>
  </si>
  <si>
    <t>02_DF_AWS_MEDICION_DIGITAL_01</t>
  </si>
  <si>
    <t>01_LT_AWS_MEDICION_DIGITAL__01</t>
  </si>
  <si>
    <t>Medición Digital Facebook e Instagram</t>
  </si>
  <si>
    <t>Medición Digital Tik Tok</t>
  </si>
  <si>
    <t>04_MA_AWS_DIGITAL_TIKTOK_01</t>
  </si>
  <si>
    <t>Bussines Inteligence/Tableros/Medición Digital</t>
  </si>
  <si>
    <t>Medición Digital Tik Tok, Facebook e Instagram</t>
  </si>
  <si>
    <t>01_LT_AWS_DIGITAL_INS_FACE_TIK_01</t>
  </si>
  <si>
    <t>02_DF_AWS_DIGITAL_INS_FACE_01</t>
  </si>
  <si>
    <t>Medición Digital  Facebook e Instagram</t>
  </si>
  <si>
    <t>Medición Digital Tik Tok Consolidado</t>
  </si>
  <si>
    <t>02_DF_AWS_DIGITAL_TIKTOK_CONSO_01</t>
  </si>
  <si>
    <t>03_SV_AWS_DIGITAL_TIKTOK_01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</si>
</sst>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2" fontId="0" fillId="0" borderId="0" xfId="0" applyNumberFormat="1"/>
    <xf numFmtId="10" fontId="0" fillId="0" borderId="0" xfId="1" applyNumberFormat="1" applyFont="1"/>
    <xf numFmtId="9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G77"/>
  <sheetViews>
    <sheetView tabSelected="1" workbookViewId="0">
      <selection activeCell="B10" sqref="B10"/>
    </sheetView>
  </sheetViews>
  <sheetFormatPr baseColWidth="10" defaultRowHeight="15" x14ac:dyDescent="0.25"/>
  <cols>
    <col min="1" max="1" width="21.42578125" customWidth="1"/>
    <col min="2" max="2" width="49" customWidth="1"/>
    <col min="3" max="3" width="42" customWidth="1"/>
    <col min="4" max="4" width="19.140625" customWidth="1"/>
    <col min="5" max="5" width="21.140625" style="4" customWidth="1"/>
    <col min="6" max="6" width="34" style="5" customWidth="1"/>
    <col min="7" max="7" width="69.140625" bestFit="1" customWidth="1"/>
  </cols>
  <sheetData>
    <row r="1" spans="1:7" x14ac:dyDescent="0.25">
      <c r="A1" t="s">
        <v>32</v>
      </c>
      <c r="B1" t="s">
        <v>1</v>
      </c>
      <c r="C1" t="s">
        <v>0</v>
      </c>
      <c r="D1" t="s">
        <v>2</v>
      </c>
      <c r="E1" s="2" t="s">
        <v>15</v>
      </c>
      <c r="F1" s="3" t="s">
        <v>9</v>
      </c>
      <c r="G1" t="s">
        <v>3</v>
      </c>
    </row>
    <row r="2" spans="1:7" x14ac:dyDescent="0.25">
      <c r="B2" t="s">
        <v>33</v>
      </c>
      <c r="C2" t="s">
        <v>33</v>
      </c>
      <c r="D2" t="s">
        <v>4</v>
      </c>
      <c r="E2" s="2" t="str">
        <f>IFERROR(VLOOKUP(D2,listas!$A$2:$B$8,2,0),"")</f>
        <v>Folder</v>
      </c>
      <c r="F2" s="5" t="str">
        <f t="shared" ref="F2:F9" si="0">_xlfn.CONCAT(E2," ",C2)</f>
        <v>Folder Medición Digital</v>
      </c>
      <c r="G2" t="s">
        <v>41</v>
      </c>
    </row>
    <row r="3" spans="1:7" x14ac:dyDescent="0.25">
      <c r="B3" t="s">
        <v>38</v>
      </c>
      <c r="C3" t="s">
        <v>37</v>
      </c>
      <c r="D3" t="s">
        <v>7</v>
      </c>
      <c r="E3" s="2" t="str">
        <f>IFERROR(VLOOKUP(D3,listas!$A$2:$B$8,2,0),"")</f>
        <v>LT</v>
      </c>
      <c r="F3" s="5" t="str">
        <f t="shared" si="0"/>
        <v>LT 01_LT_AWS_MEDICION_DIGITAL__01</v>
      </c>
      <c r="G3" t="s">
        <v>41</v>
      </c>
    </row>
    <row r="4" spans="1:7" x14ac:dyDescent="0.25">
      <c r="B4" t="s">
        <v>38</v>
      </c>
      <c r="C4" t="s">
        <v>36</v>
      </c>
      <c r="D4" t="s">
        <v>8</v>
      </c>
      <c r="E4" s="2" t="str">
        <f>IFERROR(VLOOKUP(D4,listas!$A$2:$B$8,2,0),"")</f>
        <v>DF</v>
      </c>
      <c r="F4" s="5" t="str">
        <f t="shared" si="0"/>
        <v>DF 02_DF_AWS_MEDICION_DIGITAL_01</v>
      </c>
      <c r="G4" t="s">
        <v>41</v>
      </c>
    </row>
    <row r="5" spans="1:7" x14ac:dyDescent="0.25">
      <c r="B5" t="s">
        <v>39</v>
      </c>
      <c r="C5" t="s">
        <v>34</v>
      </c>
      <c r="D5" t="s">
        <v>7</v>
      </c>
      <c r="E5" s="2" t="str">
        <f>IFERROR(VLOOKUP(D5,listas!$A$2:$B$8,2,0),"")</f>
        <v>LT</v>
      </c>
      <c r="F5" s="5" t="str">
        <f t="shared" si="0"/>
        <v>LT 01_LT_AWS_DIGITAL_TIKTOK_01</v>
      </c>
      <c r="G5" t="s">
        <v>41</v>
      </c>
    </row>
    <row r="6" spans="1:7" x14ac:dyDescent="0.25">
      <c r="B6" t="s">
        <v>39</v>
      </c>
      <c r="C6" t="s">
        <v>35</v>
      </c>
      <c r="D6" t="s">
        <v>8</v>
      </c>
      <c r="E6" s="2" t="str">
        <f>IFERROR(VLOOKUP(D6,listas!$A$2:$B$8,2,0),"")</f>
        <v>DF</v>
      </c>
      <c r="F6" s="5" t="str">
        <f t="shared" si="0"/>
        <v>DF 02_DF_AWS_DIGITAL_TIKTOK_01</v>
      </c>
      <c r="G6" t="s">
        <v>41</v>
      </c>
    </row>
    <row r="7" spans="1:7" x14ac:dyDescent="0.25">
      <c r="B7" t="s">
        <v>45</v>
      </c>
      <c r="C7" t="s">
        <v>44</v>
      </c>
      <c r="D7" t="s">
        <v>8</v>
      </c>
      <c r="E7" s="2" t="str">
        <f>IFERROR(VLOOKUP(D7,listas!$A$2:$B$8,2,0),"")</f>
        <v>DF</v>
      </c>
      <c r="F7" s="5" t="str">
        <f t="shared" si="0"/>
        <v>DF 02_DF_AWS_DIGITAL_INS_FACE_01</v>
      </c>
      <c r="G7" t="s">
        <v>41</v>
      </c>
    </row>
    <row r="8" spans="1:7" x14ac:dyDescent="0.25">
      <c r="B8" t="s">
        <v>46</v>
      </c>
      <c r="C8" t="s">
        <v>47</v>
      </c>
      <c r="D8" t="s">
        <v>8</v>
      </c>
      <c r="E8" s="4" t="str">
        <f>IFERROR(VLOOKUP(D8,listas!$A$2:$B$8,2,0),"")</f>
        <v>DF</v>
      </c>
      <c r="F8" s="5" t="str">
        <f t="shared" si="0"/>
        <v>DF 02_DF_AWS_DIGITAL_TIKTOK_CONSO_01</v>
      </c>
      <c r="G8" t="s">
        <v>41</v>
      </c>
    </row>
    <row r="9" spans="1:7" x14ac:dyDescent="0.25">
      <c r="B9" t="s">
        <v>42</v>
      </c>
      <c r="C9" t="s">
        <v>43</v>
      </c>
      <c r="D9" t="s">
        <v>7</v>
      </c>
      <c r="E9" s="4" t="str">
        <f>IFERROR(VLOOKUP(D9,listas!$A$2:$B$8,2,0),"")</f>
        <v>LT</v>
      </c>
      <c r="F9" s="5" t="str">
        <f t="shared" si="0"/>
        <v>LT 01_LT_AWS_DIGITAL_INS_FACE_TIK_01</v>
      </c>
    </row>
    <row r="10" spans="1:7" x14ac:dyDescent="0.25">
      <c r="B10" t="s">
        <v>46</v>
      </c>
      <c r="C10" t="s">
        <v>48</v>
      </c>
      <c r="E10" s="4" t="str">
        <f>IFERROR(VLOOKUP(D10,listas!$A$2:$B$8,2,0),"")</f>
        <v/>
      </c>
      <c r="F10" s="5" t="str">
        <f t="shared" ref="F10:F49" si="1">_xlfn.CONCAT(E10," ",C10)</f>
        <v xml:space="preserve"> 03_SV_AWS_DIGITAL_TIKTOK_01</v>
      </c>
    </row>
    <row r="11" spans="1:7" x14ac:dyDescent="0.25">
      <c r="B11" t="s">
        <v>42</v>
      </c>
      <c r="C11" t="s">
        <v>40</v>
      </c>
      <c r="D11" t="s">
        <v>6</v>
      </c>
      <c r="E11" s="4" t="str">
        <f>IFERROR(VLOOKUP(D11,listas!$A$2:$B$8,2,0),"")</f>
        <v>AM</v>
      </c>
      <c r="F11" s="5" t="str">
        <f t="shared" si="1"/>
        <v>AM 04_MA_AWS_DIGITAL_TIKTOK_01</v>
      </c>
    </row>
    <row r="12" spans="1:7" x14ac:dyDescent="0.25">
      <c r="E12" s="4" t="str">
        <f>IFERROR(VLOOKUP(D12,listas!$A$2:$B$8,2,0),"")</f>
        <v/>
      </c>
      <c r="F12" s="5" t="str">
        <f t="shared" si="1"/>
        <v xml:space="preserve"> </v>
      </c>
    </row>
    <row r="13" spans="1:7" x14ac:dyDescent="0.25">
      <c r="E13" s="4" t="str">
        <f>IFERROR(VLOOKUP(D13,listas!$A$2:$B$8,2,0),"")</f>
        <v/>
      </c>
      <c r="F13" s="5" t="str">
        <f t="shared" si="1"/>
        <v xml:space="preserve"> </v>
      </c>
    </row>
    <row r="14" spans="1:7" x14ac:dyDescent="0.25">
      <c r="E14" s="4" t="str">
        <f>IFERROR(VLOOKUP(D14,listas!$A$2:$B$8,2,0),"")</f>
        <v/>
      </c>
      <c r="F14" s="5" t="str">
        <f t="shared" si="1"/>
        <v xml:space="preserve"> </v>
      </c>
    </row>
    <row r="15" spans="1:7" x14ac:dyDescent="0.25">
      <c r="E15" s="4" t="str">
        <f>IFERROR(VLOOKUP(D15,listas!$A$2:$B$8,2,0),"")</f>
        <v/>
      </c>
      <c r="F15" s="5" t="str">
        <f t="shared" si="1"/>
        <v xml:space="preserve"> </v>
      </c>
    </row>
    <row r="16" spans="1:7" x14ac:dyDescent="0.25">
      <c r="E16" s="4" t="str">
        <f>IFERROR(VLOOKUP(D16,listas!$A$2:$B$8,2,0),"")</f>
        <v/>
      </c>
      <c r="F16" s="5" t="str">
        <f t="shared" si="1"/>
        <v xml:space="preserve"> </v>
      </c>
    </row>
    <row r="17" spans="2:6" x14ac:dyDescent="0.25">
      <c r="B17" s="9"/>
      <c r="E17" s="4" t="str">
        <f>IFERROR(VLOOKUP(D17,listas!$A$2:$B$8,2,0),"")</f>
        <v/>
      </c>
      <c r="F17" s="5" t="str">
        <f t="shared" si="1"/>
        <v xml:space="preserve"> </v>
      </c>
    </row>
    <row r="18" spans="2:6" x14ac:dyDescent="0.25">
      <c r="E18" s="4" t="str">
        <f>IFERROR(VLOOKUP(D18,listas!$A$2:$B$8,2,0),"")</f>
        <v/>
      </c>
      <c r="F18" s="5" t="str">
        <f t="shared" si="1"/>
        <v xml:space="preserve"> </v>
      </c>
    </row>
    <row r="19" spans="2:6" x14ac:dyDescent="0.25">
      <c r="E19" s="4" t="str">
        <f>IFERROR(VLOOKUP(D19,listas!$A$2:$B$8,2,0),"")</f>
        <v/>
      </c>
      <c r="F19" s="5" t="str">
        <f t="shared" si="1"/>
        <v xml:space="preserve"> </v>
      </c>
    </row>
    <row r="20" spans="2:6" x14ac:dyDescent="0.25">
      <c r="E20" s="4" t="str">
        <f>IFERROR(VLOOKUP(D20,listas!$A$2:$B$8,2,0),"")</f>
        <v/>
      </c>
      <c r="F20" s="5" t="str">
        <f t="shared" si="1"/>
        <v xml:space="preserve"> </v>
      </c>
    </row>
    <row r="21" spans="2:6" x14ac:dyDescent="0.25">
      <c r="E21" s="4" t="str">
        <f>IFERROR(VLOOKUP(D21,listas!$A$2:$B$8,2,0),"")</f>
        <v/>
      </c>
      <c r="F21" s="5" t="str">
        <f t="shared" si="1"/>
        <v xml:space="preserve"> </v>
      </c>
    </row>
    <row r="22" spans="2:6" x14ac:dyDescent="0.25">
      <c r="E22" s="4" t="str">
        <f>IFERROR(VLOOKUP(D22,listas!$A$2:$B$8,2,0),"")</f>
        <v/>
      </c>
      <c r="F22" s="5" t="str">
        <f t="shared" si="1"/>
        <v xml:space="preserve"> </v>
      </c>
    </row>
    <row r="23" spans="2:6" x14ac:dyDescent="0.25">
      <c r="E23" s="4" t="str">
        <f>IFERROR(VLOOKUP(D23,listas!$A$2:$B$8,2,0),"")</f>
        <v/>
      </c>
      <c r="F23" s="5" t="str">
        <f t="shared" si="1"/>
        <v xml:space="preserve"> </v>
      </c>
    </row>
    <row r="24" spans="2:6" x14ac:dyDescent="0.25">
      <c r="E24" s="4" t="str">
        <f>IFERROR(VLOOKUP(D24,listas!$A$2:$B$8,2,0),"")</f>
        <v/>
      </c>
      <c r="F24" s="5" t="str">
        <f t="shared" si="1"/>
        <v xml:space="preserve"> </v>
      </c>
    </row>
    <row r="25" spans="2:6" x14ac:dyDescent="0.25">
      <c r="E25" s="4" t="str">
        <f>IFERROR(VLOOKUP(D25,listas!$A$2:$B$8,2,0),"")</f>
        <v/>
      </c>
      <c r="F25" s="5" t="str">
        <f t="shared" si="1"/>
        <v xml:space="preserve"> </v>
      </c>
    </row>
    <row r="26" spans="2:6" x14ac:dyDescent="0.25">
      <c r="E26" s="4" t="str">
        <f>IFERROR(VLOOKUP(D26,listas!$A$2:$B$8,2,0),"")</f>
        <v/>
      </c>
      <c r="F26" s="5" t="str">
        <f t="shared" si="1"/>
        <v xml:space="preserve"> </v>
      </c>
    </row>
    <row r="27" spans="2:6" x14ac:dyDescent="0.25">
      <c r="E27" s="4" t="str">
        <f>IFERROR(VLOOKUP(D27,listas!$A$2:$B$8,2,0),"")</f>
        <v/>
      </c>
      <c r="F27" s="5" t="str">
        <f t="shared" si="1"/>
        <v xml:space="preserve"> </v>
      </c>
    </row>
    <row r="28" spans="2:6" x14ac:dyDescent="0.25">
      <c r="E28" s="4" t="str">
        <f>IFERROR(VLOOKUP(D28,listas!$A$2:$B$8,2,0),"")</f>
        <v/>
      </c>
      <c r="F28" s="5" t="str">
        <f t="shared" si="1"/>
        <v xml:space="preserve"> </v>
      </c>
    </row>
    <row r="29" spans="2:6" x14ac:dyDescent="0.25">
      <c r="E29" s="4" t="str">
        <f>IFERROR(VLOOKUP(D29,listas!$A$2:$B$8,2,0),"")</f>
        <v/>
      </c>
      <c r="F29" s="5" t="str">
        <f t="shared" si="1"/>
        <v xml:space="preserve"> </v>
      </c>
    </row>
    <row r="30" spans="2:6" x14ac:dyDescent="0.25">
      <c r="E30" s="4" t="str">
        <f>IFERROR(VLOOKUP(D30,listas!$A$2:$B$8,2,0),"")</f>
        <v/>
      </c>
      <c r="F30" s="5" t="str">
        <f t="shared" si="1"/>
        <v xml:space="preserve"> </v>
      </c>
    </row>
    <row r="31" spans="2:6" x14ac:dyDescent="0.25">
      <c r="E31" s="4" t="str">
        <f>IFERROR(VLOOKUP(D31,listas!$A$2:$B$8,2,0),"")</f>
        <v/>
      </c>
      <c r="F31" s="5" t="str">
        <f t="shared" si="1"/>
        <v xml:space="preserve"> </v>
      </c>
    </row>
    <row r="32" spans="2:6" x14ac:dyDescent="0.25">
      <c r="E32" s="4" t="str">
        <f>IFERROR(VLOOKUP(D32,listas!$A$2:$B$8,2,0),"")</f>
        <v/>
      </c>
      <c r="F32" s="5" t="str">
        <f t="shared" si="1"/>
        <v xml:space="preserve"> </v>
      </c>
    </row>
    <row r="33" spans="5:6" x14ac:dyDescent="0.25">
      <c r="E33" s="4" t="str">
        <f>IFERROR(VLOOKUP(D33,listas!$A$2:$B$8,2,0),"")</f>
        <v/>
      </c>
      <c r="F33" s="5" t="str">
        <f t="shared" si="1"/>
        <v xml:space="preserve"> </v>
      </c>
    </row>
    <row r="34" spans="5:6" x14ac:dyDescent="0.25">
      <c r="E34" s="4" t="str">
        <f>IFERROR(VLOOKUP(D34,listas!$A$2:$B$8,2,0),"")</f>
        <v/>
      </c>
      <c r="F34" s="5" t="str">
        <f t="shared" si="1"/>
        <v xml:space="preserve"> </v>
      </c>
    </row>
    <row r="35" spans="5:6" x14ac:dyDescent="0.25">
      <c r="E35" s="4" t="str">
        <f>IFERROR(VLOOKUP(D35,listas!$A$2:$B$8,2,0),"")</f>
        <v/>
      </c>
      <c r="F35" s="5" t="str">
        <f t="shared" si="1"/>
        <v xml:space="preserve"> </v>
      </c>
    </row>
    <row r="36" spans="5:6" x14ac:dyDescent="0.25">
      <c r="E36" s="4" t="str">
        <f>IFERROR(VLOOKUP(D36,listas!$A$2:$B$8,2,0),"")</f>
        <v/>
      </c>
      <c r="F36" s="5" t="str">
        <f t="shared" si="1"/>
        <v xml:space="preserve"> </v>
      </c>
    </row>
    <row r="37" spans="5:6" x14ac:dyDescent="0.25">
      <c r="E37" s="4" t="str">
        <f>IFERROR(VLOOKUP(D37,listas!$A$2:$B$8,2,0),"")</f>
        <v/>
      </c>
      <c r="F37" s="5" t="str">
        <f t="shared" si="1"/>
        <v xml:space="preserve"> </v>
      </c>
    </row>
    <row r="38" spans="5:6" x14ac:dyDescent="0.25">
      <c r="E38" s="4" t="str">
        <f>IFERROR(VLOOKUP(D38,listas!$A$2:$B$8,2,0),"")</f>
        <v/>
      </c>
      <c r="F38" s="5" t="str">
        <f t="shared" si="1"/>
        <v xml:space="preserve"> </v>
      </c>
    </row>
    <row r="39" spans="5:6" x14ac:dyDescent="0.25">
      <c r="E39" s="4" t="str">
        <f>IFERROR(VLOOKUP(D39,listas!$A$2:$B$8,2,0),"")</f>
        <v/>
      </c>
      <c r="F39" s="5" t="str">
        <f t="shared" si="1"/>
        <v xml:space="preserve"> </v>
      </c>
    </row>
    <row r="40" spans="5:6" x14ac:dyDescent="0.25">
      <c r="E40" s="4" t="str">
        <f>IFERROR(VLOOKUP(D40,listas!$A$2:$B$8,2,0),"")</f>
        <v/>
      </c>
      <c r="F40" s="5" t="str">
        <f t="shared" si="1"/>
        <v xml:space="preserve"> </v>
      </c>
    </row>
    <row r="41" spans="5:6" x14ac:dyDescent="0.25">
      <c r="E41" s="4" t="str">
        <f>IFERROR(VLOOKUP(D41,listas!$A$2:$B$8,2,0),"")</f>
        <v/>
      </c>
      <c r="F41" s="5" t="str">
        <f t="shared" si="1"/>
        <v xml:space="preserve"> </v>
      </c>
    </row>
    <row r="42" spans="5:6" x14ac:dyDescent="0.25">
      <c r="E42" s="4" t="str">
        <f>IFERROR(VLOOKUP(D42,listas!$A$2:$B$8,2,0),"")</f>
        <v/>
      </c>
      <c r="F42" s="5" t="str">
        <f t="shared" si="1"/>
        <v xml:space="preserve"> </v>
      </c>
    </row>
    <row r="43" spans="5:6" x14ac:dyDescent="0.25">
      <c r="E43" s="4" t="str">
        <f>IFERROR(VLOOKUP(D43,listas!$A$2:$B$8,2,0),"")</f>
        <v/>
      </c>
      <c r="F43" s="5" t="str">
        <f t="shared" si="1"/>
        <v xml:space="preserve"> </v>
      </c>
    </row>
    <row r="44" spans="5:6" x14ac:dyDescent="0.25">
      <c r="E44" s="4" t="str">
        <f>IFERROR(VLOOKUP(D44,listas!$A$2:$B$8,2,0),"")</f>
        <v/>
      </c>
      <c r="F44" s="5" t="str">
        <f t="shared" si="1"/>
        <v xml:space="preserve"> </v>
      </c>
    </row>
    <row r="45" spans="5:6" x14ac:dyDescent="0.25">
      <c r="E45" s="4" t="str">
        <f>IFERROR(VLOOKUP(D45,listas!$A$2:$B$8,2,0),"")</f>
        <v/>
      </c>
      <c r="F45" s="5" t="str">
        <f t="shared" si="1"/>
        <v xml:space="preserve"> </v>
      </c>
    </row>
    <row r="46" spans="5:6" x14ac:dyDescent="0.25">
      <c r="E46" s="4" t="str">
        <f>IFERROR(VLOOKUP(D46,listas!$A$2:$B$8,2,0),"")</f>
        <v/>
      </c>
      <c r="F46" s="5" t="str">
        <f t="shared" si="1"/>
        <v xml:space="preserve"> </v>
      </c>
    </row>
    <row r="47" spans="5:6" x14ac:dyDescent="0.25">
      <c r="E47" s="4" t="str">
        <f>IFERROR(VLOOKUP(D47,listas!$A$2:$B$8,2,0),"")</f>
        <v/>
      </c>
      <c r="F47" s="5" t="str">
        <f t="shared" si="1"/>
        <v xml:space="preserve"> </v>
      </c>
    </row>
    <row r="48" spans="5:6" x14ac:dyDescent="0.25">
      <c r="E48" s="4" t="str">
        <f>IFERROR(VLOOKUP(D48,listas!$A$2:$B$8,2,0),"")</f>
        <v/>
      </c>
      <c r="F48" s="5" t="str">
        <f t="shared" si="1"/>
        <v xml:space="preserve"> </v>
      </c>
    </row>
    <row r="49" spans="5:6" x14ac:dyDescent="0.25">
      <c r="E49" s="4" t="str">
        <f>IFERROR(VLOOKUP(D49,listas!$A$2:$B$8,2,0),"")</f>
        <v/>
      </c>
      <c r="F49" s="5" t="str">
        <f t="shared" si="1"/>
        <v xml:space="preserve"> </v>
      </c>
    </row>
    <row r="50" spans="5:6" x14ac:dyDescent="0.25">
      <c r="E50" s="4" t="str">
        <f>IFERROR(VLOOKUP(D50,listas!$A$2:$B$8,2,0),"")</f>
        <v/>
      </c>
      <c r="F50" s="5" t="str">
        <f t="shared" ref="F50:F72" si="2">_xlfn.CONCAT(E50," ",C50)</f>
        <v xml:space="preserve"> </v>
      </c>
    </row>
    <row r="51" spans="5:6" x14ac:dyDescent="0.25">
      <c r="E51" s="4" t="str">
        <f>IFERROR(VLOOKUP(D51,listas!$A$2:$B$8,2,0),"")</f>
        <v/>
      </c>
      <c r="F51" s="5" t="str">
        <f t="shared" si="2"/>
        <v xml:space="preserve"> </v>
      </c>
    </row>
    <row r="52" spans="5:6" x14ac:dyDescent="0.25">
      <c r="E52" s="4" t="str">
        <f>IFERROR(VLOOKUP(D52,listas!$A$2:$B$8,2,0),"")</f>
        <v/>
      </c>
      <c r="F52" s="5" t="str">
        <f t="shared" si="2"/>
        <v xml:space="preserve"> </v>
      </c>
    </row>
    <row r="53" spans="5:6" x14ac:dyDescent="0.25">
      <c r="E53" s="4" t="str">
        <f>IFERROR(VLOOKUP(D53,listas!$A$2:$B$8,2,0),"")</f>
        <v/>
      </c>
      <c r="F53" s="5" t="str">
        <f t="shared" si="2"/>
        <v xml:space="preserve"> </v>
      </c>
    </row>
    <row r="54" spans="5:6" x14ac:dyDescent="0.25">
      <c r="E54" s="4" t="str">
        <f>IFERROR(VLOOKUP(D54,listas!$A$2:$B$8,2,0),"")</f>
        <v/>
      </c>
      <c r="F54" s="5" t="str">
        <f t="shared" si="2"/>
        <v xml:space="preserve"> </v>
      </c>
    </row>
    <row r="55" spans="5:6" x14ac:dyDescent="0.25">
      <c r="E55" s="4" t="str">
        <f>IFERROR(VLOOKUP(D55,listas!$A$2:$B$8,2,0),"")</f>
        <v/>
      </c>
      <c r="F55" s="5" t="str">
        <f t="shared" si="2"/>
        <v xml:space="preserve"> </v>
      </c>
    </row>
    <row r="56" spans="5:6" x14ac:dyDescent="0.25">
      <c r="E56" s="4" t="str">
        <f>IFERROR(VLOOKUP(D56,listas!$A$2:$B$8,2,0),"")</f>
        <v/>
      </c>
      <c r="F56" s="5" t="str">
        <f t="shared" si="2"/>
        <v xml:space="preserve"> </v>
      </c>
    </row>
    <row r="57" spans="5:6" x14ac:dyDescent="0.25">
      <c r="E57" s="4" t="str">
        <f>IFERROR(VLOOKUP(D57,listas!$A$2:$B$8,2,0),"")</f>
        <v/>
      </c>
      <c r="F57" s="5" t="str">
        <f t="shared" si="2"/>
        <v xml:space="preserve"> </v>
      </c>
    </row>
    <row r="58" spans="5:6" x14ac:dyDescent="0.25">
      <c r="E58" s="4" t="str">
        <f>IFERROR(VLOOKUP(D58,listas!$A$2:$B$8,2,0),"")</f>
        <v/>
      </c>
      <c r="F58" s="5" t="str">
        <f t="shared" si="2"/>
        <v xml:space="preserve"> </v>
      </c>
    </row>
    <row r="59" spans="5:6" x14ac:dyDescent="0.25">
      <c r="E59" s="4" t="str">
        <f>IFERROR(VLOOKUP(D59,listas!$A$2:$B$8,2,0),"")</f>
        <v/>
      </c>
      <c r="F59" s="5" t="str">
        <f t="shared" si="2"/>
        <v xml:space="preserve"> </v>
      </c>
    </row>
    <row r="60" spans="5:6" x14ac:dyDescent="0.25">
      <c r="E60" s="4" t="str">
        <f>IFERROR(VLOOKUP(D60,listas!$A$2:$B$8,2,0),"")</f>
        <v/>
      </c>
      <c r="F60" s="5" t="str">
        <f t="shared" si="2"/>
        <v xml:space="preserve"> </v>
      </c>
    </row>
    <row r="61" spans="5:6" x14ac:dyDescent="0.25">
      <c r="E61" s="4" t="str">
        <f>IFERROR(VLOOKUP(D61,listas!$A$2:$B$8,2,0),"")</f>
        <v/>
      </c>
      <c r="F61" s="5" t="str">
        <f t="shared" si="2"/>
        <v xml:space="preserve"> </v>
      </c>
    </row>
    <row r="62" spans="5:6" x14ac:dyDescent="0.25">
      <c r="E62" s="4" t="str">
        <f>IFERROR(VLOOKUP(D62,listas!$A$2:$B$8,2,0),"")</f>
        <v/>
      </c>
      <c r="F62" s="5" t="str">
        <f t="shared" si="2"/>
        <v xml:space="preserve"> </v>
      </c>
    </row>
    <row r="63" spans="5:6" x14ac:dyDescent="0.25">
      <c r="E63" s="4" t="str">
        <f>IFERROR(VLOOKUP(D63,listas!$A$2:$B$8,2,0),"")</f>
        <v/>
      </c>
      <c r="F63" s="5" t="str">
        <f t="shared" si="2"/>
        <v xml:space="preserve"> </v>
      </c>
    </row>
    <row r="64" spans="5:6" x14ac:dyDescent="0.25">
      <c r="E64" s="4" t="str">
        <f>IFERROR(VLOOKUP(D64,listas!$A$2:$B$8,2,0),"")</f>
        <v/>
      </c>
      <c r="F64" s="5" t="str">
        <f t="shared" si="2"/>
        <v xml:space="preserve"> </v>
      </c>
    </row>
    <row r="65" spans="5:6" x14ac:dyDescent="0.25">
      <c r="E65" s="4" t="str">
        <f>IFERROR(VLOOKUP(D65,listas!$A$2:$B$8,2,0),"")</f>
        <v/>
      </c>
      <c r="F65" s="5" t="str">
        <f t="shared" si="2"/>
        <v xml:space="preserve"> </v>
      </c>
    </row>
    <row r="66" spans="5:6" x14ac:dyDescent="0.25">
      <c r="E66" s="4" t="str">
        <f>IFERROR(VLOOKUP(D66,listas!$A$2:$B$8,2,0),"")</f>
        <v/>
      </c>
      <c r="F66" s="5" t="str">
        <f t="shared" si="2"/>
        <v xml:space="preserve"> </v>
      </c>
    </row>
    <row r="67" spans="5:6" x14ac:dyDescent="0.25">
      <c r="E67" s="4" t="str">
        <f>IFERROR(VLOOKUP(D67,listas!$A$2:$B$8,2,0),"")</f>
        <v/>
      </c>
      <c r="F67" s="5" t="str">
        <f t="shared" si="2"/>
        <v xml:space="preserve"> </v>
      </c>
    </row>
    <row r="68" spans="5:6" x14ac:dyDescent="0.25">
      <c r="E68" s="4" t="str">
        <f>IFERROR(VLOOKUP(D68,listas!$A$2:$B$8,2,0),"")</f>
        <v/>
      </c>
      <c r="F68" s="5" t="str">
        <f t="shared" si="2"/>
        <v xml:space="preserve"> </v>
      </c>
    </row>
    <row r="69" spans="5:6" x14ac:dyDescent="0.25">
      <c r="E69" s="4" t="str">
        <f>IFERROR(VLOOKUP(D69,listas!$A$2:$B$8,2,0),"")</f>
        <v/>
      </c>
      <c r="F69" s="5" t="str">
        <f t="shared" si="2"/>
        <v xml:space="preserve"> </v>
      </c>
    </row>
    <row r="70" spans="5:6" x14ac:dyDescent="0.25">
      <c r="E70" s="4" t="str">
        <f>IFERROR(VLOOKUP(D70,listas!$A$2:$B$8,2,0),"")</f>
        <v/>
      </c>
      <c r="F70" s="5" t="str">
        <f t="shared" si="2"/>
        <v xml:space="preserve"> </v>
      </c>
    </row>
    <row r="71" spans="5:6" x14ac:dyDescent="0.25">
      <c r="E71" s="4" t="str">
        <f>IFERROR(VLOOKUP(D71,listas!$A$2:$B$8,2,0),"")</f>
        <v/>
      </c>
      <c r="F71" s="5" t="str">
        <f t="shared" si="2"/>
        <v xml:space="preserve"> </v>
      </c>
    </row>
    <row r="72" spans="5:6" x14ac:dyDescent="0.25">
      <c r="E72" s="4" t="str">
        <f>IFERROR(VLOOKUP(D72,listas!$A$2:$B$8,2,0),"")</f>
        <v/>
      </c>
      <c r="F72" s="5" t="str">
        <f t="shared" si="2"/>
        <v xml:space="preserve"> </v>
      </c>
    </row>
    <row r="73" spans="5:6" x14ac:dyDescent="0.25">
      <c r="E73" s="4" t="str">
        <f>IFERROR(VLOOKUP(D73,listas!$A$2:$B$8,2,0),"")</f>
        <v/>
      </c>
    </row>
    <row r="74" spans="5:6" x14ac:dyDescent="0.25">
      <c r="E74" s="4" t="str">
        <f>IFERROR(VLOOKUP(D74,listas!$A$2:$B$8,2,0),"")</f>
        <v/>
      </c>
    </row>
    <row r="75" spans="5:6" x14ac:dyDescent="0.25">
      <c r="E75" s="4" t="str">
        <f>IFERROR(VLOOKUP(D75,listas!$A$2:$B$8,2,0),"")</f>
        <v/>
      </c>
    </row>
    <row r="76" spans="5:6" x14ac:dyDescent="0.25">
      <c r="E76" s="4" t="str">
        <f>IFERROR(VLOOKUP(D76,listas!$A$2:$B$8,2,0),"")</f>
        <v/>
      </c>
    </row>
    <row r="77" spans="5:6" x14ac:dyDescent="0.25">
      <c r="E77" s="4" t="str">
        <f>IFERROR(VLOOKUP(D77,listas!$A$2:$B$8,2,0),"")</f>
        <v/>
      </c>
    </row>
  </sheetData>
  <phoneticPr fontId="2" type="noConversion"/>
  <dataValidations count="1">
    <dataValidation type="list" allowBlank="1" showInputMessage="1" showErrorMessage="1" sqref="D2:D42" xr:uid="{4E78058F-6DE9-4785-B4B6-576D9F0A6DEF}">
      <formula1>TIPO_OBJETO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EA99-A061-4937-BA82-2B3637E717DF}">
  <dimension ref="A1:U5"/>
  <sheetViews>
    <sheetView topLeftCell="F1" workbookViewId="0">
      <selection activeCell="O11" sqref="O11"/>
    </sheetView>
  </sheetViews>
  <sheetFormatPr baseColWidth="10" defaultRowHeight="15" x14ac:dyDescent="0.25"/>
  <cols>
    <col min="1" max="1" width="12.5703125" bestFit="1" customWidth="1"/>
  </cols>
  <sheetData>
    <row r="1" spans="1:21" x14ac:dyDescent="0.25">
      <c r="A1">
        <v>6863</v>
      </c>
      <c r="B1">
        <v>8268</v>
      </c>
      <c r="C1">
        <v>8463</v>
      </c>
      <c r="D1">
        <v>12642</v>
      </c>
      <c r="E1">
        <v>6651</v>
      </c>
      <c r="F1">
        <v>5115</v>
      </c>
      <c r="H1">
        <v>48002</v>
      </c>
      <c r="I1">
        <v>11646</v>
      </c>
      <c r="J1">
        <v>11825</v>
      </c>
      <c r="K1">
        <v>46898</v>
      </c>
      <c r="L1">
        <v>33959</v>
      </c>
      <c r="N1">
        <v>11156</v>
      </c>
      <c r="O1">
        <v>11156</v>
      </c>
      <c r="P1">
        <v>1154</v>
      </c>
      <c r="Q1">
        <v>135</v>
      </c>
      <c r="R1">
        <v>4963</v>
      </c>
      <c r="S1">
        <v>862</v>
      </c>
      <c r="T1" s="8"/>
      <c r="U1">
        <v>33</v>
      </c>
    </row>
    <row r="2" spans="1:21" x14ac:dyDescent="0.25">
      <c r="A2">
        <v>1704</v>
      </c>
      <c r="B2">
        <v>1955</v>
      </c>
      <c r="C2">
        <v>1924</v>
      </c>
      <c r="D2">
        <v>2907</v>
      </c>
      <c r="E2">
        <v>1512</v>
      </c>
      <c r="F2">
        <v>1154</v>
      </c>
      <c r="H2">
        <v>11156</v>
      </c>
      <c r="I2">
        <v>2666</v>
      </c>
      <c r="J2">
        <v>2666</v>
      </c>
      <c r="K2">
        <v>11156</v>
      </c>
      <c r="L2">
        <v>7497</v>
      </c>
      <c r="N2">
        <v>135</v>
      </c>
      <c r="O2">
        <v>397</v>
      </c>
      <c r="P2">
        <v>16</v>
      </c>
      <c r="Q2">
        <v>397</v>
      </c>
      <c r="R2">
        <v>5119</v>
      </c>
      <c r="S2">
        <v>1541</v>
      </c>
      <c r="T2" s="8"/>
      <c r="U2">
        <v>2666</v>
      </c>
    </row>
    <row r="3" spans="1:21" x14ac:dyDescent="0.25">
      <c r="A3" s="6">
        <f>+A1/A2</f>
        <v>4.027582159624413</v>
      </c>
      <c r="B3" s="6">
        <f>+B1/B2</f>
        <v>4.2291560102301791</v>
      </c>
      <c r="C3" s="6">
        <f t="shared" ref="C3:F3" si="0">+C1/C2</f>
        <v>4.3986486486486482</v>
      </c>
      <c r="D3" s="6">
        <f t="shared" si="0"/>
        <v>4.3488132094943239</v>
      </c>
      <c r="E3" s="6">
        <f t="shared" si="0"/>
        <v>4.3988095238095237</v>
      </c>
      <c r="F3" s="6">
        <f t="shared" si="0"/>
        <v>4.4324090121317159</v>
      </c>
      <c r="H3" s="6">
        <f>+H1/H2</f>
        <v>4.3027967013266402</v>
      </c>
      <c r="I3" s="6">
        <f>+I1/I2</f>
        <v>4.3683420855213804</v>
      </c>
      <c r="J3" s="6">
        <f>+J1/J2</f>
        <v>4.435483870967742</v>
      </c>
      <c r="K3" s="6">
        <f>+K1/K2</f>
        <v>4.2038365005378271</v>
      </c>
      <c r="L3" s="6">
        <f>+L1/L2</f>
        <v>4.5296785380818996</v>
      </c>
      <c r="N3" s="7">
        <f>+N2/N1</f>
        <v>1.2101111509501614E-2</v>
      </c>
      <c r="O3" s="7">
        <f>+O2/O1</f>
        <v>3.5586231624238081E-2</v>
      </c>
      <c r="P3" s="7">
        <f>+P2/P1</f>
        <v>1.3864818024263431E-2</v>
      </c>
      <c r="Q3">
        <f>+Q2+Q1</f>
        <v>532</v>
      </c>
      <c r="R3">
        <f>+R2+R1</f>
        <v>10082</v>
      </c>
      <c r="S3">
        <f>+S2+S1</f>
        <v>2403</v>
      </c>
    </row>
    <row r="4" spans="1:21" x14ac:dyDescent="0.25">
      <c r="Q4">
        <v>11156</v>
      </c>
      <c r="R4">
        <v>11156</v>
      </c>
      <c r="S4">
        <v>2666</v>
      </c>
    </row>
    <row r="5" spans="1:21" x14ac:dyDescent="0.25">
      <c r="Q5" s="7">
        <f>+Q3/Q4</f>
        <v>4.7687343133739693E-2</v>
      </c>
      <c r="R5" s="7">
        <f>+R3/R4</f>
        <v>0.90372893510218721</v>
      </c>
      <c r="S5" s="7">
        <f>+S3/S4</f>
        <v>0.90135033758439609</v>
      </c>
      <c r="U5" s="7">
        <f>+U1/U2</f>
        <v>1.2378094523630907E-2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13" sqref="B13"/>
    </sheetView>
  </sheetViews>
  <sheetFormatPr baseColWidth="10" defaultRowHeight="15" x14ac:dyDescent="0.25"/>
  <cols>
    <col min="2" max="2" width="41.42578125" customWidth="1"/>
  </cols>
  <sheetData>
    <row r="1" spans="1:3" x14ac:dyDescent="0.25">
      <c r="B1" t="s">
        <v>9</v>
      </c>
    </row>
    <row r="2" spans="1:3" x14ac:dyDescent="0.25">
      <c r="A2" t="s">
        <v>21</v>
      </c>
      <c r="B2" t="s">
        <v>16</v>
      </c>
      <c r="C2" t="s">
        <v>26</v>
      </c>
    </row>
    <row r="3" spans="1:3" x14ac:dyDescent="0.25">
      <c r="A3" t="s">
        <v>22</v>
      </c>
      <c r="B3" t="s">
        <v>17</v>
      </c>
      <c r="C3" t="s">
        <v>26</v>
      </c>
    </row>
    <row r="4" spans="1:3" x14ac:dyDescent="0.25">
      <c r="A4" t="s">
        <v>23</v>
      </c>
      <c r="B4" t="s">
        <v>18</v>
      </c>
      <c r="C4" t="s">
        <v>26</v>
      </c>
    </row>
    <row r="5" spans="1:3" x14ac:dyDescent="0.25">
      <c r="A5" t="s">
        <v>24</v>
      </c>
      <c r="B5" t="s">
        <v>19</v>
      </c>
      <c r="C5" t="s">
        <v>26</v>
      </c>
    </row>
    <row r="6" spans="1:3" x14ac:dyDescent="0.25">
      <c r="A6" t="s">
        <v>25</v>
      </c>
      <c r="B6" t="s">
        <v>20</v>
      </c>
      <c r="C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18EA-3F07-4D83-8AAC-62F6B6937B60}">
  <dimension ref="A1:B8"/>
  <sheetViews>
    <sheetView workbookViewId="0">
      <selection activeCell="B9" sqref="B9"/>
    </sheetView>
  </sheetViews>
  <sheetFormatPr baseColWidth="10" defaultRowHeight="15" x14ac:dyDescent="0.25"/>
  <cols>
    <col min="1" max="1" width="36.140625" customWidth="1"/>
    <col min="2" max="2" width="23.85546875" customWidth="1"/>
  </cols>
  <sheetData>
    <row r="1" spans="1:2" x14ac:dyDescent="0.25">
      <c r="A1" s="1" t="s">
        <v>2</v>
      </c>
      <c r="B1" s="1" t="s">
        <v>27</v>
      </c>
    </row>
    <row r="2" spans="1:2" x14ac:dyDescent="0.25">
      <c r="A2" t="s">
        <v>7</v>
      </c>
      <c r="B2" t="s">
        <v>10</v>
      </c>
    </row>
    <row r="3" spans="1:2" x14ac:dyDescent="0.25">
      <c r="A3" t="s">
        <v>8</v>
      </c>
      <c r="B3" t="s">
        <v>11</v>
      </c>
    </row>
    <row r="4" spans="1:2" x14ac:dyDescent="0.25">
      <c r="A4" t="s">
        <v>4</v>
      </c>
      <c r="B4" t="s">
        <v>13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14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Objetos</vt:lpstr>
      <vt:lpstr>Hoja2</vt:lpstr>
      <vt:lpstr>Orden Paquetes</vt:lpstr>
      <vt:lpstr>listas</vt:lpstr>
      <vt:lpstr>TIPO_OBJETO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2026-05-20T20:53:23Z</dcterms:modified>
</cp:coreProperties>
</file>