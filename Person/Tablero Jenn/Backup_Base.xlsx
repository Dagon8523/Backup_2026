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blero Jenn\"/>
    </mc:Choice>
  </mc:AlternateContent>
  <xr:revisionPtr revIDLastSave="0" documentId="13_ncr:1_{F88308B7-F661-4D20-93AD-0A8374F3989B}" xr6:coauthVersionLast="47" xr6:coauthVersionMax="47" xr10:uidLastSave="{00000000-0000-0000-0000-000000000000}"/>
  <bookViews>
    <workbookView xWindow="-120" yWindow="-120" windowWidth="20730" windowHeight="11040" tabRatio="810" firstSheet="1" activeTab="6" xr2:uid="{C5FF1FDB-8E97-4C82-96F5-2DA8294513FD}"/>
  </bookViews>
  <sheets>
    <sheet name="Alta complejidad" sheetId="1" r:id="rId1"/>
    <sheet name="Mediana complejidad" sheetId="2" r:id="rId2"/>
    <sheet name="Baja complejidad" sheetId="3" r:id="rId3"/>
    <sheet name="insumos alta  " sheetId="4" r:id="rId4"/>
    <sheet name="insumos baja" sheetId="5" r:id="rId5"/>
    <sheet name="insumos media" sheetId="6" r:id="rId6"/>
    <sheet name="consollidado insumos alta" sheetId="7" r:id="rId7"/>
  </sheets>
  <definedNames>
    <definedName name="_xlnm._FilterDatabase" localSheetId="0" hidden="1">'Alta complejidad'!$A$1:$AB$148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16" i="7" l="1"/>
  <c r="V316" i="7" s="1"/>
  <c r="T315" i="7"/>
  <c r="V315" i="7" s="1"/>
  <c r="T314" i="7"/>
  <c r="V314" i="7" s="1"/>
  <c r="T313" i="7"/>
  <c r="V313" i="7" s="1"/>
  <c r="T312" i="7"/>
  <c r="V312" i="7" s="1"/>
  <c r="T311" i="7"/>
  <c r="V311" i="7" s="1"/>
  <c r="T310" i="7"/>
  <c r="V310" i="7" s="1"/>
  <c r="T309" i="7"/>
  <c r="V309" i="7" s="1"/>
  <c r="T308" i="7"/>
  <c r="V308" i="7" s="1"/>
  <c r="T307" i="7"/>
  <c r="V307" i="7" s="1"/>
  <c r="T306" i="7"/>
  <c r="V306" i="7" s="1"/>
  <c r="T305" i="7"/>
  <c r="V305" i="7" s="1"/>
  <c r="T304" i="7"/>
  <c r="V304" i="7" s="1"/>
  <c r="T303" i="7"/>
  <c r="V303" i="7" s="1"/>
  <c r="T302" i="7"/>
  <c r="V302" i="7" s="1"/>
  <c r="T301" i="7"/>
  <c r="V301" i="7" s="1"/>
  <c r="T300" i="7"/>
  <c r="V300" i="7" s="1"/>
  <c r="T299" i="7"/>
  <c r="V299" i="7" s="1"/>
  <c r="T298" i="7"/>
  <c r="V298" i="7" s="1"/>
  <c r="T297" i="7"/>
  <c r="V297" i="7" s="1"/>
  <c r="T296" i="7"/>
  <c r="V296" i="7" s="1"/>
  <c r="T295" i="7"/>
  <c r="V295" i="7" s="1"/>
  <c r="T294" i="7"/>
  <c r="V294" i="7" s="1"/>
  <c r="T293" i="7"/>
  <c r="V293" i="7" s="1"/>
  <c r="T292" i="7"/>
  <c r="V292" i="7" s="1"/>
  <c r="T291" i="7"/>
  <c r="V291" i="7" s="1"/>
  <c r="T290" i="7"/>
  <c r="V290" i="7" s="1"/>
  <c r="T289" i="7"/>
  <c r="V289" i="7" s="1"/>
  <c r="T288" i="7"/>
  <c r="V288" i="7" s="1"/>
  <c r="T287" i="7"/>
  <c r="V287" i="7" s="1"/>
  <c r="T286" i="7"/>
  <c r="V286" i="7" s="1"/>
  <c r="T285" i="7"/>
  <c r="V285" i="7" s="1"/>
  <c r="T284" i="7"/>
  <c r="V284" i="7" s="1"/>
  <c r="T283" i="7"/>
  <c r="V283" i="7" s="1"/>
  <c r="T282" i="7"/>
  <c r="V282" i="7" s="1"/>
  <c r="T281" i="7"/>
  <c r="V281" i="7" s="1"/>
  <c r="T280" i="7"/>
  <c r="V280" i="7" s="1"/>
  <c r="T279" i="7"/>
  <c r="V279" i="7" s="1"/>
  <c r="T278" i="7"/>
  <c r="V278" i="7" s="1"/>
  <c r="T277" i="7"/>
  <c r="V277" i="7" s="1"/>
  <c r="T276" i="7"/>
  <c r="V276" i="7" s="1"/>
  <c r="T275" i="7"/>
  <c r="V275" i="7" s="1"/>
  <c r="T274" i="7"/>
  <c r="V274" i="7" s="1"/>
  <c r="T273" i="7"/>
  <c r="V273" i="7" s="1"/>
  <c r="T272" i="7"/>
  <c r="V272" i="7" s="1"/>
  <c r="T271" i="7"/>
  <c r="V271" i="7" s="1"/>
  <c r="T270" i="7"/>
  <c r="V270" i="7" s="1"/>
  <c r="T269" i="7"/>
  <c r="V269" i="7" s="1"/>
  <c r="T268" i="7"/>
  <c r="V268" i="7" s="1"/>
  <c r="T267" i="7"/>
  <c r="V267" i="7" s="1"/>
  <c r="T266" i="7"/>
  <c r="V266" i="7" s="1"/>
  <c r="T265" i="7"/>
  <c r="V265" i="7" s="1"/>
  <c r="T264" i="7"/>
  <c r="V264" i="7" s="1"/>
  <c r="T263" i="7"/>
  <c r="V263" i="7" s="1"/>
  <c r="T262" i="7"/>
  <c r="V262" i="7" s="1"/>
  <c r="T261" i="7"/>
  <c r="V261" i="7" s="1"/>
  <c r="T260" i="7"/>
  <c r="V260" i="7" s="1"/>
  <c r="T259" i="7"/>
  <c r="V259" i="7" s="1"/>
  <c r="T258" i="7"/>
  <c r="V258" i="7" s="1"/>
  <c r="T257" i="7"/>
  <c r="V257" i="7" s="1"/>
  <c r="T256" i="7"/>
  <c r="V256" i="7" s="1"/>
  <c r="T255" i="7"/>
  <c r="V255" i="7" s="1"/>
  <c r="T254" i="7"/>
  <c r="V254" i="7" s="1"/>
  <c r="T253" i="7"/>
  <c r="V253" i="7" s="1"/>
  <c r="T252" i="7"/>
  <c r="V252" i="7" s="1"/>
  <c r="T251" i="7"/>
  <c r="V251" i="7" s="1"/>
  <c r="T250" i="7"/>
  <c r="V250" i="7" s="1"/>
  <c r="T249" i="7"/>
  <c r="V249" i="7" s="1"/>
  <c r="T248" i="7"/>
  <c r="V248" i="7" s="1"/>
  <c r="T247" i="7"/>
  <c r="V247" i="7" s="1"/>
  <c r="T246" i="7"/>
  <c r="V246" i="7" s="1"/>
  <c r="T245" i="7"/>
  <c r="V245" i="7" s="1"/>
  <c r="T244" i="7"/>
  <c r="V244" i="7" s="1"/>
  <c r="T243" i="7"/>
  <c r="V243" i="7" s="1"/>
  <c r="T242" i="7"/>
  <c r="V242" i="7" s="1"/>
  <c r="T241" i="7"/>
  <c r="V241" i="7" s="1"/>
  <c r="T240" i="7"/>
  <c r="V240" i="7" s="1"/>
  <c r="T239" i="7"/>
  <c r="V239" i="7" s="1"/>
  <c r="T238" i="7"/>
  <c r="V238" i="7" s="1"/>
  <c r="T237" i="7"/>
  <c r="V237" i="7" s="1"/>
  <c r="T236" i="7"/>
  <c r="V236" i="7" s="1"/>
  <c r="T235" i="7"/>
  <c r="V235" i="7" s="1"/>
  <c r="T234" i="7"/>
  <c r="V234" i="7" s="1"/>
  <c r="T233" i="7"/>
  <c r="V233" i="7" s="1"/>
  <c r="T232" i="7"/>
  <c r="V232" i="7" s="1"/>
  <c r="T231" i="7"/>
  <c r="V231" i="7" s="1"/>
  <c r="T230" i="7"/>
  <c r="V230" i="7" s="1"/>
  <c r="T229" i="7"/>
  <c r="V229" i="7" s="1"/>
  <c r="T228" i="7"/>
  <c r="V228" i="7" s="1"/>
  <c r="T227" i="7"/>
  <c r="V227" i="7" s="1"/>
  <c r="T226" i="7"/>
  <c r="V226" i="7" s="1"/>
  <c r="T225" i="7"/>
  <c r="V225" i="7" s="1"/>
  <c r="T224" i="7"/>
  <c r="V224" i="7" s="1"/>
  <c r="T223" i="7"/>
  <c r="V223" i="7" s="1"/>
  <c r="T222" i="7"/>
  <c r="V222" i="7" s="1"/>
  <c r="T221" i="7"/>
  <c r="V221" i="7" s="1"/>
  <c r="T220" i="7"/>
  <c r="V220" i="7" s="1"/>
  <c r="T219" i="7"/>
  <c r="V219" i="7" s="1"/>
  <c r="T218" i="7"/>
  <c r="V218" i="7" s="1"/>
  <c r="T217" i="7"/>
  <c r="V217" i="7" s="1"/>
  <c r="T216" i="7"/>
  <c r="V216" i="7" s="1"/>
  <c r="T215" i="7"/>
  <c r="V215" i="7" s="1"/>
  <c r="T214" i="7"/>
  <c r="V214" i="7" s="1"/>
  <c r="T213" i="7"/>
  <c r="V213" i="7" s="1"/>
  <c r="T212" i="7"/>
  <c r="V212" i="7" s="1"/>
  <c r="Z211" i="7"/>
  <c r="AA211" i="7" s="1"/>
  <c r="X211" i="7"/>
  <c r="X210" i="7"/>
  <c r="Z210" i="7" s="1"/>
  <c r="AA210" i="7" s="1"/>
  <c r="AA209" i="7"/>
  <c r="Z209" i="7"/>
  <c r="X209" i="7"/>
  <c r="X208" i="7"/>
  <c r="Z208" i="7" s="1"/>
  <c r="AA208" i="7" s="1"/>
  <c r="X207" i="7"/>
  <c r="Z207" i="7" s="1"/>
  <c r="AA207" i="7" s="1"/>
  <c r="X206" i="7"/>
  <c r="Z206" i="7" s="1"/>
  <c r="AA206" i="7" s="1"/>
  <c r="Z205" i="7"/>
  <c r="AA205" i="7" s="1"/>
  <c r="X205" i="7"/>
  <c r="Z204" i="7"/>
  <c r="AA204" i="7" s="1"/>
  <c r="X204" i="7"/>
  <c r="X203" i="7"/>
  <c r="Z203" i="7" s="1"/>
  <c r="AA203" i="7" s="1"/>
  <c r="AA202" i="7"/>
  <c r="Z202" i="7"/>
  <c r="X202" i="7"/>
  <c r="Z201" i="7"/>
  <c r="AA201" i="7" s="1"/>
  <c r="X201" i="7"/>
  <c r="X200" i="7"/>
  <c r="Z200" i="7" s="1"/>
  <c r="AA200" i="7" s="1"/>
  <c r="X199" i="7"/>
  <c r="Z199" i="7" s="1"/>
  <c r="AA199" i="7" s="1"/>
  <c r="AA198" i="7"/>
  <c r="Z198" i="7"/>
  <c r="X198" i="7"/>
  <c r="Z197" i="7"/>
  <c r="AA197" i="7" s="1"/>
  <c r="X197" i="7"/>
  <c r="X196" i="7"/>
  <c r="Z196" i="7" s="1"/>
  <c r="AA196" i="7" s="1"/>
  <c r="Z195" i="7"/>
  <c r="AA195" i="7" s="1"/>
  <c r="X195" i="7"/>
  <c r="X194" i="7"/>
  <c r="Z194" i="7" s="1"/>
  <c r="AA194" i="7" s="1"/>
  <c r="AA193" i="7"/>
  <c r="Z193" i="7"/>
  <c r="X193" i="7"/>
  <c r="X192" i="7"/>
  <c r="Z192" i="7" s="1"/>
  <c r="AA192" i="7" s="1"/>
  <c r="X191" i="7"/>
  <c r="Z191" i="7" s="1"/>
  <c r="AA191" i="7" s="1"/>
  <c r="X190" i="7"/>
  <c r="Z190" i="7" s="1"/>
  <c r="AA190" i="7" s="1"/>
  <c r="Z189" i="7"/>
  <c r="AA189" i="7" s="1"/>
  <c r="X189" i="7"/>
  <c r="Z188" i="7"/>
  <c r="AA188" i="7" s="1"/>
  <c r="X188" i="7"/>
  <c r="X187" i="7"/>
  <c r="Z187" i="7" s="1"/>
  <c r="AA187" i="7" s="1"/>
  <c r="AA186" i="7"/>
  <c r="Z186" i="7"/>
  <c r="X186" i="7"/>
  <c r="Z185" i="7"/>
  <c r="AA185" i="7" s="1"/>
  <c r="X185" i="7"/>
  <c r="X184" i="7"/>
  <c r="Z184" i="7" s="1"/>
  <c r="AA184" i="7" s="1"/>
  <c r="X183" i="7"/>
  <c r="Z183" i="7" s="1"/>
  <c r="AA183" i="7" s="1"/>
  <c r="AA182" i="7"/>
  <c r="Z182" i="7"/>
  <c r="X182" i="7"/>
  <c r="Z181" i="7"/>
  <c r="AA181" i="7" s="1"/>
  <c r="X181" i="7"/>
  <c r="X180" i="7"/>
  <c r="Z180" i="7" s="1"/>
  <c r="AA180" i="7" s="1"/>
  <c r="Z179" i="7"/>
  <c r="AA179" i="7" s="1"/>
  <c r="X179" i="7"/>
  <c r="X178" i="7"/>
  <c r="Z178" i="7" s="1"/>
  <c r="AA178" i="7" s="1"/>
  <c r="AA177" i="7"/>
  <c r="Z177" i="7"/>
  <c r="X177" i="7"/>
  <c r="X176" i="7"/>
  <c r="Z176" i="7" s="1"/>
  <c r="AA176" i="7" s="1"/>
  <c r="X175" i="7"/>
  <c r="Z175" i="7" s="1"/>
  <c r="AA175" i="7" s="1"/>
  <c r="X174" i="7"/>
  <c r="Z174" i="7" s="1"/>
  <c r="AA174" i="7" s="1"/>
  <c r="Z173" i="7"/>
  <c r="AA173" i="7" s="1"/>
  <c r="X173" i="7"/>
  <c r="Z172" i="7"/>
  <c r="AA172" i="7" s="1"/>
  <c r="X172" i="7"/>
  <c r="X171" i="7"/>
  <c r="Z171" i="7" s="1"/>
  <c r="AA171" i="7" s="1"/>
  <c r="AA170" i="7"/>
  <c r="Z170" i="7"/>
  <c r="X170" i="7"/>
  <c r="Z169" i="7"/>
  <c r="AA169" i="7" s="1"/>
  <c r="X169" i="7"/>
  <c r="X168" i="7"/>
  <c r="Z168" i="7" s="1"/>
  <c r="AA168" i="7" s="1"/>
  <c r="X167" i="7"/>
  <c r="Z167" i="7" s="1"/>
  <c r="AA167" i="7" s="1"/>
  <c r="AA166" i="7"/>
  <c r="Z166" i="7"/>
  <c r="X166" i="7"/>
  <c r="Z165" i="7"/>
  <c r="AA165" i="7" s="1"/>
  <c r="X165" i="7"/>
  <c r="X164" i="7"/>
  <c r="Z164" i="7" s="1"/>
  <c r="AA164" i="7" s="1"/>
  <c r="Z163" i="7"/>
  <c r="AA163" i="7" s="1"/>
  <c r="X163" i="7"/>
  <c r="X162" i="7"/>
  <c r="Z162" i="7" s="1"/>
  <c r="AA162" i="7" s="1"/>
  <c r="AA161" i="7"/>
  <c r="Z161" i="7"/>
  <c r="X161" i="7"/>
  <c r="X160" i="7"/>
  <c r="Z160" i="7" s="1"/>
  <c r="AA160" i="7" s="1"/>
  <c r="X159" i="7"/>
  <c r="Z159" i="7" s="1"/>
  <c r="AA159" i="7" s="1"/>
  <c r="X158" i="7"/>
  <c r="Z158" i="7" s="1"/>
  <c r="AA158" i="7" s="1"/>
  <c r="Z157" i="7"/>
  <c r="AA157" i="7" s="1"/>
  <c r="X157" i="7"/>
  <c r="Z156" i="7"/>
  <c r="AA156" i="7" s="1"/>
  <c r="X156" i="7"/>
  <c r="X155" i="7"/>
  <c r="Z155" i="7" s="1"/>
  <c r="AA155" i="7" s="1"/>
  <c r="AA154" i="7"/>
  <c r="Z154" i="7"/>
  <c r="X154" i="7"/>
  <c r="Z153" i="7"/>
  <c r="AA153" i="7" s="1"/>
  <c r="X153" i="7"/>
  <c r="X152" i="7"/>
  <c r="Z152" i="7" s="1"/>
  <c r="AA152" i="7" s="1"/>
  <c r="X151" i="7"/>
  <c r="Z151" i="7" s="1"/>
  <c r="AA151" i="7" s="1"/>
  <c r="AA150" i="7"/>
  <c r="Z150" i="7"/>
  <c r="X150" i="7"/>
  <c r="Z149" i="7"/>
  <c r="AA149" i="7" s="1"/>
  <c r="X149" i="7"/>
  <c r="X148" i="7"/>
  <c r="Z148" i="7" s="1"/>
  <c r="AA148" i="7" s="1"/>
  <c r="Z147" i="7"/>
  <c r="AA147" i="7" s="1"/>
  <c r="X147" i="7"/>
  <c r="X146" i="7"/>
  <c r="Z146" i="7" s="1"/>
  <c r="AA146" i="7" s="1"/>
  <c r="AA145" i="7"/>
  <c r="Z145" i="7"/>
  <c r="X145" i="7"/>
  <c r="X144" i="7"/>
  <c r="Z144" i="7" s="1"/>
  <c r="AA144" i="7" s="1"/>
  <c r="X143" i="7"/>
  <c r="Z143" i="7" s="1"/>
  <c r="AA143" i="7" s="1"/>
  <c r="X142" i="7"/>
  <c r="Z142" i="7" s="1"/>
  <c r="AA142" i="7" s="1"/>
  <c r="Z141" i="7"/>
  <c r="AA141" i="7" s="1"/>
  <c r="X141" i="7"/>
  <c r="Z140" i="7"/>
  <c r="AA140" i="7" s="1"/>
  <c r="X140" i="7"/>
  <c r="X139" i="7"/>
  <c r="Z139" i="7" s="1"/>
  <c r="AA139" i="7" s="1"/>
  <c r="AA138" i="7"/>
  <c r="Z138" i="7"/>
  <c r="X138" i="7"/>
  <c r="Z137" i="7"/>
  <c r="AA137" i="7" s="1"/>
  <c r="X137" i="7"/>
  <c r="X136" i="7"/>
  <c r="Z136" i="7" s="1"/>
  <c r="AA136" i="7" s="1"/>
  <c r="X135" i="7"/>
  <c r="Z135" i="7" s="1"/>
  <c r="AA135" i="7" s="1"/>
  <c r="AA134" i="7"/>
  <c r="Z134" i="7"/>
  <c r="X134" i="7"/>
  <c r="Z133" i="7"/>
  <c r="AA133" i="7" s="1"/>
  <c r="X133" i="7"/>
  <c r="X132" i="7"/>
  <c r="Z132" i="7" s="1"/>
  <c r="AA132" i="7" s="1"/>
  <c r="Z131" i="7"/>
  <c r="AA131" i="7" s="1"/>
  <c r="X131" i="7"/>
  <c r="X130" i="7"/>
  <c r="Z130" i="7" s="1"/>
  <c r="AA130" i="7" s="1"/>
  <c r="AA129" i="7"/>
  <c r="Z129" i="7"/>
  <c r="X129" i="7"/>
  <c r="X128" i="7"/>
  <c r="Z128" i="7" s="1"/>
  <c r="AA128" i="7" s="1"/>
  <c r="X127" i="7"/>
  <c r="Z127" i="7" s="1"/>
  <c r="AA127" i="7" s="1"/>
  <c r="X126" i="7"/>
  <c r="Z126" i="7" s="1"/>
  <c r="AA126" i="7" s="1"/>
  <c r="Z125" i="7"/>
  <c r="AA125" i="7" s="1"/>
  <c r="X125" i="7"/>
  <c r="Z124" i="7"/>
  <c r="AA124" i="7" s="1"/>
  <c r="X124" i="7"/>
  <c r="X123" i="7"/>
  <c r="Z123" i="7" s="1"/>
  <c r="AA123" i="7" s="1"/>
  <c r="AA122" i="7"/>
  <c r="Z122" i="7"/>
  <c r="X122" i="7"/>
  <c r="Z121" i="7"/>
  <c r="AA121" i="7" s="1"/>
  <c r="X121" i="7"/>
  <c r="X120" i="7"/>
  <c r="Z120" i="7" s="1"/>
  <c r="AA120" i="7" s="1"/>
  <c r="X119" i="7"/>
  <c r="Z119" i="7" s="1"/>
  <c r="AA119" i="7" s="1"/>
  <c r="AA118" i="7"/>
  <c r="Z118" i="7"/>
  <c r="X118" i="7"/>
  <c r="Z117" i="7"/>
  <c r="AA117" i="7" s="1"/>
  <c r="X117" i="7"/>
  <c r="X116" i="7"/>
  <c r="Z116" i="7" s="1"/>
  <c r="AA116" i="7" s="1"/>
  <c r="Z115" i="7"/>
  <c r="AA115" i="7" s="1"/>
  <c r="X115" i="7"/>
  <c r="X114" i="7"/>
  <c r="Z114" i="7" s="1"/>
  <c r="AA114" i="7" s="1"/>
  <c r="AA113" i="7"/>
  <c r="Z113" i="7"/>
  <c r="X113" i="7"/>
  <c r="X112" i="7"/>
  <c r="Z112" i="7" s="1"/>
  <c r="AA112" i="7" s="1"/>
  <c r="X111" i="7"/>
  <c r="Z111" i="7" s="1"/>
  <c r="AA111" i="7" s="1"/>
  <c r="X110" i="7"/>
  <c r="Z110" i="7" s="1"/>
  <c r="AA110" i="7" s="1"/>
  <c r="Z109" i="7"/>
  <c r="AA109" i="7" s="1"/>
  <c r="X109" i="7"/>
  <c r="Z108" i="7"/>
  <c r="AA108" i="7" s="1"/>
  <c r="X108" i="7"/>
  <c r="X107" i="7"/>
  <c r="Z107" i="7" s="1"/>
  <c r="AA107" i="7" s="1"/>
  <c r="X106" i="7"/>
  <c r="Z106" i="7" s="1"/>
  <c r="AA106" i="7" s="1"/>
  <c r="W106" i="7"/>
  <c r="V106" i="7"/>
  <c r="P106" i="7"/>
  <c r="R106" i="7" s="1"/>
  <c r="X105" i="7"/>
  <c r="Z105" i="7" s="1"/>
  <c r="AA105" i="7" s="1"/>
  <c r="V105" i="7"/>
  <c r="W105" i="7" s="1"/>
  <c r="R105" i="7"/>
  <c r="O105" i="7" s="1"/>
  <c r="P105" i="7"/>
  <c r="AA104" i="7"/>
  <c r="Z104" i="7"/>
  <c r="X104" i="7"/>
  <c r="V104" i="7"/>
  <c r="W104" i="7" s="1"/>
  <c r="P104" i="7"/>
  <c r="R104" i="7" s="1"/>
  <c r="X103" i="7"/>
  <c r="Z103" i="7" s="1"/>
  <c r="AA103" i="7" s="1"/>
  <c r="V103" i="7"/>
  <c r="W103" i="7" s="1"/>
  <c r="P103" i="7"/>
  <c r="R103" i="7" s="1"/>
  <c r="X102" i="7"/>
  <c r="Z102" i="7" s="1"/>
  <c r="AA102" i="7" s="1"/>
  <c r="W102" i="7"/>
  <c r="V102" i="7"/>
  <c r="P102" i="7"/>
  <c r="R102" i="7" s="1"/>
  <c r="X101" i="7"/>
  <c r="Z101" i="7" s="1"/>
  <c r="AA101" i="7" s="1"/>
  <c r="W101" i="7"/>
  <c r="V101" i="7"/>
  <c r="P101" i="7"/>
  <c r="R101" i="7" s="1"/>
  <c r="AA100" i="7"/>
  <c r="Z100" i="7"/>
  <c r="X100" i="7"/>
  <c r="W100" i="7"/>
  <c r="V100" i="7"/>
  <c r="P100" i="7"/>
  <c r="R100" i="7" s="1"/>
  <c r="AA99" i="7"/>
  <c r="Z99" i="7"/>
  <c r="X99" i="7"/>
  <c r="W99" i="7"/>
  <c r="V99" i="7"/>
  <c r="P99" i="7"/>
  <c r="R99" i="7" s="1"/>
  <c r="Z98" i="7"/>
  <c r="AA98" i="7" s="1"/>
  <c r="X98" i="7"/>
  <c r="W98" i="7"/>
  <c r="V98" i="7"/>
  <c r="P98" i="7"/>
  <c r="R98" i="7" s="1"/>
  <c r="Z97" i="7"/>
  <c r="AA97" i="7" s="1"/>
  <c r="X97" i="7"/>
  <c r="W97" i="7"/>
  <c r="V97" i="7"/>
  <c r="S97" i="7"/>
  <c r="R97" i="7"/>
  <c r="O97" i="7" s="1"/>
  <c r="P97" i="7"/>
  <c r="Z96" i="7"/>
  <c r="AA96" i="7" s="1"/>
  <c r="X96" i="7"/>
  <c r="V96" i="7"/>
  <c r="W96" i="7" s="1"/>
  <c r="S96" i="7"/>
  <c r="R96" i="7"/>
  <c r="P96" i="7"/>
  <c r="O96" i="7"/>
  <c r="AA95" i="7"/>
  <c r="Z95" i="7"/>
  <c r="X95" i="7"/>
  <c r="W95" i="7"/>
  <c r="V95" i="7"/>
  <c r="R95" i="7"/>
  <c r="S95" i="7" s="1"/>
  <c r="P95" i="7"/>
  <c r="O95" i="7"/>
  <c r="X94" i="7"/>
  <c r="Z94" i="7" s="1"/>
  <c r="AA94" i="7" s="1"/>
  <c r="W94" i="7"/>
  <c r="V94" i="7"/>
  <c r="P94" i="7"/>
  <c r="R94" i="7" s="1"/>
  <c r="Z93" i="7"/>
  <c r="AA93" i="7" s="1"/>
  <c r="X93" i="7"/>
  <c r="V93" i="7"/>
  <c r="W93" i="7" s="1"/>
  <c r="R93" i="7"/>
  <c r="S93" i="7" s="1"/>
  <c r="P93" i="7"/>
  <c r="Z92" i="7"/>
  <c r="AA92" i="7" s="1"/>
  <c r="X92" i="7"/>
  <c r="V92" i="7"/>
  <c r="W92" i="7" s="1"/>
  <c r="S92" i="7"/>
  <c r="R92" i="7"/>
  <c r="P92" i="7"/>
  <c r="O92" i="7"/>
  <c r="X91" i="7"/>
  <c r="Z91" i="7" s="1"/>
  <c r="AA91" i="7" s="1"/>
  <c r="V91" i="7"/>
  <c r="W91" i="7" s="1"/>
  <c r="P91" i="7"/>
  <c r="R91" i="7" s="1"/>
  <c r="X90" i="7"/>
  <c r="Z90" i="7" s="1"/>
  <c r="AA90" i="7" s="1"/>
  <c r="W90" i="7"/>
  <c r="V90" i="7"/>
  <c r="R90" i="7"/>
  <c r="S90" i="7" s="1"/>
  <c r="P90" i="7"/>
  <c r="X89" i="7"/>
  <c r="Z89" i="7" s="1"/>
  <c r="AA89" i="7" s="1"/>
  <c r="V89" i="7"/>
  <c r="W89" i="7" s="1"/>
  <c r="R89" i="7"/>
  <c r="O89" i="7" s="1"/>
  <c r="P89" i="7"/>
  <c r="Z88" i="7"/>
  <c r="AA88" i="7" s="1"/>
  <c r="X88" i="7"/>
  <c r="V88" i="7"/>
  <c r="W88" i="7" s="1"/>
  <c r="P88" i="7"/>
  <c r="R88" i="7" s="1"/>
  <c r="X87" i="7"/>
  <c r="Z87" i="7" s="1"/>
  <c r="AA87" i="7" s="1"/>
  <c r="V87" i="7"/>
  <c r="W87" i="7" s="1"/>
  <c r="P87" i="7"/>
  <c r="R87" i="7" s="1"/>
  <c r="X86" i="7"/>
  <c r="Z86" i="7" s="1"/>
  <c r="AA86" i="7" s="1"/>
  <c r="W86" i="7"/>
  <c r="V86" i="7"/>
  <c r="P86" i="7"/>
  <c r="R86" i="7" s="1"/>
  <c r="X85" i="7"/>
  <c r="Z85" i="7" s="1"/>
  <c r="AA85" i="7" s="1"/>
  <c r="W85" i="7"/>
  <c r="V85" i="7"/>
  <c r="R85" i="7"/>
  <c r="S85" i="7" s="1"/>
  <c r="P85" i="7"/>
  <c r="AA84" i="7"/>
  <c r="Z84" i="7"/>
  <c r="X84" i="7"/>
  <c r="W84" i="7"/>
  <c r="V84" i="7"/>
  <c r="P84" i="7"/>
  <c r="R84" i="7" s="1"/>
  <c r="AA83" i="7"/>
  <c r="Z83" i="7"/>
  <c r="X83" i="7"/>
  <c r="V83" i="7"/>
  <c r="W83" i="7" s="1"/>
  <c r="P83" i="7"/>
  <c r="R83" i="7" s="1"/>
  <c r="Z82" i="7"/>
  <c r="AA82" i="7" s="1"/>
  <c r="X82" i="7"/>
  <c r="W82" i="7"/>
  <c r="V82" i="7"/>
  <c r="P82" i="7"/>
  <c r="R82" i="7" s="1"/>
  <c r="X81" i="7"/>
  <c r="Z81" i="7" s="1"/>
  <c r="AA81" i="7" s="1"/>
  <c r="W81" i="7"/>
  <c r="V81" i="7"/>
  <c r="S81" i="7"/>
  <c r="R81" i="7"/>
  <c r="O81" i="7" s="1"/>
  <c r="P81" i="7"/>
  <c r="Z80" i="7"/>
  <c r="AA80" i="7" s="1"/>
  <c r="X80" i="7"/>
  <c r="V80" i="7"/>
  <c r="W80" i="7" s="1"/>
  <c r="S80" i="7"/>
  <c r="R80" i="7"/>
  <c r="P80" i="7"/>
  <c r="O80" i="7"/>
  <c r="AA79" i="7"/>
  <c r="Z79" i="7"/>
  <c r="X79" i="7"/>
  <c r="W79" i="7"/>
  <c r="V79" i="7"/>
  <c r="P79" i="7"/>
  <c r="R79" i="7" s="1"/>
  <c r="X78" i="7"/>
  <c r="Z78" i="7" s="1"/>
  <c r="AA78" i="7" s="1"/>
  <c r="W78" i="7"/>
  <c r="V78" i="7"/>
  <c r="P78" i="7"/>
  <c r="R78" i="7" s="1"/>
  <c r="Z77" i="7"/>
  <c r="AA77" i="7" s="1"/>
  <c r="X77" i="7"/>
  <c r="V77" i="7"/>
  <c r="W77" i="7" s="1"/>
  <c r="R77" i="7"/>
  <c r="S77" i="7" s="1"/>
  <c r="P77" i="7"/>
  <c r="Z76" i="7"/>
  <c r="AA76" i="7" s="1"/>
  <c r="X76" i="7"/>
  <c r="V76" i="7"/>
  <c r="W76" i="7" s="1"/>
  <c r="S76" i="7"/>
  <c r="R76" i="7"/>
  <c r="P76" i="7"/>
  <c r="O76" i="7"/>
  <c r="X75" i="7"/>
  <c r="Z75" i="7" s="1"/>
  <c r="AA75" i="7" s="1"/>
  <c r="V75" i="7"/>
  <c r="W75" i="7" s="1"/>
  <c r="P75" i="7"/>
  <c r="R75" i="7" s="1"/>
  <c r="X74" i="7"/>
  <c r="Z74" i="7" s="1"/>
  <c r="AA74" i="7" s="1"/>
  <c r="W74" i="7"/>
  <c r="V74" i="7"/>
  <c r="R74" i="7"/>
  <c r="S74" i="7" s="1"/>
  <c r="P74" i="7"/>
  <c r="X73" i="7"/>
  <c r="Z73" i="7" s="1"/>
  <c r="AA73" i="7" s="1"/>
  <c r="V73" i="7"/>
  <c r="W73" i="7" s="1"/>
  <c r="R73" i="7"/>
  <c r="S73" i="7" s="1"/>
  <c r="P73" i="7"/>
  <c r="Z72" i="7"/>
  <c r="AA72" i="7" s="1"/>
  <c r="X72" i="7"/>
  <c r="V72" i="7"/>
  <c r="W72" i="7" s="1"/>
  <c r="P72" i="7"/>
  <c r="R72" i="7" s="1"/>
  <c r="X71" i="7"/>
  <c r="Z71" i="7" s="1"/>
  <c r="AA71" i="7" s="1"/>
  <c r="V71" i="7"/>
  <c r="W71" i="7" s="1"/>
  <c r="P71" i="7"/>
  <c r="R71" i="7" s="1"/>
  <c r="X70" i="7"/>
  <c r="Z70" i="7" s="1"/>
  <c r="AA70" i="7" s="1"/>
  <c r="W70" i="7"/>
  <c r="V70" i="7"/>
  <c r="P70" i="7"/>
  <c r="R70" i="7" s="1"/>
  <c r="X69" i="7"/>
  <c r="Z69" i="7" s="1"/>
  <c r="AA69" i="7" s="1"/>
  <c r="V69" i="7"/>
  <c r="W69" i="7" s="1"/>
  <c r="R69" i="7"/>
  <c r="S69" i="7" s="1"/>
  <c r="P69" i="7"/>
  <c r="AA68" i="7"/>
  <c r="Z68" i="7"/>
  <c r="X68" i="7"/>
  <c r="V68" i="7"/>
  <c r="W68" i="7" s="1"/>
  <c r="P68" i="7"/>
  <c r="R68" i="7" s="1"/>
  <c r="X67" i="7"/>
  <c r="Z67" i="7" s="1"/>
  <c r="AA67" i="7" s="1"/>
  <c r="V67" i="7"/>
  <c r="W67" i="7" s="1"/>
  <c r="P67" i="7"/>
  <c r="R67" i="7" s="1"/>
  <c r="X66" i="7"/>
  <c r="Z66" i="7" s="1"/>
  <c r="AA66" i="7" s="1"/>
  <c r="W66" i="7"/>
  <c r="V66" i="7"/>
  <c r="P66" i="7"/>
  <c r="R66" i="7" s="1"/>
  <c r="X65" i="7"/>
  <c r="Z65" i="7" s="1"/>
  <c r="AA65" i="7" s="1"/>
  <c r="W65" i="7"/>
  <c r="V65" i="7"/>
  <c r="S65" i="7"/>
  <c r="R65" i="7"/>
  <c r="O65" i="7" s="1"/>
  <c r="P65" i="7"/>
  <c r="Z64" i="7"/>
  <c r="AA64" i="7" s="1"/>
  <c r="X64" i="7"/>
  <c r="V64" i="7"/>
  <c r="W64" i="7" s="1"/>
  <c r="P64" i="7"/>
  <c r="R64" i="7" s="1"/>
  <c r="AA63" i="7"/>
  <c r="Z63" i="7"/>
  <c r="X63" i="7"/>
  <c r="W63" i="7"/>
  <c r="V63" i="7"/>
  <c r="P63" i="7"/>
  <c r="R63" i="7" s="1"/>
  <c r="X62" i="7"/>
  <c r="Z62" i="7" s="1"/>
  <c r="AA62" i="7" s="1"/>
  <c r="W62" i="7"/>
  <c r="V62" i="7"/>
  <c r="P62" i="7"/>
  <c r="R62" i="7" s="1"/>
  <c r="Z61" i="7"/>
  <c r="AA61" i="7" s="1"/>
  <c r="X61" i="7"/>
  <c r="W61" i="7"/>
  <c r="V61" i="7"/>
  <c r="R61" i="7"/>
  <c r="S61" i="7" s="1"/>
  <c r="P61" i="7"/>
  <c r="Z60" i="7"/>
  <c r="AA60" i="7" s="1"/>
  <c r="X60" i="7"/>
  <c r="V60" i="7"/>
  <c r="W60" i="7" s="1"/>
  <c r="S60" i="7"/>
  <c r="R60" i="7"/>
  <c r="P60" i="7"/>
  <c r="O60" i="7"/>
  <c r="AA59" i="7"/>
  <c r="Z59" i="7"/>
  <c r="X59" i="7"/>
  <c r="V59" i="7"/>
  <c r="W59" i="7" s="1"/>
  <c r="P59" i="7"/>
  <c r="R59" i="7" s="1"/>
  <c r="X58" i="7"/>
  <c r="Z58" i="7" s="1"/>
  <c r="AA58" i="7" s="1"/>
  <c r="W58" i="7"/>
  <c r="V58" i="7"/>
  <c r="R58" i="7"/>
  <c r="S58" i="7" s="1"/>
  <c r="P58" i="7"/>
  <c r="X57" i="7"/>
  <c r="Z57" i="7" s="1"/>
  <c r="AA57" i="7" s="1"/>
  <c r="V57" i="7"/>
  <c r="W57" i="7" s="1"/>
  <c r="R57" i="7"/>
  <c r="O57" i="7" s="1"/>
  <c r="P57" i="7"/>
  <c r="Z56" i="7"/>
  <c r="AA56" i="7" s="1"/>
  <c r="X56" i="7"/>
  <c r="V56" i="7"/>
  <c r="W56" i="7" s="1"/>
  <c r="P56" i="7"/>
  <c r="R56" i="7" s="1"/>
  <c r="X55" i="7"/>
  <c r="Z55" i="7" s="1"/>
  <c r="AA55" i="7" s="1"/>
  <c r="V55" i="7"/>
  <c r="W55" i="7" s="1"/>
  <c r="P55" i="7"/>
  <c r="R55" i="7" s="1"/>
  <c r="X54" i="7"/>
  <c r="Z54" i="7" s="1"/>
  <c r="AA54" i="7" s="1"/>
  <c r="W54" i="7"/>
  <c r="V54" i="7"/>
  <c r="P54" i="7"/>
  <c r="R54" i="7" s="1"/>
  <c r="X53" i="7"/>
  <c r="Z53" i="7" s="1"/>
  <c r="AA53" i="7" s="1"/>
  <c r="W53" i="7"/>
  <c r="V53" i="7"/>
  <c r="R53" i="7"/>
  <c r="S53" i="7" s="1"/>
  <c r="P53" i="7"/>
  <c r="AA52" i="7"/>
  <c r="Z52" i="7"/>
  <c r="X52" i="7"/>
  <c r="V52" i="7"/>
  <c r="W52" i="7" s="1"/>
  <c r="P52" i="7"/>
  <c r="R52" i="7" s="1"/>
  <c r="AA51" i="7"/>
  <c r="Z51" i="7"/>
  <c r="X51" i="7"/>
  <c r="V51" i="7"/>
  <c r="W51" i="7" s="1"/>
  <c r="P51" i="7"/>
  <c r="R51" i="7" s="1"/>
  <c r="X50" i="7"/>
  <c r="Z50" i="7" s="1"/>
  <c r="AA50" i="7" s="1"/>
  <c r="W50" i="7"/>
  <c r="V50" i="7"/>
  <c r="P50" i="7"/>
  <c r="R50" i="7" s="1"/>
  <c r="X49" i="7"/>
  <c r="Z49" i="7" s="1"/>
  <c r="AA49" i="7" s="1"/>
  <c r="W49" i="7"/>
  <c r="V49" i="7"/>
  <c r="S49" i="7"/>
  <c r="R49" i="7"/>
  <c r="O49" i="7" s="1"/>
  <c r="P49" i="7"/>
  <c r="Z48" i="7"/>
  <c r="AA48" i="7" s="1"/>
  <c r="X48" i="7"/>
  <c r="V48" i="7"/>
  <c r="W48" i="7" s="1"/>
  <c r="P48" i="7"/>
  <c r="R48" i="7" s="1"/>
  <c r="AA47" i="7"/>
  <c r="Z47" i="7"/>
  <c r="X47" i="7"/>
  <c r="W47" i="7"/>
  <c r="V47" i="7"/>
  <c r="P47" i="7"/>
  <c r="R47" i="7" s="1"/>
  <c r="X46" i="7"/>
  <c r="Z46" i="7" s="1"/>
  <c r="AA46" i="7" s="1"/>
  <c r="W46" i="7"/>
  <c r="V46" i="7"/>
  <c r="P46" i="7"/>
  <c r="R46" i="7" s="1"/>
  <c r="Z45" i="7"/>
  <c r="AA45" i="7" s="1"/>
  <c r="X45" i="7"/>
  <c r="V45" i="7"/>
  <c r="W45" i="7" s="1"/>
  <c r="R45" i="7"/>
  <c r="S45" i="7" s="1"/>
  <c r="P45" i="7"/>
  <c r="Z44" i="7"/>
  <c r="AA44" i="7" s="1"/>
  <c r="X44" i="7"/>
  <c r="V44" i="7"/>
  <c r="W44" i="7" s="1"/>
  <c r="S44" i="7"/>
  <c r="R44" i="7"/>
  <c r="P44" i="7"/>
  <c r="O44" i="7"/>
  <c r="X43" i="7"/>
  <c r="Z43" i="7" s="1"/>
  <c r="AA43" i="7" s="1"/>
  <c r="V43" i="7"/>
  <c r="W43" i="7" s="1"/>
  <c r="P43" i="7"/>
  <c r="R43" i="7" s="1"/>
  <c r="X42" i="7"/>
  <c r="Z42" i="7" s="1"/>
  <c r="AA42" i="7" s="1"/>
  <c r="W42" i="7"/>
  <c r="V42" i="7"/>
  <c r="R42" i="7"/>
  <c r="S42" i="7" s="1"/>
  <c r="P42" i="7"/>
  <c r="X41" i="7"/>
  <c r="Z41" i="7" s="1"/>
  <c r="AA41" i="7" s="1"/>
  <c r="V41" i="7"/>
  <c r="W41" i="7" s="1"/>
  <c r="R41" i="7"/>
  <c r="O41" i="7" s="1"/>
  <c r="P41" i="7"/>
  <c r="Z40" i="7"/>
  <c r="AA40" i="7" s="1"/>
  <c r="X40" i="7"/>
  <c r="V40" i="7"/>
  <c r="W40" i="7" s="1"/>
  <c r="P40" i="7"/>
  <c r="R40" i="7" s="1"/>
  <c r="X39" i="7"/>
  <c r="Z39" i="7" s="1"/>
  <c r="AA39" i="7" s="1"/>
  <c r="V39" i="7"/>
  <c r="W39" i="7" s="1"/>
  <c r="P39" i="7"/>
  <c r="R39" i="7" s="1"/>
  <c r="X38" i="7"/>
  <c r="Z38" i="7" s="1"/>
  <c r="AA38" i="7" s="1"/>
  <c r="W38" i="7"/>
  <c r="V38" i="7"/>
  <c r="P38" i="7"/>
  <c r="R38" i="7" s="1"/>
  <c r="X37" i="7"/>
  <c r="Z37" i="7" s="1"/>
  <c r="AA37" i="7" s="1"/>
  <c r="W37" i="7"/>
  <c r="V37" i="7"/>
  <c r="R37" i="7"/>
  <c r="S37" i="7" s="1"/>
  <c r="P37" i="7"/>
  <c r="AA36" i="7"/>
  <c r="Z36" i="7"/>
  <c r="X36" i="7"/>
  <c r="W36" i="7"/>
  <c r="V36" i="7"/>
  <c r="P36" i="7"/>
  <c r="R36" i="7" s="1"/>
  <c r="AA35" i="7"/>
  <c r="Z35" i="7"/>
  <c r="X35" i="7"/>
  <c r="V35" i="7"/>
  <c r="W35" i="7" s="1"/>
  <c r="P35" i="7"/>
  <c r="R35" i="7" s="1"/>
  <c r="Z34" i="7"/>
  <c r="AA34" i="7" s="1"/>
  <c r="X34" i="7"/>
  <c r="W34" i="7"/>
  <c r="V34" i="7"/>
  <c r="P34" i="7"/>
  <c r="R34" i="7" s="1"/>
  <c r="X33" i="7"/>
  <c r="Z33" i="7" s="1"/>
  <c r="AA33" i="7" s="1"/>
  <c r="W33" i="7"/>
  <c r="V33" i="7"/>
  <c r="S33" i="7"/>
  <c r="R33" i="7"/>
  <c r="O33" i="7" s="1"/>
  <c r="P33" i="7"/>
  <c r="Z32" i="7"/>
  <c r="AA32" i="7" s="1"/>
  <c r="X32" i="7"/>
  <c r="V32" i="7"/>
  <c r="W32" i="7" s="1"/>
  <c r="P32" i="7"/>
  <c r="R32" i="7" s="1"/>
  <c r="AA31" i="7"/>
  <c r="Z31" i="7"/>
  <c r="X31" i="7"/>
  <c r="W31" i="7"/>
  <c r="V31" i="7"/>
  <c r="P31" i="7"/>
  <c r="R31" i="7" s="1"/>
  <c r="X30" i="7"/>
  <c r="Z30" i="7" s="1"/>
  <c r="AA30" i="7" s="1"/>
  <c r="W30" i="7"/>
  <c r="V30" i="7"/>
  <c r="P30" i="7"/>
  <c r="R30" i="7" s="1"/>
  <c r="Z29" i="7"/>
  <c r="AA29" i="7" s="1"/>
  <c r="X29" i="7"/>
  <c r="W29" i="7"/>
  <c r="V29" i="7"/>
  <c r="R29" i="7"/>
  <c r="S29" i="7" s="1"/>
  <c r="P29" i="7"/>
  <c r="Z28" i="7"/>
  <c r="AA28" i="7" s="1"/>
  <c r="X28" i="7"/>
  <c r="V28" i="7"/>
  <c r="W28" i="7" s="1"/>
  <c r="S28" i="7"/>
  <c r="R28" i="7"/>
  <c r="P28" i="7"/>
  <c r="O28" i="7"/>
  <c r="X27" i="7"/>
  <c r="Z27" i="7" s="1"/>
  <c r="AA27" i="7" s="1"/>
  <c r="V27" i="7"/>
  <c r="W27" i="7" s="1"/>
  <c r="P27" i="7"/>
  <c r="R27" i="7" s="1"/>
  <c r="X26" i="7"/>
  <c r="Z26" i="7" s="1"/>
  <c r="AA26" i="7" s="1"/>
  <c r="W26" i="7"/>
  <c r="V26" i="7"/>
  <c r="R26" i="7"/>
  <c r="S26" i="7" s="1"/>
  <c r="P26" i="7"/>
  <c r="X25" i="7"/>
  <c r="Z25" i="7" s="1"/>
  <c r="AA25" i="7" s="1"/>
  <c r="V25" i="7"/>
  <c r="W25" i="7" s="1"/>
  <c r="R25" i="7"/>
  <c r="O25" i="7" s="1"/>
  <c r="P25" i="7"/>
  <c r="Z24" i="7"/>
  <c r="AA24" i="7" s="1"/>
  <c r="X24" i="7"/>
  <c r="V24" i="7"/>
  <c r="W24" i="7" s="1"/>
  <c r="P24" i="7"/>
  <c r="R24" i="7" s="1"/>
  <c r="X23" i="7"/>
  <c r="Z23" i="7" s="1"/>
  <c r="AA23" i="7" s="1"/>
  <c r="V23" i="7"/>
  <c r="W23" i="7" s="1"/>
  <c r="P23" i="7"/>
  <c r="R23" i="7" s="1"/>
  <c r="X22" i="7"/>
  <c r="Z22" i="7" s="1"/>
  <c r="AA22" i="7" s="1"/>
  <c r="W22" i="7"/>
  <c r="V22" i="7"/>
  <c r="P22" i="7"/>
  <c r="R22" i="7" s="1"/>
  <c r="X21" i="7"/>
  <c r="Z21" i="7" s="1"/>
  <c r="AA21" i="7" s="1"/>
  <c r="W21" i="7"/>
  <c r="V21" i="7"/>
  <c r="R21" i="7"/>
  <c r="S21" i="7" s="1"/>
  <c r="P21" i="7"/>
  <c r="AA20" i="7"/>
  <c r="Z20" i="7"/>
  <c r="X20" i="7"/>
  <c r="W20" i="7"/>
  <c r="V20" i="7"/>
  <c r="P20" i="7"/>
  <c r="R20" i="7" s="1"/>
  <c r="AA19" i="7"/>
  <c r="Z19" i="7"/>
  <c r="X19" i="7"/>
  <c r="V19" i="7"/>
  <c r="W19" i="7" s="1"/>
  <c r="P19" i="7"/>
  <c r="R19" i="7" s="1"/>
  <c r="Z18" i="7"/>
  <c r="AA18" i="7" s="1"/>
  <c r="X18" i="7"/>
  <c r="W18" i="7"/>
  <c r="V18" i="7"/>
  <c r="P18" i="7"/>
  <c r="R18" i="7" s="1"/>
  <c r="X17" i="7"/>
  <c r="Z17" i="7" s="1"/>
  <c r="AA17" i="7" s="1"/>
  <c r="W17" i="7"/>
  <c r="V17" i="7"/>
  <c r="S17" i="7"/>
  <c r="R17" i="7"/>
  <c r="O17" i="7" s="1"/>
  <c r="P17" i="7"/>
  <c r="Z16" i="7"/>
  <c r="AA16" i="7" s="1"/>
  <c r="X16" i="7"/>
  <c r="V16" i="7"/>
  <c r="W16" i="7" s="1"/>
  <c r="P16" i="7"/>
  <c r="R16" i="7" s="1"/>
  <c r="AA15" i="7"/>
  <c r="Z15" i="7"/>
  <c r="X15" i="7"/>
  <c r="W15" i="7"/>
  <c r="V15" i="7"/>
  <c r="R15" i="7"/>
  <c r="S15" i="7" s="1"/>
  <c r="P15" i="7"/>
  <c r="O15" i="7"/>
  <c r="X14" i="7"/>
  <c r="Z14" i="7" s="1"/>
  <c r="AA14" i="7" s="1"/>
  <c r="W14" i="7"/>
  <c r="V14" i="7"/>
  <c r="P14" i="7"/>
  <c r="R14" i="7" s="1"/>
  <c r="Z13" i="7"/>
  <c r="AA13" i="7" s="1"/>
  <c r="X13" i="7"/>
  <c r="V13" i="7"/>
  <c r="W13" i="7" s="1"/>
  <c r="R13" i="7"/>
  <c r="S13" i="7" s="1"/>
  <c r="P13" i="7"/>
  <c r="Z12" i="7"/>
  <c r="AA12" i="7" s="1"/>
  <c r="X12" i="7"/>
  <c r="V12" i="7"/>
  <c r="W12" i="7" s="1"/>
  <c r="S12" i="7"/>
  <c r="R12" i="7"/>
  <c r="P12" i="7"/>
  <c r="O12" i="7"/>
  <c r="X11" i="7"/>
  <c r="Z11" i="7" s="1"/>
  <c r="AA11" i="7" s="1"/>
  <c r="V11" i="7"/>
  <c r="W11" i="7" s="1"/>
  <c r="P11" i="7"/>
  <c r="R11" i="7" s="1"/>
  <c r="X10" i="7"/>
  <c r="Z10" i="7" s="1"/>
  <c r="AA10" i="7" s="1"/>
  <c r="W10" i="7"/>
  <c r="V10" i="7"/>
  <c r="R10" i="7"/>
  <c r="S10" i="7" s="1"/>
  <c r="P10" i="7"/>
  <c r="X9" i="7"/>
  <c r="Z9" i="7" s="1"/>
  <c r="AA9" i="7" s="1"/>
  <c r="V9" i="7"/>
  <c r="W9" i="7" s="1"/>
  <c r="R9" i="7"/>
  <c r="O9" i="7" s="1"/>
  <c r="P9" i="7"/>
  <c r="Z8" i="7"/>
  <c r="AA8" i="7" s="1"/>
  <c r="X8" i="7"/>
  <c r="V8" i="7"/>
  <c r="W8" i="7" s="1"/>
  <c r="P8" i="7"/>
  <c r="R8" i="7" s="1"/>
  <c r="X7" i="7"/>
  <c r="Z7" i="7" s="1"/>
  <c r="AA7" i="7" s="1"/>
  <c r="V7" i="7"/>
  <c r="W7" i="7" s="1"/>
  <c r="P7" i="7"/>
  <c r="R7" i="7" s="1"/>
  <c r="X6" i="7"/>
  <c r="Z6" i="7" s="1"/>
  <c r="AA6" i="7" s="1"/>
  <c r="W6" i="7"/>
  <c r="V6" i="7"/>
  <c r="P6" i="7"/>
  <c r="R6" i="7" s="1"/>
  <c r="X5" i="7"/>
  <c r="Z5" i="7" s="1"/>
  <c r="AA5" i="7" s="1"/>
  <c r="W5" i="7"/>
  <c r="V5" i="7"/>
  <c r="R5" i="7"/>
  <c r="S5" i="7" s="1"/>
  <c r="P5" i="7"/>
  <c r="AA4" i="7"/>
  <c r="Z4" i="7"/>
  <c r="X4" i="7"/>
  <c r="W4" i="7"/>
  <c r="V4" i="7"/>
  <c r="P4" i="7"/>
  <c r="R4" i="7" s="1"/>
  <c r="AA3" i="7"/>
  <c r="Z3" i="7"/>
  <c r="X3" i="7"/>
  <c r="V3" i="7"/>
  <c r="W3" i="7" s="1"/>
  <c r="P3" i="7"/>
  <c r="R3" i="7" s="1"/>
  <c r="Z2" i="7"/>
  <c r="AA2" i="7" s="1"/>
  <c r="X2" i="7"/>
  <c r="W2" i="7"/>
  <c r="V2" i="7"/>
  <c r="P2" i="7"/>
  <c r="R2" i="7" s="1"/>
  <c r="T106" i="6"/>
  <c r="V106" i="6" s="1"/>
  <c r="T105" i="6"/>
  <c r="V105" i="6" s="1"/>
  <c r="T104" i="6"/>
  <c r="V104" i="6" s="1"/>
  <c r="T103" i="6"/>
  <c r="V103" i="6" s="1"/>
  <c r="T102" i="6"/>
  <c r="V102" i="6" s="1"/>
  <c r="T101" i="6"/>
  <c r="V101" i="6" s="1"/>
  <c r="T100" i="6"/>
  <c r="V100" i="6" s="1"/>
  <c r="T99" i="6"/>
  <c r="V99" i="6" s="1"/>
  <c r="T98" i="6"/>
  <c r="V98" i="6" s="1"/>
  <c r="T97" i="6"/>
  <c r="V97" i="6" s="1"/>
  <c r="T96" i="6"/>
  <c r="V96" i="6" s="1"/>
  <c r="T95" i="6"/>
  <c r="V95" i="6" s="1"/>
  <c r="W95" i="6" s="1"/>
  <c r="T94" i="6"/>
  <c r="V94" i="6" s="1"/>
  <c r="T93" i="6"/>
  <c r="V93" i="6" s="1"/>
  <c r="T92" i="6"/>
  <c r="V92" i="6" s="1"/>
  <c r="T91" i="6"/>
  <c r="V91" i="6" s="1"/>
  <c r="T90" i="6"/>
  <c r="V90" i="6" s="1"/>
  <c r="T89" i="6"/>
  <c r="V89" i="6" s="1"/>
  <c r="T88" i="6"/>
  <c r="V88" i="6" s="1"/>
  <c r="T87" i="6"/>
  <c r="V87" i="6" s="1"/>
  <c r="T86" i="6"/>
  <c r="V86" i="6" s="1"/>
  <c r="T85" i="6"/>
  <c r="V85" i="6" s="1"/>
  <c r="T84" i="6"/>
  <c r="V84" i="6" s="1"/>
  <c r="T83" i="6"/>
  <c r="V83" i="6" s="1"/>
  <c r="T82" i="6"/>
  <c r="V82" i="6" s="1"/>
  <c r="T81" i="6"/>
  <c r="V81" i="6" s="1"/>
  <c r="T80" i="6"/>
  <c r="V80" i="6" s="1"/>
  <c r="T79" i="6"/>
  <c r="V79" i="6" s="1"/>
  <c r="T78" i="6"/>
  <c r="V78" i="6" s="1"/>
  <c r="T77" i="6"/>
  <c r="V77" i="6" s="1"/>
  <c r="T76" i="6"/>
  <c r="V76" i="6" s="1"/>
  <c r="T75" i="6"/>
  <c r="V75" i="6" s="1"/>
  <c r="T74" i="6"/>
  <c r="V74" i="6" s="1"/>
  <c r="T73" i="6"/>
  <c r="V73" i="6" s="1"/>
  <c r="T72" i="6"/>
  <c r="V72" i="6" s="1"/>
  <c r="T71" i="6"/>
  <c r="V71" i="6" s="1"/>
  <c r="T70" i="6"/>
  <c r="V70" i="6" s="1"/>
  <c r="T69" i="6"/>
  <c r="V69" i="6" s="1"/>
  <c r="T68" i="6"/>
  <c r="V68" i="6" s="1"/>
  <c r="T67" i="6"/>
  <c r="V67" i="6" s="1"/>
  <c r="T66" i="6"/>
  <c r="V66" i="6" s="1"/>
  <c r="T65" i="6"/>
  <c r="V65" i="6" s="1"/>
  <c r="T64" i="6"/>
  <c r="V64" i="6" s="1"/>
  <c r="T63" i="6"/>
  <c r="V63" i="6" s="1"/>
  <c r="T62" i="6"/>
  <c r="V62" i="6" s="1"/>
  <c r="T61" i="6"/>
  <c r="V61" i="6" s="1"/>
  <c r="T60" i="6"/>
  <c r="V60" i="6" s="1"/>
  <c r="T59" i="6"/>
  <c r="V59" i="6" s="1"/>
  <c r="T58" i="6"/>
  <c r="V58" i="6" s="1"/>
  <c r="W58" i="6" s="1"/>
  <c r="T57" i="6"/>
  <c r="V57" i="6" s="1"/>
  <c r="T56" i="6"/>
  <c r="V56" i="6" s="1"/>
  <c r="T55" i="6"/>
  <c r="V55" i="6" s="1"/>
  <c r="T54" i="6"/>
  <c r="V54" i="6" s="1"/>
  <c r="W54" i="6" s="1"/>
  <c r="T53" i="6"/>
  <c r="V53" i="6" s="1"/>
  <c r="T52" i="6"/>
  <c r="V52" i="6" s="1"/>
  <c r="T51" i="6"/>
  <c r="V51" i="6" s="1"/>
  <c r="T50" i="6"/>
  <c r="V50" i="6" s="1"/>
  <c r="W50" i="6" s="1"/>
  <c r="T49" i="6"/>
  <c r="V49" i="6" s="1"/>
  <c r="T48" i="6"/>
  <c r="V48" i="6" s="1"/>
  <c r="T47" i="6"/>
  <c r="V47" i="6" s="1"/>
  <c r="T46" i="6"/>
  <c r="V46" i="6" s="1"/>
  <c r="T45" i="6"/>
  <c r="V45" i="6" s="1"/>
  <c r="T44" i="6"/>
  <c r="V44" i="6" s="1"/>
  <c r="T43" i="6"/>
  <c r="V43" i="6" s="1"/>
  <c r="W43" i="6" s="1"/>
  <c r="T42" i="6"/>
  <c r="V42" i="6" s="1"/>
  <c r="T41" i="6"/>
  <c r="V41" i="6" s="1"/>
  <c r="T40" i="6"/>
  <c r="V40" i="6" s="1"/>
  <c r="T39" i="6"/>
  <c r="V39" i="6" s="1"/>
  <c r="T38" i="6"/>
  <c r="V38" i="6" s="1"/>
  <c r="T37" i="6"/>
  <c r="V37" i="6" s="1"/>
  <c r="T36" i="6"/>
  <c r="V36" i="6" s="1"/>
  <c r="T35" i="6"/>
  <c r="V35" i="6" s="1"/>
  <c r="W35" i="6" s="1"/>
  <c r="T34" i="6"/>
  <c r="V34" i="6" s="1"/>
  <c r="T33" i="6"/>
  <c r="V33" i="6" s="1"/>
  <c r="T32" i="6"/>
  <c r="V32" i="6" s="1"/>
  <c r="T31" i="6"/>
  <c r="V31" i="6" s="1"/>
  <c r="T30" i="6"/>
  <c r="V30" i="6" s="1"/>
  <c r="T29" i="6"/>
  <c r="V29" i="6" s="1"/>
  <c r="T28" i="6"/>
  <c r="V28" i="6" s="1"/>
  <c r="T27" i="6"/>
  <c r="V27" i="6" s="1"/>
  <c r="T26" i="6"/>
  <c r="V26" i="6" s="1"/>
  <c r="T25" i="6"/>
  <c r="V25" i="6" s="1"/>
  <c r="T24" i="6"/>
  <c r="V24" i="6" s="1"/>
  <c r="T23" i="6"/>
  <c r="V23" i="6" s="1"/>
  <c r="T22" i="6"/>
  <c r="V22" i="6" s="1"/>
  <c r="T21" i="6"/>
  <c r="V21" i="6" s="1"/>
  <c r="T20" i="6"/>
  <c r="V20" i="6" s="1"/>
  <c r="T19" i="6"/>
  <c r="V19" i="6" s="1"/>
  <c r="T18" i="6"/>
  <c r="V18" i="6" s="1"/>
  <c r="T17" i="6"/>
  <c r="V17" i="6" s="1"/>
  <c r="X106" i="5"/>
  <c r="Z106" i="5" s="1"/>
  <c r="AA106" i="5" s="1"/>
  <c r="X105" i="5"/>
  <c r="Z105" i="5" s="1"/>
  <c r="AA105" i="5" s="1"/>
  <c r="X104" i="5"/>
  <c r="Z104" i="5" s="1"/>
  <c r="AA104" i="5" s="1"/>
  <c r="X103" i="5"/>
  <c r="Z103" i="5" s="1"/>
  <c r="AA103" i="5" s="1"/>
  <c r="X102" i="5"/>
  <c r="Z102" i="5" s="1"/>
  <c r="AA102" i="5" s="1"/>
  <c r="X101" i="5"/>
  <c r="Z101" i="5" s="1"/>
  <c r="AA101" i="5" s="1"/>
  <c r="X100" i="5"/>
  <c r="Z100" i="5" s="1"/>
  <c r="AA100" i="5" s="1"/>
  <c r="X99" i="5"/>
  <c r="Z99" i="5" s="1"/>
  <c r="AA99" i="5" s="1"/>
  <c r="X98" i="5"/>
  <c r="Z98" i="5" s="1"/>
  <c r="AA98" i="5" s="1"/>
  <c r="X97" i="5"/>
  <c r="Z97" i="5" s="1"/>
  <c r="AA97" i="5" s="1"/>
  <c r="X96" i="5"/>
  <c r="Z96" i="5" s="1"/>
  <c r="AA96" i="5" s="1"/>
  <c r="X95" i="5"/>
  <c r="Z95" i="5" s="1"/>
  <c r="AA95" i="5" s="1"/>
  <c r="X94" i="5"/>
  <c r="Z94" i="5" s="1"/>
  <c r="AA94" i="5" s="1"/>
  <c r="X93" i="5"/>
  <c r="Z93" i="5" s="1"/>
  <c r="AA93" i="5" s="1"/>
  <c r="X92" i="5"/>
  <c r="Z92" i="5" s="1"/>
  <c r="AA92" i="5" s="1"/>
  <c r="X91" i="5"/>
  <c r="Z91" i="5" s="1"/>
  <c r="AA91" i="5" s="1"/>
  <c r="X90" i="5"/>
  <c r="Z90" i="5" s="1"/>
  <c r="AA90" i="5" s="1"/>
  <c r="X89" i="5"/>
  <c r="Z89" i="5" s="1"/>
  <c r="AA89" i="5" s="1"/>
  <c r="X88" i="5"/>
  <c r="Z88" i="5" s="1"/>
  <c r="AA88" i="5" s="1"/>
  <c r="X87" i="5"/>
  <c r="Z87" i="5" s="1"/>
  <c r="AA87" i="5" s="1"/>
  <c r="X86" i="5"/>
  <c r="Z86" i="5" s="1"/>
  <c r="AA86" i="5" s="1"/>
  <c r="X85" i="5"/>
  <c r="Z85" i="5" s="1"/>
  <c r="AA85" i="5" s="1"/>
  <c r="X84" i="5"/>
  <c r="Z84" i="5" s="1"/>
  <c r="AA84" i="5" s="1"/>
  <c r="X83" i="5"/>
  <c r="Z83" i="5" s="1"/>
  <c r="AA83" i="5" s="1"/>
  <c r="X82" i="5"/>
  <c r="Z82" i="5" s="1"/>
  <c r="AA82" i="5" s="1"/>
  <c r="X81" i="5"/>
  <c r="Z81" i="5" s="1"/>
  <c r="AA81" i="5" s="1"/>
  <c r="X80" i="5"/>
  <c r="Z80" i="5" s="1"/>
  <c r="AA80" i="5" s="1"/>
  <c r="X79" i="5"/>
  <c r="Z79" i="5" s="1"/>
  <c r="AA79" i="5" s="1"/>
  <c r="X78" i="5"/>
  <c r="Z78" i="5" s="1"/>
  <c r="AA78" i="5" s="1"/>
  <c r="X77" i="5"/>
  <c r="Z77" i="5" s="1"/>
  <c r="AA77" i="5" s="1"/>
  <c r="X76" i="5"/>
  <c r="Z76" i="5" s="1"/>
  <c r="AA76" i="5" s="1"/>
  <c r="X75" i="5"/>
  <c r="Z75" i="5" s="1"/>
  <c r="AA75" i="5" s="1"/>
  <c r="X74" i="5"/>
  <c r="Z74" i="5" s="1"/>
  <c r="AA74" i="5" s="1"/>
  <c r="X73" i="5"/>
  <c r="Z73" i="5" s="1"/>
  <c r="AA73" i="5" s="1"/>
  <c r="X72" i="5"/>
  <c r="Z72" i="5" s="1"/>
  <c r="AA72" i="5" s="1"/>
  <c r="X71" i="5"/>
  <c r="Z71" i="5" s="1"/>
  <c r="AA71" i="5" s="1"/>
  <c r="X70" i="5"/>
  <c r="Z70" i="5" s="1"/>
  <c r="AA70" i="5" s="1"/>
  <c r="X69" i="5"/>
  <c r="Z69" i="5" s="1"/>
  <c r="AA69" i="5" s="1"/>
  <c r="X68" i="5"/>
  <c r="Z68" i="5" s="1"/>
  <c r="AA68" i="5" s="1"/>
  <c r="X67" i="5"/>
  <c r="Z67" i="5" s="1"/>
  <c r="AA67" i="5" s="1"/>
  <c r="X66" i="5"/>
  <c r="Z66" i="5" s="1"/>
  <c r="AA66" i="5" s="1"/>
  <c r="X65" i="5"/>
  <c r="Z65" i="5" s="1"/>
  <c r="AA65" i="5" s="1"/>
  <c r="X64" i="5"/>
  <c r="Z64" i="5" s="1"/>
  <c r="AA64" i="5" s="1"/>
  <c r="X63" i="5"/>
  <c r="Z63" i="5" s="1"/>
  <c r="AA63" i="5" s="1"/>
  <c r="X62" i="5"/>
  <c r="Z62" i="5" s="1"/>
  <c r="AA62" i="5" s="1"/>
  <c r="X61" i="5"/>
  <c r="Z61" i="5" s="1"/>
  <c r="AA61" i="5" s="1"/>
  <c r="X60" i="5"/>
  <c r="Z60" i="5" s="1"/>
  <c r="AA60" i="5" s="1"/>
  <c r="X59" i="5"/>
  <c r="Z59" i="5" s="1"/>
  <c r="AA59" i="5" s="1"/>
  <c r="X58" i="5"/>
  <c r="Z58" i="5" s="1"/>
  <c r="AA58" i="5" s="1"/>
  <c r="X57" i="5"/>
  <c r="Z57" i="5" s="1"/>
  <c r="AA57" i="5" s="1"/>
  <c r="X56" i="5"/>
  <c r="Z56" i="5" s="1"/>
  <c r="AA56" i="5" s="1"/>
  <c r="X55" i="5"/>
  <c r="Z55" i="5" s="1"/>
  <c r="AA55" i="5" s="1"/>
  <c r="X54" i="5"/>
  <c r="Z54" i="5" s="1"/>
  <c r="AA54" i="5" s="1"/>
  <c r="X53" i="5"/>
  <c r="Z53" i="5" s="1"/>
  <c r="AA53" i="5" s="1"/>
  <c r="X52" i="5"/>
  <c r="Z52" i="5" s="1"/>
  <c r="AA52" i="5" s="1"/>
  <c r="X51" i="5"/>
  <c r="Z51" i="5" s="1"/>
  <c r="AA51" i="5" s="1"/>
  <c r="X50" i="5"/>
  <c r="Z50" i="5" s="1"/>
  <c r="AA50" i="5" s="1"/>
  <c r="X49" i="5"/>
  <c r="Z49" i="5" s="1"/>
  <c r="AA49" i="5" s="1"/>
  <c r="X48" i="5"/>
  <c r="Z48" i="5" s="1"/>
  <c r="AA48" i="5" s="1"/>
  <c r="X47" i="5"/>
  <c r="Z47" i="5" s="1"/>
  <c r="AA47" i="5" s="1"/>
  <c r="X46" i="5"/>
  <c r="Z46" i="5" s="1"/>
  <c r="AA46" i="5" s="1"/>
  <c r="X45" i="5"/>
  <c r="Z45" i="5" s="1"/>
  <c r="AA45" i="5" s="1"/>
  <c r="X44" i="5"/>
  <c r="Z44" i="5" s="1"/>
  <c r="AA44" i="5" s="1"/>
  <c r="X43" i="5"/>
  <c r="Z43" i="5" s="1"/>
  <c r="AA43" i="5" s="1"/>
  <c r="X42" i="5"/>
  <c r="Z42" i="5" s="1"/>
  <c r="AA42" i="5" s="1"/>
  <c r="X41" i="5"/>
  <c r="Z41" i="5" s="1"/>
  <c r="AA41" i="5" s="1"/>
  <c r="X40" i="5"/>
  <c r="Z40" i="5" s="1"/>
  <c r="AA40" i="5" s="1"/>
  <c r="X39" i="5"/>
  <c r="Z39" i="5" s="1"/>
  <c r="AA39" i="5" s="1"/>
  <c r="X38" i="5"/>
  <c r="Z38" i="5" s="1"/>
  <c r="AA38" i="5" s="1"/>
  <c r="X37" i="5"/>
  <c r="Z37" i="5" s="1"/>
  <c r="AA37" i="5" s="1"/>
  <c r="X36" i="5"/>
  <c r="Z36" i="5" s="1"/>
  <c r="AA36" i="5" s="1"/>
  <c r="X35" i="5"/>
  <c r="Z35" i="5" s="1"/>
  <c r="AA35" i="5" s="1"/>
  <c r="X34" i="5"/>
  <c r="Z34" i="5" s="1"/>
  <c r="AA34" i="5" s="1"/>
  <c r="X33" i="5"/>
  <c r="Z33" i="5" s="1"/>
  <c r="AA33" i="5" s="1"/>
  <c r="X32" i="5"/>
  <c r="Z32" i="5" s="1"/>
  <c r="AA32" i="5" s="1"/>
  <c r="X31" i="5"/>
  <c r="Z31" i="5" s="1"/>
  <c r="AA31" i="5" s="1"/>
  <c r="X30" i="5"/>
  <c r="Z30" i="5" s="1"/>
  <c r="AA30" i="5" s="1"/>
  <c r="X29" i="5"/>
  <c r="Z29" i="5" s="1"/>
  <c r="AA29" i="5" s="1"/>
  <c r="X28" i="5"/>
  <c r="Z28" i="5" s="1"/>
  <c r="AA28" i="5" s="1"/>
  <c r="Z27" i="5"/>
  <c r="AA27" i="5" s="1"/>
  <c r="X27" i="5"/>
  <c r="X26" i="5"/>
  <c r="Z26" i="5" s="1"/>
  <c r="AA26" i="5" s="1"/>
  <c r="X25" i="5"/>
  <c r="Z25" i="5" s="1"/>
  <c r="AA25" i="5" s="1"/>
  <c r="X24" i="5"/>
  <c r="Z24" i="5" s="1"/>
  <c r="AA24" i="5" s="1"/>
  <c r="X23" i="5"/>
  <c r="Z23" i="5" s="1"/>
  <c r="AA23" i="5" s="1"/>
  <c r="X22" i="5"/>
  <c r="Z22" i="5" s="1"/>
  <c r="AA22" i="5" s="1"/>
  <c r="X21" i="5"/>
  <c r="Z21" i="5" s="1"/>
  <c r="AA21" i="5" s="1"/>
  <c r="X20" i="5"/>
  <c r="Z20" i="5" s="1"/>
  <c r="AA20" i="5" s="1"/>
  <c r="X19" i="5"/>
  <c r="Z19" i="5" s="1"/>
  <c r="AA19" i="5" s="1"/>
  <c r="X18" i="5"/>
  <c r="Z18" i="5" s="1"/>
  <c r="AA18" i="5" s="1"/>
  <c r="X17" i="5"/>
  <c r="Z17" i="5" s="1"/>
  <c r="AA17" i="5" s="1"/>
  <c r="X106" i="4"/>
  <c r="Z106" i="4" s="1"/>
  <c r="AA106" i="4" s="1"/>
  <c r="V106" i="4"/>
  <c r="W106" i="4" s="1"/>
  <c r="P106" i="4"/>
  <c r="R106" i="4" s="1"/>
  <c r="X105" i="4"/>
  <c r="Z105" i="4" s="1"/>
  <c r="AA105" i="4" s="1"/>
  <c r="V105" i="4"/>
  <c r="W105" i="4" s="1"/>
  <c r="P105" i="4"/>
  <c r="R105" i="4" s="1"/>
  <c r="O105" i="4" s="1"/>
  <c r="X104" i="4"/>
  <c r="Z104" i="4" s="1"/>
  <c r="AA104" i="4" s="1"/>
  <c r="V104" i="4"/>
  <c r="W104" i="4" s="1"/>
  <c r="P104" i="4"/>
  <c r="R104" i="4" s="1"/>
  <c r="O104" i="4" s="1"/>
  <c r="X103" i="4"/>
  <c r="Z103" i="4" s="1"/>
  <c r="AA103" i="4" s="1"/>
  <c r="V103" i="4"/>
  <c r="W103" i="4" s="1"/>
  <c r="P103" i="4"/>
  <c r="R103" i="4" s="1"/>
  <c r="X102" i="4"/>
  <c r="Z102" i="4" s="1"/>
  <c r="AA102" i="4" s="1"/>
  <c r="V102" i="4"/>
  <c r="W102" i="4" s="1"/>
  <c r="P102" i="4"/>
  <c r="R102" i="4" s="1"/>
  <c r="X101" i="4"/>
  <c r="Z101" i="4" s="1"/>
  <c r="AA101" i="4" s="1"/>
  <c r="V101" i="4"/>
  <c r="W101" i="4" s="1"/>
  <c r="P101" i="4"/>
  <c r="R101" i="4" s="1"/>
  <c r="X100" i="4"/>
  <c r="Z100" i="4" s="1"/>
  <c r="AA100" i="4" s="1"/>
  <c r="V100" i="4"/>
  <c r="W100" i="4" s="1"/>
  <c r="P100" i="4"/>
  <c r="R100" i="4" s="1"/>
  <c r="X99" i="4"/>
  <c r="Z99" i="4" s="1"/>
  <c r="AA99" i="4" s="1"/>
  <c r="V99" i="4"/>
  <c r="W99" i="4" s="1"/>
  <c r="P99" i="4"/>
  <c r="R99" i="4" s="1"/>
  <c r="X98" i="4"/>
  <c r="Z98" i="4" s="1"/>
  <c r="AA98" i="4" s="1"/>
  <c r="V98" i="4"/>
  <c r="W98" i="4" s="1"/>
  <c r="P98" i="4"/>
  <c r="R98" i="4" s="1"/>
  <c r="X97" i="4"/>
  <c r="Z97" i="4" s="1"/>
  <c r="AA97" i="4" s="1"/>
  <c r="V97" i="4"/>
  <c r="W97" i="4" s="1"/>
  <c r="P97" i="4"/>
  <c r="R97" i="4" s="1"/>
  <c r="S97" i="4" s="1"/>
  <c r="X96" i="4"/>
  <c r="Z96" i="4" s="1"/>
  <c r="AA96" i="4" s="1"/>
  <c r="V96" i="4"/>
  <c r="W96" i="4" s="1"/>
  <c r="P96" i="4"/>
  <c r="R96" i="4" s="1"/>
  <c r="X95" i="4"/>
  <c r="Z95" i="4" s="1"/>
  <c r="AA95" i="4" s="1"/>
  <c r="V95" i="4"/>
  <c r="W95" i="4" s="1"/>
  <c r="P95" i="4"/>
  <c r="R95" i="4" s="1"/>
  <c r="X94" i="4"/>
  <c r="Z94" i="4" s="1"/>
  <c r="AA94" i="4" s="1"/>
  <c r="V94" i="4"/>
  <c r="W94" i="4" s="1"/>
  <c r="P94" i="4"/>
  <c r="R94" i="4" s="1"/>
  <c r="X93" i="4"/>
  <c r="Z93" i="4" s="1"/>
  <c r="AA93" i="4" s="1"/>
  <c r="V93" i="4"/>
  <c r="W93" i="4" s="1"/>
  <c r="P93" i="4"/>
  <c r="R93" i="4" s="1"/>
  <c r="X92" i="4"/>
  <c r="Z92" i="4" s="1"/>
  <c r="AA92" i="4" s="1"/>
  <c r="V92" i="4"/>
  <c r="W92" i="4" s="1"/>
  <c r="P92" i="4"/>
  <c r="R92" i="4" s="1"/>
  <c r="S92" i="4" s="1"/>
  <c r="X91" i="4"/>
  <c r="Z91" i="4" s="1"/>
  <c r="AA91" i="4" s="1"/>
  <c r="V91" i="4"/>
  <c r="W91" i="4" s="1"/>
  <c r="P91" i="4"/>
  <c r="R91" i="4" s="1"/>
  <c r="X90" i="4"/>
  <c r="Z90" i="4" s="1"/>
  <c r="AA90" i="4" s="1"/>
  <c r="V90" i="4"/>
  <c r="W90" i="4" s="1"/>
  <c r="P90" i="4"/>
  <c r="R90" i="4" s="1"/>
  <c r="O90" i="4" s="1"/>
  <c r="X89" i="4"/>
  <c r="Z89" i="4" s="1"/>
  <c r="AA89" i="4" s="1"/>
  <c r="V89" i="4"/>
  <c r="W89" i="4" s="1"/>
  <c r="P89" i="4"/>
  <c r="R89" i="4" s="1"/>
  <c r="X88" i="4"/>
  <c r="Z88" i="4" s="1"/>
  <c r="AA88" i="4" s="1"/>
  <c r="V88" i="4"/>
  <c r="W88" i="4" s="1"/>
  <c r="P88" i="4"/>
  <c r="R88" i="4" s="1"/>
  <c r="X87" i="4"/>
  <c r="Z87" i="4" s="1"/>
  <c r="AA87" i="4" s="1"/>
  <c r="V87" i="4"/>
  <c r="W87" i="4" s="1"/>
  <c r="P87" i="4"/>
  <c r="R87" i="4" s="1"/>
  <c r="X86" i="4"/>
  <c r="Z86" i="4" s="1"/>
  <c r="AA86" i="4" s="1"/>
  <c r="V86" i="4"/>
  <c r="W86" i="4" s="1"/>
  <c r="P86" i="4"/>
  <c r="R86" i="4" s="1"/>
  <c r="X85" i="4"/>
  <c r="Z85" i="4" s="1"/>
  <c r="AA85" i="4" s="1"/>
  <c r="V85" i="4"/>
  <c r="W85" i="4" s="1"/>
  <c r="P85" i="4"/>
  <c r="R85" i="4" s="1"/>
  <c r="X84" i="4"/>
  <c r="Z84" i="4" s="1"/>
  <c r="AA84" i="4" s="1"/>
  <c r="V84" i="4"/>
  <c r="W84" i="4" s="1"/>
  <c r="P84" i="4"/>
  <c r="R84" i="4" s="1"/>
  <c r="X83" i="4"/>
  <c r="Z83" i="4" s="1"/>
  <c r="AA83" i="4" s="1"/>
  <c r="V83" i="4"/>
  <c r="W83" i="4" s="1"/>
  <c r="P83" i="4"/>
  <c r="R83" i="4" s="1"/>
  <c r="X82" i="4"/>
  <c r="Z82" i="4" s="1"/>
  <c r="AA82" i="4" s="1"/>
  <c r="V82" i="4"/>
  <c r="W82" i="4" s="1"/>
  <c r="P82" i="4"/>
  <c r="R82" i="4" s="1"/>
  <c r="S82" i="4" s="1"/>
  <c r="X81" i="4"/>
  <c r="Z81" i="4" s="1"/>
  <c r="AA81" i="4" s="1"/>
  <c r="V81" i="4"/>
  <c r="W81" i="4" s="1"/>
  <c r="P81" i="4"/>
  <c r="R81" i="4" s="1"/>
  <c r="X80" i="4"/>
  <c r="Z80" i="4" s="1"/>
  <c r="AA80" i="4" s="1"/>
  <c r="V80" i="4"/>
  <c r="W80" i="4" s="1"/>
  <c r="P80" i="4"/>
  <c r="R80" i="4" s="1"/>
  <c r="S80" i="4" s="1"/>
  <c r="X79" i="4"/>
  <c r="Z79" i="4" s="1"/>
  <c r="AA79" i="4" s="1"/>
  <c r="V79" i="4"/>
  <c r="W79" i="4" s="1"/>
  <c r="P79" i="4"/>
  <c r="R79" i="4" s="1"/>
  <c r="X78" i="4"/>
  <c r="Z78" i="4" s="1"/>
  <c r="AA78" i="4" s="1"/>
  <c r="V78" i="4"/>
  <c r="W78" i="4" s="1"/>
  <c r="P78" i="4"/>
  <c r="R78" i="4" s="1"/>
  <c r="X77" i="4"/>
  <c r="Z77" i="4" s="1"/>
  <c r="AA77" i="4" s="1"/>
  <c r="V77" i="4"/>
  <c r="W77" i="4" s="1"/>
  <c r="P77" i="4"/>
  <c r="R77" i="4" s="1"/>
  <c r="X76" i="4"/>
  <c r="Z76" i="4" s="1"/>
  <c r="AA76" i="4" s="1"/>
  <c r="V76" i="4"/>
  <c r="W76" i="4" s="1"/>
  <c r="P76" i="4"/>
  <c r="R76" i="4" s="1"/>
  <c r="S76" i="4" s="1"/>
  <c r="X75" i="4"/>
  <c r="Z75" i="4" s="1"/>
  <c r="AA75" i="4" s="1"/>
  <c r="V75" i="4"/>
  <c r="W75" i="4" s="1"/>
  <c r="R75" i="4"/>
  <c r="O75" i="4" s="1"/>
  <c r="P75" i="4"/>
  <c r="X74" i="4"/>
  <c r="Z74" i="4" s="1"/>
  <c r="AA74" i="4" s="1"/>
  <c r="V74" i="4"/>
  <c r="W74" i="4" s="1"/>
  <c r="P74" i="4"/>
  <c r="R74" i="4" s="1"/>
  <c r="X73" i="4"/>
  <c r="Z73" i="4" s="1"/>
  <c r="AA73" i="4" s="1"/>
  <c r="V73" i="4"/>
  <c r="W73" i="4" s="1"/>
  <c r="P73" i="4"/>
  <c r="R73" i="4" s="1"/>
  <c r="X72" i="4"/>
  <c r="Z72" i="4" s="1"/>
  <c r="AA72" i="4" s="1"/>
  <c r="V72" i="4"/>
  <c r="W72" i="4" s="1"/>
  <c r="P72" i="4"/>
  <c r="R72" i="4" s="1"/>
  <c r="X71" i="4"/>
  <c r="Z71" i="4" s="1"/>
  <c r="AA71" i="4" s="1"/>
  <c r="V71" i="4"/>
  <c r="W71" i="4" s="1"/>
  <c r="P71" i="4"/>
  <c r="R71" i="4" s="1"/>
  <c r="S71" i="4" s="1"/>
  <c r="X70" i="4"/>
  <c r="Z70" i="4" s="1"/>
  <c r="AA70" i="4" s="1"/>
  <c r="V70" i="4"/>
  <c r="W70" i="4" s="1"/>
  <c r="P70" i="4"/>
  <c r="R70" i="4" s="1"/>
  <c r="X69" i="4"/>
  <c r="Z69" i="4" s="1"/>
  <c r="AA69" i="4" s="1"/>
  <c r="V69" i="4"/>
  <c r="W69" i="4" s="1"/>
  <c r="P69" i="4"/>
  <c r="R69" i="4" s="1"/>
  <c r="X68" i="4"/>
  <c r="Z68" i="4" s="1"/>
  <c r="AA68" i="4" s="1"/>
  <c r="V68" i="4"/>
  <c r="W68" i="4" s="1"/>
  <c r="P68" i="4"/>
  <c r="R68" i="4" s="1"/>
  <c r="X67" i="4"/>
  <c r="Z67" i="4" s="1"/>
  <c r="AA67" i="4" s="1"/>
  <c r="V67" i="4"/>
  <c r="W67" i="4" s="1"/>
  <c r="P67" i="4"/>
  <c r="R67" i="4" s="1"/>
  <c r="O67" i="4" s="1"/>
  <c r="X66" i="4"/>
  <c r="Z66" i="4" s="1"/>
  <c r="AA66" i="4" s="1"/>
  <c r="V66" i="4"/>
  <c r="W66" i="4" s="1"/>
  <c r="P66" i="4"/>
  <c r="R66" i="4" s="1"/>
  <c r="X65" i="4"/>
  <c r="Z65" i="4" s="1"/>
  <c r="AA65" i="4" s="1"/>
  <c r="V65" i="4"/>
  <c r="W65" i="4" s="1"/>
  <c r="P65" i="4"/>
  <c r="R65" i="4" s="1"/>
  <c r="X64" i="4"/>
  <c r="Z64" i="4" s="1"/>
  <c r="AA64" i="4" s="1"/>
  <c r="V64" i="4"/>
  <c r="W64" i="4" s="1"/>
  <c r="P64" i="4"/>
  <c r="R64" i="4" s="1"/>
  <c r="X63" i="4"/>
  <c r="Z63" i="4" s="1"/>
  <c r="AA63" i="4" s="1"/>
  <c r="V63" i="4"/>
  <c r="W63" i="4" s="1"/>
  <c r="P63" i="4"/>
  <c r="R63" i="4" s="1"/>
  <c r="X62" i="4"/>
  <c r="Z62" i="4" s="1"/>
  <c r="AA62" i="4" s="1"/>
  <c r="V62" i="4"/>
  <c r="W62" i="4" s="1"/>
  <c r="P62" i="4"/>
  <c r="R62" i="4" s="1"/>
  <c r="X61" i="4"/>
  <c r="Z61" i="4" s="1"/>
  <c r="AA61" i="4" s="1"/>
  <c r="V61" i="4"/>
  <c r="W61" i="4" s="1"/>
  <c r="P61" i="4"/>
  <c r="R61" i="4" s="1"/>
  <c r="X60" i="4"/>
  <c r="Z60" i="4" s="1"/>
  <c r="AA60" i="4" s="1"/>
  <c r="V60" i="4"/>
  <c r="W60" i="4" s="1"/>
  <c r="P60" i="4"/>
  <c r="R60" i="4" s="1"/>
  <c r="O60" i="4" s="1"/>
  <c r="X59" i="4"/>
  <c r="Z59" i="4" s="1"/>
  <c r="AA59" i="4" s="1"/>
  <c r="V59" i="4"/>
  <c r="W59" i="4" s="1"/>
  <c r="P59" i="4"/>
  <c r="R59" i="4" s="1"/>
  <c r="X58" i="4"/>
  <c r="Z58" i="4" s="1"/>
  <c r="AA58" i="4" s="1"/>
  <c r="V58" i="4"/>
  <c r="W58" i="4" s="1"/>
  <c r="P58" i="4"/>
  <c r="R58" i="4" s="1"/>
  <c r="X57" i="4"/>
  <c r="Z57" i="4" s="1"/>
  <c r="AA57" i="4" s="1"/>
  <c r="V57" i="4"/>
  <c r="W57" i="4" s="1"/>
  <c r="P57" i="4"/>
  <c r="R57" i="4" s="1"/>
  <c r="X56" i="4"/>
  <c r="Z56" i="4" s="1"/>
  <c r="AA56" i="4" s="1"/>
  <c r="V56" i="4"/>
  <c r="W56" i="4" s="1"/>
  <c r="P56" i="4"/>
  <c r="R56" i="4" s="1"/>
  <c r="X55" i="4"/>
  <c r="Z55" i="4" s="1"/>
  <c r="AA55" i="4" s="1"/>
  <c r="V55" i="4"/>
  <c r="W55" i="4" s="1"/>
  <c r="P55" i="4"/>
  <c r="R55" i="4" s="1"/>
  <c r="X54" i="4"/>
  <c r="Z54" i="4" s="1"/>
  <c r="AA54" i="4" s="1"/>
  <c r="V54" i="4"/>
  <c r="W54" i="4" s="1"/>
  <c r="P54" i="4"/>
  <c r="R54" i="4" s="1"/>
  <c r="X53" i="4"/>
  <c r="Z53" i="4" s="1"/>
  <c r="AA53" i="4" s="1"/>
  <c r="V53" i="4"/>
  <c r="W53" i="4" s="1"/>
  <c r="P53" i="4"/>
  <c r="R53" i="4" s="1"/>
  <c r="X52" i="4"/>
  <c r="Z52" i="4" s="1"/>
  <c r="AA52" i="4" s="1"/>
  <c r="V52" i="4"/>
  <c r="W52" i="4" s="1"/>
  <c r="P52" i="4"/>
  <c r="R52" i="4" s="1"/>
  <c r="X51" i="4"/>
  <c r="Z51" i="4" s="1"/>
  <c r="AA51" i="4" s="1"/>
  <c r="V51" i="4"/>
  <c r="W51" i="4" s="1"/>
  <c r="P51" i="4"/>
  <c r="R51" i="4" s="1"/>
  <c r="O51" i="4" s="1"/>
  <c r="X50" i="4"/>
  <c r="Z50" i="4" s="1"/>
  <c r="AA50" i="4" s="1"/>
  <c r="V50" i="4"/>
  <c r="W50" i="4" s="1"/>
  <c r="P50" i="4"/>
  <c r="R50" i="4" s="1"/>
  <c r="X49" i="4"/>
  <c r="Z49" i="4" s="1"/>
  <c r="AA49" i="4" s="1"/>
  <c r="V49" i="4"/>
  <c r="W49" i="4" s="1"/>
  <c r="P49" i="4"/>
  <c r="R49" i="4" s="1"/>
  <c r="X48" i="4"/>
  <c r="Z48" i="4" s="1"/>
  <c r="AA48" i="4" s="1"/>
  <c r="V48" i="4"/>
  <c r="W48" i="4" s="1"/>
  <c r="P48" i="4"/>
  <c r="R48" i="4" s="1"/>
  <c r="X47" i="4"/>
  <c r="Z47" i="4" s="1"/>
  <c r="AA47" i="4" s="1"/>
  <c r="V47" i="4"/>
  <c r="W47" i="4" s="1"/>
  <c r="P47" i="4"/>
  <c r="R47" i="4" s="1"/>
  <c r="X46" i="4"/>
  <c r="Z46" i="4" s="1"/>
  <c r="AA46" i="4" s="1"/>
  <c r="V46" i="4"/>
  <c r="W46" i="4" s="1"/>
  <c r="P46" i="4"/>
  <c r="R46" i="4" s="1"/>
  <c r="X45" i="4"/>
  <c r="Z45" i="4" s="1"/>
  <c r="AA45" i="4" s="1"/>
  <c r="V45" i="4"/>
  <c r="W45" i="4" s="1"/>
  <c r="P45" i="4"/>
  <c r="R45" i="4" s="1"/>
  <c r="O45" i="4" s="1"/>
  <c r="X44" i="4"/>
  <c r="Z44" i="4" s="1"/>
  <c r="AA44" i="4" s="1"/>
  <c r="V44" i="4"/>
  <c r="W44" i="4" s="1"/>
  <c r="P44" i="4"/>
  <c r="R44" i="4" s="1"/>
  <c r="X43" i="4"/>
  <c r="Z43" i="4" s="1"/>
  <c r="AA43" i="4" s="1"/>
  <c r="V43" i="4"/>
  <c r="W43" i="4" s="1"/>
  <c r="P43" i="4"/>
  <c r="R43" i="4" s="1"/>
  <c r="X42" i="4"/>
  <c r="Z42" i="4" s="1"/>
  <c r="AA42" i="4" s="1"/>
  <c r="V42" i="4"/>
  <c r="W42" i="4" s="1"/>
  <c r="P42" i="4"/>
  <c r="R42" i="4" s="1"/>
  <c r="X41" i="4"/>
  <c r="Z41" i="4" s="1"/>
  <c r="AA41" i="4" s="1"/>
  <c r="V41" i="4"/>
  <c r="W41" i="4" s="1"/>
  <c r="P41" i="4"/>
  <c r="R41" i="4" s="1"/>
  <c r="X40" i="4"/>
  <c r="Z40" i="4" s="1"/>
  <c r="AA40" i="4" s="1"/>
  <c r="V40" i="4"/>
  <c r="W40" i="4" s="1"/>
  <c r="P40" i="4"/>
  <c r="R40" i="4" s="1"/>
  <c r="X39" i="4"/>
  <c r="Z39" i="4" s="1"/>
  <c r="AA39" i="4" s="1"/>
  <c r="V39" i="4"/>
  <c r="W39" i="4" s="1"/>
  <c r="P39" i="4"/>
  <c r="R39" i="4" s="1"/>
  <c r="X38" i="4"/>
  <c r="Z38" i="4" s="1"/>
  <c r="AA38" i="4" s="1"/>
  <c r="V38" i="4"/>
  <c r="W38" i="4" s="1"/>
  <c r="P38" i="4"/>
  <c r="R38" i="4" s="1"/>
  <c r="X37" i="4"/>
  <c r="Z37" i="4" s="1"/>
  <c r="AA37" i="4" s="1"/>
  <c r="V37" i="4"/>
  <c r="W37" i="4" s="1"/>
  <c r="P37" i="4"/>
  <c r="R37" i="4" s="1"/>
  <c r="S37" i="4" s="1"/>
  <c r="X36" i="4"/>
  <c r="Z36" i="4" s="1"/>
  <c r="AA36" i="4" s="1"/>
  <c r="V36" i="4"/>
  <c r="W36" i="4" s="1"/>
  <c r="P36" i="4"/>
  <c r="R36" i="4" s="1"/>
  <c r="X35" i="4"/>
  <c r="Z35" i="4" s="1"/>
  <c r="AA35" i="4" s="1"/>
  <c r="V35" i="4"/>
  <c r="W35" i="4" s="1"/>
  <c r="P35" i="4"/>
  <c r="R35" i="4" s="1"/>
  <c r="X34" i="4"/>
  <c r="Z34" i="4" s="1"/>
  <c r="AA34" i="4" s="1"/>
  <c r="V34" i="4"/>
  <c r="W34" i="4" s="1"/>
  <c r="P34" i="4"/>
  <c r="R34" i="4" s="1"/>
  <c r="X33" i="4"/>
  <c r="Z33" i="4" s="1"/>
  <c r="AA33" i="4" s="1"/>
  <c r="V33" i="4"/>
  <c r="W33" i="4" s="1"/>
  <c r="P33" i="4"/>
  <c r="R33" i="4" s="1"/>
  <c r="S33" i="4" s="1"/>
  <c r="X32" i="4"/>
  <c r="Z32" i="4" s="1"/>
  <c r="AA32" i="4" s="1"/>
  <c r="V32" i="4"/>
  <c r="W32" i="4" s="1"/>
  <c r="P32" i="4"/>
  <c r="R32" i="4" s="1"/>
  <c r="X31" i="4"/>
  <c r="Z31" i="4" s="1"/>
  <c r="AA31" i="4" s="1"/>
  <c r="V31" i="4"/>
  <c r="W31" i="4" s="1"/>
  <c r="P31" i="4"/>
  <c r="R31" i="4" s="1"/>
  <c r="X30" i="4"/>
  <c r="Z30" i="4" s="1"/>
  <c r="AA30" i="4" s="1"/>
  <c r="V30" i="4"/>
  <c r="W30" i="4" s="1"/>
  <c r="P30" i="4"/>
  <c r="R30" i="4" s="1"/>
  <c r="O30" i="4" s="1"/>
  <c r="X29" i="4"/>
  <c r="Z29" i="4" s="1"/>
  <c r="AA29" i="4" s="1"/>
  <c r="V29" i="4"/>
  <c r="W29" i="4" s="1"/>
  <c r="P29" i="4"/>
  <c r="R29" i="4" s="1"/>
  <c r="X28" i="4"/>
  <c r="Z28" i="4" s="1"/>
  <c r="AA28" i="4" s="1"/>
  <c r="V28" i="4"/>
  <c r="W28" i="4" s="1"/>
  <c r="P28" i="4"/>
  <c r="R28" i="4" s="1"/>
  <c r="X27" i="4"/>
  <c r="Z27" i="4" s="1"/>
  <c r="AA27" i="4" s="1"/>
  <c r="V27" i="4"/>
  <c r="W27" i="4" s="1"/>
  <c r="P27" i="4"/>
  <c r="R27" i="4" s="1"/>
  <c r="X26" i="4"/>
  <c r="Z26" i="4" s="1"/>
  <c r="AA26" i="4" s="1"/>
  <c r="V26" i="4"/>
  <c r="W26" i="4" s="1"/>
  <c r="P26" i="4"/>
  <c r="R26" i="4" s="1"/>
  <c r="X25" i="4"/>
  <c r="Z25" i="4" s="1"/>
  <c r="AA25" i="4" s="1"/>
  <c r="V25" i="4"/>
  <c r="W25" i="4" s="1"/>
  <c r="P25" i="4"/>
  <c r="R25" i="4" s="1"/>
  <c r="X24" i="4"/>
  <c r="Z24" i="4" s="1"/>
  <c r="AA24" i="4" s="1"/>
  <c r="V24" i="4"/>
  <c r="W24" i="4" s="1"/>
  <c r="P24" i="4"/>
  <c r="R24" i="4" s="1"/>
  <c r="X23" i="4"/>
  <c r="Z23" i="4" s="1"/>
  <c r="AA23" i="4" s="1"/>
  <c r="V23" i="4"/>
  <c r="W23" i="4" s="1"/>
  <c r="P23" i="4"/>
  <c r="R23" i="4" s="1"/>
  <c r="X22" i="4"/>
  <c r="Z22" i="4" s="1"/>
  <c r="AA22" i="4" s="1"/>
  <c r="V22" i="4"/>
  <c r="W22" i="4" s="1"/>
  <c r="P22" i="4"/>
  <c r="R22" i="4" s="1"/>
  <c r="S22" i="4" s="1"/>
  <c r="X21" i="4"/>
  <c r="Z21" i="4" s="1"/>
  <c r="AA21" i="4" s="1"/>
  <c r="V21" i="4"/>
  <c r="W21" i="4" s="1"/>
  <c r="P21" i="4"/>
  <c r="R21" i="4" s="1"/>
  <c r="X20" i="4"/>
  <c r="Z20" i="4" s="1"/>
  <c r="AA20" i="4" s="1"/>
  <c r="V20" i="4"/>
  <c r="W20" i="4" s="1"/>
  <c r="P20" i="4"/>
  <c r="R20" i="4" s="1"/>
  <c r="S20" i="4" s="1"/>
  <c r="X19" i="4"/>
  <c r="Z19" i="4" s="1"/>
  <c r="AA19" i="4" s="1"/>
  <c r="V19" i="4"/>
  <c r="W19" i="4" s="1"/>
  <c r="P19" i="4"/>
  <c r="R19" i="4" s="1"/>
  <c r="X18" i="4"/>
  <c r="Z18" i="4" s="1"/>
  <c r="AA18" i="4" s="1"/>
  <c r="V18" i="4"/>
  <c r="W18" i="4" s="1"/>
  <c r="P18" i="4"/>
  <c r="R18" i="4" s="1"/>
  <c r="S18" i="4" s="1"/>
  <c r="X17" i="4"/>
  <c r="Z17" i="4" s="1"/>
  <c r="AA17" i="4" s="1"/>
  <c r="V17" i="4"/>
  <c r="W17" i="4" s="1"/>
  <c r="P17" i="4"/>
  <c r="R17" i="4" s="1"/>
  <c r="S17" i="4" s="1"/>
  <c r="T16" i="6"/>
  <c r="V16" i="6" s="1"/>
  <c r="O16" i="6" s="1"/>
  <c r="T15" i="6"/>
  <c r="V15" i="6" s="1"/>
  <c r="O15" i="6" s="1"/>
  <c r="T14" i="6"/>
  <c r="V14" i="6" s="1"/>
  <c r="O14" i="6" s="1"/>
  <c r="T13" i="6"/>
  <c r="V13" i="6" s="1"/>
  <c r="O13" i="6" s="1"/>
  <c r="T12" i="6"/>
  <c r="V12" i="6" s="1"/>
  <c r="O12" i="6" s="1"/>
  <c r="T11" i="6"/>
  <c r="V11" i="6" s="1"/>
  <c r="O11" i="6" s="1"/>
  <c r="T10" i="6"/>
  <c r="V10" i="6" s="1"/>
  <c r="O10" i="6" s="1"/>
  <c r="T9" i="6"/>
  <c r="V9" i="6" s="1"/>
  <c r="O9" i="6" s="1"/>
  <c r="T8" i="6"/>
  <c r="V8" i="6" s="1"/>
  <c r="O8" i="6" s="1"/>
  <c r="T7" i="6"/>
  <c r="V7" i="6" s="1"/>
  <c r="O7" i="6" s="1"/>
  <c r="T6" i="6"/>
  <c r="V6" i="6" s="1"/>
  <c r="O6" i="6" s="1"/>
  <c r="T5" i="6"/>
  <c r="V5" i="6" s="1"/>
  <c r="O5" i="6" s="1"/>
  <c r="T4" i="6"/>
  <c r="V4" i="6" s="1"/>
  <c r="O4" i="6" s="1"/>
  <c r="T3" i="6"/>
  <c r="V3" i="6" s="1"/>
  <c r="O3" i="6" s="1"/>
  <c r="T2" i="6"/>
  <c r="V2" i="6" s="1"/>
  <c r="X16" i="5"/>
  <c r="X15" i="5"/>
  <c r="Z15" i="5" s="1"/>
  <c r="X14" i="5"/>
  <c r="Z14" i="5" s="1"/>
  <c r="X13" i="5"/>
  <c r="Z13" i="5" s="1"/>
  <c r="X12" i="5"/>
  <c r="Z12" i="5" s="1"/>
  <c r="AA12" i="5" s="1"/>
  <c r="X11" i="5"/>
  <c r="Z11" i="5" s="1"/>
  <c r="AA11" i="5" s="1"/>
  <c r="X10" i="5"/>
  <c r="Z10" i="5" s="1"/>
  <c r="X9" i="5"/>
  <c r="Z9" i="5" s="1"/>
  <c r="AA9" i="5" s="1"/>
  <c r="X8" i="5"/>
  <c r="Z8" i="5" s="1"/>
  <c r="X7" i="5"/>
  <c r="Z7" i="5" s="1"/>
  <c r="X6" i="5"/>
  <c r="Z6" i="5" s="1"/>
  <c r="X5" i="5"/>
  <c r="Z5" i="5" s="1"/>
  <c r="X4" i="5"/>
  <c r="Z4" i="5" s="1"/>
  <c r="X3" i="5"/>
  <c r="Z3" i="5" s="1"/>
  <c r="X2" i="5"/>
  <c r="Z2" i="5" s="1"/>
  <c r="AA2" i="5" s="1"/>
  <c r="X106" i="3"/>
  <c r="Z106" i="3" s="1"/>
  <c r="T106" i="3"/>
  <c r="V106" i="3" s="1"/>
  <c r="W106" i="3" s="1"/>
  <c r="P106" i="3"/>
  <c r="R106" i="3" s="1"/>
  <c r="S106" i="3" s="1"/>
  <c r="T105" i="3"/>
  <c r="V105" i="3" s="1"/>
  <c r="W105" i="3" s="1"/>
  <c r="P105" i="3"/>
  <c r="R105" i="3" s="1"/>
  <c r="S105" i="3" s="1"/>
  <c r="M105" i="3"/>
  <c r="X105" i="3" s="1"/>
  <c r="Z105" i="3" s="1"/>
  <c r="X104" i="3"/>
  <c r="Z104" i="3" s="1"/>
  <c r="T104" i="3"/>
  <c r="V104" i="3" s="1"/>
  <c r="W104" i="3" s="1"/>
  <c r="P104" i="3"/>
  <c r="R104" i="3" s="1"/>
  <c r="S104" i="3" s="1"/>
  <c r="X103" i="3"/>
  <c r="Z103" i="3" s="1"/>
  <c r="O103" i="3" s="1"/>
  <c r="T103" i="3"/>
  <c r="V103" i="3" s="1"/>
  <c r="W103" i="3" s="1"/>
  <c r="P103" i="3"/>
  <c r="R103" i="3" s="1"/>
  <c r="S103" i="3" s="1"/>
  <c r="X102" i="3"/>
  <c r="Z102" i="3" s="1"/>
  <c r="T102" i="3"/>
  <c r="V102" i="3" s="1"/>
  <c r="W102" i="3" s="1"/>
  <c r="P102" i="3"/>
  <c r="R102" i="3" s="1"/>
  <c r="S102" i="3" s="1"/>
  <c r="X101" i="3"/>
  <c r="Z101" i="3" s="1"/>
  <c r="AA101" i="3" s="1"/>
  <c r="T101" i="3"/>
  <c r="V101" i="3" s="1"/>
  <c r="W101" i="3" s="1"/>
  <c r="P101" i="3"/>
  <c r="R101" i="3" s="1"/>
  <c r="S101" i="3" s="1"/>
  <c r="X100" i="3"/>
  <c r="Z100" i="3" s="1"/>
  <c r="T100" i="3"/>
  <c r="V100" i="3" s="1"/>
  <c r="W100" i="3" s="1"/>
  <c r="P100" i="3"/>
  <c r="R100" i="3" s="1"/>
  <c r="S100" i="3" s="1"/>
  <c r="X99" i="3"/>
  <c r="Z99" i="3" s="1"/>
  <c r="T99" i="3"/>
  <c r="V99" i="3" s="1"/>
  <c r="W99" i="3" s="1"/>
  <c r="P99" i="3"/>
  <c r="R99" i="3" s="1"/>
  <c r="S99" i="3" s="1"/>
  <c r="X98" i="3"/>
  <c r="Z98" i="3" s="1"/>
  <c r="T98" i="3"/>
  <c r="V98" i="3" s="1"/>
  <c r="W98" i="3" s="1"/>
  <c r="P98" i="3"/>
  <c r="R98" i="3" s="1"/>
  <c r="S98" i="3" s="1"/>
  <c r="X97" i="3"/>
  <c r="Z97" i="3" s="1"/>
  <c r="T97" i="3"/>
  <c r="V97" i="3" s="1"/>
  <c r="W97" i="3" s="1"/>
  <c r="P97" i="3"/>
  <c r="R97" i="3" s="1"/>
  <c r="S97" i="3" s="1"/>
  <c r="X96" i="3"/>
  <c r="Z96" i="3" s="1"/>
  <c r="T96" i="3"/>
  <c r="V96" i="3" s="1"/>
  <c r="W96" i="3" s="1"/>
  <c r="P96" i="3"/>
  <c r="R96" i="3" s="1"/>
  <c r="S96" i="3" s="1"/>
  <c r="X95" i="3"/>
  <c r="Z95" i="3" s="1"/>
  <c r="T95" i="3"/>
  <c r="V95" i="3" s="1"/>
  <c r="W95" i="3" s="1"/>
  <c r="P95" i="3"/>
  <c r="R95" i="3" s="1"/>
  <c r="S95" i="3" s="1"/>
  <c r="X94" i="3"/>
  <c r="Z94" i="3" s="1"/>
  <c r="T94" i="3"/>
  <c r="V94" i="3" s="1"/>
  <c r="W94" i="3" s="1"/>
  <c r="P94" i="3"/>
  <c r="R94" i="3" s="1"/>
  <c r="S94" i="3" s="1"/>
  <c r="X93" i="3"/>
  <c r="Z93" i="3" s="1"/>
  <c r="AA93" i="3" s="1"/>
  <c r="T93" i="3"/>
  <c r="V93" i="3" s="1"/>
  <c r="W93" i="3" s="1"/>
  <c r="P93" i="3"/>
  <c r="R93" i="3" s="1"/>
  <c r="S93" i="3" s="1"/>
  <c r="X92" i="3"/>
  <c r="Z92" i="3" s="1"/>
  <c r="T92" i="3"/>
  <c r="V92" i="3" s="1"/>
  <c r="W92" i="3" s="1"/>
  <c r="P92" i="3"/>
  <c r="R92" i="3" s="1"/>
  <c r="S92" i="3" s="1"/>
  <c r="X91" i="3"/>
  <c r="Z91" i="3" s="1"/>
  <c r="T91" i="3"/>
  <c r="V91" i="3" s="1"/>
  <c r="W91" i="3" s="1"/>
  <c r="P91" i="3"/>
  <c r="R91" i="3" s="1"/>
  <c r="S91" i="3" s="1"/>
  <c r="T90" i="3"/>
  <c r="V90" i="3" s="1"/>
  <c r="W90" i="3" s="1"/>
  <c r="P90" i="3"/>
  <c r="R90" i="3" s="1"/>
  <c r="S90" i="3" s="1"/>
  <c r="M90" i="3"/>
  <c r="X90" i="3" s="1"/>
  <c r="Z90" i="3" s="1"/>
  <c r="X89" i="3"/>
  <c r="Z89" i="3" s="1"/>
  <c r="T89" i="3"/>
  <c r="V89" i="3" s="1"/>
  <c r="W89" i="3" s="1"/>
  <c r="P89" i="3"/>
  <c r="R89" i="3" s="1"/>
  <c r="S89" i="3" s="1"/>
  <c r="X88" i="3"/>
  <c r="Z88" i="3" s="1"/>
  <c r="T88" i="3"/>
  <c r="V88" i="3" s="1"/>
  <c r="W88" i="3" s="1"/>
  <c r="P88" i="3"/>
  <c r="R88" i="3" s="1"/>
  <c r="S88" i="3" s="1"/>
  <c r="X87" i="3"/>
  <c r="Z87" i="3" s="1"/>
  <c r="T87" i="3"/>
  <c r="V87" i="3" s="1"/>
  <c r="W87" i="3" s="1"/>
  <c r="P87" i="3"/>
  <c r="R87" i="3" s="1"/>
  <c r="S87" i="3" s="1"/>
  <c r="X86" i="3"/>
  <c r="Z86" i="3" s="1"/>
  <c r="T86" i="3"/>
  <c r="V86" i="3" s="1"/>
  <c r="W86" i="3" s="1"/>
  <c r="P86" i="3"/>
  <c r="R86" i="3" s="1"/>
  <c r="S86" i="3" s="1"/>
  <c r="X85" i="3"/>
  <c r="Z85" i="3" s="1"/>
  <c r="T85" i="3"/>
  <c r="V85" i="3" s="1"/>
  <c r="W85" i="3" s="1"/>
  <c r="P85" i="3"/>
  <c r="R85" i="3" s="1"/>
  <c r="S85" i="3" s="1"/>
  <c r="X84" i="3"/>
  <c r="Z84" i="3" s="1"/>
  <c r="T84" i="3"/>
  <c r="V84" i="3" s="1"/>
  <c r="W84" i="3" s="1"/>
  <c r="P84" i="3"/>
  <c r="R84" i="3" s="1"/>
  <c r="S84" i="3" s="1"/>
  <c r="X83" i="3"/>
  <c r="Z83" i="3" s="1"/>
  <c r="T83" i="3"/>
  <c r="V83" i="3" s="1"/>
  <c r="W83" i="3" s="1"/>
  <c r="P83" i="3"/>
  <c r="R83" i="3" s="1"/>
  <c r="S83" i="3" s="1"/>
  <c r="X82" i="3"/>
  <c r="Z82" i="3" s="1"/>
  <c r="T82" i="3"/>
  <c r="V82" i="3" s="1"/>
  <c r="W82" i="3" s="1"/>
  <c r="P82" i="3"/>
  <c r="R82" i="3" s="1"/>
  <c r="S82" i="3" s="1"/>
  <c r="X81" i="3"/>
  <c r="Z81" i="3" s="1"/>
  <c r="T81" i="3"/>
  <c r="V81" i="3" s="1"/>
  <c r="W81" i="3" s="1"/>
  <c r="P81" i="3"/>
  <c r="R81" i="3" s="1"/>
  <c r="S81" i="3" s="1"/>
  <c r="X80" i="3"/>
  <c r="Z80" i="3" s="1"/>
  <c r="T80" i="3"/>
  <c r="V80" i="3" s="1"/>
  <c r="W80" i="3" s="1"/>
  <c r="P80" i="3"/>
  <c r="R80" i="3" s="1"/>
  <c r="S80" i="3" s="1"/>
  <c r="X79" i="3"/>
  <c r="Z79" i="3" s="1"/>
  <c r="T79" i="3"/>
  <c r="V79" i="3" s="1"/>
  <c r="W79" i="3" s="1"/>
  <c r="P79" i="3"/>
  <c r="R79" i="3" s="1"/>
  <c r="S79" i="3" s="1"/>
  <c r="X78" i="3"/>
  <c r="Z78" i="3" s="1"/>
  <c r="T78" i="3"/>
  <c r="V78" i="3" s="1"/>
  <c r="W78" i="3" s="1"/>
  <c r="P78" i="3"/>
  <c r="R78" i="3" s="1"/>
  <c r="S78" i="3" s="1"/>
  <c r="X77" i="3"/>
  <c r="Z77" i="3" s="1"/>
  <c r="T77" i="3"/>
  <c r="V77" i="3" s="1"/>
  <c r="W77" i="3" s="1"/>
  <c r="P77" i="3"/>
  <c r="R77" i="3" s="1"/>
  <c r="S77" i="3" s="1"/>
  <c r="X76" i="3"/>
  <c r="Z76" i="3" s="1"/>
  <c r="T76" i="3"/>
  <c r="V76" i="3" s="1"/>
  <c r="W76" i="3" s="1"/>
  <c r="P76" i="3"/>
  <c r="R76" i="3" s="1"/>
  <c r="S76" i="3" s="1"/>
  <c r="T75" i="3"/>
  <c r="V75" i="3" s="1"/>
  <c r="W75" i="3" s="1"/>
  <c r="P75" i="3"/>
  <c r="R75" i="3" s="1"/>
  <c r="S75" i="3" s="1"/>
  <c r="M75" i="3"/>
  <c r="X75" i="3" s="1"/>
  <c r="Z75" i="3" s="1"/>
  <c r="X74" i="3"/>
  <c r="Z74" i="3" s="1"/>
  <c r="T74" i="3"/>
  <c r="V74" i="3" s="1"/>
  <c r="W74" i="3" s="1"/>
  <c r="P74" i="3"/>
  <c r="R74" i="3" s="1"/>
  <c r="S74" i="3" s="1"/>
  <c r="X73" i="3"/>
  <c r="Z73" i="3" s="1"/>
  <c r="T73" i="3"/>
  <c r="V73" i="3" s="1"/>
  <c r="W73" i="3" s="1"/>
  <c r="P73" i="3"/>
  <c r="R73" i="3" s="1"/>
  <c r="S73" i="3" s="1"/>
  <c r="X72" i="3"/>
  <c r="Z72" i="3" s="1"/>
  <c r="T72" i="3"/>
  <c r="V72" i="3" s="1"/>
  <c r="W72" i="3" s="1"/>
  <c r="P72" i="3"/>
  <c r="R72" i="3" s="1"/>
  <c r="S72" i="3" s="1"/>
  <c r="X71" i="3"/>
  <c r="Z71" i="3" s="1"/>
  <c r="AA71" i="3" s="1"/>
  <c r="T71" i="3"/>
  <c r="V71" i="3" s="1"/>
  <c r="W71" i="3" s="1"/>
  <c r="P71" i="3"/>
  <c r="R71" i="3" s="1"/>
  <c r="S71" i="3" s="1"/>
  <c r="X70" i="3"/>
  <c r="Z70" i="3" s="1"/>
  <c r="T70" i="3"/>
  <c r="V70" i="3" s="1"/>
  <c r="W70" i="3" s="1"/>
  <c r="P70" i="3"/>
  <c r="R70" i="3" s="1"/>
  <c r="S70" i="3" s="1"/>
  <c r="X69" i="3"/>
  <c r="Z69" i="3" s="1"/>
  <c r="T69" i="3"/>
  <c r="V69" i="3" s="1"/>
  <c r="W69" i="3" s="1"/>
  <c r="P69" i="3"/>
  <c r="R69" i="3" s="1"/>
  <c r="S69" i="3" s="1"/>
  <c r="X68" i="3"/>
  <c r="Z68" i="3" s="1"/>
  <c r="T68" i="3"/>
  <c r="V68" i="3" s="1"/>
  <c r="W68" i="3" s="1"/>
  <c r="P68" i="3"/>
  <c r="R68" i="3" s="1"/>
  <c r="S68" i="3" s="1"/>
  <c r="X67" i="3"/>
  <c r="Z67" i="3" s="1"/>
  <c r="AA67" i="3" s="1"/>
  <c r="T67" i="3"/>
  <c r="V67" i="3" s="1"/>
  <c r="W67" i="3" s="1"/>
  <c r="P67" i="3"/>
  <c r="R67" i="3" s="1"/>
  <c r="S67" i="3" s="1"/>
  <c r="X66" i="3"/>
  <c r="Z66" i="3" s="1"/>
  <c r="T66" i="3"/>
  <c r="V66" i="3" s="1"/>
  <c r="W66" i="3" s="1"/>
  <c r="P66" i="3"/>
  <c r="R66" i="3" s="1"/>
  <c r="S66" i="3" s="1"/>
  <c r="X65" i="3"/>
  <c r="Z65" i="3" s="1"/>
  <c r="T65" i="3"/>
  <c r="V65" i="3" s="1"/>
  <c r="W65" i="3" s="1"/>
  <c r="P65" i="3"/>
  <c r="R65" i="3" s="1"/>
  <c r="S65" i="3" s="1"/>
  <c r="X64" i="3"/>
  <c r="Z64" i="3" s="1"/>
  <c r="T64" i="3"/>
  <c r="V64" i="3" s="1"/>
  <c r="W64" i="3" s="1"/>
  <c r="P64" i="3"/>
  <c r="R64" i="3" s="1"/>
  <c r="S64" i="3" s="1"/>
  <c r="X63" i="3"/>
  <c r="Z63" i="3" s="1"/>
  <c r="AA63" i="3" s="1"/>
  <c r="T63" i="3"/>
  <c r="V63" i="3" s="1"/>
  <c r="W63" i="3" s="1"/>
  <c r="P63" i="3"/>
  <c r="R63" i="3" s="1"/>
  <c r="S63" i="3" s="1"/>
  <c r="X62" i="3"/>
  <c r="Z62" i="3" s="1"/>
  <c r="T62" i="3"/>
  <c r="V62" i="3" s="1"/>
  <c r="W62" i="3" s="1"/>
  <c r="P62" i="3"/>
  <c r="R62" i="3" s="1"/>
  <c r="S62" i="3" s="1"/>
  <c r="X61" i="3"/>
  <c r="Z61" i="3" s="1"/>
  <c r="T61" i="3"/>
  <c r="V61" i="3" s="1"/>
  <c r="W61" i="3" s="1"/>
  <c r="P61" i="3"/>
  <c r="R61" i="3" s="1"/>
  <c r="S61" i="3" s="1"/>
  <c r="T60" i="3"/>
  <c r="V60" i="3" s="1"/>
  <c r="W60" i="3" s="1"/>
  <c r="P60" i="3"/>
  <c r="R60" i="3" s="1"/>
  <c r="S60" i="3" s="1"/>
  <c r="M60" i="3"/>
  <c r="X60" i="3" s="1"/>
  <c r="Z60" i="3" s="1"/>
  <c r="X59" i="3"/>
  <c r="Z59" i="3" s="1"/>
  <c r="T59" i="3"/>
  <c r="V59" i="3" s="1"/>
  <c r="W59" i="3" s="1"/>
  <c r="P59" i="3"/>
  <c r="R59" i="3" s="1"/>
  <c r="S59" i="3" s="1"/>
  <c r="X58" i="3"/>
  <c r="Z58" i="3" s="1"/>
  <c r="T58" i="3"/>
  <c r="V58" i="3" s="1"/>
  <c r="W58" i="3" s="1"/>
  <c r="P58" i="3"/>
  <c r="R58" i="3" s="1"/>
  <c r="S58" i="3" s="1"/>
  <c r="X57" i="3"/>
  <c r="Z57" i="3" s="1"/>
  <c r="T57" i="3"/>
  <c r="V57" i="3" s="1"/>
  <c r="W57" i="3" s="1"/>
  <c r="P57" i="3"/>
  <c r="R57" i="3" s="1"/>
  <c r="S57" i="3" s="1"/>
  <c r="X56" i="3"/>
  <c r="Z56" i="3" s="1"/>
  <c r="T56" i="3"/>
  <c r="V56" i="3" s="1"/>
  <c r="W56" i="3" s="1"/>
  <c r="P56" i="3"/>
  <c r="R56" i="3" s="1"/>
  <c r="S56" i="3" s="1"/>
  <c r="X55" i="3"/>
  <c r="Z55" i="3" s="1"/>
  <c r="T55" i="3"/>
  <c r="V55" i="3" s="1"/>
  <c r="W55" i="3" s="1"/>
  <c r="P55" i="3"/>
  <c r="R55" i="3" s="1"/>
  <c r="S55" i="3" s="1"/>
  <c r="X54" i="3"/>
  <c r="Z54" i="3" s="1"/>
  <c r="T54" i="3"/>
  <c r="V54" i="3" s="1"/>
  <c r="W54" i="3" s="1"/>
  <c r="P54" i="3"/>
  <c r="R54" i="3" s="1"/>
  <c r="S54" i="3" s="1"/>
  <c r="X53" i="3"/>
  <c r="Z53" i="3" s="1"/>
  <c r="T53" i="3"/>
  <c r="V53" i="3" s="1"/>
  <c r="W53" i="3" s="1"/>
  <c r="P53" i="3"/>
  <c r="R53" i="3" s="1"/>
  <c r="S53" i="3" s="1"/>
  <c r="X52" i="3"/>
  <c r="Z52" i="3" s="1"/>
  <c r="O52" i="3" s="1"/>
  <c r="T52" i="3"/>
  <c r="V52" i="3" s="1"/>
  <c r="W52" i="3" s="1"/>
  <c r="P52" i="3"/>
  <c r="R52" i="3" s="1"/>
  <c r="S52" i="3" s="1"/>
  <c r="X51" i="3"/>
  <c r="Z51" i="3" s="1"/>
  <c r="T51" i="3"/>
  <c r="V51" i="3" s="1"/>
  <c r="W51" i="3" s="1"/>
  <c r="P51" i="3"/>
  <c r="R51" i="3" s="1"/>
  <c r="S51" i="3" s="1"/>
  <c r="X50" i="3"/>
  <c r="Z50" i="3" s="1"/>
  <c r="T50" i="3"/>
  <c r="V50" i="3" s="1"/>
  <c r="W50" i="3" s="1"/>
  <c r="P50" i="3"/>
  <c r="R50" i="3" s="1"/>
  <c r="S50" i="3" s="1"/>
  <c r="X49" i="3"/>
  <c r="Z49" i="3" s="1"/>
  <c r="T49" i="3"/>
  <c r="V49" i="3" s="1"/>
  <c r="W49" i="3" s="1"/>
  <c r="P49" i="3"/>
  <c r="R49" i="3" s="1"/>
  <c r="S49" i="3" s="1"/>
  <c r="X48" i="3"/>
  <c r="Z48" i="3" s="1"/>
  <c r="T48" i="3"/>
  <c r="V48" i="3" s="1"/>
  <c r="W48" i="3" s="1"/>
  <c r="P48" i="3"/>
  <c r="R48" i="3" s="1"/>
  <c r="S48" i="3" s="1"/>
  <c r="X47" i="3"/>
  <c r="Z47" i="3" s="1"/>
  <c r="T47" i="3"/>
  <c r="V47" i="3" s="1"/>
  <c r="W47" i="3" s="1"/>
  <c r="P47" i="3"/>
  <c r="R47" i="3" s="1"/>
  <c r="S47" i="3" s="1"/>
  <c r="X46" i="3"/>
  <c r="Z46" i="3" s="1"/>
  <c r="T46" i="3"/>
  <c r="V46" i="3" s="1"/>
  <c r="W46" i="3" s="1"/>
  <c r="P46" i="3"/>
  <c r="R46" i="3" s="1"/>
  <c r="S46" i="3" s="1"/>
  <c r="T45" i="3"/>
  <c r="V45" i="3" s="1"/>
  <c r="W45" i="3" s="1"/>
  <c r="P45" i="3"/>
  <c r="R45" i="3" s="1"/>
  <c r="S45" i="3" s="1"/>
  <c r="M45" i="3"/>
  <c r="X45" i="3" s="1"/>
  <c r="Z45" i="3" s="1"/>
  <c r="X44" i="3"/>
  <c r="Z44" i="3" s="1"/>
  <c r="T44" i="3"/>
  <c r="V44" i="3" s="1"/>
  <c r="W44" i="3" s="1"/>
  <c r="P44" i="3"/>
  <c r="R44" i="3" s="1"/>
  <c r="S44" i="3" s="1"/>
  <c r="X43" i="3"/>
  <c r="Z43" i="3" s="1"/>
  <c r="T43" i="3"/>
  <c r="V43" i="3" s="1"/>
  <c r="W43" i="3" s="1"/>
  <c r="P43" i="3"/>
  <c r="R43" i="3" s="1"/>
  <c r="S43" i="3" s="1"/>
  <c r="X42" i="3"/>
  <c r="Z42" i="3" s="1"/>
  <c r="T42" i="3"/>
  <c r="V42" i="3" s="1"/>
  <c r="W42" i="3" s="1"/>
  <c r="P42" i="3"/>
  <c r="R42" i="3" s="1"/>
  <c r="S42" i="3" s="1"/>
  <c r="X41" i="3"/>
  <c r="Z41" i="3" s="1"/>
  <c r="T41" i="3"/>
  <c r="V41" i="3" s="1"/>
  <c r="W41" i="3" s="1"/>
  <c r="P41" i="3"/>
  <c r="R41" i="3" s="1"/>
  <c r="S41" i="3" s="1"/>
  <c r="X40" i="3"/>
  <c r="Z40" i="3" s="1"/>
  <c r="T40" i="3"/>
  <c r="V40" i="3" s="1"/>
  <c r="W40" i="3" s="1"/>
  <c r="P40" i="3"/>
  <c r="R40" i="3" s="1"/>
  <c r="S40" i="3" s="1"/>
  <c r="X39" i="3"/>
  <c r="Z39" i="3" s="1"/>
  <c r="O39" i="3" s="1"/>
  <c r="T39" i="3"/>
  <c r="V39" i="3" s="1"/>
  <c r="W39" i="3" s="1"/>
  <c r="P39" i="3"/>
  <c r="R39" i="3" s="1"/>
  <c r="S39" i="3" s="1"/>
  <c r="X38" i="3"/>
  <c r="Z38" i="3" s="1"/>
  <c r="AA38" i="3" s="1"/>
  <c r="T38" i="3"/>
  <c r="V38" i="3" s="1"/>
  <c r="W38" i="3" s="1"/>
  <c r="P38" i="3"/>
  <c r="R38" i="3" s="1"/>
  <c r="S38" i="3" s="1"/>
  <c r="X37" i="3"/>
  <c r="Z37" i="3" s="1"/>
  <c r="T37" i="3"/>
  <c r="V37" i="3" s="1"/>
  <c r="W37" i="3" s="1"/>
  <c r="P37" i="3"/>
  <c r="R37" i="3" s="1"/>
  <c r="S37" i="3" s="1"/>
  <c r="X36" i="3"/>
  <c r="Z36" i="3" s="1"/>
  <c r="T36" i="3"/>
  <c r="V36" i="3" s="1"/>
  <c r="W36" i="3" s="1"/>
  <c r="P36" i="3"/>
  <c r="R36" i="3" s="1"/>
  <c r="S36" i="3" s="1"/>
  <c r="X35" i="3"/>
  <c r="Z35" i="3" s="1"/>
  <c r="T35" i="3"/>
  <c r="V35" i="3" s="1"/>
  <c r="W35" i="3" s="1"/>
  <c r="P35" i="3"/>
  <c r="R35" i="3" s="1"/>
  <c r="S35" i="3" s="1"/>
  <c r="X34" i="3"/>
  <c r="Z34" i="3" s="1"/>
  <c r="T34" i="3"/>
  <c r="V34" i="3" s="1"/>
  <c r="W34" i="3" s="1"/>
  <c r="P34" i="3"/>
  <c r="R34" i="3" s="1"/>
  <c r="S34" i="3" s="1"/>
  <c r="X33" i="3"/>
  <c r="Z33" i="3" s="1"/>
  <c r="T33" i="3"/>
  <c r="V33" i="3" s="1"/>
  <c r="W33" i="3" s="1"/>
  <c r="P33" i="3"/>
  <c r="R33" i="3" s="1"/>
  <c r="S33" i="3" s="1"/>
  <c r="X32" i="3"/>
  <c r="Z32" i="3" s="1"/>
  <c r="T32" i="3"/>
  <c r="V32" i="3" s="1"/>
  <c r="W32" i="3" s="1"/>
  <c r="P32" i="3"/>
  <c r="R32" i="3" s="1"/>
  <c r="S32" i="3" s="1"/>
  <c r="X31" i="3"/>
  <c r="Z31" i="3" s="1"/>
  <c r="T31" i="3"/>
  <c r="V31" i="3" s="1"/>
  <c r="W31" i="3" s="1"/>
  <c r="P31" i="3"/>
  <c r="R31" i="3" s="1"/>
  <c r="S31" i="3" s="1"/>
  <c r="T30" i="3"/>
  <c r="V30" i="3" s="1"/>
  <c r="W30" i="3" s="1"/>
  <c r="P30" i="3"/>
  <c r="R30" i="3" s="1"/>
  <c r="S30" i="3" s="1"/>
  <c r="M30" i="3"/>
  <c r="X30" i="3" s="1"/>
  <c r="Z30" i="3" s="1"/>
  <c r="X29" i="3"/>
  <c r="Z29" i="3" s="1"/>
  <c r="T29" i="3"/>
  <c r="V29" i="3" s="1"/>
  <c r="W29" i="3" s="1"/>
  <c r="P29" i="3"/>
  <c r="R29" i="3" s="1"/>
  <c r="S29" i="3" s="1"/>
  <c r="X28" i="3"/>
  <c r="Z28" i="3" s="1"/>
  <c r="T28" i="3"/>
  <c r="V28" i="3" s="1"/>
  <c r="W28" i="3" s="1"/>
  <c r="P28" i="3"/>
  <c r="R28" i="3" s="1"/>
  <c r="S28" i="3" s="1"/>
  <c r="X27" i="3"/>
  <c r="Z27" i="3" s="1"/>
  <c r="T27" i="3"/>
  <c r="V27" i="3" s="1"/>
  <c r="W27" i="3" s="1"/>
  <c r="P27" i="3"/>
  <c r="R27" i="3" s="1"/>
  <c r="S27" i="3" s="1"/>
  <c r="X26" i="3"/>
  <c r="Z26" i="3" s="1"/>
  <c r="T26" i="3"/>
  <c r="V26" i="3" s="1"/>
  <c r="W26" i="3" s="1"/>
  <c r="P26" i="3"/>
  <c r="R26" i="3" s="1"/>
  <c r="S26" i="3" s="1"/>
  <c r="X25" i="3"/>
  <c r="Z25" i="3" s="1"/>
  <c r="T25" i="3"/>
  <c r="V25" i="3" s="1"/>
  <c r="W25" i="3" s="1"/>
  <c r="P25" i="3"/>
  <c r="R25" i="3" s="1"/>
  <c r="S25" i="3" s="1"/>
  <c r="X24" i="3"/>
  <c r="Z24" i="3" s="1"/>
  <c r="T24" i="3"/>
  <c r="V24" i="3" s="1"/>
  <c r="W24" i="3" s="1"/>
  <c r="P24" i="3"/>
  <c r="R24" i="3" s="1"/>
  <c r="S24" i="3" s="1"/>
  <c r="X23" i="3"/>
  <c r="Z23" i="3" s="1"/>
  <c r="T23" i="3"/>
  <c r="V23" i="3" s="1"/>
  <c r="W23" i="3" s="1"/>
  <c r="P23" i="3"/>
  <c r="R23" i="3" s="1"/>
  <c r="S23" i="3" s="1"/>
  <c r="X22" i="3"/>
  <c r="Z22" i="3" s="1"/>
  <c r="T22" i="3"/>
  <c r="V22" i="3" s="1"/>
  <c r="W22" i="3" s="1"/>
  <c r="P22" i="3"/>
  <c r="R22" i="3" s="1"/>
  <c r="S22" i="3" s="1"/>
  <c r="X21" i="3"/>
  <c r="Z21" i="3" s="1"/>
  <c r="T21" i="3"/>
  <c r="V21" i="3" s="1"/>
  <c r="W21" i="3" s="1"/>
  <c r="P21" i="3"/>
  <c r="R21" i="3" s="1"/>
  <c r="S21" i="3" s="1"/>
  <c r="X20" i="3"/>
  <c r="Z20" i="3" s="1"/>
  <c r="T20" i="3"/>
  <c r="V20" i="3" s="1"/>
  <c r="W20" i="3" s="1"/>
  <c r="P20" i="3"/>
  <c r="R20" i="3" s="1"/>
  <c r="S20" i="3" s="1"/>
  <c r="X19" i="3"/>
  <c r="Z19" i="3" s="1"/>
  <c r="T19" i="3"/>
  <c r="V19" i="3" s="1"/>
  <c r="W19" i="3" s="1"/>
  <c r="P19" i="3"/>
  <c r="R19" i="3" s="1"/>
  <c r="S19" i="3" s="1"/>
  <c r="X18" i="3"/>
  <c r="Z18" i="3" s="1"/>
  <c r="T18" i="3"/>
  <c r="V18" i="3" s="1"/>
  <c r="W18" i="3" s="1"/>
  <c r="P18" i="3"/>
  <c r="R18" i="3" s="1"/>
  <c r="S18" i="3" s="1"/>
  <c r="X17" i="3"/>
  <c r="Z17" i="3" s="1"/>
  <c r="T17" i="3"/>
  <c r="V17" i="3" s="1"/>
  <c r="W17" i="3" s="1"/>
  <c r="P17" i="3"/>
  <c r="R17" i="3" s="1"/>
  <c r="S17" i="3" s="1"/>
  <c r="M15" i="3"/>
  <c r="X15" i="3" s="1"/>
  <c r="Z15" i="3" s="1"/>
  <c r="O15" i="3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O38" i="1"/>
  <c r="O69" i="1"/>
  <c r="P3" i="1"/>
  <c r="P4" i="1"/>
  <c r="P5" i="1"/>
  <c r="P6" i="1"/>
  <c r="P7" i="1"/>
  <c r="P8" i="1"/>
  <c r="P9" i="1"/>
  <c r="P10" i="1"/>
  <c r="P11" i="1"/>
  <c r="P12" i="1"/>
  <c r="P13" i="1"/>
  <c r="P14" i="1"/>
  <c r="P17" i="1"/>
  <c r="P18" i="1"/>
  <c r="P19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8" i="1"/>
  <c r="P39" i="1"/>
  <c r="P40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9" i="1"/>
  <c r="P60" i="1"/>
  <c r="P61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80" i="1"/>
  <c r="P81" i="1"/>
  <c r="P82" i="1"/>
  <c r="P86" i="1"/>
  <c r="S86" i="1" s="1"/>
  <c r="P87" i="1"/>
  <c r="P88" i="1"/>
  <c r="P89" i="1"/>
  <c r="P90" i="1"/>
  <c r="P91" i="1"/>
  <c r="P92" i="1"/>
  <c r="P93" i="1"/>
  <c r="P94" i="1"/>
  <c r="P95" i="1"/>
  <c r="P96" i="1"/>
  <c r="P97" i="1"/>
  <c r="P98" i="1"/>
  <c r="P101" i="1"/>
  <c r="P102" i="1"/>
  <c r="P103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2" i="1"/>
  <c r="P123" i="1"/>
  <c r="P124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3" i="1"/>
  <c r="P144" i="1"/>
  <c r="P145" i="1"/>
  <c r="R3" i="1"/>
  <c r="O3" i="1" s="1"/>
  <c r="R4" i="1"/>
  <c r="O4" i="1" s="1"/>
  <c r="R5" i="1"/>
  <c r="O5" i="1" s="1"/>
  <c r="R6" i="1"/>
  <c r="O6" i="1" s="1"/>
  <c r="R7" i="1"/>
  <c r="O7" i="1" s="1"/>
  <c r="R8" i="1"/>
  <c r="O8" i="1" s="1"/>
  <c r="R9" i="1"/>
  <c r="O9" i="1" s="1"/>
  <c r="R10" i="1"/>
  <c r="O10" i="1" s="1"/>
  <c r="R11" i="1"/>
  <c r="O11" i="1" s="1"/>
  <c r="R12" i="1"/>
  <c r="O12" i="1" s="1"/>
  <c r="R13" i="1"/>
  <c r="O13" i="1" s="1"/>
  <c r="R14" i="1"/>
  <c r="O14" i="1" s="1"/>
  <c r="R16" i="1"/>
  <c r="O16" i="1" s="1"/>
  <c r="R17" i="1"/>
  <c r="O17" i="1" s="1"/>
  <c r="R18" i="1"/>
  <c r="O18" i="1" s="1"/>
  <c r="R19" i="1"/>
  <c r="O19" i="1" s="1"/>
  <c r="R23" i="1"/>
  <c r="O23" i="1" s="1"/>
  <c r="R24" i="1"/>
  <c r="O24" i="1" s="1"/>
  <c r="R25" i="1"/>
  <c r="O25" i="1" s="1"/>
  <c r="R26" i="1"/>
  <c r="O26" i="1" s="1"/>
  <c r="R27" i="1"/>
  <c r="O27" i="1" s="1"/>
  <c r="R28" i="1"/>
  <c r="O28" i="1" s="1"/>
  <c r="R29" i="1"/>
  <c r="O29" i="1" s="1"/>
  <c r="R30" i="1"/>
  <c r="O30" i="1" s="1"/>
  <c r="R31" i="1"/>
  <c r="O31" i="1" s="1"/>
  <c r="R32" i="1"/>
  <c r="O32" i="1" s="1"/>
  <c r="R33" i="1"/>
  <c r="O33" i="1" s="1"/>
  <c r="R34" i="1"/>
  <c r="O34" i="1" s="1"/>
  <c r="R35" i="1"/>
  <c r="O35" i="1" s="1"/>
  <c r="R38" i="1"/>
  <c r="R39" i="1"/>
  <c r="O39" i="1" s="1"/>
  <c r="R40" i="1"/>
  <c r="O40" i="1" s="1"/>
  <c r="R44" i="1"/>
  <c r="O44" i="1" s="1"/>
  <c r="R45" i="1"/>
  <c r="O45" i="1" s="1"/>
  <c r="R46" i="1"/>
  <c r="O46" i="1" s="1"/>
  <c r="R47" i="1"/>
  <c r="O47" i="1" s="1"/>
  <c r="R48" i="1"/>
  <c r="O48" i="1" s="1"/>
  <c r="R49" i="1"/>
  <c r="O49" i="1" s="1"/>
  <c r="R50" i="1"/>
  <c r="O50" i="1" s="1"/>
  <c r="R51" i="1"/>
  <c r="O51" i="1" s="1"/>
  <c r="R52" i="1"/>
  <c r="O52" i="1" s="1"/>
  <c r="R53" i="1"/>
  <c r="O53" i="1" s="1"/>
  <c r="R54" i="1"/>
  <c r="O54" i="1" s="1"/>
  <c r="R55" i="1"/>
  <c r="O55" i="1" s="1"/>
  <c r="R56" i="1"/>
  <c r="O56" i="1" s="1"/>
  <c r="R59" i="1"/>
  <c r="O59" i="1" s="1"/>
  <c r="R60" i="1"/>
  <c r="O60" i="1" s="1"/>
  <c r="R61" i="1"/>
  <c r="O61" i="1" s="1"/>
  <c r="R65" i="1"/>
  <c r="O65" i="1" s="1"/>
  <c r="R66" i="1"/>
  <c r="O66" i="1" s="1"/>
  <c r="R67" i="1"/>
  <c r="O67" i="1" s="1"/>
  <c r="R68" i="1"/>
  <c r="O68" i="1" s="1"/>
  <c r="R69" i="1"/>
  <c r="R70" i="1"/>
  <c r="O70" i="1" s="1"/>
  <c r="R71" i="1"/>
  <c r="O71" i="1" s="1"/>
  <c r="R72" i="1"/>
  <c r="O72" i="1" s="1"/>
  <c r="R73" i="1"/>
  <c r="O73" i="1" s="1"/>
  <c r="R74" i="1"/>
  <c r="O74" i="1" s="1"/>
  <c r="R75" i="1"/>
  <c r="O75" i="1" s="1"/>
  <c r="R76" i="1"/>
  <c r="O76" i="1" s="1"/>
  <c r="R77" i="1"/>
  <c r="O77" i="1" s="1"/>
  <c r="R80" i="1"/>
  <c r="O80" i="1" s="1"/>
  <c r="R81" i="1"/>
  <c r="O81" i="1" s="1"/>
  <c r="R82" i="1"/>
  <c r="O82" i="1" s="1"/>
  <c r="R86" i="1"/>
  <c r="O86" i="1" s="1"/>
  <c r="R87" i="1"/>
  <c r="O87" i="1" s="1"/>
  <c r="R88" i="1"/>
  <c r="O88" i="1" s="1"/>
  <c r="R89" i="1"/>
  <c r="O89" i="1" s="1"/>
  <c r="R90" i="1"/>
  <c r="O90" i="1" s="1"/>
  <c r="R91" i="1"/>
  <c r="O91" i="1" s="1"/>
  <c r="R92" i="1"/>
  <c r="O92" i="1" s="1"/>
  <c r="R93" i="1"/>
  <c r="O93" i="1" s="1"/>
  <c r="R94" i="1"/>
  <c r="O94" i="1" s="1"/>
  <c r="R95" i="1"/>
  <c r="O95" i="1" s="1"/>
  <c r="R96" i="1"/>
  <c r="O96" i="1" s="1"/>
  <c r="R97" i="1"/>
  <c r="O97" i="1" s="1"/>
  <c r="R98" i="1"/>
  <c r="O98" i="1" s="1"/>
  <c r="R101" i="1"/>
  <c r="O101" i="1" s="1"/>
  <c r="R102" i="1"/>
  <c r="O102" i="1" s="1"/>
  <c r="R103" i="1"/>
  <c r="O103" i="1" s="1"/>
  <c r="R107" i="1"/>
  <c r="O107" i="1" s="1"/>
  <c r="R108" i="1"/>
  <c r="O108" i="1" s="1"/>
  <c r="R109" i="1"/>
  <c r="O109" i="1" s="1"/>
  <c r="R110" i="1"/>
  <c r="O110" i="1" s="1"/>
  <c r="R111" i="1"/>
  <c r="O111" i="1" s="1"/>
  <c r="R112" i="1"/>
  <c r="O112" i="1" s="1"/>
  <c r="R113" i="1"/>
  <c r="O113" i="1" s="1"/>
  <c r="R114" i="1"/>
  <c r="O114" i="1" s="1"/>
  <c r="R115" i="1"/>
  <c r="O115" i="1" s="1"/>
  <c r="R116" i="1"/>
  <c r="O116" i="1" s="1"/>
  <c r="R117" i="1"/>
  <c r="S117" i="1" s="1"/>
  <c r="R118" i="1"/>
  <c r="O118" i="1" s="1"/>
  <c r="R119" i="1"/>
  <c r="O119" i="1" s="1"/>
  <c r="R122" i="1"/>
  <c r="O122" i="1" s="1"/>
  <c r="R123" i="1"/>
  <c r="O123" i="1" s="1"/>
  <c r="R124" i="1"/>
  <c r="O124" i="1" s="1"/>
  <c r="R128" i="1"/>
  <c r="S128" i="1" s="1"/>
  <c r="R129" i="1"/>
  <c r="O129" i="1" s="1"/>
  <c r="R130" i="1"/>
  <c r="O130" i="1" s="1"/>
  <c r="R131" i="1"/>
  <c r="O131" i="1" s="1"/>
  <c r="R132" i="1"/>
  <c r="O132" i="1" s="1"/>
  <c r="R133" i="1"/>
  <c r="O133" i="1" s="1"/>
  <c r="R134" i="1"/>
  <c r="O134" i="1" s="1"/>
  <c r="R135" i="1"/>
  <c r="O135" i="1" s="1"/>
  <c r="R136" i="1"/>
  <c r="O136" i="1" s="1"/>
  <c r="R137" i="1"/>
  <c r="O137" i="1" s="1"/>
  <c r="R138" i="1"/>
  <c r="O138" i="1" s="1"/>
  <c r="R139" i="1"/>
  <c r="O139" i="1" s="1"/>
  <c r="R140" i="1"/>
  <c r="O140" i="1" s="1"/>
  <c r="R143" i="1"/>
  <c r="O143" i="1" s="1"/>
  <c r="R144" i="1"/>
  <c r="O144" i="1" s="1"/>
  <c r="R145" i="1"/>
  <c r="O145" i="1" s="1"/>
  <c r="X113" i="2"/>
  <c r="Z113" i="2" s="1"/>
  <c r="AA113" i="2" s="1"/>
  <c r="P113" i="2"/>
  <c r="R113" i="2" s="1"/>
  <c r="S113" i="2" s="1"/>
  <c r="M113" i="2"/>
  <c r="X112" i="2"/>
  <c r="Z112" i="2" s="1"/>
  <c r="AA112" i="2" s="1"/>
  <c r="P112" i="2"/>
  <c r="R112" i="2" s="1"/>
  <c r="S112" i="2" s="1"/>
  <c r="M112" i="2"/>
  <c r="X111" i="2"/>
  <c r="Z111" i="2" s="1"/>
  <c r="AA111" i="2" s="1"/>
  <c r="P111" i="2"/>
  <c r="R111" i="2" s="1"/>
  <c r="S111" i="2" s="1"/>
  <c r="M111" i="2"/>
  <c r="X110" i="2"/>
  <c r="Z110" i="2" s="1"/>
  <c r="AA110" i="2" s="1"/>
  <c r="P110" i="2"/>
  <c r="R110" i="2" s="1"/>
  <c r="S110" i="2" s="1"/>
  <c r="X109" i="2"/>
  <c r="Z109" i="2" s="1"/>
  <c r="AA109" i="2" s="1"/>
  <c r="P109" i="2"/>
  <c r="R109" i="2" s="1"/>
  <c r="S109" i="2" s="1"/>
  <c r="X108" i="2"/>
  <c r="Z108" i="2" s="1"/>
  <c r="AA108" i="2" s="1"/>
  <c r="P108" i="2"/>
  <c r="R108" i="2" s="1"/>
  <c r="S108" i="2" s="1"/>
  <c r="X107" i="2"/>
  <c r="Z107" i="2" s="1"/>
  <c r="AA107" i="2" s="1"/>
  <c r="P107" i="2"/>
  <c r="R107" i="2" s="1"/>
  <c r="S107" i="2" s="1"/>
  <c r="X106" i="2"/>
  <c r="Z106" i="2" s="1"/>
  <c r="AA106" i="2" s="1"/>
  <c r="P106" i="2"/>
  <c r="R106" i="2" s="1"/>
  <c r="S106" i="2" s="1"/>
  <c r="X105" i="2"/>
  <c r="Z105" i="2" s="1"/>
  <c r="AA105" i="2" s="1"/>
  <c r="P105" i="2"/>
  <c r="R105" i="2" s="1"/>
  <c r="S105" i="2" s="1"/>
  <c r="X104" i="2"/>
  <c r="Z104" i="2" s="1"/>
  <c r="AA104" i="2" s="1"/>
  <c r="R104" i="2"/>
  <c r="S104" i="2" s="1"/>
  <c r="P104" i="2"/>
  <c r="X103" i="2"/>
  <c r="Z103" i="2" s="1"/>
  <c r="AA103" i="2" s="1"/>
  <c r="P103" i="2"/>
  <c r="R103" i="2" s="1"/>
  <c r="S103" i="2" s="1"/>
  <c r="X102" i="2"/>
  <c r="Z102" i="2" s="1"/>
  <c r="AA102" i="2" s="1"/>
  <c r="P102" i="2"/>
  <c r="R102" i="2" s="1"/>
  <c r="S102" i="2" s="1"/>
  <c r="X101" i="2"/>
  <c r="Z101" i="2" s="1"/>
  <c r="AA101" i="2" s="1"/>
  <c r="P101" i="2"/>
  <c r="R101" i="2" s="1"/>
  <c r="S101" i="2" s="1"/>
  <c r="X100" i="2"/>
  <c r="Z100" i="2" s="1"/>
  <c r="AA100" i="2" s="1"/>
  <c r="P100" i="2"/>
  <c r="R100" i="2" s="1"/>
  <c r="S100" i="2" s="1"/>
  <c r="X99" i="2"/>
  <c r="Z99" i="2" s="1"/>
  <c r="AA99" i="2" s="1"/>
  <c r="P99" i="2"/>
  <c r="R99" i="2" s="1"/>
  <c r="S99" i="2" s="1"/>
  <c r="X98" i="2"/>
  <c r="Z98" i="2" s="1"/>
  <c r="AA98" i="2" s="1"/>
  <c r="P98" i="2"/>
  <c r="R98" i="2" s="1"/>
  <c r="S98" i="2" s="1"/>
  <c r="X97" i="2"/>
  <c r="Z97" i="2" s="1"/>
  <c r="AA97" i="2" s="1"/>
  <c r="P97" i="2"/>
  <c r="R97" i="2" s="1"/>
  <c r="S97" i="2" s="1"/>
  <c r="M97" i="2"/>
  <c r="X96" i="2"/>
  <c r="Z96" i="2" s="1"/>
  <c r="AA96" i="2" s="1"/>
  <c r="P96" i="2"/>
  <c r="R96" i="2" s="1"/>
  <c r="S96" i="2" s="1"/>
  <c r="M96" i="2"/>
  <c r="X95" i="2"/>
  <c r="Z95" i="2" s="1"/>
  <c r="AA95" i="2" s="1"/>
  <c r="P95" i="2"/>
  <c r="R95" i="2" s="1"/>
  <c r="S95" i="2" s="1"/>
  <c r="M95" i="2"/>
  <c r="X94" i="2"/>
  <c r="Z94" i="2" s="1"/>
  <c r="AA94" i="2" s="1"/>
  <c r="P94" i="2"/>
  <c r="R94" i="2" s="1"/>
  <c r="S94" i="2" s="1"/>
  <c r="X93" i="2"/>
  <c r="Z93" i="2" s="1"/>
  <c r="AA93" i="2" s="1"/>
  <c r="P93" i="2"/>
  <c r="R93" i="2" s="1"/>
  <c r="S93" i="2" s="1"/>
  <c r="X92" i="2"/>
  <c r="Z92" i="2" s="1"/>
  <c r="AA92" i="2" s="1"/>
  <c r="P92" i="2"/>
  <c r="R92" i="2" s="1"/>
  <c r="S92" i="2" s="1"/>
  <c r="X91" i="2"/>
  <c r="Z91" i="2" s="1"/>
  <c r="AA91" i="2" s="1"/>
  <c r="P91" i="2"/>
  <c r="R91" i="2" s="1"/>
  <c r="S91" i="2" s="1"/>
  <c r="X90" i="2"/>
  <c r="Z90" i="2" s="1"/>
  <c r="AA90" i="2" s="1"/>
  <c r="P90" i="2"/>
  <c r="R90" i="2" s="1"/>
  <c r="S90" i="2" s="1"/>
  <c r="X89" i="2"/>
  <c r="Z89" i="2" s="1"/>
  <c r="AA89" i="2" s="1"/>
  <c r="P89" i="2"/>
  <c r="R89" i="2" s="1"/>
  <c r="S89" i="2" s="1"/>
  <c r="X88" i="2"/>
  <c r="Z88" i="2" s="1"/>
  <c r="AA88" i="2" s="1"/>
  <c r="P88" i="2"/>
  <c r="R88" i="2" s="1"/>
  <c r="S88" i="2" s="1"/>
  <c r="X87" i="2"/>
  <c r="Z87" i="2" s="1"/>
  <c r="AA87" i="2" s="1"/>
  <c r="P87" i="2"/>
  <c r="R87" i="2" s="1"/>
  <c r="S87" i="2" s="1"/>
  <c r="X86" i="2"/>
  <c r="Z86" i="2" s="1"/>
  <c r="AA86" i="2" s="1"/>
  <c r="P86" i="2"/>
  <c r="R86" i="2" s="1"/>
  <c r="S86" i="2" s="1"/>
  <c r="X85" i="2"/>
  <c r="Z85" i="2" s="1"/>
  <c r="AA85" i="2" s="1"/>
  <c r="P85" i="2"/>
  <c r="R85" i="2" s="1"/>
  <c r="S85" i="2" s="1"/>
  <c r="X84" i="2"/>
  <c r="Z84" i="2" s="1"/>
  <c r="AA84" i="2" s="1"/>
  <c r="P84" i="2"/>
  <c r="R84" i="2" s="1"/>
  <c r="S84" i="2" s="1"/>
  <c r="X83" i="2"/>
  <c r="Z83" i="2" s="1"/>
  <c r="AA83" i="2" s="1"/>
  <c r="P83" i="2"/>
  <c r="R83" i="2" s="1"/>
  <c r="S83" i="2" s="1"/>
  <c r="X82" i="2"/>
  <c r="Z82" i="2" s="1"/>
  <c r="AA82" i="2" s="1"/>
  <c r="P82" i="2"/>
  <c r="R82" i="2" s="1"/>
  <c r="S82" i="2" s="1"/>
  <c r="X81" i="2"/>
  <c r="Z81" i="2" s="1"/>
  <c r="AA81" i="2" s="1"/>
  <c r="P81" i="2"/>
  <c r="R81" i="2" s="1"/>
  <c r="S81" i="2" s="1"/>
  <c r="M81" i="2"/>
  <c r="X80" i="2"/>
  <c r="Z80" i="2" s="1"/>
  <c r="AA80" i="2" s="1"/>
  <c r="P80" i="2"/>
  <c r="R80" i="2" s="1"/>
  <c r="S80" i="2" s="1"/>
  <c r="M80" i="2"/>
  <c r="X79" i="2"/>
  <c r="Z79" i="2" s="1"/>
  <c r="AA79" i="2" s="1"/>
  <c r="P79" i="2"/>
  <c r="R79" i="2" s="1"/>
  <c r="S79" i="2" s="1"/>
  <c r="M79" i="2"/>
  <c r="X78" i="2"/>
  <c r="Z78" i="2" s="1"/>
  <c r="AA78" i="2" s="1"/>
  <c r="P78" i="2"/>
  <c r="R78" i="2" s="1"/>
  <c r="S78" i="2" s="1"/>
  <c r="X77" i="2"/>
  <c r="Z77" i="2" s="1"/>
  <c r="AA77" i="2" s="1"/>
  <c r="P77" i="2"/>
  <c r="R77" i="2" s="1"/>
  <c r="S77" i="2" s="1"/>
  <c r="X76" i="2"/>
  <c r="Z76" i="2" s="1"/>
  <c r="AA76" i="2" s="1"/>
  <c r="P76" i="2"/>
  <c r="R76" i="2" s="1"/>
  <c r="S76" i="2" s="1"/>
  <c r="X75" i="2"/>
  <c r="Z75" i="2" s="1"/>
  <c r="AA75" i="2" s="1"/>
  <c r="P75" i="2"/>
  <c r="R75" i="2" s="1"/>
  <c r="S75" i="2" s="1"/>
  <c r="X74" i="2"/>
  <c r="Z74" i="2" s="1"/>
  <c r="AA74" i="2" s="1"/>
  <c r="P74" i="2"/>
  <c r="R74" i="2" s="1"/>
  <c r="S74" i="2" s="1"/>
  <c r="X73" i="2"/>
  <c r="Z73" i="2" s="1"/>
  <c r="AA73" i="2" s="1"/>
  <c r="P73" i="2"/>
  <c r="R73" i="2" s="1"/>
  <c r="S73" i="2" s="1"/>
  <c r="X72" i="2"/>
  <c r="Z72" i="2" s="1"/>
  <c r="AA72" i="2" s="1"/>
  <c r="P72" i="2"/>
  <c r="R72" i="2" s="1"/>
  <c r="S72" i="2" s="1"/>
  <c r="X71" i="2"/>
  <c r="Z71" i="2" s="1"/>
  <c r="AA71" i="2" s="1"/>
  <c r="P71" i="2"/>
  <c r="R71" i="2" s="1"/>
  <c r="S71" i="2" s="1"/>
  <c r="X70" i="2"/>
  <c r="Z70" i="2" s="1"/>
  <c r="AA70" i="2" s="1"/>
  <c r="P70" i="2"/>
  <c r="R70" i="2" s="1"/>
  <c r="S70" i="2" s="1"/>
  <c r="X69" i="2"/>
  <c r="Z69" i="2" s="1"/>
  <c r="AA69" i="2" s="1"/>
  <c r="P69" i="2"/>
  <c r="R69" i="2" s="1"/>
  <c r="S69" i="2" s="1"/>
  <c r="X68" i="2"/>
  <c r="Z68" i="2" s="1"/>
  <c r="AA68" i="2" s="1"/>
  <c r="P68" i="2"/>
  <c r="R68" i="2" s="1"/>
  <c r="S68" i="2" s="1"/>
  <c r="X67" i="2"/>
  <c r="Z67" i="2" s="1"/>
  <c r="AA67" i="2" s="1"/>
  <c r="P67" i="2"/>
  <c r="R67" i="2" s="1"/>
  <c r="S67" i="2" s="1"/>
  <c r="X66" i="2"/>
  <c r="Z66" i="2" s="1"/>
  <c r="AA66" i="2" s="1"/>
  <c r="P66" i="2"/>
  <c r="R66" i="2" s="1"/>
  <c r="S66" i="2" s="1"/>
  <c r="X65" i="2"/>
  <c r="Z65" i="2" s="1"/>
  <c r="AA65" i="2" s="1"/>
  <c r="P65" i="2"/>
  <c r="R65" i="2" s="1"/>
  <c r="S65" i="2" s="1"/>
  <c r="M65" i="2"/>
  <c r="X64" i="2"/>
  <c r="Z64" i="2" s="1"/>
  <c r="AA64" i="2" s="1"/>
  <c r="P64" i="2"/>
  <c r="R64" i="2" s="1"/>
  <c r="S64" i="2" s="1"/>
  <c r="M64" i="2"/>
  <c r="X63" i="2"/>
  <c r="Z63" i="2" s="1"/>
  <c r="AA63" i="2" s="1"/>
  <c r="P63" i="2"/>
  <c r="R63" i="2" s="1"/>
  <c r="S63" i="2" s="1"/>
  <c r="M63" i="2"/>
  <c r="X62" i="2"/>
  <c r="Z62" i="2" s="1"/>
  <c r="AA62" i="2" s="1"/>
  <c r="P62" i="2"/>
  <c r="R62" i="2" s="1"/>
  <c r="S62" i="2" s="1"/>
  <c r="X61" i="2"/>
  <c r="Z61" i="2" s="1"/>
  <c r="AA61" i="2" s="1"/>
  <c r="P61" i="2"/>
  <c r="R61" i="2" s="1"/>
  <c r="S61" i="2" s="1"/>
  <c r="X60" i="2"/>
  <c r="Z60" i="2" s="1"/>
  <c r="AA60" i="2" s="1"/>
  <c r="P60" i="2"/>
  <c r="R60" i="2" s="1"/>
  <c r="S60" i="2" s="1"/>
  <c r="X59" i="2"/>
  <c r="Z59" i="2" s="1"/>
  <c r="AA59" i="2" s="1"/>
  <c r="P59" i="2"/>
  <c r="R59" i="2" s="1"/>
  <c r="S59" i="2" s="1"/>
  <c r="X58" i="2"/>
  <c r="Z58" i="2" s="1"/>
  <c r="AA58" i="2" s="1"/>
  <c r="P58" i="2"/>
  <c r="R58" i="2" s="1"/>
  <c r="S58" i="2" s="1"/>
  <c r="X57" i="2"/>
  <c r="Z57" i="2" s="1"/>
  <c r="AA57" i="2" s="1"/>
  <c r="P57" i="2"/>
  <c r="R57" i="2" s="1"/>
  <c r="S57" i="2" s="1"/>
  <c r="X56" i="2"/>
  <c r="Z56" i="2" s="1"/>
  <c r="AA56" i="2" s="1"/>
  <c r="P56" i="2"/>
  <c r="R56" i="2" s="1"/>
  <c r="S56" i="2" s="1"/>
  <c r="X55" i="2"/>
  <c r="Z55" i="2" s="1"/>
  <c r="AA55" i="2" s="1"/>
  <c r="P55" i="2"/>
  <c r="R55" i="2" s="1"/>
  <c r="S55" i="2" s="1"/>
  <c r="X54" i="2"/>
  <c r="Z54" i="2" s="1"/>
  <c r="AA54" i="2" s="1"/>
  <c r="P54" i="2"/>
  <c r="R54" i="2" s="1"/>
  <c r="S54" i="2" s="1"/>
  <c r="X53" i="2"/>
  <c r="Z53" i="2" s="1"/>
  <c r="AA53" i="2" s="1"/>
  <c r="P53" i="2"/>
  <c r="R53" i="2" s="1"/>
  <c r="S53" i="2" s="1"/>
  <c r="X52" i="2"/>
  <c r="Z52" i="2" s="1"/>
  <c r="AA52" i="2" s="1"/>
  <c r="P52" i="2"/>
  <c r="R52" i="2" s="1"/>
  <c r="S52" i="2" s="1"/>
  <c r="X51" i="2"/>
  <c r="Z51" i="2" s="1"/>
  <c r="AA51" i="2" s="1"/>
  <c r="P51" i="2"/>
  <c r="R51" i="2" s="1"/>
  <c r="S51" i="2" s="1"/>
  <c r="X50" i="2"/>
  <c r="Z50" i="2" s="1"/>
  <c r="AA50" i="2" s="1"/>
  <c r="P50" i="2"/>
  <c r="R50" i="2" s="1"/>
  <c r="S50" i="2" s="1"/>
  <c r="X49" i="2"/>
  <c r="Z49" i="2" s="1"/>
  <c r="AA49" i="2" s="1"/>
  <c r="P49" i="2"/>
  <c r="R49" i="2" s="1"/>
  <c r="S49" i="2" s="1"/>
  <c r="M49" i="2"/>
  <c r="X48" i="2"/>
  <c r="Z48" i="2" s="1"/>
  <c r="AA48" i="2" s="1"/>
  <c r="P48" i="2"/>
  <c r="R48" i="2" s="1"/>
  <c r="S48" i="2" s="1"/>
  <c r="M48" i="2"/>
  <c r="X47" i="2"/>
  <c r="Z47" i="2" s="1"/>
  <c r="AA47" i="2" s="1"/>
  <c r="P47" i="2"/>
  <c r="R47" i="2" s="1"/>
  <c r="S47" i="2" s="1"/>
  <c r="M47" i="2"/>
  <c r="X46" i="2"/>
  <c r="Z46" i="2" s="1"/>
  <c r="AA46" i="2" s="1"/>
  <c r="P46" i="2"/>
  <c r="R46" i="2" s="1"/>
  <c r="S46" i="2" s="1"/>
  <c r="X45" i="2"/>
  <c r="Z45" i="2" s="1"/>
  <c r="AA45" i="2" s="1"/>
  <c r="P45" i="2"/>
  <c r="R45" i="2" s="1"/>
  <c r="S45" i="2" s="1"/>
  <c r="X44" i="2"/>
  <c r="Z44" i="2" s="1"/>
  <c r="AA44" i="2" s="1"/>
  <c r="P44" i="2"/>
  <c r="R44" i="2" s="1"/>
  <c r="S44" i="2" s="1"/>
  <c r="X43" i="2"/>
  <c r="Z43" i="2" s="1"/>
  <c r="AA43" i="2" s="1"/>
  <c r="P43" i="2"/>
  <c r="R43" i="2" s="1"/>
  <c r="S43" i="2" s="1"/>
  <c r="X42" i="2"/>
  <c r="Z42" i="2" s="1"/>
  <c r="AA42" i="2" s="1"/>
  <c r="P42" i="2"/>
  <c r="R42" i="2" s="1"/>
  <c r="S42" i="2" s="1"/>
  <c r="X41" i="2"/>
  <c r="Z41" i="2" s="1"/>
  <c r="AA41" i="2" s="1"/>
  <c r="P41" i="2"/>
  <c r="R41" i="2" s="1"/>
  <c r="S41" i="2" s="1"/>
  <c r="X40" i="2"/>
  <c r="Z40" i="2" s="1"/>
  <c r="AA40" i="2" s="1"/>
  <c r="P40" i="2"/>
  <c r="R40" i="2" s="1"/>
  <c r="S40" i="2" s="1"/>
  <c r="X39" i="2"/>
  <c r="Z39" i="2" s="1"/>
  <c r="AA39" i="2" s="1"/>
  <c r="P39" i="2"/>
  <c r="R39" i="2" s="1"/>
  <c r="S39" i="2" s="1"/>
  <c r="X38" i="2"/>
  <c r="Z38" i="2" s="1"/>
  <c r="AA38" i="2" s="1"/>
  <c r="P38" i="2"/>
  <c r="R38" i="2" s="1"/>
  <c r="S38" i="2" s="1"/>
  <c r="X37" i="2"/>
  <c r="Z37" i="2" s="1"/>
  <c r="AA37" i="2" s="1"/>
  <c r="P37" i="2"/>
  <c r="R37" i="2" s="1"/>
  <c r="S37" i="2" s="1"/>
  <c r="X36" i="2"/>
  <c r="Z36" i="2" s="1"/>
  <c r="AA36" i="2" s="1"/>
  <c r="P36" i="2"/>
  <c r="R36" i="2" s="1"/>
  <c r="S36" i="2" s="1"/>
  <c r="X35" i="2"/>
  <c r="Z35" i="2" s="1"/>
  <c r="AA35" i="2" s="1"/>
  <c r="P35" i="2"/>
  <c r="R35" i="2" s="1"/>
  <c r="S35" i="2" s="1"/>
  <c r="X34" i="2"/>
  <c r="Z34" i="2" s="1"/>
  <c r="AA34" i="2" s="1"/>
  <c r="P34" i="2"/>
  <c r="R34" i="2" s="1"/>
  <c r="S34" i="2" s="1"/>
  <c r="X33" i="2"/>
  <c r="Z33" i="2" s="1"/>
  <c r="AA33" i="2" s="1"/>
  <c r="P33" i="2"/>
  <c r="R33" i="2" s="1"/>
  <c r="S33" i="2" s="1"/>
  <c r="M33" i="2"/>
  <c r="X32" i="2"/>
  <c r="Z32" i="2" s="1"/>
  <c r="AA32" i="2" s="1"/>
  <c r="P32" i="2"/>
  <c r="R32" i="2" s="1"/>
  <c r="S32" i="2" s="1"/>
  <c r="M32" i="2"/>
  <c r="X31" i="2"/>
  <c r="Z31" i="2" s="1"/>
  <c r="AA31" i="2" s="1"/>
  <c r="P31" i="2"/>
  <c r="R31" i="2" s="1"/>
  <c r="S31" i="2" s="1"/>
  <c r="M31" i="2"/>
  <c r="X30" i="2"/>
  <c r="Z30" i="2" s="1"/>
  <c r="AA30" i="2" s="1"/>
  <c r="P30" i="2"/>
  <c r="R30" i="2" s="1"/>
  <c r="S30" i="2" s="1"/>
  <c r="X29" i="2"/>
  <c r="Z29" i="2" s="1"/>
  <c r="AA29" i="2" s="1"/>
  <c r="P29" i="2"/>
  <c r="R29" i="2" s="1"/>
  <c r="S29" i="2" s="1"/>
  <c r="X28" i="2"/>
  <c r="Z28" i="2" s="1"/>
  <c r="AA28" i="2" s="1"/>
  <c r="P28" i="2"/>
  <c r="R28" i="2" s="1"/>
  <c r="S28" i="2" s="1"/>
  <c r="X27" i="2"/>
  <c r="Z27" i="2" s="1"/>
  <c r="AA27" i="2" s="1"/>
  <c r="P27" i="2"/>
  <c r="R27" i="2" s="1"/>
  <c r="S27" i="2" s="1"/>
  <c r="X26" i="2"/>
  <c r="Z26" i="2" s="1"/>
  <c r="AA26" i="2" s="1"/>
  <c r="P26" i="2"/>
  <c r="R26" i="2" s="1"/>
  <c r="S26" i="2" s="1"/>
  <c r="X25" i="2"/>
  <c r="Z25" i="2" s="1"/>
  <c r="AA25" i="2" s="1"/>
  <c r="P25" i="2"/>
  <c r="R25" i="2" s="1"/>
  <c r="S25" i="2" s="1"/>
  <c r="X24" i="2"/>
  <c r="Z24" i="2" s="1"/>
  <c r="AA24" i="2" s="1"/>
  <c r="P24" i="2"/>
  <c r="R24" i="2" s="1"/>
  <c r="S24" i="2" s="1"/>
  <c r="X23" i="2"/>
  <c r="Z23" i="2" s="1"/>
  <c r="AA23" i="2" s="1"/>
  <c r="P23" i="2"/>
  <c r="R23" i="2" s="1"/>
  <c r="S23" i="2" s="1"/>
  <c r="X22" i="2"/>
  <c r="Z22" i="2" s="1"/>
  <c r="AA22" i="2" s="1"/>
  <c r="P22" i="2"/>
  <c r="R22" i="2" s="1"/>
  <c r="S22" i="2" s="1"/>
  <c r="X21" i="2"/>
  <c r="Z21" i="2" s="1"/>
  <c r="AA21" i="2" s="1"/>
  <c r="P21" i="2"/>
  <c r="R21" i="2" s="1"/>
  <c r="S21" i="2" s="1"/>
  <c r="X20" i="2"/>
  <c r="Z20" i="2" s="1"/>
  <c r="AA20" i="2" s="1"/>
  <c r="P20" i="2"/>
  <c r="R20" i="2" s="1"/>
  <c r="S20" i="2" s="1"/>
  <c r="X19" i="2"/>
  <c r="Z19" i="2" s="1"/>
  <c r="AA19" i="2" s="1"/>
  <c r="P19" i="2"/>
  <c r="R19" i="2" s="1"/>
  <c r="S19" i="2" s="1"/>
  <c r="X18" i="2"/>
  <c r="Z18" i="2" s="1"/>
  <c r="AA18" i="2" s="1"/>
  <c r="P18" i="2"/>
  <c r="R18" i="2" s="1"/>
  <c r="S18" i="2" s="1"/>
  <c r="P17" i="2"/>
  <c r="R17" i="2" s="1"/>
  <c r="S17" i="2" s="1"/>
  <c r="X17" i="2"/>
  <c r="Z17" i="2" s="1"/>
  <c r="AA17" i="2" s="1"/>
  <c r="M16" i="2"/>
  <c r="M17" i="2"/>
  <c r="M15" i="2"/>
  <c r="X148" i="1"/>
  <c r="Z148" i="1" s="1"/>
  <c r="AA148" i="1" s="1"/>
  <c r="T148" i="1"/>
  <c r="V148" i="1" s="1"/>
  <c r="W148" i="1" s="1"/>
  <c r="M148" i="1"/>
  <c r="P148" i="1" s="1"/>
  <c r="X147" i="1"/>
  <c r="Z147" i="1" s="1"/>
  <c r="AA147" i="1" s="1"/>
  <c r="T147" i="1"/>
  <c r="V147" i="1" s="1"/>
  <c r="W147" i="1" s="1"/>
  <c r="M147" i="1"/>
  <c r="R147" i="1" s="1"/>
  <c r="O147" i="1" s="1"/>
  <c r="X146" i="1"/>
  <c r="Z146" i="1" s="1"/>
  <c r="AA146" i="1" s="1"/>
  <c r="T146" i="1"/>
  <c r="V146" i="1" s="1"/>
  <c r="W146" i="1" s="1"/>
  <c r="M146" i="1"/>
  <c r="R146" i="1" s="1"/>
  <c r="O146" i="1" s="1"/>
  <c r="X145" i="1"/>
  <c r="Z145" i="1" s="1"/>
  <c r="AA145" i="1" s="1"/>
  <c r="T145" i="1"/>
  <c r="V145" i="1" s="1"/>
  <c r="W145" i="1" s="1"/>
  <c r="X144" i="1"/>
  <c r="Z144" i="1" s="1"/>
  <c r="AA144" i="1" s="1"/>
  <c r="T144" i="1"/>
  <c r="V144" i="1" s="1"/>
  <c r="W144" i="1" s="1"/>
  <c r="X143" i="1"/>
  <c r="Z143" i="1" s="1"/>
  <c r="AA143" i="1" s="1"/>
  <c r="T143" i="1"/>
  <c r="V143" i="1" s="1"/>
  <c r="W143" i="1" s="1"/>
  <c r="X142" i="1"/>
  <c r="Z142" i="1" s="1"/>
  <c r="AA142" i="1" s="1"/>
  <c r="T142" i="1"/>
  <c r="V142" i="1" s="1"/>
  <c r="W142" i="1" s="1"/>
  <c r="M142" i="1"/>
  <c r="P142" i="1" s="1"/>
  <c r="X141" i="1"/>
  <c r="Z141" i="1" s="1"/>
  <c r="AA141" i="1" s="1"/>
  <c r="T141" i="1"/>
  <c r="V141" i="1" s="1"/>
  <c r="W141" i="1" s="1"/>
  <c r="M141" i="1"/>
  <c r="P141" i="1" s="1"/>
  <c r="X140" i="1"/>
  <c r="Z140" i="1" s="1"/>
  <c r="AA140" i="1" s="1"/>
  <c r="T140" i="1"/>
  <c r="V140" i="1" s="1"/>
  <c r="W140" i="1" s="1"/>
  <c r="X139" i="1"/>
  <c r="Z139" i="1" s="1"/>
  <c r="AA139" i="1" s="1"/>
  <c r="T139" i="1"/>
  <c r="V139" i="1" s="1"/>
  <c r="W139" i="1" s="1"/>
  <c r="X138" i="1"/>
  <c r="Z138" i="1" s="1"/>
  <c r="AA138" i="1" s="1"/>
  <c r="T138" i="1"/>
  <c r="V138" i="1" s="1"/>
  <c r="W138" i="1" s="1"/>
  <c r="X137" i="1"/>
  <c r="Z137" i="1" s="1"/>
  <c r="AA137" i="1" s="1"/>
  <c r="T137" i="1"/>
  <c r="V137" i="1" s="1"/>
  <c r="W137" i="1" s="1"/>
  <c r="X136" i="1"/>
  <c r="Z136" i="1" s="1"/>
  <c r="AA136" i="1" s="1"/>
  <c r="T136" i="1"/>
  <c r="V136" i="1" s="1"/>
  <c r="W136" i="1" s="1"/>
  <c r="X135" i="1"/>
  <c r="Z135" i="1" s="1"/>
  <c r="AA135" i="1" s="1"/>
  <c r="T135" i="1"/>
  <c r="V135" i="1" s="1"/>
  <c r="W135" i="1" s="1"/>
  <c r="X134" i="1"/>
  <c r="Z134" i="1" s="1"/>
  <c r="AA134" i="1" s="1"/>
  <c r="T134" i="1"/>
  <c r="V134" i="1" s="1"/>
  <c r="W134" i="1" s="1"/>
  <c r="X133" i="1"/>
  <c r="Z133" i="1" s="1"/>
  <c r="AA133" i="1" s="1"/>
  <c r="T133" i="1"/>
  <c r="V133" i="1" s="1"/>
  <c r="W133" i="1" s="1"/>
  <c r="X132" i="1"/>
  <c r="Z132" i="1" s="1"/>
  <c r="AA132" i="1" s="1"/>
  <c r="T132" i="1"/>
  <c r="V132" i="1" s="1"/>
  <c r="W132" i="1" s="1"/>
  <c r="X131" i="1"/>
  <c r="Z131" i="1" s="1"/>
  <c r="AA131" i="1" s="1"/>
  <c r="T131" i="1"/>
  <c r="V131" i="1" s="1"/>
  <c r="W131" i="1" s="1"/>
  <c r="X130" i="1"/>
  <c r="Z130" i="1" s="1"/>
  <c r="AA130" i="1" s="1"/>
  <c r="T130" i="1"/>
  <c r="V130" i="1" s="1"/>
  <c r="W130" i="1" s="1"/>
  <c r="X129" i="1"/>
  <c r="Z129" i="1" s="1"/>
  <c r="AA129" i="1" s="1"/>
  <c r="T129" i="1"/>
  <c r="V129" i="1" s="1"/>
  <c r="W129" i="1" s="1"/>
  <c r="X128" i="1"/>
  <c r="Z128" i="1" s="1"/>
  <c r="AA128" i="1" s="1"/>
  <c r="T128" i="1"/>
  <c r="V128" i="1" s="1"/>
  <c r="W128" i="1" s="1"/>
  <c r="X127" i="1"/>
  <c r="Z127" i="1" s="1"/>
  <c r="AA127" i="1" s="1"/>
  <c r="T127" i="1"/>
  <c r="V127" i="1" s="1"/>
  <c r="W127" i="1" s="1"/>
  <c r="M127" i="1"/>
  <c r="P127" i="1" s="1"/>
  <c r="X126" i="1"/>
  <c r="Z126" i="1" s="1"/>
  <c r="AA126" i="1" s="1"/>
  <c r="T126" i="1"/>
  <c r="V126" i="1" s="1"/>
  <c r="W126" i="1" s="1"/>
  <c r="M126" i="1"/>
  <c r="P126" i="1" s="1"/>
  <c r="X125" i="1"/>
  <c r="Z125" i="1" s="1"/>
  <c r="AA125" i="1" s="1"/>
  <c r="T125" i="1"/>
  <c r="V125" i="1" s="1"/>
  <c r="W125" i="1" s="1"/>
  <c r="M125" i="1"/>
  <c r="P125" i="1" s="1"/>
  <c r="X124" i="1"/>
  <c r="Z124" i="1" s="1"/>
  <c r="AA124" i="1" s="1"/>
  <c r="T124" i="1"/>
  <c r="V124" i="1" s="1"/>
  <c r="W124" i="1" s="1"/>
  <c r="X123" i="1"/>
  <c r="Z123" i="1" s="1"/>
  <c r="AA123" i="1" s="1"/>
  <c r="T123" i="1"/>
  <c r="V123" i="1" s="1"/>
  <c r="W123" i="1" s="1"/>
  <c r="X122" i="1"/>
  <c r="Z122" i="1" s="1"/>
  <c r="AA122" i="1" s="1"/>
  <c r="T122" i="1"/>
  <c r="V122" i="1" s="1"/>
  <c r="W122" i="1" s="1"/>
  <c r="X121" i="1"/>
  <c r="Z121" i="1" s="1"/>
  <c r="AA121" i="1" s="1"/>
  <c r="T121" i="1"/>
  <c r="V121" i="1" s="1"/>
  <c r="W121" i="1" s="1"/>
  <c r="M121" i="1"/>
  <c r="P121" i="1" s="1"/>
  <c r="X120" i="1"/>
  <c r="Z120" i="1" s="1"/>
  <c r="AA120" i="1" s="1"/>
  <c r="T120" i="1"/>
  <c r="V120" i="1" s="1"/>
  <c r="W120" i="1" s="1"/>
  <c r="M120" i="1"/>
  <c r="P120" i="1" s="1"/>
  <c r="X119" i="1"/>
  <c r="Z119" i="1" s="1"/>
  <c r="AA119" i="1" s="1"/>
  <c r="T119" i="1"/>
  <c r="V119" i="1" s="1"/>
  <c r="W119" i="1" s="1"/>
  <c r="X118" i="1"/>
  <c r="Z118" i="1" s="1"/>
  <c r="AA118" i="1" s="1"/>
  <c r="T118" i="1"/>
  <c r="V118" i="1" s="1"/>
  <c r="W118" i="1" s="1"/>
  <c r="X117" i="1"/>
  <c r="Z117" i="1" s="1"/>
  <c r="AA117" i="1" s="1"/>
  <c r="T117" i="1"/>
  <c r="V117" i="1" s="1"/>
  <c r="W117" i="1" s="1"/>
  <c r="X116" i="1"/>
  <c r="Z116" i="1" s="1"/>
  <c r="AA116" i="1" s="1"/>
  <c r="T116" i="1"/>
  <c r="V116" i="1" s="1"/>
  <c r="W116" i="1" s="1"/>
  <c r="X115" i="1"/>
  <c r="Z115" i="1" s="1"/>
  <c r="AA115" i="1" s="1"/>
  <c r="T115" i="1"/>
  <c r="V115" i="1" s="1"/>
  <c r="W115" i="1" s="1"/>
  <c r="X114" i="1"/>
  <c r="Z114" i="1" s="1"/>
  <c r="AA114" i="1" s="1"/>
  <c r="T114" i="1"/>
  <c r="V114" i="1" s="1"/>
  <c r="W114" i="1" s="1"/>
  <c r="X113" i="1"/>
  <c r="Z113" i="1" s="1"/>
  <c r="AA113" i="1" s="1"/>
  <c r="T113" i="1"/>
  <c r="V113" i="1" s="1"/>
  <c r="W113" i="1" s="1"/>
  <c r="X112" i="1"/>
  <c r="Z112" i="1" s="1"/>
  <c r="AA112" i="1" s="1"/>
  <c r="T112" i="1"/>
  <c r="V112" i="1" s="1"/>
  <c r="W112" i="1" s="1"/>
  <c r="X111" i="1"/>
  <c r="Z111" i="1" s="1"/>
  <c r="AA111" i="1" s="1"/>
  <c r="T111" i="1"/>
  <c r="V111" i="1" s="1"/>
  <c r="W111" i="1" s="1"/>
  <c r="X110" i="1"/>
  <c r="Z110" i="1" s="1"/>
  <c r="AA110" i="1" s="1"/>
  <c r="T110" i="1"/>
  <c r="V110" i="1" s="1"/>
  <c r="W110" i="1" s="1"/>
  <c r="X109" i="1"/>
  <c r="Z109" i="1" s="1"/>
  <c r="AA109" i="1" s="1"/>
  <c r="T109" i="1"/>
  <c r="V109" i="1" s="1"/>
  <c r="W109" i="1" s="1"/>
  <c r="X108" i="1"/>
  <c r="Z108" i="1" s="1"/>
  <c r="AA108" i="1" s="1"/>
  <c r="T108" i="1"/>
  <c r="V108" i="1" s="1"/>
  <c r="W108" i="1" s="1"/>
  <c r="X107" i="1"/>
  <c r="Z107" i="1" s="1"/>
  <c r="AA107" i="1" s="1"/>
  <c r="T107" i="1"/>
  <c r="V107" i="1" s="1"/>
  <c r="W107" i="1" s="1"/>
  <c r="X106" i="1"/>
  <c r="Z106" i="1" s="1"/>
  <c r="AA106" i="1" s="1"/>
  <c r="T106" i="1"/>
  <c r="V106" i="1" s="1"/>
  <c r="W106" i="1" s="1"/>
  <c r="M106" i="1"/>
  <c r="P106" i="1" s="1"/>
  <c r="X105" i="1"/>
  <c r="Z105" i="1" s="1"/>
  <c r="AA105" i="1" s="1"/>
  <c r="T105" i="1"/>
  <c r="V105" i="1" s="1"/>
  <c r="W105" i="1" s="1"/>
  <c r="M105" i="1"/>
  <c r="P105" i="1" s="1"/>
  <c r="X104" i="1"/>
  <c r="Z104" i="1" s="1"/>
  <c r="AA104" i="1" s="1"/>
  <c r="T104" i="1"/>
  <c r="V104" i="1" s="1"/>
  <c r="W104" i="1" s="1"/>
  <c r="M104" i="1"/>
  <c r="P104" i="1" s="1"/>
  <c r="X103" i="1"/>
  <c r="Z103" i="1" s="1"/>
  <c r="AA103" i="1" s="1"/>
  <c r="T103" i="1"/>
  <c r="V103" i="1" s="1"/>
  <c r="W103" i="1" s="1"/>
  <c r="X102" i="1"/>
  <c r="Z102" i="1" s="1"/>
  <c r="AA102" i="1" s="1"/>
  <c r="T102" i="1"/>
  <c r="V102" i="1" s="1"/>
  <c r="W102" i="1" s="1"/>
  <c r="X101" i="1"/>
  <c r="Z101" i="1" s="1"/>
  <c r="AA101" i="1" s="1"/>
  <c r="T101" i="1"/>
  <c r="V101" i="1" s="1"/>
  <c r="W101" i="1" s="1"/>
  <c r="X100" i="1"/>
  <c r="Z100" i="1" s="1"/>
  <c r="AA100" i="1" s="1"/>
  <c r="T100" i="1"/>
  <c r="V100" i="1" s="1"/>
  <c r="W100" i="1" s="1"/>
  <c r="M100" i="1"/>
  <c r="P100" i="1" s="1"/>
  <c r="X99" i="1"/>
  <c r="Z99" i="1" s="1"/>
  <c r="AA99" i="1" s="1"/>
  <c r="T99" i="1"/>
  <c r="V99" i="1" s="1"/>
  <c r="W99" i="1" s="1"/>
  <c r="M99" i="1"/>
  <c r="R99" i="1" s="1"/>
  <c r="O99" i="1" s="1"/>
  <c r="X98" i="1"/>
  <c r="Z98" i="1" s="1"/>
  <c r="AA98" i="1" s="1"/>
  <c r="T98" i="1"/>
  <c r="V98" i="1" s="1"/>
  <c r="W98" i="1" s="1"/>
  <c r="X97" i="1"/>
  <c r="Z97" i="1" s="1"/>
  <c r="AA97" i="1" s="1"/>
  <c r="T97" i="1"/>
  <c r="V97" i="1" s="1"/>
  <c r="W97" i="1" s="1"/>
  <c r="X96" i="1"/>
  <c r="Z96" i="1" s="1"/>
  <c r="AA96" i="1" s="1"/>
  <c r="T96" i="1"/>
  <c r="V96" i="1" s="1"/>
  <c r="W96" i="1" s="1"/>
  <c r="X95" i="1"/>
  <c r="Z95" i="1" s="1"/>
  <c r="AA95" i="1" s="1"/>
  <c r="T95" i="1"/>
  <c r="V95" i="1" s="1"/>
  <c r="W95" i="1" s="1"/>
  <c r="X94" i="1"/>
  <c r="Z94" i="1" s="1"/>
  <c r="AA94" i="1" s="1"/>
  <c r="T94" i="1"/>
  <c r="V94" i="1" s="1"/>
  <c r="W94" i="1" s="1"/>
  <c r="X93" i="1"/>
  <c r="Z93" i="1" s="1"/>
  <c r="AA93" i="1" s="1"/>
  <c r="T93" i="1"/>
  <c r="V93" i="1" s="1"/>
  <c r="W93" i="1" s="1"/>
  <c r="X92" i="1"/>
  <c r="Z92" i="1" s="1"/>
  <c r="AA92" i="1" s="1"/>
  <c r="T92" i="1"/>
  <c r="V92" i="1" s="1"/>
  <c r="W92" i="1" s="1"/>
  <c r="X91" i="1"/>
  <c r="Z91" i="1" s="1"/>
  <c r="AA91" i="1" s="1"/>
  <c r="T91" i="1"/>
  <c r="V91" i="1" s="1"/>
  <c r="W91" i="1" s="1"/>
  <c r="X90" i="1"/>
  <c r="Z90" i="1" s="1"/>
  <c r="AA90" i="1" s="1"/>
  <c r="T90" i="1"/>
  <c r="V90" i="1" s="1"/>
  <c r="W90" i="1" s="1"/>
  <c r="X89" i="1"/>
  <c r="Z89" i="1" s="1"/>
  <c r="AA89" i="1" s="1"/>
  <c r="T89" i="1"/>
  <c r="V89" i="1" s="1"/>
  <c r="W89" i="1" s="1"/>
  <c r="X88" i="1"/>
  <c r="Z88" i="1" s="1"/>
  <c r="AA88" i="1" s="1"/>
  <c r="T88" i="1"/>
  <c r="V88" i="1" s="1"/>
  <c r="W88" i="1" s="1"/>
  <c r="X87" i="1"/>
  <c r="Z87" i="1" s="1"/>
  <c r="AA87" i="1" s="1"/>
  <c r="T87" i="1"/>
  <c r="V87" i="1" s="1"/>
  <c r="W87" i="1" s="1"/>
  <c r="X86" i="1"/>
  <c r="Z86" i="1" s="1"/>
  <c r="AA86" i="1" s="1"/>
  <c r="T86" i="1"/>
  <c r="V86" i="1" s="1"/>
  <c r="W86" i="1" s="1"/>
  <c r="X85" i="1"/>
  <c r="Z85" i="1" s="1"/>
  <c r="AA85" i="1" s="1"/>
  <c r="T85" i="1"/>
  <c r="V85" i="1" s="1"/>
  <c r="W85" i="1" s="1"/>
  <c r="M85" i="1"/>
  <c r="P85" i="1" s="1"/>
  <c r="X84" i="1"/>
  <c r="Z84" i="1" s="1"/>
  <c r="AA84" i="1" s="1"/>
  <c r="T84" i="1"/>
  <c r="V84" i="1" s="1"/>
  <c r="W84" i="1" s="1"/>
  <c r="M84" i="1"/>
  <c r="P84" i="1" s="1"/>
  <c r="X83" i="1"/>
  <c r="Z83" i="1" s="1"/>
  <c r="AA83" i="1" s="1"/>
  <c r="T83" i="1"/>
  <c r="V83" i="1" s="1"/>
  <c r="W83" i="1" s="1"/>
  <c r="M83" i="1"/>
  <c r="R83" i="1" s="1"/>
  <c r="O83" i="1" s="1"/>
  <c r="X82" i="1"/>
  <c r="Z82" i="1" s="1"/>
  <c r="AA82" i="1" s="1"/>
  <c r="T82" i="1"/>
  <c r="V82" i="1" s="1"/>
  <c r="W82" i="1" s="1"/>
  <c r="X81" i="1"/>
  <c r="Z81" i="1" s="1"/>
  <c r="AA81" i="1" s="1"/>
  <c r="T81" i="1"/>
  <c r="V81" i="1" s="1"/>
  <c r="W81" i="1" s="1"/>
  <c r="X80" i="1"/>
  <c r="Z80" i="1" s="1"/>
  <c r="AA80" i="1" s="1"/>
  <c r="T80" i="1"/>
  <c r="V80" i="1" s="1"/>
  <c r="W80" i="1" s="1"/>
  <c r="X79" i="1"/>
  <c r="Z79" i="1" s="1"/>
  <c r="AA79" i="1" s="1"/>
  <c r="T79" i="1"/>
  <c r="V79" i="1" s="1"/>
  <c r="W79" i="1" s="1"/>
  <c r="M79" i="1"/>
  <c r="P79" i="1" s="1"/>
  <c r="X78" i="1"/>
  <c r="Z78" i="1" s="1"/>
  <c r="AA78" i="1" s="1"/>
  <c r="T78" i="1"/>
  <c r="V78" i="1" s="1"/>
  <c r="W78" i="1" s="1"/>
  <c r="M78" i="1"/>
  <c r="P78" i="1" s="1"/>
  <c r="X77" i="1"/>
  <c r="Z77" i="1" s="1"/>
  <c r="AA77" i="1" s="1"/>
  <c r="T77" i="1"/>
  <c r="V77" i="1" s="1"/>
  <c r="W77" i="1" s="1"/>
  <c r="X76" i="1"/>
  <c r="Z76" i="1" s="1"/>
  <c r="AA76" i="1" s="1"/>
  <c r="T76" i="1"/>
  <c r="V76" i="1" s="1"/>
  <c r="W76" i="1" s="1"/>
  <c r="X75" i="1"/>
  <c r="Z75" i="1" s="1"/>
  <c r="AA75" i="1" s="1"/>
  <c r="T75" i="1"/>
  <c r="V75" i="1" s="1"/>
  <c r="W75" i="1" s="1"/>
  <c r="X74" i="1"/>
  <c r="Z74" i="1" s="1"/>
  <c r="AA74" i="1" s="1"/>
  <c r="T74" i="1"/>
  <c r="V74" i="1" s="1"/>
  <c r="W74" i="1" s="1"/>
  <c r="X73" i="1"/>
  <c r="Z73" i="1" s="1"/>
  <c r="AA73" i="1" s="1"/>
  <c r="T73" i="1"/>
  <c r="V73" i="1" s="1"/>
  <c r="W73" i="1" s="1"/>
  <c r="X72" i="1"/>
  <c r="Z72" i="1" s="1"/>
  <c r="AA72" i="1" s="1"/>
  <c r="T72" i="1"/>
  <c r="V72" i="1" s="1"/>
  <c r="W72" i="1" s="1"/>
  <c r="X71" i="1"/>
  <c r="Z71" i="1" s="1"/>
  <c r="AA71" i="1" s="1"/>
  <c r="T71" i="1"/>
  <c r="V71" i="1" s="1"/>
  <c r="W71" i="1" s="1"/>
  <c r="X70" i="1"/>
  <c r="Z70" i="1" s="1"/>
  <c r="AA70" i="1" s="1"/>
  <c r="T70" i="1"/>
  <c r="V70" i="1" s="1"/>
  <c r="W70" i="1" s="1"/>
  <c r="X69" i="1"/>
  <c r="Z69" i="1" s="1"/>
  <c r="AA69" i="1" s="1"/>
  <c r="T69" i="1"/>
  <c r="V69" i="1" s="1"/>
  <c r="W69" i="1" s="1"/>
  <c r="X68" i="1"/>
  <c r="Z68" i="1" s="1"/>
  <c r="AA68" i="1" s="1"/>
  <c r="T68" i="1"/>
  <c r="V68" i="1" s="1"/>
  <c r="W68" i="1" s="1"/>
  <c r="X67" i="1"/>
  <c r="Z67" i="1" s="1"/>
  <c r="AA67" i="1" s="1"/>
  <c r="T67" i="1"/>
  <c r="V67" i="1" s="1"/>
  <c r="W67" i="1" s="1"/>
  <c r="X66" i="1"/>
  <c r="Z66" i="1" s="1"/>
  <c r="AA66" i="1" s="1"/>
  <c r="T66" i="1"/>
  <c r="V66" i="1" s="1"/>
  <c r="W66" i="1" s="1"/>
  <c r="X65" i="1"/>
  <c r="Z65" i="1" s="1"/>
  <c r="AA65" i="1" s="1"/>
  <c r="T65" i="1"/>
  <c r="V65" i="1" s="1"/>
  <c r="W65" i="1" s="1"/>
  <c r="X64" i="1"/>
  <c r="Z64" i="1" s="1"/>
  <c r="AA64" i="1" s="1"/>
  <c r="T64" i="1"/>
  <c r="V64" i="1" s="1"/>
  <c r="W64" i="1" s="1"/>
  <c r="M64" i="1"/>
  <c r="P64" i="1" s="1"/>
  <c r="X63" i="1"/>
  <c r="Z63" i="1" s="1"/>
  <c r="AA63" i="1" s="1"/>
  <c r="T63" i="1"/>
  <c r="V63" i="1" s="1"/>
  <c r="W63" i="1" s="1"/>
  <c r="M63" i="1"/>
  <c r="P63" i="1" s="1"/>
  <c r="X62" i="1"/>
  <c r="Z62" i="1" s="1"/>
  <c r="AA62" i="1" s="1"/>
  <c r="T62" i="1"/>
  <c r="V62" i="1" s="1"/>
  <c r="W62" i="1" s="1"/>
  <c r="M62" i="1"/>
  <c r="P62" i="1" s="1"/>
  <c r="X61" i="1"/>
  <c r="Z61" i="1" s="1"/>
  <c r="AA61" i="1" s="1"/>
  <c r="T61" i="1"/>
  <c r="V61" i="1" s="1"/>
  <c r="W61" i="1" s="1"/>
  <c r="X60" i="1"/>
  <c r="Z60" i="1" s="1"/>
  <c r="AA60" i="1" s="1"/>
  <c r="T60" i="1"/>
  <c r="V60" i="1" s="1"/>
  <c r="W60" i="1" s="1"/>
  <c r="X59" i="1"/>
  <c r="Z59" i="1" s="1"/>
  <c r="AA59" i="1" s="1"/>
  <c r="T59" i="1"/>
  <c r="V59" i="1" s="1"/>
  <c r="W59" i="1" s="1"/>
  <c r="X58" i="1"/>
  <c r="Z58" i="1" s="1"/>
  <c r="AA58" i="1" s="1"/>
  <c r="T58" i="1"/>
  <c r="V58" i="1" s="1"/>
  <c r="W58" i="1" s="1"/>
  <c r="M58" i="1"/>
  <c r="P58" i="1" s="1"/>
  <c r="X57" i="1"/>
  <c r="Z57" i="1" s="1"/>
  <c r="AA57" i="1" s="1"/>
  <c r="T57" i="1"/>
  <c r="V57" i="1" s="1"/>
  <c r="W57" i="1" s="1"/>
  <c r="M57" i="1"/>
  <c r="P57" i="1" s="1"/>
  <c r="X56" i="1"/>
  <c r="Z56" i="1" s="1"/>
  <c r="AA56" i="1" s="1"/>
  <c r="T56" i="1"/>
  <c r="V56" i="1" s="1"/>
  <c r="W56" i="1" s="1"/>
  <c r="X55" i="1"/>
  <c r="Z55" i="1" s="1"/>
  <c r="AA55" i="1" s="1"/>
  <c r="T55" i="1"/>
  <c r="V55" i="1" s="1"/>
  <c r="W55" i="1" s="1"/>
  <c r="X54" i="1"/>
  <c r="Z54" i="1" s="1"/>
  <c r="AA54" i="1" s="1"/>
  <c r="T54" i="1"/>
  <c r="V54" i="1" s="1"/>
  <c r="W54" i="1" s="1"/>
  <c r="X53" i="1"/>
  <c r="Z53" i="1" s="1"/>
  <c r="AA53" i="1" s="1"/>
  <c r="T53" i="1"/>
  <c r="V53" i="1" s="1"/>
  <c r="W53" i="1" s="1"/>
  <c r="X52" i="1"/>
  <c r="Z52" i="1" s="1"/>
  <c r="AA52" i="1" s="1"/>
  <c r="T52" i="1"/>
  <c r="V52" i="1" s="1"/>
  <c r="W52" i="1" s="1"/>
  <c r="X51" i="1"/>
  <c r="Z51" i="1" s="1"/>
  <c r="AA51" i="1" s="1"/>
  <c r="T51" i="1"/>
  <c r="V51" i="1" s="1"/>
  <c r="W51" i="1" s="1"/>
  <c r="X50" i="1"/>
  <c r="Z50" i="1" s="1"/>
  <c r="AA50" i="1" s="1"/>
  <c r="T50" i="1"/>
  <c r="V50" i="1" s="1"/>
  <c r="W50" i="1" s="1"/>
  <c r="X49" i="1"/>
  <c r="Z49" i="1" s="1"/>
  <c r="AA49" i="1" s="1"/>
  <c r="T49" i="1"/>
  <c r="V49" i="1" s="1"/>
  <c r="W49" i="1" s="1"/>
  <c r="X48" i="1"/>
  <c r="Z48" i="1" s="1"/>
  <c r="AA48" i="1" s="1"/>
  <c r="T48" i="1"/>
  <c r="V48" i="1" s="1"/>
  <c r="W48" i="1" s="1"/>
  <c r="X47" i="1"/>
  <c r="Z47" i="1" s="1"/>
  <c r="AA47" i="1" s="1"/>
  <c r="T47" i="1"/>
  <c r="V47" i="1" s="1"/>
  <c r="W47" i="1" s="1"/>
  <c r="X46" i="1"/>
  <c r="Z46" i="1" s="1"/>
  <c r="AA46" i="1" s="1"/>
  <c r="T46" i="1"/>
  <c r="V46" i="1" s="1"/>
  <c r="W46" i="1" s="1"/>
  <c r="X45" i="1"/>
  <c r="Z45" i="1" s="1"/>
  <c r="AA45" i="1" s="1"/>
  <c r="T45" i="1"/>
  <c r="V45" i="1" s="1"/>
  <c r="W45" i="1" s="1"/>
  <c r="X44" i="1"/>
  <c r="Z44" i="1" s="1"/>
  <c r="AA44" i="1" s="1"/>
  <c r="T44" i="1"/>
  <c r="V44" i="1" s="1"/>
  <c r="W44" i="1" s="1"/>
  <c r="X43" i="1"/>
  <c r="Z43" i="1" s="1"/>
  <c r="AA43" i="1" s="1"/>
  <c r="T43" i="1"/>
  <c r="V43" i="1" s="1"/>
  <c r="W43" i="1" s="1"/>
  <c r="M43" i="1"/>
  <c r="P43" i="1" s="1"/>
  <c r="X42" i="1"/>
  <c r="Z42" i="1" s="1"/>
  <c r="AA42" i="1" s="1"/>
  <c r="T42" i="1"/>
  <c r="V42" i="1" s="1"/>
  <c r="W42" i="1" s="1"/>
  <c r="M42" i="1"/>
  <c r="P42" i="1" s="1"/>
  <c r="X41" i="1"/>
  <c r="Z41" i="1" s="1"/>
  <c r="AA41" i="1" s="1"/>
  <c r="T41" i="1"/>
  <c r="V41" i="1" s="1"/>
  <c r="W41" i="1" s="1"/>
  <c r="M41" i="1"/>
  <c r="P41" i="1" s="1"/>
  <c r="X40" i="1"/>
  <c r="Z40" i="1" s="1"/>
  <c r="AA40" i="1" s="1"/>
  <c r="T40" i="1"/>
  <c r="V40" i="1" s="1"/>
  <c r="W40" i="1" s="1"/>
  <c r="X39" i="1"/>
  <c r="Z39" i="1" s="1"/>
  <c r="AA39" i="1" s="1"/>
  <c r="T39" i="1"/>
  <c r="V39" i="1" s="1"/>
  <c r="W39" i="1" s="1"/>
  <c r="X38" i="1"/>
  <c r="Z38" i="1" s="1"/>
  <c r="AA38" i="1" s="1"/>
  <c r="T38" i="1"/>
  <c r="V38" i="1" s="1"/>
  <c r="W38" i="1" s="1"/>
  <c r="X37" i="1"/>
  <c r="Z37" i="1" s="1"/>
  <c r="AA37" i="1" s="1"/>
  <c r="T37" i="1"/>
  <c r="V37" i="1" s="1"/>
  <c r="W37" i="1" s="1"/>
  <c r="M37" i="1"/>
  <c r="P37" i="1" s="1"/>
  <c r="X36" i="1"/>
  <c r="Z36" i="1" s="1"/>
  <c r="AA36" i="1" s="1"/>
  <c r="T36" i="1"/>
  <c r="V36" i="1" s="1"/>
  <c r="W36" i="1" s="1"/>
  <c r="M36" i="1"/>
  <c r="P36" i="1" s="1"/>
  <c r="X35" i="1"/>
  <c r="Z35" i="1" s="1"/>
  <c r="AA35" i="1" s="1"/>
  <c r="T35" i="1"/>
  <c r="V35" i="1" s="1"/>
  <c r="W35" i="1" s="1"/>
  <c r="X34" i="1"/>
  <c r="Z34" i="1" s="1"/>
  <c r="AA34" i="1" s="1"/>
  <c r="T34" i="1"/>
  <c r="V34" i="1" s="1"/>
  <c r="W34" i="1" s="1"/>
  <c r="X33" i="1"/>
  <c r="Z33" i="1" s="1"/>
  <c r="AA33" i="1" s="1"/>
  <c r="T33" i="1"/>
  <c r="V33" i="1" s="1"/>
  <c r="W33" i="1" s="1"/>
  <c r="X32" i="1"/>
  <c r="Z32" i="1" s="1"/>
  <c r="AA32" i="1" s="1"/>
  <c r="T32" i="1"/>
  <c r="V32" i="1" s="1"/>
  <c r="W32" i="1" s="1"/>
  <c r="X31" i="1"/>
  <c r="Z31" i="1" s="1"/>
  <c r="AA31" i="1" s="1"/>
  <c r="T31" i="1"/>
  <c r="V31" i="1" s="1"/>
  <c r="W31" i="1" s="1"/>
  <c r="X30" i="1"/>
  <c r="Z30" i="1" s="1"/>
  <c r="AA30" i="1" s="1"/>
  <c r="T30" i="1"/>
  <c r="V30" i="1" s="1"/>
  <c r="W30" i="1" s="1"/>
  <c r="X29" i="1"/>
  <c r="Z29" i="1" s="1"/>
  <c r="AA29" i="1" s="1"/>
  <c r="T29" i="1"/>
  <c r="V29" i="1" s="1"/>
  <c r="W29" i="1" s="1"/>
  <c r="X28" i="1"/>
  <c r="Z28" i="1" s="1"/>
  <c r="AA28" i="1" s="1"/>
  <c r="T28" i="1"/>
  <c r="V28" i="1" s="1"/>
  <c r="W28" i="1" s="1"/>
  <c r="X27" i="1"/>
  <c r="Z27" i="1" s="1"/>
  <c r="AA27" i="1" s="1"/>
  <c r="T27" i="1"/>
  <c r="V27" i="1" s="1"/>
  <c r="W27" i="1" s="1"/>
  <c r="X26" i="1"/>
  <c r="Z26" i="1" s="1"/>
  <c r="AA26" i="1" s="1"/>
  <c r="T26" i="1"/>
  <c r="V26" i="1" s="1"/>
  <c r="W26" i="1" s="1"/>
  <c r="X25" i="1"/>
  <c r="Z25" i="1" s="1"/>
  <c r="AA25" i="1" s="1"/>
  <c r="T25" i="1"/>
  <c r="V25" i="1" s="1"/>
  <c r="W25" i="1" s="1"/>
  <c r="X24" i="1"/>
  <c r="Z24" i="1" s="1"/>
  <c r="AA24" i="1" s="1"/>
  <c r="T24" i="1"/>
  <c r="V24" i="1" s="1"/>
  <c r="W24" i="1" s="1"/>
  <c r="X23" i="1"/>
  <c r="Z23" i="1" s="1"/>
  <c r="AA23" i="1" s="1"/>
  <c r="T23" i="1"/>
  <c r="V23" i="1" s="1"/>
  <c r="W23" i="1" s="1"/>
  <c r="M22" i="1"/>
  <c r="P22" i="1" s="1"/>
  <c r="M21" i="1"/>
  <c r="P21" i="1" s="1"/>
  <c r="M20" i="1"/>
  <c r="P20" i="1" s="1"/>
  <c r="M16" i="1"/>
  <c r="P16" i="1" s="1"/>
  <c r="M15" i="1"/>
  <c r="P15" i="1" s="1"/>
  <c r="T18" i="1"/>
  <c r="V18" i="1" s="1"/>
  <c r="W18" i="1" s="1"/>
  <c r="X18" i="1"/>
  <c r="Z18" i="1" s="1"/>
  <c r="AA18" i="1" s="1"/>
  <c r="T19" i="1"/>
  <c r="V19" i="1" s="1"/>
  <c r="W19" i="1" s="1"/>
  <c r="X19" i="1"/>
  <c r="Z19" i="1" s="1"/>
  <c r="AA19" i="1" s="1"/>
  <c r="P2" i="1"/>
  <c r="X16" i="4"/>
  <c r="Z16" i="4" s="1"/>
  <c r="AA16" i="4" s="1"/>
  <c r="V16" i="4"/>
  <c r="W16" i="4" s="1"/>
  <c r="P16" i="4"/>
  <c r="R16" i="4" s="1"/>
  <c r="O16" i="4" s="1"/>
  <c r="X15" i="4"/>
  <c r="Z15" i="4" s="1"/>
  <c r="AA15" i="4" s="1"/>
  <c r="V15" i="4"/>
  <c r="W15" i="4" s="1"/>
  <c r="X14" i="4"/>
  <c r="Z14" i="4" s="1"/>
  <c r="AA14" i="4" s="1"/>
  <c r="V14" i="4"/>
  <c r="W14" i="4" s="1"/>
  <c r="P14" i="4"/>
  <c r="R14" i="4" s="1"/>
  <c r="O14" i="4" s="1"/>
  <c r="X13" i="4"/>
  <c r="Z13" i="4" s="1"/>
  <c r="AA13" i="4" s="1"/>
  <c r="V13" i="4"/>
  <c r="W13" i="4" s="1"/>
  <c r="P13" i="4"/>
  <c r="R13" i="4" s="1"/>
  <c r="O13" i="4" s="1"/>
  <c r="X12" i="4"/>
  <c r="Z12" i="4" s="1"/>
  <c r="AA12" i="4" s="1"/>
  <c r="V12" i="4"/>
  <c r="W12" i="4" s="1"/>
  <c r="P12" i="4"/>
  <c r="R12" i="4" s="1"/>
  <c r="O12" i="4" s="1"/>
  <c r="X11" i="4"/>
  <c r="Z11" i="4" s="1"/>
  <c r="AA11" i="4" s="1"/>
  <c r="V11" i="4"/>
  <c r="W11" i="4" s="1"/>
  <c r="P11" i="4"/>
  <c r="R11" i="4" s="1"/>
  <c r="O11" i="4" s="1"/>
  <c r="X10" i="4"/>
  <c r="Z10" i="4" s="1"/>
  <c r="AA10" i="4" s="1"/>
  <c r="V10" i="4"/>
  <c r="W10" i="4" s="1"/>
  <c r="X9" i="4"/>
  <c r="Z9" i="4" s="1"/>
  <c r="AA9" i="4" s="1"/>
  <c r="V9" i="4"/>
  <c r="W9" i="4" s="1"/>
  <c r="P9" i="4"/>
  <c r="R9" i="4" s="1"/>
  <c r="O9" i="4" s="1"/>
  <c r="X8" i="4"/>
  <c r="Z8" i="4" s="1"/>
  <c r="AA8" i="4" s="1"/>
  <c r="V8" i="4"/>
  <c r="W8" i="4" s="1"/>
  <c r="P8" i="4"/>
  <c r="R8" i="4" s="1"/>
  <c r="O8" i="4" s="1"/>
  <c r="X7" i="4"/>
  <c r="Z7" i="4" s="1"/>
  <c r="AA7" i="4" s="1"/>
  <c r="V7" i="4"/>
  <c r="W7" i="4" s="1"/>
  <c r="X6" i="4"/>
  <c r="Z6" i="4" s="1"/>
  <c r="AA6" i="4" s="1"/>
  <c r="V6" i="4"/>
  <c r="W6" i="4" s="1"/>
  <c r="P6" i="4"/>
  <c r="R6" i="4" s="1"/>
  <c r="O6" i="4" s="1"/>
  <c r="X5" i="4"/>
  <c r="Z5" i="4" s="1"/>
  <c r="AA5" i="4" s="1"/>
  <c r="V5" i="4"/>
  <c r="W5" i="4" s="1"/>
  <c r="P5" i="4"/>
  <c r="R5" i="4" s="1"/>
  <c r="O5" i="4" s="1"/>
  <c r="X4" i="4"/>
  <c r="Z4" i="4" s="1"/>
  <c r="AA4" i="4" s="1"/>
  <c r="V4" i="4"/>
  <c r="W4" i="4" s="1"/>
  <c r="P4" i="4"/>
  <c r="R4" i="4" s="1"/>
  <c r="O4" i="4" s="1"/>
  <c r="X3" i="4"/>
  <c r="Z3" i="4" s="1"/>
  <c r="AA3" i="4" s="1"/>
  <c r="V3" i="4"/>
  <c r="W3" i="4" s="1"/>
  <c r="P3" i="4"/>
  <c r="R3" i="4" s="1"/>
  <c r="O3" i="4" s="1"/>
  <c r="X2" i="4"/>
  <c r="Z2" i="4" s="1"/>
  <c r="AA2" i="4" s="1"/>
  <c r="V2" i="4"/>
  <c r="W2" i="4" s="1"/>
  <c r="X16" i="2"/>
  <c r="Z16" i="2" s="1"/>
  <c r="AA16" i="2" s="1"/>
  <c r="P16" i="2"/>
  <c r="R16" i="2" s="1"/>
  <c r="S16" i="2" s="1"/>
  <c r="X15" i="2"/>
  <c r="Z15" i="2" s="1"/>
  <c r="AA15" i="2" s="1"/>
  <c r="P15" i="2"/>
  <c r="R15" i="2" s="1"/>
  <c r="S15" i="2" s="1"/>
  <c r="X14" i="2"/>
  <c r="Z14" i="2" s="1"/>
  <c r="AA14" i="2" s="1"/>
  <c r="P14" i="2"/>
  <c r="R14" i="2" s="1"/>
  <c r="S14" i="2" s="1"/>
  <c r="X13" i="2"/>
  <c r="Z13" i="2" s="1"/>
  <c r="AA13" i="2" s="1"/>
  <c r="P13" i="2"/>
  <c r="R13" i="2" s="1"/>
  <c r="S13" i="2" s="1"/>
  <c r="X12" i="2"/>
  <c r="Z12" i="2" s="1"/>
  <c r="AA12" i="2" s="1"/>
  <c r="P12" i="2"/>
  <c r="R12" i="2" s="1"/>
  <c r="S12" i="2" s="1"/>
  <c r="X11" i="2"/>
  <c r="Z11" i="2" s="1"/>
  <c r="AA11" i="2" s="1"/>
  <c r="P11" i="2"/>
  <c r="R11" i="2" s="1"/>
  <c r="S11" i="2" s="1"/>
  <c r="X10" i="2"/>
  <c r="Z10" i="2" s="1"/>
  <c r="AA10" i="2" s="1"/>
  <c r="P10" i="2"/>
  <c r="R10" i="2" s="1"/>
  <c r="S10" i="2" s="1"/>
  <c r="X9" i="2"/>
  <c r="Z9" i="2" s="1"/>
  <c r="AA9" i="2" s="1"/>
  <c r="P9" i="2"/>
  <c r="R9" i="2" s="1"/>
  <c r="S9" i="2" s="1"/>
  <c r="X8" i="2"/>
  <c r="Z8" i="2" s="1"/>
  <c r="AA8" i="2" s="1"/>
  <c r="P8" i="2"/>
  <c r="R8" i="2" s="1"/>
  <c r="S8" i="2" s="1"/>
  <c r="X7" i="2"/>
  <c r="Z7" i="2" s="1"/>
  <c r="AA7" i="2" s="1"/>
  <c r="P7" i="2"/>
  <c r="R7" i="2" s="1"/>
  <c r="S7" i="2" s="1"/>
  <c r="X6" i="2"/>
  <c r="Z6" i="2" s="1"/>
  <c r="AA6" i="2" s="1"/>
  <c r="P6" i="2"/>
  <c r="R6" i="2" s="1"/>
  <c r="S6" i="2" s="1"/>
  <c r="X5" i="2"/>
  <c r="Z5" i="2" s="1"/>
  <c r="AA5" i="2" s="1"/>
  <c r="P5" i="2"/>
  <c r="R5" i="2" s="1"/>
  <c r="S5" i="2" s="1"/>
  <c r="X4" i="2"/>
  <c r="Z4" i="2" s="1"/>
  <c r="AA4" i="2" s="1"/>
  <c r="P4" i="2"/>
  <c r="R4" i="2" s="1"/>
  <c r="S4" i="2" s="1"/>
  <c r="X3" i="2"/>
  <c r="Z3" i="2" s="1"/>
  <c r="AA3" i="2" s="1"/>
  <c r="P3" i="2"/>
  <c r="R3" i="2" s="1"/>
  <c r="S3" i="2" s="1"/>
  <c r="X2" i="2"/>
  <c r="Z2" i="2" s="1"/>
  <c r="AA2" i="2" s="1"/>
  <c r="T2" i="2"/>
  <c r="V2" i="2" s="1"/>
  <c r="W2" i="2" s="1"/>
  <c r="P2" i="2"/>
  <c r="R2" i="2" s="1"/>
  <c r="S2" i="2" s="1"/>
  <c r="X16" i="3"/>
  <c r="Z16" i="3" s="1"/>
  <c r="O16" i="3" s="1"/>
  <c r="T16" i="3"/>
  <c r="V16" i="3" s="1"/>
  <c r="W16" i="3" s="1"/>
  <c r="P16" i="3"/>
  <c r="R16" i="3" s="1"/>
  <c r="S16" i="3" s="1"/>
  <c r="T15" i="3"/>
  <c r="V15" i="3" s="1"/>
  <c r="W15" i="3" s="1"/>
  <c r="P15" i="3"/>
  <c r="R15" i="3" s="1"/>
  <c r="S15" i="3" s="1"/>
  <c r="X14" i="3"/>
  <c r="Z14" i="3" s="1"/>
  <c r="O14" i="3" s="1"/>
  <c r="T14" i="3"/>
  <c r="V14" i="3" s="1"/>
  <c r="W14" i="3" s="1"/>
  <c r="P14" i="3"/>
  <c r="R14" i="3" s="1"/>
  <c r="S14" i="3" s="1"/>
  <c r="X13" i="3"/>
  <c r="Z13" i="3" s="1"/>
  <c r="O13" i="3" s="1"/>
  <c r="T13" i="3"/>
  <c r="V13" i="3" s="1"/>
  <c r="W13" i="3" s="1"/>
  <c r="P13" i="3"/>
  <c r="R13" i="3" s="1"/>
  <c r="S13" i="3" s="1"/>
  <c r="X12" i="3"/>
  <c r="Z12" i="3" s="1"/>
  <c r="O12" i="3" s="1"/>
  <c r="T12" i="3"/>
  <c r="V12" i="3" s="1"/>
  <c r="W12" i="3" s="1"/>
  <c r="P12" i="3"/>
  <c r="R12" i="3" s="1"/>
  <c r="S12" i="3" s="1"/>
  <c r="X11" i="3"/>
  <c r="Z11" i="3" s="1"/>
  <c r="O11" i="3" s="1"/>
  <c r="T11" i="3"/>
  <c r="V11" i="3" s="1"/>
  <c r="W11" i="3" s="1"/>
  <c r="P11" i="3"/>
  <c r="R11" i="3" s="1"/>
  <c r="S11" i="3" s="1"/>
  <c r="X10" i="3"/>
  <c r="Z10" i="3" s="1"/>
  <c r="O10" i="3" s="1"/>
  <c r="T10" i="3"/>
  <c r="V10" i="3" s="1"/>
  <c r="W10" i="3" s="1"/>
  <c r="P10" i="3"/>
  <c r="R10" i="3" s="1"/>
  <c r="S10" i="3" s="1"/>
  <c r="X9" i="3"/>
  <c r="Z9" i="3" s="1"/>
  <c r="O9" i="3" s="1"/>
  <c r="T9" i="3"/>
  <c r="V9" i="3" s="1"/>
  <c r="W9" i="3" s="1"/>
  <c r="P9" i="3"/>
  <c r="R9" i="3" s="1"/>
  <c r="S9" i="3" s="1"/>
  <c r="X8" i="3"/>
  <c r="Z8" i="3" s="1"/>
  <c r="O8" i="3" s="1"/>
  <c r="T8" i="3"/>
  <c r="V8" i="3" s="1"/>
  <c r="W8" i="3" s="1"/>
  <c r="P8" i="3"/>
  <c r="R8" i="3" s="1"/>
  <c r="S8" i="3" s="1"/>
  <c r="X7" i="3"/>
  <c r="Z7" i="3" s="1"/>
  <c r="O7" i="3" s="1"/>
  <c r="T7" i="3"/>
  <c r="V7" i="3" s="1"/>
  <c r="W7" i="3" s="1"/>
  <c r="P7" i="3"/>
  <c r="R7" i="3" s="1"/>
  <c r="S7" i="3" s="1"/>
  <c r="X6" i="3"/>
  <c r="Z6" i="3" s="1"/>
  <c r="O6" i="3" s="1"/>
  <c r="T6" i="3"/>
  <c r="V6" i="3" s="1"/>
  <c r="W6" i="3" s="1"/>
  <c r="P6" i="3"/>
  <c r="R6" i="3" s="1"/>
  <c r="S6" i="3" s="1"/>
  <c r="X5" i="3"/>
  <c r="Z5" i="3" s="1"/>
  <c r="O5" i="3" s="1"/>
  <c r="T5" i="3"/>
  <c r="V5" i="3" s="1"/>
  <c r="W5" i="3" s="1"/>
  <c r="P5" i="3"/>
  <c r="R5" i="3" s="1"/>
  <c r="S5" i="3" s="1"/>
  <c r="X4" i="3"/>
  <c r="Z4" i="3" s="1"/>
  <c r="O4" i="3" s="1"/>
  <c r="T4" i="3"/>
  <c r="V4" i="3" s="1"/>
  <c r="W4" i="3" s="1"/>
  <c r="P4" i="3"/>
  <c r="R4" i="3" s="1"/>
  <c r="S4" i="3" s="1"/>
  <c r="X3" i="3"/>
  <c r="Z3" i="3" s="1"/>
  <c r="O3" i="3" s="1"/>
  <c r="T3" i="3"/>
  <c r="V3" i="3" s="1"/>
  <c r="W3" i="3" s="1"/>
  <c r="P3" i="3"/>
  <c r="R3" i="3" s="1"/>
  <c r="S3" i="3" s="1"/>
  <c r="X2" i="3"/>
  <c r="Z2" i="3" s="1"/>
  <c r="O2" i="3" s="1"/>
  <c r="T2" i="3"/>
  <c r="V2" i="3" s="1"/>
  <c r="W2" i="3" s="1"/>
  <c r="P2" i="3"/>
  <c r="R2" i="3" s="1"/>
  <c r="S2" i="3" s="1"/>
  <c r="X22" i="1"/>
  <c r="Z22" i="1" s="1"/>
  <c r="AA22" i="1" s="1"/>
  <c r="T22" i="1"/>
  <c r="V22" i="1" s="1"/>
  <c r="W22" i="1" s="1"/>
  <c r="X21" i="1"/>
  <c r="Z21" i="1" s="1"/>
  <c r="AA21" i="1" s="1"/>
  <c r="T21" i="1"/>
  <c r="V21" i="1" s="1"/>
  <c r="W21" i="1" s="1"/>
  <c r="X20" i="1"/>
  <c r="Z20" i="1" s="1"/>
  <c r="AA20" i="1" s="1"/>
  <c r="T20" i="1"/>
  <c r="V20" i="1" s="1"/>
  <c r="W20" i="1" s="1"/>
  <c r="X17" i="1"/>
  <c r="Z17" i="1" s="1"/>
  <c r="AA17" i="1" s="1"/>
  <c r="T17" i="1"/>
  <c r="V17" i="1" s="1"/>
  <c r="W17" i="1" s="1"/>
  <c r="X16" i="1"/>
  <c r="Z16" i="1" s="1"/>
  <c r="AA16" i="1" s="1"/>
  <c r="T16" i="1"/>
  <c r="V16" i="1" s="1"/>
  <c r="W16" i="1" s="1"/>
  <c r="X15" i="1"/>
  <c r="Z15" i="1" s="1"/>
  <c r="AA15" i="1" s="1"/>
  <c r="T15" i="1"/>
  <c r="V15" i="1" s="1"/>
  <c r="W15" i="1" s="1"/>
  <c r="X14" i="1"/>
  <c r="Z14" i="1" s="1"/>
  <c r="AA14" i="1" s="1"/>
  <c r="T14" i="1"/>
  <c r="V14" i="1" s="1"/>
  <c r="W14" i="1" s="1"/>
  <c r="X13" i="1"/>
  <c r="Z13" i="1" s="1"/>
  <c r="AA13" i="1" s="1"/>
  <c r="T13" i="1"/>
  <c r="V13" i="1" s="1"/>
  <c r="W13" i="1" s="1"/>
  <c r="X12" i="1"/>
  <c r="Z12" i="1" s="1"/>
  <c r="AA12" i="1" s="1"/>
  <c r="T12" i="1"/>
  <c r="V12" i="1" s="1"/>
  <c r="W12" i="1" s="1"/>
  <c r="X11" i="1"/>
  <c r="Z11" i="1" s="1"/>
  <c r="AA11" i="1" s="1"/>
  <c r="T11" i="1"/>
  <c r="V11" i="1" s="1"/>
  <c r="W11" i="1" s="1"/>
  <c r="X10" i="1"/>
  <c r="Z10" i="1" s="1"/>
  <c r="AA10" i="1" s="1"/>
  <c r="T10" i="1"/>
  <c r="V10" i="1" s="1"/>
  <c r="W10" i="1" s="1"/>
  <c r="X9" i="1"/>
  <c r="Z9" i="1" s="1"/>
  <c r="AA9" i="1" s="1"/>
  <c r="T9" i="1"/>
  <c r="V9" i="1" s="1"/>
  <c r="W9" i="1" s="1"/>
  <c r="X8" i="1"/>
  <c r="Z8" i="1" s="1"/>
  <c r="AA8" i="1" s="1"/>
  <c r="T8" i="1"/>
  <c r="V8" i="1" s="1"/>
  <c r="W8" i="1" s="1"/>
  <c r="X7" i="1"/>
  <c r="Z7" i="1" s="1"/>
  <c r="AA7" i="1" s="1"/>
  <c r="T7" i="1"/>
  <c r="V7" i="1" s="1"/>
  <c r="W7" i="1" s="1"/>
  <c r="X6" i="1"/>
  <c r="Z6" i="1" s="1"/>
  <c r="AA6" i="1" s="1"/>
  <c r="T6" i="1"/>
  <c r="V6" i="1" s="1"/>
  <c r="W6" i="1" s="1"/>
  <c r="X5" i="1"/>
  <c r="Z5" i="1" s="1"/>
  <c r="AA5" i="1" s="1"/>
  <c r="T5" i="1"/>
  <c r="V5" i="1" s="1"/>
  <c r="W5" i="1" s="1"/>
  <c r="X4" i="1"/>
  <c r="Z4" i="1" s="1"/>
  <c r="AA4" i="1" s="1"/>
  <c r="T4" i="1"/>
  <c r="V4" i="1" s="1"/>
  <c r="W4" i="1" s="1"/>
  <c r="X3" i="1"/>
  <c r="Z3" i="1" s="1"/>
  <c r="AA3" i="1" s="1"/>
  <c r="T3" i="1"/>
  <c r="V3" i="1" s="1"/>
  <c r="W3" i="1" s="1"/>
  <c r="X2" i="1"/>
  <c r="Z2" i="1" s="1"/>
  <c r="AA2" i="1" s="1"/>
  <c r="T2" i="1"/>
  <c r="V2" i="1" s="1"/>
  <c r="W2" i="1" s="1"/>
  <c r="W303" i="7" l="1"/>
  <c r="O303" i="7"/>
  <c r="W224" i="7"/>
  <c r="O224" i="7"/>
  <c r="W240" i="7"/>
  <c r="O240" i="7"/>
  <c r="W256" i="7"/>
  <c r="O256" i="7"/>
  <c r="W272" i="7"/>
  <c r="O272" i="7"/>
  <c r="W288" i="7"/>
  <c r="O288" i="7"/>
  <c r="W304" i="7"/>
  <c r="O304" i="7"/>
  <c r="W254" i="7"/>
  <c r="O254" i="7"/>
  <c r="W225" i="7"/>
  <c r="O225" i="7"/>
  <c r="W241" i="7"/>
  <c r="O241" i="7"/>
  <c r="W257" i="7"/>
  <c r="O257" i="7"/>
  <c r="O273" i="7"/>
  <c r="W273" i="7"/>
  <c r="O289" i="7"/>
  <c r="W289" i="7"/>
  <c r="O305" i="7"/>
  <c r="W305" i="7"/>
  <c r="O269" i="7"/>
  <c r="W269" i="7"/>
  <c r="W226" i="7"/>
  <c r="O226" i="7"/>
  <c r="W242" i="7"/>
  <c r="O242" i="7"/>
  <c r="W258" i="7"/>
  <c r="O258" i="7"/>
  <c r="W274" i="7"/>
  <c r="O274" i="7"/>
  <c r="W290" i="7"/>
  <c r="O290" i="7"/>
  <c r="W306" i="7"/>
  <c r="O306" i="7"/>
  <c r="W227" i="7"/>
  <c r="O227" i="7"/>
  <c r="W243" i="7"/>
  <c r="O243" i="7"/>
  <c r="W259" i="7"/>
  <c r="O259" i="7"/>
  <c r="W275" i="7"/>
  <c r="O275" i="7"/>
  <c r="W291" i="7"/>
  <c r="O291" i="7"/>
  <c r="W307" i="7"/>
  <c r="O307" i="7"/>
  <c r="W238" i="7"/>
  <c r="O238" i="7"/>
  <c r="W212" i="7"/>
  <c r="O212" i="7"/>
  <c r="W228" i="7"/>
  <c r="O228" i="7"/>
  <c r="W244" i="7"/>
  <c r="O244" i="7"/>
  <c r="W260" i="7"/>
  <c r="O260" i="7"/>
  <c r="W276" i="7"/>
  <c r="O276" i="7"/>
  <c r="W292" i="7"/>
  <c r="O292" i="7"/>
  <c r="W308" i="7"/>
  <c r="O308" i="7"/>
  <c r="W221" i="7"/>
  <c r="O221" i="7"/>
  <c r="W213" i="7"/>
  <c r="O213" i="7"/>
  <c r="W229" i="7"/>
  <c r="O229" i="7"/>
  <c r="W245" i="7"/>
  <c r="O245" i="7"/>
  <c r="W261" i="7"/>
  <c r="O261" i="7"/>
  <c r="O277" i="7"/>
  <c r="W277" i="7"/>
  <c r="W293" i="7"/>
  <c r="O293" i="7"/>
  <c r="W309" i="7"/>
  <c r="O309" i="7"/>
  <c r="O301" i="7"/>
  <c r="W301" i="7"/>
  <c r="W222" i="7"/>
  <c r="O222" i="7"/>
  <c r="W286" i="7"/>
  <c r="O286" i="7"/>
  <c r="W287" i="7"/>
  <c r="O287" i="7"/>
  <c r="W214" i="7"/>
  <c r="O214" i="7"/>
  <c r="W230" i="7"/>
  <c r="O230" i="7"/>
  <c r="W246" i="7"/>
  <c r="O246" i="7"/>
  <c r="W262" i="7"/>
  <c r="O262" i="7"/>
  <c r="W278" i="7"/>
  <c r="O278" i="7"/>
  <c r="W294" i="7"/>
  <c r="O294" i="7"/>
  <c r="W310" i="7"/>
  <c r="O310" i="7"/>
  <c r="W253" i="7"/>
  <c r="O253" i="7"/>
  <c r="W239" i="7"/>
  <c r="O239" i="7"/>
  <c r="W215" i="7"/>
  <c r="O215" i="7"/>
  <c r="W231" i="7"/>
  <c r="O231" i="7"/>
  <c r="W247" i="7"/>
  <c r="O247" i="7"/>
  <c r="W263" i="7"/>
  <c r="O263" i="7"/>
  <c r="W279" i="7"/>
  <c r="O279" i="7"/>
  <c r="W295" i="7"/>
  <c r="O295" i="7"/>
  <c r="W311" i="7"/>
  <c r="O311" i="7"/>
  <c r="W270" i="7"/>
  <c r="O270" i="7"/>
  <c r="W216" i="7"/>
  <c r="O216" i="7"/>
  <c r="W232" i="7"/>
  <c r="O232" i="7"/>
  <c r="W248" i="7"/>
  <c r="O248" i="7"/>
  <c r="W264" i="7"/>
  <c r="O264" i="7"/>
  <c r="W280" i="7"/>
  <c r="O280" i="7"/>
  <c r="W296" i="7"/>
  <c r="O296" i="7"/>
  <c r="W312" i="7"/>
  <c r="O312" i="7"/>
  <c r="W217" i="7"/>
  <c r="O217" i="7"/>
  <c r="W233" i="7"/>
  <c r="O233" i="7"/>
  <c r="W249" i="7"/>
  <c r="O249" i="7"/>
  <c r="W265" i="7"/>
  <c r="O265" i="7"/>
  <c r="O281" i="7"/>
  <c r="W281" i="7"/>
  <c r="O297" i="7"/>
  <c r="W297" i="7"/>
  <c r="W313" i="7"/>
  <c r="O313" i="7"/>
  <c r="O285" i="7"/>
  <c r="W285" i="7"/>
  <c r="W302" i="7"/>
  <c r="O302" i="7"/>
  <c r="W271" i="7"/>
  <c r="O271" i="7"/>
  <c r="W218" i="7"/>
  <c r="O218" i="7"/>
  <c r="W234" i="7"/>
  <c r="O234" i="7"/>
  <c r="W250" i="7"/>
  <c r="O250" i="7"/>
  <c r="W266" i="7"/>
  <c r="O266" i="7"/>
  <c r="W282" i="7"/>
  <c r="O282" i="7"/>
  <c r="W298" i="7"/>
  <c r="O298" i="7"/>
  <c r="W314" i="7"/>
  <c r="O314" i="7"/>
  <c r="W237" i="7"/>
  <c r="O237" i="7"/>
  <c r="W223" i="7"/>
  <c r="O223" i="7"/>
  <c r="W219" i="7"/>
  <c r="O219" i="7"/>
  <c r="W235" i="7"/>
  <c r="O235" i="7"/>
  <c r="W251" i="7"/>
  <c r="O251" i="7"/>
  <c r="W267" i="7"/>
  <c r="O267" i="7"/>
  <c r="W283" i="7"/>
  <c r="O283" i="7"/>
  <c r="W299" i="7"/>
  <c r="O299" i="7"/>
  <c r="W315" i="7"/>
  <c r="O315" i="7"/>
  <c r="W255" i="7"/>
  <c r="O255" i="7"/>
  <c r="W220" i="7"/>
  <c r="O220" i="7"/>
  <c r="W236" i="7"/>
  <c r="O236" i="7"/>
  <c r="W252" i="7"/>
  <c r="O252" i="7"/>
  <c r="W268" i="7"/>
  <c r="O268" i="7"/>
  <c r="W284" i="7"/>
  <c r="O284" i="7"/>
  <c r="W300" i="7"/>
  <c r="O300" i="7"/>
  <c r="W316" i="7"/>
  <c r="O316" i="7"/>
  <c r="S31" i="7"/>
  <c r="O31" i="7"/>
  <c r="O34" i="7"/>
  <c r="S34" i="7"/>
  <c r="S51" i="7"/>
  <c r="O51" i="7"/>
  <c r="O68" i="7"/>
  <c r="S68" i="7"/>
  <c r="S72" i="7"/>
  <c r="O72" i="7"/>
  <c r="S79" i="7"/>
  <c r="O79" i="7"/>
  <c r="S100" i="7"/>
  <c r="O100" i="7"/>
  <c r="O11" i="7"/>
  <c r="S11" i="7"/>
  <c r="S103" i="7"/>
  <c r="O103" i="7"/>
  <c r="O4" i="7"/>
  <c r="S4" i="7"/>
  <c r="S24" i="7"/>
  <c r="O24" i="7"/>
  <c r="S54" i="7"/>
  <c r="O54" i="7"/>
  <c r="O64" i="7"/>
  <c r="S64" i="7"/>
  <c r="S88" i="7"/>
  <c r="O88" i="7"/>
  <c r="S8" i="7"/>
  <c r="O8" i="7"/>
  <c r="S104" i="7"/>
  <c r="O104" i="7"/>
  <c r="O48" i="7"/>
  <c r="S48" i="7"/>
  <c r="O18" i="7"/>
  <c r="S18" i="7"/>
  <c r="S55" i="7"/>
  <c r="O55" i="7"/>
  <c r="O59" i="7"/>
  <c r="S59" i="7"/>
  <c r="O82" i="7"/>
  <c r="S82" i="7"/>
  <c r="S7" i="7"/>
  <c r="O7" i="7"/>
  <c r="O2" i="7"/>
  <c r="S2" i="7"/>
  <c r="S35" i="7"/>
  <c r="O35" i="7"/>
  <c r="S38" i="7"/>
  <c r="O38" i="7"/>
  <c r="O52" i="7"/>
  <c r="S52" i="7"/>
  <c r="S62" i="7"/>
  <c r="O62" i="7"/>
  <c r="O98" i="7"/>
  <c r="S98" i="7"/>
  <c r="O32" i="7"/>
  <c r="S32" i="7"/>
  <c r="S56" i="7"/>
  <c r="O56" i="7"/>
  <c r="S101" i="7"/>
  <c r="O101" i="7"/>
  <c r="S19" i="7"/>
  <c r="O19" i="7"/>
  <c r="S22" i="7"/>
  <c r="O22" i="7"/>
  <c r="S46" i="7"/>
  <c r="O46" i="7"/>
  <c r="S83" i="7"/>
  <c r="O83" i="7"/>
  <c r="S86" i="7"/>
  <c r="O86" i="7"/>
  <c r="S16" i="7"/>
  <c r="O16" i="7"/>
  <c r="S39" i="7"/>
  <c r="O39" i="7"/>
  <c r="O43" i="7"/>
  <c r="S43" i="7"/>
  <c r="S63" i="7"/>
  <c r="O63" i="7"/>
  <c r="O66" i="7"/>
  <c r="S66" i="7"/>
  <c r="S70" i="7"/>
  <c r="O70" i="7"/>
  <c r="S3" i="7"/>
  <c r="O3" i="7"/>
  <c r="S6" i="7"/>
  <c r="O6" i="7"/>
  <c r="O36" i="7"/>
  <c r="S36" i="7"/>
  <c r="S99" i="7"/>
  <c r="O99" i="7"/>
  <c r="S102" i="7"/>
  <c r="O102" i="7"/>
  <c r="S106" i="7"/>
  <c r="O106" i="7"/>
  <c r="S94" i="7"/>
  <c r="O94" i="7"/>
  <c r="S23" i="7"/>
  <c r="O23" i="7"/>
  <c r="O27" i="7"/>
  <c r="S27" i="7"/>
  <c r="S30" i="7"/>
  <c r="O30" i="7"/>
  <c r="S40" i="7"/>
  <c r="O40" i="7"/>
  <c r="S47" i="7"/>
  <c r="O47" i="7"/>
  <c r="O50" i="7"/>
  <c r="S50" i="7"/>
  <c r="S78" i="7"/>
  <c r="O78" i="7"/>
  <c r="S87" i="7"/>
  <c r="O87" i="7"/>
  <c r="O91" i="7"/>
  <c r="S91" i="7"/>
  <c r="S14" i="7"/>
  <c r="O14" i="7"/>
  <c r="O20" i="7"/>
  <c r="S20" i="7"/>
  <c r="S67" i="7"/>
  <c r="O67" i="7"/>
  <c r="S71" i="7"/>
  <c r="O71" i="7"/>
  <c r="O75" i="7"/>
  <c r="S75" i="7"/>
  <c r="O84" i="7"/>
  <c r="S84" i="7"/>
  <c r="O13" i="7"/>
  <c r="O29" i="7"/>
  <c r="O45" i="7"/>
  <c r="O61" i="7"/>
  <c r="O77" i="7"/>
  <c r="O93" i="7"/>
  <c r="S105" i="7"/>
  <c r="S25" i="7"/>
  <c r="S41" i="7"/>
  <c r="S57" i="7"/>
  <c r="O10" i="7"/>
  <c r="O26" i="7"/>
  <c r="O42" i="7"/>
  <c r="O58" i="7"/>
  <c r="O74" i="7"/>
  <c r="O90" i="7"/>
  <c r="O5" i="7"/>
  <c r="O21" i="7"/>
  <c r="O37" i="7"/>
  <c r="O53" i="7"/>
  <c r="O69" i="7"/>
  <c r="O85" i="7"/>
  <c r="S89" i="7"/>
  <c r="S9" i="7"/>
  <c r="O73" i="7"/>
  <c r="W2" i="6"/>
  <c r="O2" i="6"/>
  <c r="W99" i="6"/>
  <c r="O99" i="6"/>
  <c r="W39" i="6"/>
  <c r="O39" i="6"/>
  <c r="W103" i="6"/>
  <c r="O103" i="6"/>
  <c r="O43" i="6"/>
  <c r="O35" i="6"/>
  <c r="O95" i="6"/>
  <c r="W96" i="6"/>
  <c r="O96" i="6"/>
  <c r="W97" i="6"/>
  <c r="O97" i="6"/>
  <c r="W98" i="6"/>
  <c r="O98" i="6"/>
  <c r="W100" i="6"/>
  <c r="O100" i="6"/>
  <c r="W101" i="6"/>
  <c r="O101" i="6"/>
  <c r="W102" i="6"/>
  <c r="O102" i="6"/>
  <c r="W92" i="6"/>
  <c r="O92" i="6"/>
  <c r="W93" i="6"/>
  <c r="O93" i="6"/>
  <c r="W94" i="6"/>
  <c r="O94" i="6"/>
  <c r="W104" i="6"/>
  <c r="O104" i="6"/>
  <c r="W105" i="6"/>
  <c r="O105" i="6"/>
  <c r="W106" i="6"/>
  <c r="O106" i="6"/>
  <c r="W77" i="6"/>
  <c r="O77" i="6"/>
  <c r="W78" i="6"/>
  <c r="O78" i="6"/>
  <c r="W79" i="6"/>
  <c r="O79" i="6"/>
  <c r="O80" i="6"/>
  <c r="W80" i="6"/>
  <c r="W81" i="6"/>
  <c r="O81" i="6"/>
  <c r="W82" i="6"/>
  <c r="O82" i="6"/>
  <c r="W83" i="6"/>
  <c r="O83" i="6"/>
  <c r="O84" i="6"/>
  <c r="W84" i="6"/>
  <c r="W85" i="6"/>
  <c r="O85" i="6"/>
  <c r="W86" i="6"/>
  <c r="O86" i="6"/>
  <c r="W87" i="6"/>
  <c r="O87" i="6"/>
  <c r="O88" i="6"/>
  <c r="W88" i="6"/>
  <c r="W89" i="6"/>
  <c r="O89" i="6"/>
  <c r="W90" i="6"/>
  <c r="O90" i="6"/>
  <c r="W91" i="6"/>
  <c r="O91" i="6"/>
  <c r="W62" i="6"/>
  <c r="O62" i="6"/>
  <c r="W64" i="6"/>
  <c r="O64" i="6"/>
  <c r="O65" i="6"/>
  <c r="W65" i="6"/>
  <c r="W66" i="6"/>
  <c r="O66" i="6"/>
  <c r="W67" i="6"/>
  <c r="O67" i="6"/>
  <c r="W68" i="6"/>
  <c r="O68" i="6"/>
  <c r="W69" i="6"/>
  <c r="O69" i="6"/>
  <c r="W63" i="6"/>
  <c r="O63" i="6"/>
  <c r="W70" i="6"/>
  <c r="O70" i="6"/>
  <c r="W71" i="6"/>
  <c r="O71" i="6"/>
  <c r="W72" i="6"/>
  <c r="O72" i="6"/>
  <c r="O73" i="6"/>
  <c r="W73" i="6"/>
  <c r="W74" i="6"/>
  <c r="O74" i="6"/>
  <c r="W75" i="6"/>
  <c r="O75" i="6"/>
  <c r="W76" i="6"/>
  <c r="O76" i="6"/>
  <c r="W49" i="6"/>
  <c r="O49" i="6"/>
  <c r="W51" i="6"/>
  <c r="O51" i="6"/>
  <c r="W52" i="6"/>
  <c r="O52" i="6"/>
  <c r="W53" i="6"/>
  <c r="O53" i="6"/>
  <c r="W55" i="6"/>
  <c r="O55" i="6"/>
  <c r="W56" i="6"/>
  <c r="O56" i="6"/>
  <c r="W57" i="6"/>
  <c r="O57" i="6"/>
  <c r="W59" i="6"/>
  <c r="O59" i="6"/>
  <c r="W47" i="6"/>
  <c r="O47" i="6"/>
  <c r="W60" i="6"/>
  <c r="O60" i="6"/>
  <c r="W48" i="6"/>
  <c r="O48" i="6"/>
  <c r="W61" i="6"/>
  <c r="O61" i="6"/>
  <c r="O50" i="6"/>
  <c r="O54" i="6"/>
  <c r="O58" i="6"/>
  <c r="W36" i="6"/>
  <c r="O36" i="6"/>
  <c r="W38" i="6"/>
  <c r="O38" i="6"/>
  <c r="W37" i="6"/>
  <c r="O37" i="6"/>
  <c r="W40" i="6"/>
  <c r="O40" i="6"/>
  <c r="W41" i="6"/>
  <c r="O41" i="6"/>
  <c r="W42" i="6"/>
  <c r="O42" i="6"/>
  <c r="W32" i="6"/>
  <c r="O32" i="6"/>
  <c r="W33" i="6"/>
  <c r="O33" i="6"/>
  <c r="W34" i="6"/>
  <c r="O34" i="6"/>
  <c r="W44" i="6"/>
  <c r="O44" i="6"/>
  <c r="W45" i="6"/>
  <c r="O45" i="6"/>
  <c r="W46" i="6"/>
  <c r="O46" i="6"/>
  <c r="W17" i="6"/>
  <c r="O17" i="6"/>
  <c r="W18" i="6"/>
  <c r="O18" i="6"/>
  <c r="W19" i="6"/>
  <c r="O19" i="6"/>
  <c r="O20" i="6"/>
  <c r="W20" i="6"/>
  <c r="W21" i="6"/>
  <c r="O21" i="6"/>
  <c r="W22" i="6"/>
  <c r="O22" i="6"/>
  <c r="W23" i="6"/>
  <c r="O23" i="6"/>
  <c r="O24" i="6"/>
  <c r="W24" i="6"/>
  <c r="W25" i="6"/>
  <c r="O25" i="6"/>
  <c r="W26" i="6"/>
  <c r="O26" i="6"/>
  <c r="W27" i="6"/>
  <c r="O27" i="6"/>
  <c r="O28" i="6"/>
  <c r="W28" i="6"/>
  <c r="W29" i="6"/>
  <c r="O29" i="6"/>
  <c r="W30" i="6"/>
  <c r="O30" i="6"/>
  <c r="W31" i="6"/>
  <c r="O31" i="6"/>
  <c r="W10" i="6"/>
  <c r="W9" i="6"/>
  <c r="W12" i="6"/>
  <c r="Z16" i="5"/>
  <c r="AA16" i="5" s="1"/>
  <c r="AA13" i="5"/>
  <c r="S49" i="4"/>
  <c r="O49" i="4"/>
  <c r="S50" i="4"/>
  <c r="O50" i="4"/>
  <c r="O41" i="4"/>
  <c r="S41" i="4"/>
  <c r="O20" i="4"/>
  <c r="O18" i="4"/>
  <c r="O66" i="4"/>
  <c r="S66" i="4"/>
  <c r="S84" i="4"/>
  <c r="O84" i="4"/>
  <c r="S19" i="4"/>
  <c r="O19" i="4"/>
  <c r="S94" i="4"/>
  <c r="O94" i="4"/>
  <c r="O81" i="4"/>
  <c r="S81" i="4"/>
  <c r="S47" i="4"/>
  <c r="O47" i="4"/>
  <c r="S96" i="4"/>
  <c r="O96" i="4"/>
  <c r="S104" i="4"/>
  <c r="S51" i="4"/>
  <c r="S67" i="4"/>
  <c r="O33" i="4"/>
  <c r="S103" i="4"/>
  <c r="O103" i="4"/>
  <c r="O100" i="4"/>
  <c r="S100" i="4"/>
  <c r="S95" i="4"/>
  <c r="O95" i="4"/>
  <c r="O98" i="4"/>
  <c r="S98" i="4"/>
  <c r="S101" i="4"/>
  <c r="O101" i="4"/>
  <c r="S102" i="4"/>
  <c r="O102" i="4"/>
  <c r="S106" i="4"/>
  <c r="O106" i="4"/>
  <c r="S93" i="4"/>
  <c r="O93" i="4"/>
  <c r="S99" i="4"/>
  <c r="O99" i="4"/>
  <c r="S105" i="4"/>
  <c r="O97" i="4"/>
  <c r="O92" i="4"/>
  <c r="S78" i="4"/>
  <c r="O78" i="4"/>
  <c r="S88" i="4"/>
  <c r="O88" i="4"/>
  <c r="S79" i="4"/>
  <c r="O79" i="4"/>
  <c r="S85" i="4"/>
  <c r="O85" i="4"/>
  <c r="S89" i="4"/>
  <c r="O89" i="4"/>
  <c r="O83" i="4"/>
  <c r="S83" i="4"/>
  <c r="S86" i="4"/>
  <c r="O86" i="4"/>
  <c r="S77" i="4"/>
  <c r="O77" i="4"/>
  <c r="S87" i="4"/>
  <c r="O87" i="4"/>
  <c r="S91" i="4"/>
  <c r="O91" i="4"/>
  <c r="S90" i="4"/>
  <c r="O80" i="4"/>
  <c r="O82" i="4"/>
  <c r="S70" i="4"/>
  <c r="O70" i="4"/>
  <c r="S64" i="4"/>
  <c r="O64" i="4"/>
  <c r="S74" i="4"/>
  <c r="O74" i="4"/>
  <c r="S73" i="4"/>
  <c r="O73" i="4"/>
  <c r="S65" i="4"/>
  <c r="O65" i="4"/>
  <c r="O68" i="4"/>
  <c r="S68" i="4"/>
  <c r="S62" i="4"/>
  <c r="O62" i="4"/>
  <c r="S72" i="4"/>
  <c r="O72" i="4"/>
  <c r="S69" i="4"/>
  <c r="O69" i="4"/>
  <c r="S63" i="4"/>
  <c r="O63" i="4"/>
  <c r="S75" i="4"/>
  <c r="O76" i="4"/>
  <c r="O71" i="4"/>
  <c r="S58" i="4"/>
  <c r="O58" i="4"/>
  <c r="S55" i="4"/>
  <c r="O55" i="4"/>
  <c r="S52" i="4"/>
  <c r="O52" i="4"/>
  <c r="S59" i="4"/>
  <c r="O59" i="4"/>
  <c r="O53" i="4"/>
  <c r="S53" i="4"/>
  <c r="S56" i="4"/>
  <c r="O56" i="4"/>
  <c r="S61" i="4"/>
  <c r="O61" i="4"/>
  <c r="S48" i="4"/>
  <c r="O48" i="4"/>
  <c r="S54" i="4"/>
  <c r="O54" i="4"/>
  <c r="S57" i="4"/>
  <c r="O57" i="4"/>
  <c r="S60" i="4"/>
  <c r="S43" i="4"/>
  <c r="O43" i="4"/>
  <c r="S32" i="4"/>
  <c r="O32" i="4"/>
  <c r="O36" i="4"/>
  <c r="S36" i="4"/>
  <c r="O40" i="4"/>
  <c r="S40" i="4"/>
  <c r="S44" i="4"/>
  <c r="O44" i="4"/>
  <c r="S35" i="4"/>
  <c r="O35" i="4"/>
  <c r="O38" i="4"/>
  <c r="S38" i="4"/>
  <c r="S34" i="4"/>
  <c r="O34" i="4"/>
  <c r="S42" i="4"/>
  <c r="O42" i="4"/>
  <c r="S46" i="4"/>
  <c r="O46" i="4"/>
  <c r="S39" i="4"/>
  <c r="O39" i="4"/>
  <c r="S45" i="4"/>
  <c r="O37" i="4"/>
  <c r="S24" i="4"/>
  <c r="O24" i="4"/>
  <c r="S28" i="4"/>
  <c r="O28" i="4"/>
  <c r="S21" i="4"/>
  <c r="O21" i="4"/>
  <c r="S29" i="4"/>
  <c r="O29" i="4"/>
  <c r="S25" i="4"/>
  <c r="O25" i="4"/>
  <c r="S26" i="4"/>
  <c r="O26" i="4"/>
  <c r="S31" i="4"/>
  <c r="O31" i="4"/>
  <c r="O23" i="4"/>
  <c r="S23" i="4"/>
  <c r="S27" i="4"/>
  <c r="O27" i="4"/>
  <c r="O22" i="4"/>
  <c r="O17" i="4"/>
  <c r="S30" i="4"/>
  <c r="W14" i="6"/>
  <c r="W7" i="6"/>
  <c r="W8" i="6"/>
  <c r="W6" i="6"/>
  <c r="W3" i="6"/>
  <c r="W16" i="6"/>
  <c r="W13" i="6"/>
  <c r="W4" i="6"/>
  <c r="W11" i="6"/>
  <c r="W5" i="6"/>
  <c r="W15" i="6"/>
  <c r="AA4" i="5"/>
  <c r="AA6" i="5"/>
  <c r="AA3" i="5"/>
  <c r="AA10" i="5"/>
  <c r="AA7" i="5"/>
  <c r="AA14" i="5"/>
  <c r="AA8" i="5"/>
  <c r="AA5" i="5"/>
  <c r="AA15" i="5"/>
  <c r="S11" i="4"/>
  <c r="P2" i="4"/>
  <c r="P15" i="4"/>
  <c r="S5" i="4"/>
  <c r="S3" i="4"/>
  <c r="S4" i="4"/>
  <c r="AA81" i="3"/>
  <c r="O81" i="3"/>
  <c r="AA89" i="3"/>
  <c r="O89" i="3"/>
  <c r="AA48" i="3"/>
  <c r="O48" i="3"/>
  <c r="AA97" i="3"/>
  <c r="O97" i="3"/>
  <c r="AA53" i="3"/>
  <c r="O53" i="3"/>
  <c r="AA56" i="3"/>
  <c r="O56" i="3"/>
  <c r="AA95" i="3"/>
  <c r="O95" i="3"/>
  <c r="AA103" i="3"/>
  <c r="O67" i="3"/>
  <c r="AA96" i="3"/>
  <c r="O96" i="3"/>
  <c r="O100" i="3"/>
  <c r="AA100" i="3"/>
  <c r="AA104" i="3"/>
  <c r="O104" i="3"/>
  <c r="O105" i="3"/>
  <c r="AA105" i="3"/>
  <c r="O94" i="3"/>
  <c r="AA94" i="3"/>
  <c r="AA98" i="3"/>
  <c r="O98" i="3"/>
  <c r="O102" i="3"/>
  <c r="AA102" i="3"/>
  <c r="O92" i="3"/>
  <c r="AA92" i="3"/>
  <c r="O99" i="3"/>
  <c r="AA99" i="3"/>
  <c r="AA106" i="3"/>
  <c r="O106" i="3"/>
  <c r="O93" i="3"/>
  <c r="O101" i="3"/>
  <c r="AA83" i="3"/>
  <c r="O83" i="3"/>
  <c r="O88" i="3"/>
  <c r="AA88" i="3"/>
  <c r="AA80" i="3"/>
  <c r="O80" i="3"/>
  <c r="O84" i="3"/>
  <c r="AA84" i="3"/>
  <c r="O79" i="3"/>
  <c r="AA79" i="3"/>
  <c r="O85" i="3"/>
  <c r="AA85" i="3"/>
  <c r="O77" i="3"/>
  <c r="AA77" i="3"/>
  <c r="AA86" i="3"/>
  <c r="O86" i="3"/>
  <c r="O90" i="3"/>
  <c r="AA90" i="3"/>
  <c r="AA78" i="3"/>
  <c r="O78" i="3"/>
  <c r="O82" i="3"/>
  <c r="AA82" i="3"/>
  <c r="O87" i="3"/>
  <c r="AA87" i="3"/>
  <c r="AA91" i="3"/>
  <c r="O91" i="3"/>
  <c r="O65" i="3"/>
  <c r="AA65" i="3"/>
  <c r="O69" i="3"/>
  <c r="AA69" i="3"/>
  <c r="O62" i="3"/>
  <c r="AA62" i="3"/>
  <c r="AA66" i="3"/>
  <c r="O66" i="3"/>
  <c r="O70" i="3"/>
  <c r="AA70" i="3"/>
  <c r="AA74" i="3"/>
  <c r="O74" i="3"/>
  <c r="O75" i="3"/>
  <c r="AA75" i="3"/>
  <c r="AA73" i="3"/>
  <c r="O73" i="3"/>
  <c r="O64" i="3"/>
  <c r="AA64" i="3"/>
  <c r="O72" i="3"/>
  <c r="AA72" i="3"/>
  <c r="AA68" i="3"/>
  <c r="O68" i="3"/>
  <c r="AA76" i="3"/>
  <c r="O76" i="3"/>
  <c r="O63" i="3"/>
  <c r="O71" i="3"/>
  <c r="O50" i="3"/>
  <c r="AA50" i="3"/>
  <c r="O54" i="3"/>
  <c r="AA54" i="3"/>
  <c r="O58" i="3"/>
  <c r="AA58" i="3"/>
  <c r="O47" i="3"/>
  <c r="AA47" i="3"/>
  <c r="AA51" i="3"/>
  <c r="O51" i="3"/>
  <c r="O55" i="3"/>
  <c r="AA55" i="3"/>
  <c r="O59" i="3"/>
  <c r="AA59" i="3"/>
  <c r="O60" i="3"/>
  <c r="AA60" i="3"/>
  <c r="O49" i="3"/>
  <c r="AA49" i="3"/>
  <c r="O57" i="3"/>
  <c r="AA57" i="3"/>
  <c r="AA61" i="3"/>
  <c r="O61" i="3"/>
  <c r="AA52" i="3"/>
  <c r="O34" i="3"/>
  <c r="AA34" i="3"/>
  <c r="O42" i="3"/>
  <c r="AA42" i="3"/>
  <c r="O43" i="3"/>
  <c r="AA43" i="3"/>
  <c r="O35" i="3"/>
  <c r="AA35" i="3"/>
  <c r="AA44" i="3"/>
  <c r="O44" i="3"/>
  <c r="AA36" i="3"/>
  <c r="O36" i="3"/>
  <c r="O40" i="3"/>
  <c r="AA40" i="3"/>
  <c r="O32" i="3"/>
  <c r="AA32" i="3"/>
  <c r="O45" i="3"/>
  <c r="AA45" i="3"/>
  <c r="O37" i="3"/>
  <c r="AA37" i="3"/>
  <c r="AA41" i="3"/>
  <c r="O41" i="3"/>
  <c r="AA33" i="3"/>
  <c r="O33" i="3"/>
  <c r="AA46" i="3"/>
  <c r="O46" i="3"/>
  <c r="O38" i="3"/>
  <c r="AA39" i="3"/>
  <c r="AA18" i="3"/>
  <c r="O18" i="3"/>
  <c r="O27" i="3"/>
  <c r="AA27" i="3"/>
  <c r="AA23" i="3"/>
  <c r="O23" i="3"/>
  <c r="O19" i="3"/>
  <c r="AA19" i="3"/>
  <c r="O28" i="3"/>
  <c r="AA28" i="3"/>
  <c r="O24" i="3"/>
  <c r="AA24" i="3"/>
  <c r="O20" i="3"/>
  <c r="AA20" i="3"/>
  <c r="AA29" i="3"/>
  <c r="O29" i="3"/>
  <c r="O25" i="3"/>
  <c r="AA25" i="3"/>
  <c r="O30" i="3"/>
  <c r="AA30" i="3"/>
  <c r="AA21" i="3"/>
  <c r="O21" i="3"/>
  <c r="O17" i="3"/>
  <c r="AA17" i="3"/>
  <c r="AA26" i="3"/>
  <c r="O26" i="3"/>
  <c r="O22" i="3"/>
  <c r="AA22" i="3"/>
  <c r="AA31" i="3"/>
  <c r="O31" i="3"/>
  <c r="R15" i="1"/>
  <c r="O15" i="1" s="1"/>
  <c r="P83" i="1"/>
  <c r="P99" i="1"/>
  <c r="O117" i="1"/>
  <c r="R127" i="1"/>
  <c r="O127" i="1" s="1"/>
  <c r="R105" i="1"/>
  <c r="O105" i="1" s="1"/>
  <c r="R121" i="1"/>
  <c r="O121" i="1" s="1"/>
  <c r="R64" i="1"/>
  <c r="O64" i="1" s="1"/>
  <c r="R63" i="1"/>
  <c r="O63" i="1" s="1"/>
  <c r="R79" i="1"/>
  <c r="O79" i="1" s="1"/>
  <c r="P147" i="1"/>
  <c r="R57" i="1"/>
  <c r="O57" i="1" s="1"/>
  <c r="P146" i="1"/>
  <c r="R142" i="1"/>
  <c r="O142" i="1" s="1"/>
  <c r="R126" i="1"/>
  <c r="O126" i="1" s="1"/>
  <c r="R78" i="1"/>
  <c r="O78" i="1" s="1"/>
  <c r="R62" i="1"/>
  <c r="O62" i="1" s="1"/>
  <c r="R141" i="1"/>
  <c r="O141" i="1" s="1"/>
  <c r="R125" i="1"/>
  <c r="O125" i="1" s="1"/>
  <c r="R43" i="1"/>
  <c r="O43" i="1" s="1"/>
  <c r="O128" i="1"/>
  <c r="R106" i="1"/>
  <c r="O106" i="1" s="1"/>
  <c r="R58" i="1"/>
  <c r="O58" i="1" s="1"/>
  <c r="R42" i="1"/>
  <c r="O42" i="1" s="1"/>
  <c r="R41" i="1"/>
  <c r="O41" i="1" s="1"/>
  <c r="R120" i="1"/>
  <c r="O120" i="1" s="1"/>
  <c r="R104" i="1"/>
  <c r="O104" i="1" s="1"/>
  <c r="R22" i="1"/>
  <c r="O22" i="1" s="1"/>
  <c r="R85" i="1"/>
  <c r="O85" i="1" s="1"/>
  <c r="R37" i="1"/>
  <c r="O37" i="1" s="1"/>
  <c r="R21" i="1"/>
  <c r="O21" i="1" s="1"/>
  <c r="R148" i="1"/>
  <c r="O148" i="1" s="1"/>
  <c r="R100" i="1"/>
  <c r="O100" i="1" s="1"/>
  <c r="R84" i="1"/>
  <c r="O84" i="1" s="1"/>
  <c r="R36" i="1"/>
  <c r="O36" i="1" s="1"/>
  <c r="R20" i="1"/>
  <c r="O20" i="1" s="1"/>
  <c r="S107" i="1"/>
  <c r="S112" i="1"/>
  <c r="S118" i="1"/>
  <c r="S138" i="1"/>
  <c r="S116" i="1"/>
  <c r="S140" i="1"/>
  <c r="S130" i="1"/>
  <c r="S134" i="1"/>
  <c r="S115" i="1"/>
  <c r="S119" i="1"/>
  <c r="S88" i="1"/>
  <c r="S49" i="1"/>
  <c r="S131" i="1"/>
  <c r="S110" i="1"/>
  <c r="S139" i="1"/>
  <c r="S26" i="1"/>
  <c r="S132" i="1"/>
  <c r="S129" i="1"/>
  <c r="S111" i="1"/>
  <c r="S108" i="1"/>
  <c r="S133" i="1"/>
  <c r="S52" i="1"/>
  <c r="S92" i="1"/>
  <c r="S135" i="1"/>
  <c r="S114" i="1"/>
  <c r="S109" i="1"/>
  <c r="S54" i="1"/>
  <c r="S136" i="1"/>
  <c r="S113" i="1"/>
  <c r="S137" i="1"/>
  <c r="S91" i="1"/>
  <c r="S95" i="1"/>
  <c r="S27" i="1"/>
  <c r="S71" i="1"/>
  <c r="S48" i="1"/>
  <c r="S87" i="1"/>
  <c r="S23" i="1"/>
  <c r="S30" i="1"/>
  <c r="S66" i="1"/>
  <c r="S94" i="1"/>
  <c r="S45" i="1"/>
  <c r="S24" i="1"/>
  <c r="S35" i="1"/>
  <c r="S28" i="1"/>
  <c r="S68" i="1"/>
  <c r="S75" i="1"/>
  <c r="S33" i="1"/>
  <c r="S47" i="1"/>
  <c r="S50" i="1"/>
  <c r="S93" i="1"/>
  <c r="S29" i="1"/>
  <c r="S53" i="1"/>
  <c r="S65" i="1"/>
  <c r="S96" i="1"/>
  <c r="S32" i="1"/>
  <c r="S74" i="1"/>
  <c r="S77" i="1"/>
  <c r="S97" i="1"/>
  <c r="S51" i="1"/>
  <c r="S69" i="1"/>
  <c r="S98" i="1"/>
  <c r="S72" i="1"/>
  <c r="S89" i="1"/>
  <c r="S25" i="1"/>
  <c r="S46" i="1"/>
  <c r="S90" i="1"/>
  <c r="S31" i="1"/>
  <c r="S55" i="1"/>
  <c r="S67" i="1"/>
  <c r="S70" i="1"/>
  <c r="S44" i="1"/>
  <c r="S56" i="1"/>
  <c r="S34" i="1"/>
  <c r="S73" i="1"/>
  <c r="S76" i="1"/>
  <c r="S13" i="1"/>
  <c r="S14" i="1"/>
  <c r="S12" i="1"/>
  <c r="S9" i="1"/>
  <c r="R2" i="1"/>
  <c r="S7" i="1"/>
  <c r="P7" i="4"/>
  <c r="S14" i="4"/>
  <c r="P10" i="4"/>
  <c r="R10" i="4" s="1"/>
  <c r="O10" i="4" s="1"/>
  <c r="S8" i="4"/>
  <c r="S13" i="4"/>
  <c r="S16" i="4"/>
  <c r="S6" i="4"/>
  <c r="S9" i="4"/>
  <c r="S12" i="4"/>
  <c r="AA12" i="3"/>
  <c r="AA5" i="3"/>
  <c r="AA9" i="3"/>
  <c r="AA13" i="3"/>
  <c r="AA16" i="3"/>
  <c r="AA4" i="3"/>
  <c r="AA8" i="3"/>
  <c r="AA6" i="3"/>
  <c r="AA10" i="3"/>
  <c r="AA14" i="3"/>
  <c r="AA2" i="3"/>
  <c r="AA3" i="3"/>
  <c r="AA11" i="3"/>
  <c r="AA15" i="3"/>
  <c r="AA7" i="3"/>
  <c r="S6" i="1"/>
  <c r="S8" i="1"/>
  <c r="S10" i="1"/>
  <c r="S5" i="1"/>
  <c r="S4" i="1"/>
  <c r="S11" i="1"/>
  <c r="S3" i="1"/>
  <c r="R7" i="4" l="1"/>
  <c r="O7" i="4" s="1"/>
  <c r="R15" i="4"/>
  <c r="O15" i="4" s="1"/>
  <c r="R2" i="4"/>
  <c r="O2" i="4" s="1"/>
  <c r="S2" i="1"/>
  <c r="O2" i="1"/>
  <c r="S10" i="4"/>
  <c r="S146" i="1"/>
  <c r="S82" i="1"/>
  <c r="S18" i="1"/>
  <c r="S124" i="1"/>
  <c r="S145" i="1"/>
  <c r="S81" i="1"/>
  <c r="S17" i="1"/>
  <c r="S144" i="1"/>
  <c r="S80" i="1"/>
  <c r="S64" i="1"/>
  <c r="S16" i="1"/>
  <c r="S143" i="1"/>
  <c r="S127" i="1"/>
  <c r="S79" i="1"/>
  <c r="S63" i="1"/>
  <c r="S15" i="1"/>
  <c r="S142" i="1"/>
  <c r="S126" i="1"/>
  <c r="S78" i="1"/>
  <c r="S62" i="1"/>
  <c r="S141" i="1"/>
  <c r="S125" i="1"/>
  <c r="S61" i="1"/>
  <c r="S60" i="1"/>
  <c r="S122" i="1"/>
  <c r="S106" i="1"/>
  <c r="S58" i="1"/>
  <c r="S42" i="1"/>
  <c r="S121" i="1"/>
  <c r="S105" i="1"/>
  <c r="S57" i="1"/>
  <c r="S41" i="1"/>
  <c r="S43" i="1"/>
  <c r="S120" i="1"/>
  <c r="S104" i="1"/>
  <c r="S40" i="1"/>
  <c r="S103" i="1"/>
  <c r="S39" i="1"/>
  <c r="S59" i="1"/>
  <c r="S102" i="1"/>
  <c r="S38" i="1"/>
  <c r="S22" i="1"/>
  <c r="S101" i="1"/>
  <c r="S85" i="1"/>
  <c r="S37" i="1"/>
  <c r="S21" i="1"/>
  <c r="S123" i="1"/>
  <c r="S148" i="1"/>
  <c r="S100" i="1"/>
  <c r="S84" i="1"/>
  <c r="S36" i="1"/>
  <c r="S20" i="1"/>
  <c r="S147" i="1"/>
  <c r="S99" i="1"/>
  <c r="S83" i="1"/>
  <c r="S19" i="1"/>
  <c r="S2" i="4" l="1"/>
  <c r="S15" i="4"/>
  <c r="S7" i="4"/>
</calcChain>
</file>

<file path=xl/sharedStrings.xml><?xml version="1.0" encoding="utf-8"?>
<sst xmlns="http://schemas.openxmlformats.org/spreadsheetml/2006/main" count="8057" uniqueCount="99">
  <si>
    <t>Año</t>
  </si>
  <si>
    <t>Mes</t>
  </si>
  <si>
    <t>COMPLEJIDAD</t>
  </si>
  <si>
    <t>PROCEDIMIENTO</t>
  </si>
  <si>
    <t>CODIGO_CUPS</t>
  </si>
  <si>
    <t>TIEMPO_MINUTOS</t>
  </si>
  <si>
    <t>TIPO_REGISTRO</t>
  </si>
  <si>
    <t>CATEGORIA_COSTO</t>
  </si>
  <si>
    <t>ITEM</t>
  </si>
  <si>
    <t>CANTIDAD</t>
  </si>
  <si>
    <t>UNIDAD_MEDIDA</t>
  </si>
  <si>
    <t>COSTO_UNITARIO</t>
  </si>
  <si>
    <t>COSTO_TOTAL</t>
  </si>
  <si>
    <t>OBSERVACIONES</t>
  </si>
  <si>
    <t>PRECIO VENTA</t>
  </si>
  <si>
    <t>COSTO ALTA COMPLEJIDAD</t>
  </si>
  <si>
    <t>% INCRE_ALTA</t>
  </si>
  <si>
    <t>PRECIO VTA ALTA COMPLEJIDAD</t>
  </si>
  <si>
    <t>% UTILIDAD ALTA COMPLEJIDAD</t>
  </si>
  <si>
    <t>COSTO MEDIANA COMPLEJIDAD</t>
  </si>
  <si>
    <t>% INCRE MEDIA</t>
  </si>
  <si>
    <t>PRECIO VTA MEDIANA COMPLEJIDAD</t>
  </si>
  <si>
    <t>% UTILIDAD MEDIANA COMPLEJIDAD</t>
  </si>
  <si>
    <t>COSTO BAJA COMPLEJIDAD</t>
  </si>
  <si>
    <t>% INCRE BAJA</t>
  </si>
  <si>
    <t>PRECIO VTA BAJA COMPLEJIDAD</t>
  </si>
  <si>
    <t>% UTILIDAD BAJA COMPLEJIDAD</t>
  </si>
  <si>
    <t>% CRECIMIENTO</t>
  </si>
  <si>
    <t>Mayo</t>
  </si>
  <si>
    <t>Alta Complejidad</t>
  </si>
  <si>
    <t>Curación de ALTA COMPLEJIDAD</t>
  </si>
  <si>
    <t>INSUMO</t>
  </si>
  <si>
    <t>Guante examen talla M</t>
  </si>
  <si>
    <t>UND</t>
  </si>
  <si>
    <t>Guante quirurgico esteril 7.0</t>
  </si>
  <si>
    <t>Gasa esteril 7.5 X 7.5 sobre x 5 unid</t>
  </si>
  <si>
    <t>Solucion Salina 0.9% Bolsa 500 ml</t>
  </si>
  <si>
    <t>Tapabocas Estandar 1405</t>
  </si>
  <si>
    <t>Bata Desechable con Manga No Esteril</t>
  </si>
  <si>
    <t>Gorro Desechable Estandar Blanco</t>
  </si>
  <si>
    <t>Toalla de Manos Pre-cortada Natural   R7</t>
  </si>
  <si>
    <t>Hoja para bisturi 15</t>
  </si>
  <si>
    <t>MANO_OBRA</t>
  </si>
  <si>
    <t>GASTO_ADMINISTRATIVO</t>
  </si>
  <si>
    <t>Gasto administrativo</t>
  </si>
  <si>
    <t>MINUTOS</t>
  </si>
  <si>
    <t>Arriendo</t>
  </si>
  <si>
    <t>Pauta Redes (google, facebook, tik tok, instagram)</t>
  </si>
  <si>
    <t>Cirujano vascular</t>
  </si>
  <si>
    <t>Nutricionista</t>
  </si>
  <si>
    <t>Terapeuta fisico</t>
  </si>
  <si>
    <t>Junio</t>
  </si>
  <si>
    <t>Julio</t>
  </si>
  <si>
    <t>Agosto</t>
  </si>
  <si>
    <t>Septiembre</t>
  </si>
  <si>
    <t>Octubre</t>
  </si>
  <si>
    <t>Noviembre</t>
  </si>
  <si>
    <t>Baja Complejidad</t>
  </si>
  <si>
    <t>Curación de BAJA COMPLEJIDAD</t>
  </si>
  <si>
    <t>Auxiliar enfermeria</t>
  </si>
  <si>
    <t>Mediana Complejidad</t>
  </si>
  <si>
    <t>Curación de MEDIANA COMPLEJIDAD</t>
  </si>
  <si>
    <t>Enfermera</t>
  </si>
  <si>
    <t>INSUMO ALTA TECNOLOGIA</t>
  </si>
  <si>
    <t>Granudacyn Solución 250 ml Spray</t>
  </si>
  <si>
    <t>Exufiber 10 x 12 cm</t>
  </si>
  <si>
    <t>Caja X 10</t>
  </si>
  <si>
    <t>Exufiber Ag+ 10 x 12 cm</t>
  </si>
  <si>
    <t>Mepilex Border Flex Lite 15 x 15 cm</t>
  </si>
  <si>
    <t>Caja X 5</t>
  </si>
  <si>
    <t>Mepilex 15 x 15 cm</t>
  </si>
  <si>
    <t>Mepilex Lite 15 x 15 cm</t>
  </si>
  <si>
    <t>Mepilex Ag 15 x 15 cm</t>
  </si>
  <si>
    <t>Mepilex Border Ag 7.5 x 7.5 cm</t>
  </si>
  <si>
    <t>Mepilex Border Ag 10 x 10 cm</t>
  </si>
  <si>
    <t>Mepilex Border Ag 10 x 20 cm</t>
  </si>
  <si>
    <t>Mepilex Border Ag 10 x 25 cm</t>
  </si>
  <si>
    <t>Mepilex Border Ag 10 x 30 cm</t>
  </si>
  <si>
    <t>Mepilex Transfer 15 x 20 cm</t>
  </si>
  <si>
    <t>Mepilex Transfer Ag 15 x 20 cm</t>
  </si>
  <si>
    <t>Mextra Superabsorbent 12.5x22.5 cm</t>
  </si>
  <si>
    <t>Mextra Superabsorbent 17.5x22.5 cm</t>
  </si>
  <si>
    <t>Setopress 10 cm x 3.5 m Relaxed x 12</t>
  </si>
  <si>
    <t>Tubifast 10m Azul</t>
  </si>
  <si>
    <t>Tubifast 10m Rojo</t>
  </si>
  <si>
    <t>G20</t>
  </si>
  <si>
    <t>G68</t>
  </si>
  <si>
    <t>G75</t>
  </si>
  <si>
    <t>S60</t>
  </si>
  <si>
    <t>T502</t>
  </si>
  <si>
    <t>B10</t>
  </si>
  <si>
    <t>G07</t>
  </si>
  <si>
    <t>360100</t>
  </si>
  <si>
    <t>T180</t>
  </si>
  <si>
    <t>H15</t>
  </si>
  <si>
    <t>2438</t>
  </si>
  <si>
    <t>2434</t>
  </si>
  <si>
    <t>3505</t>
  </si>
  <si>
    <t>CANTIDAD CURACIONES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</si>
</sst>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10" fontId="2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5F04-0963-4D52-9C9F-6A7E8E638033}">
  <dimension ref="A1:AB149"/>
  <sheetViews>
    <sheetView topLeftCell="V124" workbookViewId="0">
      <selection activeCell="A2" sqref="A2:AB148"/>
    </sheetView>
  </sheetViews>
  <sheetFormatPr baseColWidth="10" defaultRowHeight="15" x14ac:dyDescent="0.25"/>
  <cols>
    <col min="4" max="4" width="33.7109375" customWidth="1"/>
    <col min="5" max="5" width="14.42578125" customWidth="1"/>
    <col min="6" max="6" width="23.7109375" customWidth="1"/>
    <col min="8" max="8" width="23.5703125" customWidth="1"/>
    <col min="9" max="9" width="34.42578125" customWidth="1"/>
    <col min="11" max="11" width="18" customWidth="1"/>
    <col min="12" max="12" width="21" customWidth="1"/>
    <col min="13" max="13" width="20" customWidth="1"/>
    <col min="19" max="19" width="22.140625" style="10" customWidth="1"/>
    <col min="26" max="26" width="30.5703125" customWidth="1"/>
    <col min="27" max="27" width="24.5703125" customWidth="1"/>
    <col min="28" max="28" width="25.42578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1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3" t="s">
        <v>26</v>
      </c>
      <c r="AB1" s="4" t="s">
        <v>27</v>
      </c>
    </row>
    <row r="2" spans="1:28" x14ac:dyDescent="0.25">
      <c r="A2">
        <v>2026</v>
      </c>
      <c r="B2" t="s">
        <v>28</v>
      </c>
      <c r="C2" t="s">
        <v>29</v>
      </c>
      <c r="D2" t="s">
        <v>30</v>
      </c>
      <c r="E2" t="s">
        <v>85</v>
      </c>
      <c r="G2" t="s">
        <v>31</v>
      </c>
      <c r="H2" t="s">
        <v>31</v>
      </c>
      <c r="I2" t="s">
        <v>32</v>
      </c>
      <c r="J2">
        <v>4</v>
      </c>
      <c r="K2" t="s">
        <v>33</v>
      </c>
      <c r="L2">
        <v>266</v>
      </c>
      <c r="M2" s="7">
        <v>1064</v>
      </c>
      <c r="O2" s="7">
        <f>R2</f>
        <v>1064</v>
      </c>
      <c r="P2" s="7">
        <f>IF(C2="Alta Complejidad",M2,0)</f>
        <v>1064</v>
      </c>
      <c r="Q2" s="8">
        <v>0</v>
      </c>
      <c r="R2" s="7">
        <f>M2+(M2*Q2)</f>
        <v>1064</v>
      </c>
      <c r="S2" s="10">
        <f>IFERROR(((R2-P2)/R2),0)</f>
        <v>0</v>
      </c>
      <c r="T2" s="7">
        <f>IF(C2="Mediana Complejidad",M2,0)</f>
        <v>0</v>
      </c>
      <c r="U2" s="8">
        <v>0</v>
      </c>
      <c r="V2" s="7">
        <f>(T2)+(T2*U2)</f>
        <v>0</v>
      </c>
      <c r="W2" s="8">
        <f>IFERROR(((V2-T2)/V2),0)</f>
        <v>0</v>
      </c>
      <c r="X2" s="7">
        <f>IF(C2="Baja Complejidad",M2,0)</f>
        <v>0</v>
      </c>
      <c r="Y2" s="8">
        <v>0</v>
      </c>
      <c r="Z2" s="7">
        <f>(X2)+(X2*Y2)</f>
        <v>0</v>
      </c>
      <c r="AA2" s="8">
        <f>IFERROR(((Z2-X2)/Z2),0)</f>
        <v>0</v>
      </c>
      <c r="AB2" s="8">
        <v>0.1</v>
      </c>
    </row>
    <row r="3" spans="1:28" x14ac:dyDescent="0.25">
      <c r="A3">
        <v>2026</v>
      </c>
      <c r="B3" t="s">
        <v>28</v>
      </c>
      <c r="C3" t="s">
        <v>29</v>
      </c>
      <c r="D3" t="s">
        <v>30</v>
      </c>
      <c r="E3" t="s">
        <v>86</v>
      </c>
      <c r="G3" t="s">
        <v>31</v>
      </c>
      <c r="H3" t="s">
        <v>31</v>
      </c>
      <c r="I3" t="s">
        <v>34</v>
      </c>
      <c r="J3">
        <v>2</v>
      </c>
      <c r="K3" t="s">
        <v>33</v>
      </c>
      <c r="L3">
        <v>1086.232</v>
      </c>
      <c r="M3" s="7">
        <v>2172.4639999999999</v>
      </c>
      <c r="O3" s="7">
        <f t="shared" ref="O3:O66" si="0">R3</f>
        <v>2172.4639999999999</v>
      </c>
      <c r="P3" s="7">
        <f t="shared" ref="P3:P66" si="1">IF(C3="Alta Complejidad",M3,0)</f>
        <v>2172.4639999999999</v>
      </c>
      <c r="Q3" s="8">
        <v>0</v>
      </c>
      <c r="R3" s="7">
        <f t="shared" ref="R3:R66" si="2">M3+(M3*Q3)</f>
        <v>2172.4639999999999</v>
      </c>
      <c r="S3" s="10">
        <f>IFERROR(((R3-P3)/R3),0)</f>
        <v>0</v>
      </c>
      <c r="T3" s="7">
        <f>IF(C3="Mediana Complejidad",M3,0)</f>
        <v>0</v>
      </c>
      <c r="U3" s="8">
        <v>0</v>
      </c>
      <c r="V3" s="7">
        <f>(T3)+(T3*U3)</f>
        <v>0</v>
      </c>
      <c r="W3" s="8">
        <f>IFERROR(((V3-T3)/V3),0)</f>
        <v>0</v>
      </c>
      <c r="X3" s="7">
        <f>IF(C3="Baja Complejidad",M3,0)</f>
        <v>0</v>
      </c>
      <c r="Y3" s="8">
        <v>0</v>
      </c>
      <c r="Z3" s="7">
        <f>(X3)+(X3*Y3)</f>
        <v>0</v>
      </c>
      <c r="AA3" s="8">
        <f>IFERROR(((Z3-X3)/Z3),0)</f>
        <v>0</v>
      </c>
      <c r="AB3" s="8">
        <v>0.1</v>
      </c>
    </row>
    <row r="4" spans="1:28" x14ac:dyDescent="0.25">
      <c r="A4">
        <v>2026</v>
      </c>
      <c r="B4" t="s">
        <v>28</v>
      </c>
      <c r="C4" t="s">
        <v>29</v>
      </c>
      <c r="D4" t="s">
        <v>30</v>
      </c>
      <c r="E4" t="s">
        <v>87</v>
      </c>
      <c r="G4" t="s">
        <v>31</v>
      </c>
      <c r="H4" t="s">
        <v>31</v>
      </c>
      <c r="I4" t="s">
        <v>35</v>
      </c>
      <c r="J4">
        <v>10</v>
      </c>
      <c r="K4" t="s">
        <v>33</v>
      </c>
      <c r="L4">
        <v>370</v>
      </c>
      <c r="M4" s="7">
        <v>3700</v>
      </c>
      <c r="O4" s="7">
        <f t="shared" si="0"/>
        <v>3700</v>
      </c>
      <c r="P4" s="7">
        <f t="shared" si="1"/>
        <v>3700</v>
      </c>
      <c r="Q4" s="8">
        <v>0</v>
      </c>
      <c r="R4" s="7">
        <f t="shared" si="2"/>
        <v>3700</v>
      </c>
      <c r="S4" s="10">
        <f>IFERROR(((R4-P4)/R4),0)</f>
        <v>0</v>
      </c>
      <c r="T4" s="7">
        <f>IF(C4="Mediana Complejidad",M4,0)</f>
        <v>0</v>
      </c>
      <c r="U4" s="8">
        <v>0</v>
      </c>
      <c r="V4" s="7">
        <f>(T4)+(T4*U4)</f>
        <v>0</v>
      </c>
      <c r="W4" s="8">
        <f>IFERROR(((V4-T4)/V4),0)</f>
        <v>0</v>
      </c>
      <c r="X4" s="7">
        <f>IF(C4="Baja Complejidad",M4,0)</f>
        <v>0</v>
      </c>
      <c r="Y4" s="8">
        <v>0</v>
      </c>
      <c r="Z4" s="7">
        <f>(X4)+(X4*Y4)</f>
        <v>0</v>
      </c>
      <c r="AA4" s="8">
        <f>IFERROR(((Z4-X4)/Z4),0)</f>
        <v>0</v>
      </c>
      <c r="AB4" s="8">
        <v>0.1</v>
      </c>
    </row>
    <row r="5" spans="1:28" x14ac:dyDescent="0.25">
      <c r="A5">
        <v>2026</v>
      </c>
      <c r="B5" t="s">
        <v>28</v>
      </c>
      <c r="C5" t="s">
        <v>29</v>
      </c>
      <c r="D5" t="s">
        <v>30</v>
      </c>
      <c r="E5" t="s">
        <v>88</v>
      </c>
      <c r="G5" t="s">
        <v>31</v>
      </c>
      <c r="H5" t="s">
        <v>31</v>
      </c>
      <c r="I5" t="s">
        <v>36</v>
      </c>
      <c r="J5">
        <v>2</v>
      </c>
      <c r="K5" t="s">
        <v>33</v>
      </c>
      <c r="L5">
        <v>2643</v>
      </c>
      <c r="M5" s="7">
        <v>5286</v>
      </c>
      <c r="O5" s="7">
        <f t="shared" si="0"/>
        <v>5286</v>
      </c>
      <c r="P5" s="7">
        <f t="shared" si="1"/>
        <v>5286</v>
      </c>
      <c r="Q5" s="8">
        <v>0</v>
      </c>
      <c r="R5" s="7">
        <f t="shared" si="2"/>
        <v>5286</v>
      </c>
      <c r="S5" s="10">
        <f>IFERROR(((R5-P5)/R5),0)</f>
        <v>0</v>
      </c>
      <c r="T5" s="7">
        <f>IF(C5="Mediana Complejidad",M5,0)</f>
        <v>0</v>
      </c>
      <c r="U5" s="8">
        <v>0</v>
      </c>
      <c r="V5" s="7">
        <f>(T5)+(T5*U5)</f>
        <v>0</v>
      </c>
      <c r="W5" s="8">
        <f>IFERROR(((V5-T5)/V5),0)</f>
        <v>0</v>
      </c>
      <c r="X5" s="7">
        <f>IF(C5="Baja Complejidad",M5,0)</f>
        <v>0</v>
      </c>
      <c r="Y5" s="8">
        <v>0</v>
      </c>
      <c r="Z5" s="7">
        <f>(X5)+(X5*Y5)</f>
        <v>0</v>
      </c>
      <c r="AA5" s="8">
        <f>IFERROR(((Z5-X5)/Z5),0)</f>
        <v>0</v>
      </c>
      <c r="AB5" s="8">
        <v>0.1</v>
      </c>
    </row>
    <row r="6" spans="1:28" x14ac:dyDescent="0.25">
      <c r="A6">
        <v>2026</v>
      </c>
      <c r="B6" t="s">
        <v>28</v>
      </c>
      <c r="C6" t="s">
        <v>29</v>
      </c>
      <c r="D6" t="s">
        <v>30</v>
      </c>
      <c r="E6" t="s">
        <v>89</v>
      </c>
      <c r="G6" t="s">
        <v>31</v>
      </c>
      <c r="H6" t="s">
        <v>31</v>
      </c>
      <c r="I6" t="s">
        <v>37</v>
      </c>
      <c r="J6">
        <v>5</v>
      </c>
      <c r="K6" t="s">
        <v>33</v>
      </c>
      <c r="L6">
        <v>135.66</v>
      </c>
      <c r="M6" s="7">
        <v>678.3</v>
      </c>
      <c r="O6" s="7">
        <f t="shared" si="0"/>
        <v>678.3</v>
      </c>
      <c r="P6" s="7">
        <f t="shared" si="1"/>
        <v>678.3</v>
      </c>
      <c r="Q6" s="8">
        <v>0</v>
      </c>
      <c r="R6" s="7">
        <f t="shared" si="2"/>
        <v>678.3</v>
      </c>
      <c r="S6" s="10">
        <f>IFERROR(((R6-P6)/R6),0)</f>
        <v>0</v>
      </c>
      <c r="T6" s="7">
        <f>IF(C6="Mediana Complejidad",M6,0)</f>
        <v>0</v>
      </c>
      <c r="U6" s="8">
        <v>0</v>
      </c>
      <c r="V6" s="7">
        <f>(T6)+(T6*U6)</f>
        <v>0</v>
      </c>
      <c r="W6" s="8">
        <f>IFERROR(((V6-T6)/V6),0)</f>
        <v>0</v>
      </c>
      <c r="X6" s="7">
        <f>IF(C6="Baja Complejidad",M6,0)</f>
        <v>0</v>
      </c>
      <c r="Y6" s="8">
        <v>0</v>
      </c>
      <c r="Z6" s="7">
        <f>(X6)+(X6*Y6)</f>
        <v>0</v>
      </c>
      <c r="AA6" s="8">
        <f>IFERROR(((Z6-X6)/Z6),0)</f>
        <v>0</v>
      </c>
      <c r="AB6" s="8">
        <v>0.1</v>
      </c>
    </row>
    <row r="7" spans="1:28" x14ac:dyDescent="0.25">
      <c r="A7">
        <v>2026</v>
      </c>
      <c r="B7" t="s">
        <v>28</v>
      </c>
      <c r="C7" t="s">
        <v>29</v>
      </c>
      <c r="D7" t="s">
        <v>30</v>
      </c>
      <c r="E7" t="s">
        <v>90</v>
      </c>
      <c r="G7" t="s">
        <v>31</v>
      </c>
      <c r="H7" t="s">
        <v>31</v>
      </c>
      <c r="I7" t="s">
        <v>38</v>
      </c>
      <c r="J7">
        <v>2</v>
      </c>
      <c r="K7" t="s">
        <v>33</v>
      </c>
      <c r="L7">
        <v>3808</v>
      </c>
      <c r="M7" s="7">
        <v>7616</v>
      </c>
      <c r="O7" s="7">
        <f t="shared" si="0"/>
        <v>7616</v>
      </c>
      <c r="P7" s="7">
        <f t="shared" si="1"/>
        <v>7616</v>
      </c>
      <c r="Q7" s="8">
        <v>0</v>
      </c>
      <c r="R7" s="7">
        <f t="shared" si="2"/>
        <v>7616</v>
      </c>
      <c r="S7" s="10">
        <f>IFERROR(((R7-P7)/R7),0)</f>
        <v>0</v>
      </c>
      <c r="T7" s="7">
        <f>IF(C7="Mediana Complejidad",M7,0)</f>
        <v>0</v>
      </c>
      <c r="U7" s="8">
        <v>0</v>
      </c>
      <c r="V7" s="7">
        <f>(T7)+(T7*U7)</f>
        <v>0</v>
      </c>
      <c r="W7" s="8">
        <f>IFERROR(((V7-T7)/V7),0)</f>
        <v>0</v>
      </c>
      <c r="X7" s="7">
        <f>IF(C7="Baja Complejidad",M7,0)</f>
        <v>0</v>
      </c>
      <c r="Y7" s="8">
        <v>0</v>
      </c>
      <c r="Z7" s="7">
        <f>(X7)+(X7*Y7)</f>
        <v>0</v>
      </c>
      <c r="AA7" s="8">
        <f>IFERROR(((Z7-X7)/Z7),0)</f>
        <v>0</v>
      </c>
      <c r="AB7" s="8">
        <v>0.1</v>
      </c>
    </row>
    <row r="8" spans="1:28" x14ac:dyDescent="0.25">
      <c r="A8">
        <v>2026</v>
      </c>
      <c r="B8" t="s">
        <v>28</v>
      </c>
      <c r="C8" t="s">
        <v>29</v>
      </c>
      <c r="D8" t="s">
        <v>30</v>
      </c>
      <c r="E8" t="s">
        <v>91</v>
      </c>
      <c r="G8" t="s">
        <v>31</v>
      </c>
      <c r="H8" t="s">
        <v>31</v>
      </c>
      <c r="I8" t="s">
        <v>39</v>
      </c>
      <c r="J8">
        <v>2</v>
      </c>
      <c r="K8" t="s">
        <v>33</v>
      </c>
      <c r="L8">
        <v>111.86</v>
      </c>
      <c r="M8" s="7">
        <v>223.72</v>
      </c>
      <c r="O8" s="7">
        <f t="shared" si="0"/>
        <v>223.72</v>
      </c>
      <c r="P8" s="7">
        <f t="shared" si="1"/>
        <v>223.72</v>
      </c>
      <c r="Q8" s="8">
        <v>0</v>
      </c>
      <c r="R8" s="7">
        <f t="shared" si="2"/>
        <v>223.72</v>
      </c>
      <c r="S8" s="10">
        <f>IFERROR(((R8-P8)/R8),0)</f>
        <v>0</v>
      </c>
      <c r="T8" s="7">
        <f>IF(C8="Mediana Complejidad",M8,0)</f>
        <v>0</v>
      </c>
      <c r="U8" s="8">
        <v>0</v>
      </c>
      <c r="V8" s="7">
        <f>(T8)+(T8*U8)</f>
        <v>0</v>
      </c>
      <c r="W8" s="8">
        <f>IFERROR(((V8-T8)/V8),0)</f>
        <v>0</v>
      </c>
      <c r="X8" s="7">
        <f>IF(C8="Baja Complejidad",M8,0)</f>
        <v>0</v>
      </c>
      <c r="Y8" s="8">
        <v>0</v>
      </c>
      <c r="Z8" s="7">
        <f>(X8)+(X8*Y8)</f>
        <v>0</v>
      </c>
      <c r="AA8" s="8">
        <f>IFERROR(((Z8-X8)/Z8),0)</f>
        <v>0</v>
      </c>
      <c r="AB8" s="8">
        <v>0.1</v>
      </c>
    </row>
    <row r="9" spans="1:28" x14ac:dyDescent="0.25">
      <c r="A9">
        <v>2026</v>
      </c>
      <c r="B9" t="s">
        <v>28</v>
      </c>
      <c r="C9" t="s">
        <v>29</v>
      </c>
      <c r="D9" t="s">
        <v>30</v>
      </c>
      <c r="E9" t="s">
        <v>92</v>
      </c>
      <c r="G9" t="s">
        <v>31</v>
      </c>
      <c r="H9" t="s">
        <v>31</v>
      </c>
      <c r="I9" t="s">
        <v>64</v>
      </c>
      <c r="J9">
        <v>10</v>
      </c>
      <c r="K9" t="s">
        <v>33</v>
      </c>
      <c r="L9">
        <v>80300</v>
      </c>
      <c r="M9" s="7">
        <v>3212</v>
      </c>
      <c r="O9" s="7">
        <f t="shared" si="0"/>
        <v>3212</v>
      </c>
      <c r="P9" s="7">
        <f t="shared" si="1"/>
        <v>3212</v>
      </c>
      <c r="Q9" s="8">
        <v>0</v>
      </c>
      <c r="R9" s="7">
        <f t="shared" si="2"/>
        <v>3212</v>
      </c>
      <c r="S9" s="10">
        <f>IFERROR(((R9-P9)/R9),0)</f>
        <v>0</v>
      </c>
      <c r="T9" s="7">
        <f>IF(C9="Mediana Complejidad",M9,0)</f>
        <v>0</v>
      </c>
      <c r="U9" s="8">
        <v>0</v>
      </c>
      <c r="V9" s="7">
        <f>(T9)+(T9*U9)</f>
        <v>0</v>
      </c>
      <c r="W9" s="8">
        <f>IFERROR(((V9-T9)/V9),0)</f>
        <v>0</v>
      </c>
      <c r="X9" s="7">
        <f>IF(C9="Baja Complejidad",M9,0)</f>
        <v>0</v>
      </c>
      <c r="Y9" s="8">
        <v>0</v>
      </c>
      <c r="Z9" s="7">
        <f>(X9)+(X9*Y9)</f>
        <v>0</v>
      </c>
      <c r="AA9" s="8">
        <f>IFERROR(((Z9-X9)/Z9),0)</f>
        <v>0</v>
      </c>
      <c r="AB9" s="8">
        <v>0.1</v>
      </c>
    </row>
    <row r="10" spans="1:28" x14ac:dyDescent="0.25">
      <c r="A10">
        <v>2026</v>
      </c>
      <c r="B10" t="s">
        <v>28</v>
      </c>
      <c r="C10" t="s">
        <v>29</v>
      </c>
      <c r="D10" t="s">
        <v>30</v>
      </c>
      <c r="E10" t="s">
        <v>93</v>
      </c>
      <c r="G10" t="s">
        <v>31</v>
      </c>
      <c r="H10" t="s">
        <v>31</v>
      </c>
      <c r="I10" t="s">
        <v>40</v>
      </c>
      <c r="J10">
        <v>5</v>
      </c>
      <c r="K10" t="s">
        <v>33</v>
      </c>
      <c r="L10">
        <v>17888.080000000002</v>
      </c>
      <c r="M10" s="7">
        <v>89440.400000000009</v>
      </c>
      <c r="O10" s="7">
        <f t="shared" si="0"/>
        <v>89440.400000000009</v>
      </c>
      <c r="P10" s="7">
        <f t="shared" si="1"/>
        <v>89440.400000000009</v>
      </c>
      <c r="Q10" s="8">
        <v>0</v>
      </c>
      <c r="R10" s="7">
        <f t="shared" si="2"/>
        <v>89440.400000000009</v>
      </c>
      <c r="S10" s="10">
        <f>IFERROR(((R10-P10)/R10),0)</f>
        <v>0</v>
      </c>
      <c r="T10" s="7">
        <f>IF(C10="Mediana Complejidad",M10,0)</f>
        <v>0</v>
      </c>
      <c r="U10" s="8">
        <v>0</v>
      </c>
      <c r="V10" s="7">
        <f>(T10)+(T10*U10)</f>
        <v>0</v>
      </c>
      <c r="W10" s="8">
        <f>IFERROR(((V10-T10)/V10),0)</f>
        <v>0</v>
      </c>
      <c r="X10" s="7">
        <f>IF(C10="Baja Complejidad",M10,0)</f>
        <v>0</v>
      </c>
      <c r="Y10" s="8">
        <v>0</v>
      </c>
      <c r="Z10" s="7">
        <f>(X10)+(X10*Y10)</f>
        <v>0</v>
      </c>
      <c r="AA10" s="8">
        <f>IFERROR(((Z10-X10)/Z10),0)</f>
        <v>0</v>
      </c>
      <c r="AB10" s="8">
        <v>0.1</v>
      </c>
    </row>
    <row r="11" spans="1:28" x14ac:dyDescent="0.25">
      <c r="A11">
        <v>2026</v>
      </c>
      <c r="B11" t="s">
        <v>28</v>
      </c>
      <c r="C11" t="s">
        <v>29</v>
      </c>
      <c r="D11" t="s">
        <v>30</v>
      </c>
      <c r="E11" t="s">
        <v>94</v>
      </c>
      <c r="G11" t="s">
        <v>31</v>
      </c>
      <c r="H11" t="s">
        <v>31</v>
      </c>
      <c r="I11" t="s">
        <v>41</v>
      </c>
      <c r="J11">
        <v>2</v>
      </c>
      <c r="K11" t="s">
        <v>33</v>
      </c>
      <c r="L11">
        <v>337.3837894736842</v>
      </c>
      <c r="M11" s="7">
        <v>674.76757894736841</v>
      </c>
      <c r="O11" s="7">
        <f t="shared" si="0"/>
        <v>674.76757894736841</v>
      </c>
      <c r="P11" s="7">
        <f t="shared" si="1"/>
        <v>674.76757894736841</v>
      </c>
      <c r="Q11" s="8">
        <v>0</v>
      </c>
      <c r="R11" s="7">
        <f t="shared" si="2"/>
        <v>674.76757894736841</v>
      </c>
      <c r="S11" s="10">
        <f>IFERROR(((R11-P11)/R11),0)</f>
        <v>0</v>
      </c>
      <c r="T11" s="7">
        <f>IF(C11="Mediana Complejidad",M11,0)</f>
        <v>0</v>
      </c>
      <c r="U11" s="8">
        <v>0</v>
      </c>
      <c r="V11" s="7">
        <f>(T11)+(T11*U11)</f>
        <v>0</v>
      </c>
      <c r="W11" s="8">
        <f>IFERROR(((V11-T11)/V11),0)</f>
        <v>0</v>
      </c>
      <c r="X11" s="7">
        <f>IF(C11="Baja Complejidad",M11,0)</f>
        <v>0</v>
      </c>
      <c r="Y11" s="8">
        <v>0</v>
      </c>
      <c r="Z11" s="7">
        <f>(X11)+(X11*Y11)</f>
        <v>0</v>
      </c>
      <c r="AA11" s="8">
        <f>IFERROR(((Z11-X11)/Z11),0)</f>
        <v>0</v>
      </c>
      <c r="AB11" s="8">
        <v>0.1</v>
      </c>
    </row>
    <row r="12" spans="1:28" x14ac:dyDescent="0.25">
      <c r="A12">
        <v>2026</v>
      </c>
      <c r="B12" t="s">
        <v>28</v>
      </c>
      <c r="C12" t="s">
        <v>29</v>
      </c>
      <c r="D12" t="s">
        <v>30</v>
      </c>
      <c r="E12" t="s">
        <v>95</v>
      </c>
      <c r="G12" t="s">
        <v>31</v>
      </c>
      <c r="H12" t="s">
        <v>31</v>
      </c>
      <c r="I12" t="s">
        <v>83</v>
      </c>
      <c r="J12">
        <v>2</v>
      </c>
      <c r="K12" t="s">
        <v>33</v>
      </c>
      <c r="L12">
        <v>67900</v>
      </c>
      <c r="M12" s="7">
        <v>13580</v>
      </c>
      <c r="O12" s="7">
        <f t="shared" si="0"/>
        <v>13580</v>
      </c>
      <c r="P12" s="7">
        <f t="shared" si="1"/>
        <v>13580</v>
      </c>
      <c r="Q12" s="8">
        <v>0</v>
      </c>
      <c r="R12" s="7">
        <f t="shared" si="2"/>
        <v>13580</v>
      </c>
      <c r="S12" s="10">
        <f>IFERROR(((R12-P12)/R12),0)</f>
        <v>0</v>
      </c>
      <c r="T12" s="7">
        <f>IF(C12="Mediana Complejidad",M12,0)</f>
        <v>0</v>
      </c>
      <c r="U12" s="8">
        <v>0</v>
      </c>
      <c r="V12" s="7">
        <f>(T12)+(T12*U12)</f>
        <v>0</v>
      </c>
      <c r="W12" s="8">
        <f>IFERROR(((V12-T12)/V12),0)</f>
        <v>0</v>
      </c>
      <c r="X12" s="7">
        <f>IF(C12="Baja Complejidad",M12,0)</f>
        <v>0</v>
      </c>
      <c r="Y12" s="8">
        <v>0</v>
      </c>
      <c r="Z12" s="7">
        <f>(X12)+(X12*Y12)</f>
        <v>0</v>
      </c>
      <c r="AA12" s="8">
        <f>IFERROR(((Z12-X12)/Z12),0)</f>
        <v>0</v>
      </c>
      <c r="AB12" s="8">
        <v>0.1</v>
      </c>
    </row>
    <row r="13" spans="1:28" x14ac:dyDescent="0.25">
      <c r="A13">
        <v>2026</v>
      </c>
      <c r="B13" t="s">
        <v>28</v>
      </c>
      <c r="C13" t="s">
        <v>29</v>
      </c>
      <c r="D13" t="s">
        <v>30</v>
      </c>
      <c r="E13" t="s">
        <v>96</v>
      </c>
      <c r="G13" t="s">
        <v>31</v>
      </c>
      <c r="H13" t="s">
        <v>31</v>
      </c>
      <c r="I13" t="s">
        <v>84</v>
      </c>
      <c r="J13">
        <v>2</v>
      </c>
      <c r="K13" t="s">
        <v>33</v>
      </c>
      <c r="L13">
        <v>50300</v>
      </c>
      <c r="M13" s="7">
        <v>10060</v>
      </c>
      <c r="O13" s="7">
        <f t="shared" si="0"/>
        <v>10060</v>
      </c>
      <c r="P13" s="7">
        <f t="shared" si="1"/>
        <v>10060</v>
      </c>
      <c r="Q13" s="8">
        <v>0</v>
      </c>
      <c r="R13" s="7">
        <f t="shared" si="2"/>
        <v>10060</v>
      </c>
      <c r="S13" s="10">
        <f>IFERROR(((R13-P13)/R13),0)</f>
        <v>0</v>
      </c>
      <c r="T13" s="7">
        <f>IF(C13="Mediana Complejidad",M13,0)</f>
        <v>0</v>
      </c>
      <c r="U13" s="8">
        <v>0</v>
      </c>
      <c r="V13" s="7">
        <f>(T13)+(T13*U13)</f>
        <v>0</v>
      </c>
      <c r="W13" s="8">
        <f>IFERROR(((V13-T13)/V13),0)</f>
        <v>0</v>
      </c>
      <c r="X13" s="7">
        <f>IF(C13="Baja Complejidad",M13,0)</f>
        <v>0</v>
      </c>
      <c r="Y13" s="8">
        <v>0</v>
      </c>
      <c r="Z13" s="7">
        <f>(X13)+(X13*Y13)</f>
        <v>0</v>
      </c>
      <c r="AA13" s="8">
        <f>IFERROR(((Z13-X13)/Z13),0)</f>
        <v>0</v>
      </c>
      <c r="AB13" s="8">
        <v>0.1</v>
      </c>
    </row>
    <row r="14" spans="1:28" x14ac:dyDescent="0.25">
      <c r="A14">
        <v>2026</v>
      </c>
      <c r="B14" t="s">
        <v>28</v>
      </c>
      <c r="C14" t="s">
        <v>29</v>
      </c>
      <c r="D14" t="s">
        <v>30</v>
      </c>
      <c r="E14" t="s">
        <v>97</v>
      </c>
      <c r="G14" t="s">
        <v>31</v>
      </c>
      <c r="H14" t="s">
        <v>31</v>
      </c>
      <c r="I14" t="s">
        <v>82</v>
      </c>
      <c r="J14">
        <v>2</v>
      </c>
      <c r="K14" t="s">
        <v>33</v>
      </c>
      <c r="L14">
        <v>43500</v>
      </c>
      <c r="M14" s="7">
        <v>7250</v>
      </c>
      <c r="O14" s="7">
        <f t="shared" si="0"/>
        <v>7250</v>
      </c>
      <c r="P14" s="7">
        <f t="shared" si="1"/>
        <v>7250</v>
      </c>
      <c r="Q14" s="8">
        <v>0</v>
      </c>
      <c r="R14" s="7">
        <f t="shared" si="2"/>
        <v>7250</v>
      </c>
      <c r="S14" s="10">
        <f>IFERROR(((R14-P14)/R14),0)</f>
        <v>0</v>
      </c>
      <c r="T14" s="7">
        <f>IF(C14="Mediana Complejidad",M14,0)</f>
        <v>0</v>
      </c>
      <c r="U14" s="8">
        <v>0</v>
      </c>
      <c r="V14" s="7">
        <f>(T14)+(T14*U14)</f>
        <v>0</v>
      </c>
      <c r="W14" s="8">
        <f>IFERROR(((V14-T14)/V14),0)</f>
        <v>0</v>
      </c>
      <c r="X14" s="7">
        <f>IF(C14="Baja Complejidad",M14,0)</f>
        <v>0</v>
      </c>
      <c r="Y14" s="8">
        <v>0</v>
      </c>
      <c r="Z14" s="7">
        <f>(X14)+(X14*Y14)</f>
        <v>0</v>
      </c>
      <c r="AA14" s="8">
        <f>IFERROR(((Z14-X14)/Z14),0)</f>
        <v>0</v>
      </c>
      <c r="AB14" s="8">
        <v>0.1</v>
      </c>
    </row>
    <row r="15" spans="1:28" x14ac:dyDescent="0.25">
      <c r="A15">
        <v>2026</v>
      </c>
      <c r="B15" t="s">
        <v>28</v>
      </c>
      <c r="C15" t="s">
        <v>29</v>
      </c>
      <c r="D15" t="s">
        <v>30</v>
      </c>
      <c r="F15">
        <v>1800</v>
      </c>
      <c r="G15" t="s">
        <v>42</v>
      </c>
      <c r="H15" t="s">
        <v>42</v>
      </c>
      <c r="I15" t="s">
        <v>62</v>
      </c>
      <c r="J15">
        <v>60</v>
      </c>
      <c r="K15" t="s">
        <v>45</v>
      </c>
      <c r="L15" s="12">
        <v>20894.400000000001</v>
      </c>
      <c r="M15" s="7">
        <f>+L15*J15</f>
        <v>1253664</v>
      </c>
      <c r="O15" s="7">
        <f t="shared" si="0"/>
        <v>1253664</v>
      </c>
      <c r="P15" s="7">
        <f t="shared" si="1"/>
        <v>1253664</v>
      </c>
      <c r="Q15" s="8">
        <v>0</v>
      </c>
      <c r="R15" s="7">
        <f t="shared" si="2"/>
        <v>1253664</v>
      </c>
      <c r="S15" s="10">
        <f>IFERROR(((R15-P15)/R15),0)</f>
        <v>0</v>
      </c>
      <c r="T15" s="7">
        <f>IF(C15="Mediana Complejidad",M15,0)</f>
        <v>0</v>
      </c>
      <c r="U15" s="8">
        <v>0</v>
      </c>
      <c r="V15" s="7">
        <f>(T15)+(T15*U15)</f>
        <v>0</v>
      </c>
      <c r="W15" s="8">
        <f>IFERROR(((V15-T15)/V15),0)</f>
        <v>0</v>
      </c>
      <c r="X15" s="7">
        <f>IF(C15="Baja Complejidad",M15,0)</f>
        <v>0</v>
      </c>
      <c r="Y15" s="8">
        <v>0</v>
      </c>
      <c r="Z15" s="7">
        <f>(X15)+(X15*Y15)</f>
        <v>0</v>
      </c>
      <c r="AA15" s="8">
        <f>IFERROR(((Z15-X15)/Z15),0)</f>
        <v>0</v>
      </c>
      <c r="AB15" s="8">
        <v>0.1</v>
      </c>
    </row>
    <row r="16" spans="1:28" x14ac:dyDescent="0.25">
      <c r="A16">
        <v>2026</v>
      </c>
      <c r="B16" t="s">
        <v>28</v>
      </c>
      <c r="C16" t="s">
        <v>29</v>
      </c>
      <c r="D16" t="s">
        <v>30</v>
      </c>
      <c r="F16">
        <v>900</v>
      </c>
      <c r="G16" t="s">
        <v>42</v>
      </c>
      <c r="H16" t="s">
        <v>42</v>
      </c>
      <c r="I16" t="s">
        <v>59</v>
      </c>
      <c r="J16">
        <v>60</v>
      </c>
      <c r="K16" t="s">
        <v>45</v>
      </c>
      <c r="L16" s="12">
        <v>6048.3</v>
      </c>
      <c r="M16" s="7">
        <f>+L16*J16</f>
        <v>362898</v>
      </c>
      <c r="O16" s="7">
        <f t="shared" si="0"/>
        <v>362898</v>
      </c>
      <c r="P16" s="7">
        <f t="shared" si="1"/>
        <v>362898</v>
      </c>
      <c r="Q16" s="8">
        <v>0</v>
      </c>
      <c r="R16" s="7">
        <f t="shared" si="2"/>
        <v>362898</v>
      </c>
      <c r="S16" s="10">
        <f>IFERROR(((R16-P16)/R16),0)</f>
        <v>0</v>
      </c>
      <c r="T16" s="7">
        <f>IF(C16="Mediana Complejidad",M16,0)</f>
        <v>0</v>
      </c>
      <c r="U16" s="8">
        <v>0</v>
      </c>
      <c r="V16" s="7">
        <f>(T16)+(T16*U16)</f>
        <v>0</v>
      </c>
      <c r="W16" s="8">
        <f>IFERROR(((V16-T16)/V16),0)</f>
        <v>0</v>
      </c>
      <c r="X16" s="7">
        <f>IF(C16="Baja Complejidad",M16,0)</f>
        <v>0</v>
      </c>
      <c r="Y16" s="8">
        <v>0</v>
      </c>
      <c r="Z16" s="7">
        <f>(X16)+(X16*Y16)</f>
        <v>0</v>
      </c>
      <c r="AA16" s="8">
        <f>IFERROR(((Z16-X16)/Z16),0)</f>
        <v>0</v>
      </c>
      <c r="AB16" s="8">
        <v>0.1</v>
      </c>
    </row>
    <row r="17" spans="1:28" x14ac:dyDescent="0.25">
      <c r="A17">
        <v>2026</v>
      </c>
      <c r="B17" t="s">
        <v>28</v>
      </c>
      <c r="C17" t="s">
        <v>43</v>
      </c>
      <c r="D17" t="s">
        <v>43</v>
      </c>
      <c r="G17" t="s">
        <v>43</v>
      </c>
      <c r="H17" t="s">
        <v>43</v>
      </c>
      <c r="I17" t="s">
        <v>44</v>
      </c>
      <c r="J17">
        <v>10</v>
      </c>
      <c r="K17" t="s">
        <v>45</v>
      </c>
      <c r="L17">
        <v>3000</v>
      </c>
      <c r="M17" s="7">
        <v>30000</v>
      </c>
      <c r="O17" s="7">
        <f t="shared" si="0"/>
        <v>30000</v>
      </c>
      <c r="P17" s="7">
        <f t="shared" si="1"/>
        <v>0</v>
      </c>
      <c r="Q17" s="8">
        <v>0</v>
      </c>
      <c r="R17" s="7">
        <f t="shared" si="2"/>
        <v>30000</v>
      </c>
      <c r="S17" s="10">
        <f>IFERROR(((R17-P17)/R17),0)</f>
        <v>1</v>
      </c>
      <c r="T17" s="7">
        <f>IF(C17="Mediana Complejidad",M17,0)</f>
        <v>0</v>
      </c>
      <c r="U17" s="8">
        <v>0</v>
      </c>
      <c r="V17" s="7">
        <f>(T17)+(T17*U17)</f>
        <v>0</v>
      </c>
      <c r="W17" s="8">
        <f>IFERROR(((V17-T17)/V17),0)</f>
        <v>0</v>
      </c>
      <c r="X17" s="7">
        <f>IF(C17="Baja Complejidad",M17,0)</f>
        <v>0</v>
      </c>
      <c r="Y17" s="8">
        <v>0</v>
      </c>
      <c r="Z17" s="7">
        <f>(X17)+(X17*Y17)</f>
        <v>0</v>
      </c>
      <c r="AA17" s="8">
        <f>IFERROR(((Z17-X17)/Z17),0)</f>
        <v>0</v>
      </c>
      <c r="AB17" s="8">
        <v>0.1</v>
      </c>
    </row>
    <row r="18" spans="1:28" x14ac:dyDescent="0.25">
      <c r="A18">
        <v>2026</v>
      </c>
      <c r="B18" t="s">
        <v>28</v>
      </c>
      <c r="C18" t="s">
        <v>43</v>
      </c>
      <c r="D18" t="s">
        <v>43</v>
      </c>
      <c r="G18" t="s">
        <v>43</v>
      </c>
      <c r="H18" t="s">
        <v>43</v>
      </c>
      <c r="I18" t="s">
        <v>46</v>
      </c>
      <c r="J18">
        <v>1</v>
      </c>
      <c r="K18" t="s">
        <v>33</v>
      </c>
      <c r="L18">
        <v>2000000</v>
      </c>
      <c r="M18" s="7">
        <v>2000000</v>
      </c>
      <c r="O18" s="7">
        <f t="shared" si="0"/>
        <v>2000000</v>
      </c>
      <c r="P18" s="7">
        <f t="shared" si="1"/>
        <v>0</v>
      </c>
      <c r="Q18" s="8">
        <v>0</v>
      </c>
      <c r="R18" s="7">
        <f t="shared" si="2"/>
        <v>2000000</v>
      </c>
      <c r="S18" s="10">
        <f>IFERROR(((R18-P18)/R18),0)</f>
        <v>1</v>
      </c>
      <c r="T18" s="7">
        <f t="shared" ref="T18:T19" si="3">IF(C18="Mediana Complejidad",M18,0)</f>
        <v>0</v>
      </c>
      <c r="U18" s="8">
        <v>0</v>
      </c>
      <c r="V18" s="7">
        <f t="shared" ref="V18:V19" si="4">(T18)+(T18*U18)</f>
        <v>0</v>
      </c>
      <c r="W18" s="8">
        <f t="shared" ref="W18:W19" si="5">IFERROR(((V18-T18)/V18),0)</f>
        <v>0</v>
      </c>
      <c r="X18" s="7">
        <f t="shared" ref="X18:X19" si="6">IF(C18="Baja Complejidad",M18,0)</f>
        <v>0</v>
      </c>
      <c r="Y18" s="8">
        <v>0</v>
      </c>
      <c r="Z18" s="7">
        <f t="shared" ref="Z18:Z19" si="7">(X18)+(X18*Y18)</f>
        <v>0</v>
      </c>
      <c r="AA18" s="8">
        <f t="shared" ref="AA18:AA19" si="8">IFERROR(((Z18-X18)/Z18),0)</f>
        <v>0</v>
      </c>
      <c r="AB18" s="8">
        <v>0.1</v>
      </c>
    </row>
    <row r="19" spans="1:28" x14ac:dyDescent="0.25">
      <c r="A19">
        <v>2026</v>
      </c>
      <c r="B19" t="s">
        <v>28</v>
      </c>
      <c r="C19" t="s">
        <v>43</v>
      </c>
      <c r="D19" t="s">
        <v>43</v>
      </c>
      <c r="G19" t="s">
        <v>43</v>
      </c>
      <c r="H19" t="s">
        <v>43</v>
      </c>
      <c r="I19" t="s">
        <v>47</v>
      </c>
      <c r="J19">
        <v>1</v>
      </c>
      <c r="K19" t="s">
        <v>33</v>
      </c>
      <c r="L19">
        <v>200000</v>
      </c>
      <c r="M19" s="7">
        <v>200000</v>
      </c>
      <c r="O19" s="7">
        <f t="shared" si="0"/>
        <v>200000</v>
      </c>
      <c r="P19" s="7">
        <f t="shared" si="1"/>
        <v>0</v>
      </c>
      <c r="Q19" s="8">
        <v>0</v>
      </c>
      <c r="R19" s="7">
        <f t="shared" si="2"/>
        <v>200000</v>
      </c>
      <c r="S19" s="10">
        <f>IFERROR(((R19-P19)/R19),0)</f>
        <v>1</v>
      </c>
      <c r="T19" s="7">
        <f t="shared" si="3"/>
        <v>0</v>
      </c>
      <c r="U19" s="8">
        <v>0</v>
      </c>
      <c r="V19" s="7">
        <f t="shared" si="4"/>
        <v>0</v>
      </c>
      <c r="W19" s="8">
        <f t="shared" si="5"/>
        <v>0</v>
      </c>
      <c r="X19" s="7">
        <f t="shared" si="6"/>
        <v>0</v>
      </c>
      <c r="Y19" s="8">
        <v>0</v>
      </c>
      <c r="Z19" s="7">
        <f t="shared" si="7"/>
        <v>0</v>
      </c>
      <c r="AA19" s="8">
        <f t="shared" si="8"/>
        <v>0</v>
      </c>
      <c r="AB19" s="8">
        <v>0.1</v>
      </c>
    </row>
    <row r="20" spans="1:28" x14ac:dyDescent="0.25">
      <c r="A20">
        <v>2026</v>
      </c>
      <c r="B20" t="s">
        <v>28</v>
      </c>
      <c r="C20" t="s">
        <v>29</v>
      </c>
      <c r="D20" t="s">
        <v>30</v>
      </c>
      <c r="F20">
        <v>600</v>
      </c>
      <c r="G20" t="s">
        <v>42</v>
      </c>
      <c r="H20" t="s">
        <v>42</v>
      </c>
      <c r="I20" t="s">
        <v>48</v>
      </c>
      <c r="J20">
        <v>60</v>
      </c>
      <c r="K20" t="s">
        <v>45</v>
      </c>
      <c r="L20">
        <v>35000</v>
      </c>
      <c r="M20" s="7">
        <f t="shared" ref="M20:M22" si="9">+L20*J20</f>
        <v>2100000</v>
      </c>
      <c r="O20" s="7">
        <f t="shared" si="0"/>
        <v>2100000</v>
      </c>
      <c r="P20" s="7">
        <f t="shared" si="1"/>
        <v>2100000</v>
      </c>
      <c r="Q20" s="8">
        <v>0</v>
      </c>
      <c r="R20" s="7">
        <f t="shared" si="2"/>
        <v>2100000</v>
      </c>
      <c r="S20" s="10">
        <f>IFERROR(((R20-P20)/R20),0)</f>
        <v>0</v>
      </c>
      <c r="T20" s="7">
        <f>IF(C20="Mediana Complejidad",M20,0)</f>
        <v>0</v>
      </c>
      <c r="U20" s="8">
        <v>0</v>
      </c>
      <c r="V20" s="7">
        <f>(T20)+(T20*U20)</f>
        <v>0</v>
      </c>
      <c r="W20" s="8">
        <f>IFERROR(((V20-T20)/V20),0)</f>
        <v>0</v>
      </c>
      <c r="X20" s="7">
        <f>IF(C20="Baja Complejidad",M20,0)</f>
        <v>0</v>
      </c>
      <c r="Y20" s="8">
        <v>0</v>
      </c>
      <c r="Z20" s="7">
        <f>(X20)+(X20*Y20)</f>
        <v>0</v>
      </c>
      <c r="AA20" s="8">
        <f>IFERROR(((Z20-X20)/Z20),0)</f>
        <v>0</v>
      </c>
      <c r="AB20" s="8">
        <v>0.1</v>
      </c>
    </row>
    <row r="21" spans="1:28" x14ac:dyDescent="0.25">
      <c r="A21">
        <v>2026</v>
      </c>
      <c r="B21" t="s">
        <v>28</v>
      </c>
      <c r="C21" t="s">
        <v>29</v>
      </c>
      <c r="D21" t="s">
        <v>30</v>
      </c>
      <c r="F21">
        <v>600</v>
      </c>
      <c r="G21" t="s">
        <v>42</v>
      </c>
      <c r="H21" t="s">
        <v>42</v>
      </c>
      <c r="I21" t="s">
        <v>49</v>
      </c>
      <c r="J21">
        <v>60</v>
      </c>
      <c r="K21" t="s">
        <v>45</v>
      </c>
      <c r="L21">
        <v>25000</v>
      </c>
      <c r="M21" s="7">
        <f t="shared" si="9"/>
        <v>1500000</v>
      </c>
      <c r="O21" s="7">
        <f t="shared" si="0"/>
        <v>1500000</v>
      </c>
      <c r="P21" s="7">
        <f t="shared" si="1"/>
        <v>1500000</v>
      </c>
      <c r="Q21" s="8">
        <v>0</v>
      </c>
      <c r="R21" s="7">
        <f t="shared" si="2"/>
        <v>1500000</v>
      </c>
      <c r="S21" s="10">
        <f>IFERROR(((R21-P21)/R21),0)</f>
        <v>0</v>
      </c>
      <c r="T21" s="7">
        <f>IF(C21="Mediana Complejidad",M21,0)</f>
        <v>0</v>
      </c>
      <c r="U21" s="8">
        <v>0</v>
      </c>
      <c r="V21" s="7">
        <f>(T21)+(T21*U21)</f>
        <v>0</v>
      </c>
      <c r="W21" s="8">
        <f>IFERROR(((V21-T21)/V21),0)</f>
        <v>0</v>
      </c>
      <c r="X21" s="7">
        <f>IF(C21="Baja Complejidad",M21,0)</f>
        <v>0</v>
      </c>
      <c r="Y21" s="8">
        <v>0</v>
      </c>
      <c r="Z21" s="7">
        <f>(X21)+(X21*Y21)</f>
        <v>0</v>
      </c>
      <c r="AA21" s="8">
        <f>IFERROR(((Z21-X21)/Z21),0)</f>
        <v>0</v>
      </c>
      <c r="AB21" s="8">
        <v>0.1</v>
      </c>
    </row>
    <row r="22" spans="1:28" x14ac:dyDescent="0.25">
      <c r="A22">
        <v>2026</v>
      </c>
      <c r="B22" t="s">
        <v>28</v>
      </c>
      <c r="C22" t="s">
        <v>29</v>
      </c>
      <c r="D22" t="s">
        <v>30</v>
      </c>
      <c r="F22">
        <v>600</v>
      </c>
      <c r="G22" t="s">
        <v>42</v>
      </c>
      <c r="H22" t="s">
        <v>42</v>
      </c>
      <c r="I22" t="s">
        <v>50</v>
      </c>
      <c r="J22">
        <v>60</v>
      </c>
      <c r="K22" t="s">
        <v>45</v>
      </c>
      <c r="L22">
        <v>20000</v>
      </c>
      <c r="M22" s="7">
        <f t="shared" si="9"/>
        <v>1200000</v>
      </c>
      <c r="O22" s="7">
        <f t="shared" si="0"/>
        <v>1200000</v>
      </c>
      <c r="P22" s="7">
        <f t="shared" si="1"/>
        <v>1200000</v>
      </c>
      <c r="Q22" s="8">
        <v>0</v>
      </c>
      <c r="R22" s="7">
        <f t="shared" si="2"/>
        <v>1200000</v>
      </c>
      <c r="S22" s="10">
        <f>IFERROR(((R22-P22)/R22),0)</f>
        <v>0</v>
      </c>
      <c r="T22" s="7">
        <f>IF(C22="Mediana Complejidad",M22,0)</f>
        <v>0</v>
      </c>
      <c r="U22" s="8">
        <v>0</v>
      </c>
      <c r="V22" s="7">
        <f>(T22)+(T22*U22)</f>
        <v>0</v>
      </c>
      <c r="W22" s="8">
        <f>IFERROR(((V22-T22)/V22),0)</f>
        <v>0</v>
      </c>
      <c r="X22" s="7">
        <f>IF(C22="Baja Complejidad",M22,0)</f>
        <v>0</v>
      </c>
      <c r="Y22" s="8">
        <v>0</v>
      </c>
      <c r="Z22" s="7">
        <f>(X22)+(X22*Y22)</f>
        <v>0</v>
      </c>
      <c r="AA22" s="8">
        <f>IFERROR(((Z22-X22)/Z22),0)</f>
        <v>0</v>
      </c>
      <c r="AB22" s="8">
        <v>0.1</v>
      </c>
    </row>
    <row r="23" spans="1:28" x14ac:dyDescent="0.25">
      <c r="A23">
        <v>2026</v>
      </c>
      <c r="B23" t="s">
        <v>51</v>
      </c>
      <c r="C23" t="s">
        <v>29</v>
      </c>
      <c r="D23" t="s">
        <v>30</v>
      </c>
      <c r="E23" t="s">
        <v>85</v>
      </c>
      <c r="G23" t="s">
        <v>31</v>
      </c>
      <c r="H23" t="s">
        <v>31</v>
      </c>
      <c r="I23" t="s">
        <v>32</v>
      </c>
      <c r="J23">
        <v>4</v>
      </c>
      <c r="K23" t="s">
        <v>33</v>
      </c>
      <c r="L23">
        <v>266</v>
      </c>
      <c r="M23" s="7">
        <v>1064</v>
      </c>
      <c r="O23" s="7">
        <f t="shared" si="0"/>
        <v>1064</v>
      </c>
      <c r="P23" s="7">
        <f t="shared" si="1"/>
        <v>1064</v>
      </c>
      <c r="Q23" s="8">
        <v>0</v>
      </c>
      <c r="R23" s="7">
        <f t="shared" si="2"/>
        <v>1064</v>
      </c>
      <c r="S23" s="10">
        <f>IFERROR(((R23-P23)/R23),0)</f>
        <v>0</v>
      </c>
      <c r="T23" s="7">
        <f>IF(C23="Mediana Complejidad",M23,0)</f>
        <v>0</v>
      </c>
      <c r="U23" s="8">
        <v>0</v>
      </c>
      <c r="V23" s="7">
        <f>(T23)+(T23*U23)</f>
        <v>0</v>
      </c>
      <c r="W23" s="8">
        <f>IFERROR(((V23-T23)/V23),0)</f>
        <v>0</v>
      </c>
      <c r="X23" s="7">
        <f>IF(C23="Baja Complejidad",M23,0)</f>
        <v>0</v>
      </c>
      <c r="Y23" s="8">
        <v>0</v>
      </c>
      <c r="Z23" s="7">
        <f>(X23)+(X23*Y23)</f>
        <v>0</v>
      </c>
      <c r="AA23" s="8">
        <f>IFERROR(((Z23-X23)/Z23),0)</f>
        <v>0</v>
      </c>
      <c r="AB23" s="8">
        <v>0.1</v>
      </c>
    </row>
    <row r="24" spans="1:28" x14ac:dyDescent="0.25">
      <c r="A24">
        <v>2026</v>
      </c>
      <c r="B24" t="s">
        <v>51</v>
      </c>
      <c r="C24" t="s">
        <v>29</v>
      </c>
      <c r="D24" t="s">
        <v>30</v>
      </c>
      <c r="E24" t="s">
        <v>86</v>
      </c>
      <c r="G24" t="s">
        <v>31</v>
      </c>
      <c r="H24" t="s">
        <v>31</v>
      </c>
      <c r="I24" t="s">
        <v>34</v>
      </c>
      <c r="J24">
        <v>2</v>
      </c>
      <c r="K24" t="s">
        <v>33</v>
      </c>
      <c r="L24">
        <v>1086.232</v>
      </c>
      <c r="M24" s="7">
        <v>2172.4639999999999</v>
      </c>
      <c r="O24" s="7">
        <f t="shared" si="0"/>
        <v>2172.4639999999999</v>
      </c>
      <c r="P24" s="7">
        <f t="shared" si="1"/>
        <v>2172.4639999999999</v>
      </c>
      <c r="Q24" s="8">
        <v>0</v>
      </c>
      <c r="R24" s="7">
        <f t="shared" si="2"/>
        <v>2172.4639999999999</v>
      </c>
      <c r="S24" s="10">
        <f>IFERROR(((R24-P24)/R24),0)</f>
        <v>0</v>
      </c>
      <c r="T24" s="7">
        <f>IF(C24="Mediana Complejidad",M24,0)</f>
        <v>0</v>
      </c>
      <c r="U24" s="8">
        <v>0</v>
      </c>
      <c r="V24" s="7">
        <f>(T24)+(T24*U24)</f>
        <v>0</v>
      </c>
      <c r="W24" s="8">
        <f>IFERROR(((V24-T24)/V24),0)</f>
        <v>0</v>
      </c>
      <c r="X24" s="7">
        <f>IF(C24="Baja Complejidad",M24,0)</f>
        <v>0</v>
      </c>
      <c r="Y24" s="8">
        <v>0</v>
      </c>
      <c r="Z24" s="7">
        <f>(X24)+(X24*Y24)</f>
        <v>0</v>
      </c>
      <c r="AA24" s="8">
        <f>IFERROR(((Z24-X24)/Z24),0)</f>
        <v>0</v>
      </c>
      <c r="AB24" s="8">
        <v>0.1</v>
      </c>
    </row>
    <row r="25" spans="1:28" x14ac:dyDescent="0.25">
      <c r="A25">
        <v>2026</v>
      </c>
      <c r="B25" t="s">
        <v>51</v>
      </c>
      <c r="C25" t="s">
        <v>29</v>
      </c>
      <c r="D25" t="s">
        <v>30</v>
      </c>
      <c r="E25" t="s">
        <v>87</v>
      </c>
      <c r="G25" t="s">
        <v>31</v>
      </c>
      <c r="H25" t="s">
        <v>31</v>
      </c>
      <c r="I25" t="s">
        <v>35</v>
      </c>
      <c r="J25">
        <v>10</v>
      </c>
      <c r="K25" t="s">
        <v>33</v>
      </c>
      <c r="L25">
        <v>370</v>
      </c>
      <c r="M25" s="7">
        <v>3700</v>
      </c>
      <c r="O25" s="7">
        <f t="shared" si="0"/>
        <v>3700</v>
      </c>
      <c r="P25" s="7">
        <f t="shared" si="1"/>
        <v>3700</v>
      </c>
      <c r="Q25" s="8">
        <v>0</v>
      </c>
      <c r="R25" s="7">
        <f t="shared" si="2"/>
        <v>3700</v>
      </c>
      <c r="S25" s="10">
        <f>IFERROR(((R25-P25)/R25),0)</f>
        <v>0</v>
      </c>
      <c r="T25" s="7">
        <f>IF(C25="Mediana Complejidad",M25,0)</f>
        <v>0</v>
      </c>
      <c r="U25" s="8">
        <v>0</v>
      </c>
      <c r="V25" s="7">
        <f>(T25)+(T25*U25)</f>
        <v>0</v>
      </c>
      <c r="W25" s="8">
        <f>IFERROR(((V25-T25)/V25),0)</f>
        <v>0</v>
      </c>
      <c r="X25" s="7">
        <f>IF(C25="Baja Complejidad",M25,0)</f>
        <v>0</v>
      </c>
      <c r="Y25" s="8">
        <v>0</v>
      </c>
      <c r="Z25" s="7">
        <f>(X25)+(X25*Y25)</f>
        <v>0</v>
      </c>
      <c r="AA25" s="8">
        <f>IFERROR(((Z25-X25)/Z25),0)</f>
        <v>0</v>
      </c>
      <c r="AB25" s="8">
        <v>0.1</v>
      </c>
    </row>
    <row r="26" spans="1:28" x14ac:dyDescent="0.25">
      <c r="A26">
        <v>2026</v>
      </c>
      <c r="B26" t="s">
        <v>51</v>
      </c>
      <c r="C26" t="s">
        <v>29</v>
      </c>
      <c r="D26" t="s">
        <v>30</v>
      </c>
      <c r="E26" t="s">
        <v>88</v>
      </c>
      <c r="G26" t="s">
        <v>31</v>
      </c>
      <c r="H26" t="s">
        <v>31</v>
      </c>
      <c r="I26" t="s">
        <v>36</v>
      </c>
      <c r="J26">
        <v>2</v>
      </c>
      <c r="K26" t="s">
        <v>33</v>
      </c>
      <c r="L26">
        <v>2643</v>
      </c>
      <c r="M26" s="7">
        <v>5286</v>
      </c>
      <c r="O26" s="7">
        <f t="shared" si="0"/>
        <v>5286</v>
      </c>
      <c r="P26" s="7">
        <f t="shared" si="1"/>
        <v>5286</v>
      </c>
      <c r="Q26" s="8">
        <v>0</v>
      </c>
      <c r="R26" s="7">
        <f t="shared" si="2"/>
        <v>5286</v>
      </c>
      <c r="S26" s="10">
        <f>IFERROR(((R26-P26)/R26),0)</f>
        <v>0</v>
      </c>
      <c r="T26" s="7">
        <f>IF(C26="Mediana Complejidad",M26,0)</f>
        <v>0</v>
      </c>
      <c r="U26" s="8">
        <v>0</v>
      </c>
      <c r="V26" s="7">
        <f>(T26)+(T26*U26)</f>
        <v>0</v>
      </c>
      <c r="W26" s="8">
        <f>IFERROR(((V26-T26)/V26),0)</f>
        <v>0</v>
      </c>
      <c r="X26" s="7">
        <f>IF(C26="Baja Complejidad",M26,0)</f>
        <v>0</v>
      </c>
      <c r="Y26" s="8">
        <v>0</v>
      </c>
      <c r="Z26" s="7">
        <f>(X26)+(X26*Y26)</f>
        <v>0</v>
      </c>
      <c r="AA26" s="8">
        <f>IFERROR(((Z26-X26)/Z26),0)</f>
        <v>0</v>
      </c>
      <c r="AB26" s="8">
        <v>0.1</v>
      </c>
    </row>
    <row r="27" spans="1:28" x14ac:dyDescent="0.25">
      <c r="A27">
        <v>2026</v>
      </c>
      <c r="B27" t="s">
        <v>51</v>
      </c>
      <c r="C27" t="s">
        <v>29</v>
      </c>
      <c r="D27" t="s">
        <v>30</v>
      </c>
      <c r="E27" t="s">
        <v>89</v>
      </c>
      <c r="G27" t="s">
        <v>31</v>
      </c>
      <c r="H27" t="s">
        <v>31</v>
      </c>
      <c r="I27" t="s">
        <v>37</v>
      </c>
      <c r="J27">
        <v>5</v>
      </c>
      <c r="K27" t="s">
        <v>33</v>
      </c>
      <c r="L27">
        <v>135.66</v>
      </c>
      <c r="M27" s="7">
        <v>678.3</v>
      </c>
      <c r="O27" s="7">
        <f t="shared" si="0"/>
        <v>678.3</v>
      </c>
      <c r="P27" s="7">
        <f t="shared" si="1"/>
        <v>678.3</v>
      </c>
      <c r="Q27" s="8">
        <v>0</v>
      </c>
      <c r="R27" s="7">
        <f t="shared" si="2"/>
        <v>678.3</v>
      </c>
      <c r="S27" s="10">
        <f>IFERROR(((R27-P27)/R27),0)</f>
        <v>0</v>
      </c>
      <c r="T27" s="7">
        <f>IF(C27="Mediana Complejidad",M27,0)</f>
        <v>0</v>
      </c>
      <c r="U27" s="8">
        <v>0</v>
      </c>
      <c r="V27" s="7">
        <f>(T27)+(T27*U27)</f>
        <v>0</v>
      </c>
      <c r="W27" s="8">
        <f>IFERROR(((V27-T27)/V27),0)</f>
        <v>0</v>
      </c>
      <c r="X27" s="7">
        <f>IF(C27="Baja Complejidad",M27,0)</f>
        <v>0</v>
      </c>
      <c r="Y27" s="8">
        <v>0</v>
      </c>
      <c r="Z27" s="7">
        <f>(X27)+(X27*Y27)</f>
        <v>0</v>
      </c>
      <c r="AA27" s="8">
        <f>IFERROR(((Z27-X27)/Z27),0)</f>
        <v>0</v>
      </c>
      <c r="AB27" s="8">
        <v>0.1</v>
      </c>
    </row>
    <row r="28" spans="1:28" x14ac:dyDescent="0.25">
      <c r="A28">
        <v>2026</v>
      </c>
      <c r="B28" t="s">
        <v>51</v>
      </c>
      <c r="C28" t="s">
        <v>29</v>
      </c>
      <c r="D28" t="s">
        <v>30</v>
      </c>
      <c r="E28" t="s">
        <v>90</v>
      </c>
      <c r="G28" t="s">
        <v>31</v>
      </c>
      <c r="H28" t="s">
        <v>31</v>
      </c>
      <c r="I28" t="s">
        <v>38</v>
      </c>
      <c r="J28">
        <v>2</v>
      </c>
      <c r="K28" t="s">
        <v>33</v>
      </c>
      <c r="L28">
        <v>3808</v>
      </c>
      <c r="M28" s="7">
        <v>7616</v>
      </c>
      <c r="O28" s="7">
        <f t="shared" si="0"/>
        <v>7616</v>
      </c>
      <c r="P28" s="7">
        <f t="shared" si="1"/>
        <v>7616</v>
      </c>
      <c r="Q28" s="8">
        <v>0</v>
      </c>
      <c r="R28" s="7">
        <f t="shared" si="2"/>
        <v>7616</v>
      </c>
      <c r="S28" s="10">
        <f>IFERROR(((R28-P28)/R28),0)</f>
        <v>0</v>
      </c>
      <c r="T28" s="7">
        <f>IF(C28="Mediana Complejidad",M28,0)</f>
        <v>0</v>
      </c>
      <c r="U28" s="8">
        <v>0</v>
      </c>
      <c r="V28" s="7">
        <f>(T28)+(T28*U28)</f>
        <v>0</v>
      </c>
      <c r="W28" s="8">
        <f>IFERROR(((V28-T28)/V28),0)</f>
        <v>0</v>
      </c>
      <c r="X28" s="7">
        <f>IF(C28="Baja Complejidad",M28,0)</f>
        <v>0</v>
      </c>
      <c r="Y28" s="8">
        <v>0</v>
      </c>
      <c r="Z28" s="7">
        <f>(X28)+(X28*Y28)</f>
        <v>0</v>
      </c>
      <c r="AA28" s="8">
        <f>IFERROR(((Z28-X28)/Z28),0)</f>
        <v>0</v>
      </c>
      <c r="AB28" s="8">
        <v>0.1</v>
      </c>
    </row>
    <row r="29" spans="1:28" x14ac:dyDescent="0.25">
      <c r="A29">
        <v>2026</v>
      </c>
      <c r="B29" t="s">
        <v>51</v>
      </c>
      <c r="C29" t="s">
        <v>29</v>
      </c>
      <c r="D29" t="s">
        <v>30</v>
      </c>
      <c r="E29" t="s">
        <v>91</v>
      </c>
      <c r="G29" t="s">
        <v>31</v>
      </c>
      <c r="H29" t="s">
        <v>31</v>
      </c>
      <c r="I29" t="s">
        <v>39</v>
      </c>
      <c r="J29">
        <v>2</v>
      </c>
      <c r="K29" t="s">
        <v>33</v>
      </c>
      <c r="L29">
        <v>111.86</v>
      </c>
      <c r="M29" s="7">
        <v>223.72</v>
      </c>
      <c r="O29" s="7">
        <f t="shared" si="0"/>
        <v>223.72</v>
      </c>
      <c r="P29" s="7">
        <f t="shared" si="1"/>
        <v>223.72</v>
      </c>
      <c r="Q29" s="8">
        <v>0</v>
      </c>
      <c r="R29" s="7">
        <f t="shared" si="2"/>
        <v>223.72</v>
      </c>
      <c r="S29" s="10">
        <f>IFERROR(((R29-P29)/R29),0)</f>
        <v>0</v>
      </c>
      <c r="T29" s="7">
        <f>IF(C29="Mediana Complejidad",M29,0)</f>
        <v>0</v>
      </c>
      <c r="U29" s="8">
        <v>0</v>
      </c>
      <c r="V29" s="7">
        <f>(T29)+(T29*U29)</f>
        <v>0</v>
      </c>
      <c r="W29" s="8">
        <f>IFERROR(((V29-T29)/V29),0)</f>
        <v>0</v>
      </c>
      <c r="X29" s="7">
        <f>IF(C29="Baja Complejidad",M29,0)</f>
        <v>0</v>
      </c>
      <c r="Y29" s="8">
        <v>0</v>
      </c>
      <c r="Z29" s="7">
        <f>(X29)+(X29*Y29)</f>
        <v>0</v>
      </c>
      <c r="AA29" s="8">
        <f>IFERROR(((Z29-X29)/Z29),0)</f>
        <v>0</v>
      </c>
      <c r="AB29" s="8">
        <v>0.1</v>
      </c>
    </row>
    <row r="30" spans="1:28" x14ac:dyDescent="0.25">
      <c r="A30">
        <v>2026</v>
      </c>
      <c r="B30" t="s">
        <v>51</v>
      </c>
      <c r="C30" t="s">
        <v>29</v>
      </c>
      <c r="D30" t="s">
        <v>30</v>
      </c>
      <c r="E30" t="s">
        <v>92</v>
      </c>
      <c r="G30" t="s">
        <v>31</v>
      </c>
      <c r="H30" t="s">
        <v>31</v>
      </c>
      <c r="I30" t="s">
        <v>64</v>
      </c>
      <c r="J30">
        <v>10</v>
      </c>
      <c r="K30" t="s">
        <v>33</v>
      </c>
      <c r="L30">
        <v>80300</v>
      </c>
      <c r="M30" s="7">
        <v>3212</v>
      </c>
      <c r="O30" s="7">
        <f t="shared" si="0"/>
        <v>3212</v>
      </c>
      <c r="P30" s="7">
        <f t="shared" si="1"/>
        <v>3212</v>
      </c>
      <c r="Q30" s="8">
        <v>0</v>
      </c>
      <c r="R30" s="7">
        <f t="shared" si="2"/>
        <v>3212</v>
      </c>
      <c r="S30" s="10">
        <f>IFERROR(((R30-P30)/R30),0)</f>
        <v>0</v>
      </c>
      <c r="T30" s="7">
        <f>IF(C30="Mediana Complejidad",M30,0)</f>
        <v>0</v>
      </c>
      <c r="U30" s="8">
        <v>0</v>
      </c>
      <c r="V30" s="7">
        <f>(T30)+(T30*U30)</f>
        <v>0</v>
      </c>
      <c r="W30" s="8">
        <f>IFERROR(((V30-T30)/V30),0)</f>
        <v>0</v>
      </c>
      <c r="X30" s="7">
        <f>IF(C30="Baja Complejidad",M30,0)</f>
        <v>0</v>
      </c>
      <c r="Y30" s="8">
        <v>0</v>
      </c>
      <c r="Z30" s="7">
        <f>(X30)+(X30*Y30)</f>
        <v>0</v>
      </c>
      <c r="AA30" s="8">
        <f>IFERROR(((Z30-X30)/Z30),0)</f>
        <v>0</v>
      </c>
      <c r="AB30" s="8">
        <v>0.1</v>
      </c>
    </row>
    <row r="31" spans="1:28" x14ac:dyDescent="0.25">
      <c r="A31">
        <v>2026</v>
      </c>
      <c r="B31" t="s">
        <v>51</v>
      </c>
      <c r="C31" t="s">
        <v>29</v>
      </c>
      <c r="D31" t="s">
        <v>30</v>
      </c>
      <c r="E31" t="s">
        <v>93</v>
      </c>
      <c r="G31" t="s">
        <v>31</v>
      </c>
      <c r="H31" t="s">
        <v>31</v>
      </c>
      <c r="I31" t="s">
        <v>40</v>
      </c>
      <c r="J31">
        <v>5</v>
      </c>
      <c r="K31" t="s">
        <v>33</v>
      </c>
      <c r="L31">
        <v>17888.080000000002</v>
      </c>
      <c r="M31" s="7">
        <v>89440.400000000009</v>
      </c>
      <c r="O31" s="7">
        <f t="shared" si="0"/>
        <v>89440.400000000009</v>
      </c>
      <c r="P31" s="7">
        <f t="shared" si="1"/>
        <v>89440.400000000009</v>
      </c>
      <c r="Q31" s="8">
        <v>0</v>
      </c>
      <c r="R31" s="7">
        <f t="shared" si="2"/>
        <v>89440.400000000009</v>
      </c>
      <c r="S31" s="10">
        <f>IFERROR(((R31-P31)/R31),0)</f>
        <v>0</v>
      </c>
      <c r="T31" s="7">
        <f>IF(C31="Mediana Complejidad",M31,0)</f>
        <v>0</v>
      </c>
      <c r="U31" s="8">
        <v>0</v>
      </c>
      <c r="V31" s="7">
        <f>(T31)+(T31*U31)</f>
        <v>0</v>
      </c>
      <c r="W31" s="8">
        <f>IFERROR(((V31-T31)/V31),0)</f>
        <v>0</v>
      </c>
      <c r="X31" s="7">
        <f>IF(C31="Baja Complejidad",M31,0)</f>
        <v>0</v>
      </c>
      <c r="Y31" s="8">
        <v>0</v>
      </c>
      <c r="Z31" s="7">
        <f>(X31)+(X31*Y31)</f>
        <v>0</v>
      </c>
      <c r="AA31" s="8">
        <f>IFERROR(((Z31-X31)/Z31),0)</f>
        <v>0</v>
      </c>
      <c r="AB31" s="8">
        <v>0.1</v>
      </c>
    </row>
    <row r="32" spans="1:28" x14ac:dyDescent="0.25">
      <c r="A32">
        <v>2026</v>
      </c>
      <c r="B32" t="s">
        <v>51</v>
      </c>
      <c r="C32" t="s">
        <v>29</v>
      </c>
      <c r="D32" t="s">
        <v>30</v>
      </c>
      <c r="E32" t="s">
        <v>94</v>
      </c>
      <c r="G32" t="s">
        <v>31</v>
      </c>
      <c r="H32" t="s">
        <v>31</v>
      </c>
      <c r="I32" t="s">
        <v>41</v>
      </c>
      <c r="J32">
        <v>2</v>
      </c>
      <c r="K32" t="s">
        <v>33</v>
      </c>
      <c r="L32">
        <v>337.3837894736842</v>
      </c>
      <c r="M32" s="7">
        <v>674.76757894736841</v>
      </c>
      <c r="O32" s="7">
        <f t="shared" si="0"/>
        <v>674.76757894736841</v>
      </c>
      <c r="P32" s="7">
        <f t="shared" si="1"/>
        <v>674.76757894736841</v>
      </c>
      <c r="Q32" s="8">
        <v>0</v>
      </c>
      <c r="R32" s="7">
        <f t="shared" si="2"/>
        <v>674.76757894736841</v>
      </c>
      <c r="S32" s="10">
        <f>IFERROR(((R32-P32)/R32),0)</f>
        <v>0</v>
      </c>
      <c r="T32" s="7">
        <f>IF(C32="Mediana Complejidad",M32,0)</f>
        <v>0</v>
      </c>
      <c r="U32" s="8">
        <v>0</v>
      </c>
      <c r="V32" s="7">
        <f>(T32)+(T32*U32)</f>
        <v>0</v>
      </c>
      <c r="W32" s="8">
        <f>IFERROR(((V32-T32)/V32),0)</f>
        <v>0</v>
      </c>
      <c r="X32" s="7">
        <f>IF(C32="Baja Complejidad",M32,0)</f>
        <v>0</v>
      </c>
      <c r="Y32" s="8">
        <v>0</v>
      </c>
      <c r="Z32" s="7">
        <f>(X32)+(X32*Y32)</f>
        <v>0</v>
      </c>
      <c r="AA32" s="8">
        <f>IFERROR(((Z32-X32)/Z32),0)</f>
        <v>0</v>
      </c>
      <c r="AB32" s="8">
        <v>0.1</v>
      </c>
    </row>
    <row r="33" spans="1:28" x14ac:dyDescent="0.25">
      <c r="A33">
        <v>2026</v>
      </c>
      <c r="B33" t="s">
        <v>51</v>
      </c>
      <c r="C33" t="s">
        <v>29</v>
      </c>
      <c r="D33" t="s">
        <v>30</v>
      </c>
      <c r="E33" t="s">
        <v>95</v>
      </c>
      <c r="G33" t="s">
        <v>31</v>
      </c>
      <c r="H33" t="s">
        <v>31</v>
      </c>
      <c r="I33" t="s">
        <v>83</v>
      </c>
      <c r="J33">
        <v>2</v>
      </c>
      <c r="K33" t="s">
        <v>33</v>
      </c>
      <c r="L33">
        <v>67900</v>
      </c>
      <c r="M33" s="7">
        <v>13580</v>
      </c>
      <c r="O33" s="7">
        <f t="shared" si="0"/>
        <v>13580</v>
      </c>
      <c r="P33" s="7">
        <f t="shared" si="1"/>
        <v>13580</v>
      </c>
      <c r="Q33" s="8">
        <v>0</v>
      </c>
      <c r="R33" s="7">
        <f t="shared" si="2"/>
        <v>13580</v>
      </c>
      <c r="S33" s="10">
        <f>IFERROR(((R33-P33)/R33),0)</f>
        <v>0</v>
      </c>
      <c r="T33" s="7">
        <f>IF(C33="Mediana Complejidad",M33,0)</f>
        <v>0</v>
      </c>
      <c r="U33" s="8">
        <v>0</v>
      </c>
      <c r="V33" s="7">
        <f>(T33)+(T33*U33)</f>
        <v>0</v>
      </c>
      <c r="W33" s="8">
        <f>IFERROR(((V33-T33)/V33),0)</f>
        <v>0</v>
      </c>
      <c r="X33" s="7">
        <f>IF(C33="Baja Complejidad",M33,0)</f>
        <v>0</v>
      </c>
      <c r="Y33" s="8">
        <v>0</v>
      </c>
      <c r="Z33" s="7">
        <f>(X33)+(X33*Y33)</f>
        <v>0</v>
      </c>
      <c r="AA33" s="8">
        <f>IFERROR(((Z33-X33)/Z33),0)</f>
        <v>0</v>
      </c>
      <c r="AB33" s="8">
        <v>0.1</v>
      </c>
    </row>
    <row r="34" spans="1:28" x14ac:dyDescent="0.25">
      <c r="A34">
        <v>2026</v>
      </c>
      <c r="B34" t="s">
        <v>51</v>
      </c>
      <c r="C34" t="s">
        <v>29</v>
      </c>
      <c r="D34" t="s">
        <v>30</v>
      </c>
      <c r="E34" t="s">
        <v>96</v>
      </c>
      <c r="G34" t="s">
        <v>31</v>
      </c>
      <c r="H34" t="s">
        <v>31</v>
      </c>
      <c r="I34" t="s">
        <v>84</v>
      </c>
      <c r="J34">
        <v>2</v>
      </c>
      <c r="K34" t="s">
        <v>33</v>
      </c>
      <c r="L34">
        <v>50300</v>
      </c>
      <c r="M34" s="7">
        <v>10060</v>
      </c>
      <c r="O34" s="7">
        <f t="shared" si="0"/>
        <v>10060</v>
      </c>
      <c r="P34" s="7">
        <f t="shared" si="1"/>
        <v>10060</v>
      </c>
      <c r="Q34" s="8">
        <v>0</v>
      </c>
      <c r="R34" s="7">
        <f t="shared" si="2"/>
        <v>10060</v>
      </c>
      <c r="S34" s="10">
        <f>IFERROR(((R34-P34)/R34),0)</f>
        <v>0</v>
      </c>
      <c r="T34" s="7">
        <f>IF(C34="Mediana Complejidad",M34,0)</f>
        <v>0</v>
      </c>
      <c r="U34" s="8">
        <v>0</v>
      </c>
      <c r="V34" s="7">
        <f>(T34)+(T34*U34)</f>
        <v>0</v>
      </c>
      <c r="W34" s="8">
        <f>IFERROR(((V34-T34)/V34),0)</f>
        <v>0</v>
      </c>
      <c r="X34" s="7">
        <f>IF(C34="Baja Complejidad",M34,0)</f>
        <v>0</v>
      </c>
      <c r="Y34" s="8">
        <v>0</v>
      </c>
      <c r="Z34" s="7">
        <f>(X34)+(X34*Y34)</f>
        <v>0</v>
      </c>
      <c r="AA34" s="8">
        <f>IFERROR(((Z34-X34)/Z34),0)</f>
        <v>0</v>
      </c>
      <c r="AB34" s="8">
        <v>0.1</v>
      </c>
    </row>
    <row r="35" spans="1:28" x14ac:dyDescent="0.25">
      <c r="A35">
        <v>2026</v>
      </c>
      <c r="B35" t="s">
        <v>51</v>
      </c>
      <c r="C35" t="s">
        <v>29</v>
      </c>
      <c r="D35" t="s">
        <v>30</v>
      </c>
      <c r="E35" t="s">
        <v>97</v>
      </c>
      <c r="G35" t="s">
        <v>31</v>
      </c>
      <c r="H35" t="s">
        <v>31</v>
      </c>
      <c r="I35" t="s">
        <v>82</v>
      </c>
      <c r="J35">
        <v>2</v>
      </c>
      <c r="K35" t="s">
        <v>33</v>
      </c>
      <c r="L35">
        <v>43500</v>
      </c>
      <c r="M35" s="7">
        <v>7250</v>
      </c>
      <c r="O35" s="7">
        <f t="shared" si="0"/>
        <v>7250</v>
      </c>
      <c r="P35" s="7">
        <f t="shared" si="1"/>
        <v>7250</v>
      </c>
      <c r="Q35" s="8">
        <v>0</v>
      </c>
      <c r="R35" s="7">
        <f t="shared" si="2"/>
        <v>7250</v>
      </c>
      <c r="S35" s="10">
        <f>IFERROR(((R35-P35)/R35),0)</f>
        <v>0</v>
      </c>
      <c r="T35" s="7">
        <f>IF(C35="Mediana Complejidad",M35,0)</f>
        <v>0</v>
      </c>
      <c r="U35" s="8">
        <v>0</v>
      </c>
      <c r="V35" s="7">
        <f>(T35)+(T35*U35)</f>
        <v>0</v>
      </c>
      <c r="W35" s="8">
        <f>IFERROR(((V35-T35)/V35),0)</f>
        <v>0</v>
      </c>
      <c r="X35" s="7">
        <f>IF(C35="Baja Complejidad",M35,0)</f>
        <v>0</v>
      </c>
      <c r="Y35" s="8">
        <v>0</v>
      </c>
      <c r="Z35" s="7">
        <f>(X35)+(X35*Y35)</f>
        <v>0</v>
      </c>
      <c r="AA35" s="8">
        <f>IFERROR(((Z35-X35)/Z35),0)</f>
        <v>0</v>
      </c>
      <c r="AB35" s="8">
        <v>0.1</v>
      </c>
    </row>
    <row r="36" spans="1:28" x14ac:dyDescent="0.25">
      <c r="A36">
        <v>2026</v>
      </c>
      <c r="B36" t="s">
        <v>51</v>
      </c>
      <c r="C36" t="s">
        <v>29</v>
      </c>
      <c r="D36" t="s">
        <v>30</v>
      </c>
      <c r="F36">
        <v>1800</v>
      </c>
      <c r="G36" t="s">
        <v>42</v>
      </c>
      <c r="H36" t="s">
        <v>42</v>
      </c>
      <c r="I36" t="s">
        <v>62</v>
      </c>
      <c r="J36">
        <v>60</v>
      </c>
      <c r="K36" t="s">
        <v>45</v>
      </c>
      <c r="L36" s="12">
        <v>20894.400000000001</v>
      </c>
      <c r="M36" s="7">
        <f>+L36*J36</f>
        <v>1253664</v>
      </c>
      <c r="O36" s="7">
        <f t="shared" si="0"/>
        <v>1253664</v>
      </c>
      <c r="P36" s="7">
        <f t="shared" si="1"/>
        <v>1253664</v>
      </c>
      <c r="Q36" s="8">
        <v>0</v>
      </c>
      <c r="R36" s="7">
        <f t="shared" si="2"/>
        <v>1253664</v>
      </c>
      <c r="S36" s="10">
        <f>IFERROR(((R36-P36)/R36),0)</f>
        <v>0</v>
      </c>
      <c r="T36" s="7">
        <f>IF(C36="Mediana Complejidad",M36,0)</f>
        <v>0</v>
      </c>
      <c r="U36" s="8">
        <v>0</v>
      </c>
      <c r="V36" s="7">
        <f>(T36)+(T36*U36)</f>
        <v>0</v>
      </c>
      <c r="W36" s="8">
        <f>IFERROR(((V36-T36)/V36),0)</f>
        <v>0</v>
      </c>
      <c r="X36" s="7">
        <f>IF(C36="Baja Complejidad",M36,0)</f>
        <v>0</v>
      </c>
      <c r="Y36" s="8">
        <v>0</v>
      </c>
      <c r="Z36" s="7">
        <f>(X36)+(X36*Y36)</f>
        <v>0</v>
      </c>
      <c r="AA36" s="8">
        <f>IFERROR(((Z36-X36)/Z36),0)</f>
        <v>0</v>
      </c>
      <c r="AB36" s="8">
        <v>0.1</v>
      </c>
    </row>
    <row r="37" spans="1:28" x14ac:dyDescent="0.25">
      <c r="A37">
        <v>2026</v>
      </c>
      <c r="B37" t="s">
        <v>51</v>
      </c>
      <c r="C37" t="s">
        <v>29</v>
      </c>
      <c r="D37" t="s">
        <v>30</v>
      </c>
      <c r="F37">
        <v>900</v>
      </c>
      <c r="G37" t="s">
        <v>42</v>
      </c>
      <c r="H37" t="s">
        <v>42</v>
      </c>
      <c r="I37" t="s">
        <v>59</v>
      </c>
      <c r="J37">
        <v>60</v>
      </c>
      <c r="K37" t="s">
        <v>45</v>
      </c>
      <c r="L37" s="12">
        <v>6048.3</v>
      </c>
      <c r="M37" s="7">
        <f>+L37*J37</f>
        <v>362898</v>
      </c>
      <c r="O37" s="7">
        <f t="shared" si="0"/>
        <v>362898</v>
      </c>
      <c r="P37" s="7">
        <f t="shared" si="1"/>
        <v>362898</v>
      </c>
      <c r="Q37" s="8">
        <v>0</v>
      </c>
      <c r="R37" s="7">
        <f t="shared" si="2"/>
        <v>362898</v>
      </c>
      <c r="S37" s="10">
        <f>IFERROR(((R37-P37)/R37),0)</f>
        <v>0</v>
      </c>
      <c r="T37" s="7">
        <f>IF(C37="Mediana Complejidad",M37,0)</f>
        <v>0</v>
      </c>
      <c r="U37" s="8">
        <v>0</v>
      </c>
      <c r="V37" s="7">
        <f>(T37)+(T37*U37)</f>
        <v>0</v>
      </c>
      <c r="W37" s="8">
        <f>IFERROR(((V37-T37)/V37),0)</f>
        <v>0</v>
      </c>
      <c r="X37" s="7">
        <f>IF(C37="Baja Complejidad",M37,0)</f>
        <v>0</v>
      </c>
      <c r="Y37" s="8">
        <v>0</v>
      </c>
      <c r="Z37" s="7">
        <f>(X37)+(X37*Y37)</f>
        <v>0</v>
      </c>
      <c r="AA37" s="8">
        <f>IFERROR(((Z37-X37)/Z37),0)</f>
        <v>0</v>
      </c>
      <c r="AB37" s="8">
        <v>0.1</v>
      </c>
    </row>
    <row r="38" spans="1:28" x14ac:dyDescent="0.25">
      <c r="A38">
        <v>2026</v>
      </c>
      <c r="B38" t="s">
        <v>51</v>
      </c>
      <c r="C38" t="s">
        <v>43</v>
      </c>
      <c r="D38" t="s">
        <v>43</v>
      </c>
      <c r="G38" t="s">
        <v>43</v>
      </c>
      <c r="H38" t="s">
        <v>43</v>
      </c>
      <c r="I38" t="s">
        <v>44</v>
      </c>
      <c r="J38">
        <v>10</v>
      </c>
      <c r="K38" t="s">
        <v>45</v>
      </c>
      <c r="L38">
        <v>3000</v>
      </c>
      <c r="M38" s="7">
        <v>30000</v>
      </c>
      <c r="O38" s="7">
        <f t="shared" si="0"/>
        <v>30000</v>
      </c>
      <c r="P38" s="7">
        <f t="shared" si="1"/>
        <v>0</v>
      </c>
      <c r="Q38" s="8">
        <v>0</v>
      </c>
      <c r="R38" s="7">
        <f t="shared" si="2"/>
        <v>30000</v>
      </c>
      <c r="S38" s="10">
        <f>IFERROR(((R38-P38)/R38),0)</f>
        <v>1</v>
      </c>
      <c r="T38" s="7">
        <f>IF(C38="Mediana Complejidad",M38,0)</f>
        <v>0</v>
      </c>
      <c r="U38" s="8">
        <v>0</v>
      </c>
      <c r="V38" s="7">
        <f>(T38)+(T38*U38)</f>
        <v>0</v>
      </c>
      <c r="W38" s="8">
        <f>IFERROR(((V38-T38)/V38),0)</f>
        <v>0</v>
      </c>
      <c r="X38" s="7">
        <f>IF(C38="Baja Complejidad",M38,0)</f>
        <v>0</v>
      </c>
      <c r="Y38" s="8">
        <v>0</v>
      </c>
      <c r="Z38" s="7">
        <f>(X38)+(X38*Y38)</f>
        <v>0</v>
      </c>
      <c r="AA38" s="8">
        <f>IFERROR(((Z38-X38)/Z38),0)</f>
        <v>0</v>
      </c>
      <c r="AB38" s="8">
        <v>0.1</v>
      </c>
    </row>
    <row r="39" spans="1:28" x14ac:dyDescent="0.25">
      <c r="A39">
        <v>2026</v>
      </c>
      <c r="B39" t="s">
        <v>51</v>
      </c>
      <c r="C39" t="s">
        <v>43</v>
      </c>
      <c r="D39" t="s">
        <v>43</v>
      </c>
      <c r="G39" t="s">
        <v>43</v>
      </c>
      <c r="H39" t="s">
        <v>43</v>
      </c>
      <c r="I39" t="s">
        <v>46</v>
      </c>
      <c r="J39">
        <v>1</v>
      </c>
      <c r="K39" t="s">
        <v>33</v>
      </c>
      <c r="L39">
        <v>2000000</v>
      </c>
      <c r="M39" s="7">
        <v>2000000</v>
      </c>
      <c r="O39" s="7">
        <f t="shared" si="0"/>
        <v>2000000</v>
      </c>
      <c r="P39" s="7">
        <f t="shared" si="1"/>
        <v>0</v>
      </c>
      <c r="Q39" s="8">
        <v>0</v>
      </c>
      <c r="R39" s="7">
        <f t="shared" si="2"/>
        <v>2000000</v>
      </c>
      <c r="S39" s="10">
        <f>IFERROR(((R39-P39)/R39),0)</f>
        <v>1</v>
      </c>
      <c r="T39" s="7">
        <f t="shared" ref="T39:T40" si="10">IF(C39="Mediana Complejidad",M39,0)</f>
        <v>0</v>
      </c>
      <c r="U39" s="8">
        <v>0</v>
      </c>
      <c r="V39" s="7">
        <f t="shared" ref="V39:V40" si="11">(T39)+(T39*U39)</f>
        <v>0</v>
      </c>
      <c r="W39" s="8">
        <f t="shared" ref="W39:W40" si="12">IFERROR(((V39-T39)/V39),0)</f>
        <v>0</v>
      </c>
      <c r="X39" s="7">
        <f t="shared" ref="X39:X40" si="13">IF(C39="Baja Complejidad",M39,0)</f>
        <v>0</v>
      </c>
      <c r="Y39" s="8">
        <v>0</v>
      </c>
      <c r="Z39" s="7">
        <f t="shared" ref="Z39:Z40" si="14">(X39)+(X39*Y39)</f>
        <v>0</v>
      </c>
      <c r="AA39" s="8">
        <f t="shared" ref="AA39:AA40" si="15">IFERROR(((Z39-X39)/Z39),0)</f>
        <v>0</v>
      </c>
      <c r="AB39" s="8">
        <v>0.1</v>
      </c>
    </row>
    <row r="40" spans="1:28" x14ac:dyDescent="0.25">
      <c r="A40">
        <v>2026</v>
      </c>
      <c r="B40" t="s">
        <v>51</v>
      </c>
      <c r="C40" t="s">
        <v>43</v>
      </c>
      <c r="D40" t="s">
        <v>43</v>
      </c>
      <c r="G40" t="s">
        <v>43</v>
      </c>
      <c r="H40" t="s">
        <v>43</v>
      </c>
      <c r="I40" t="s">
        <v>47</v>
      </c>
      <c r="J40">
        <v>1</v>
      </c>
      <c r="K40" t="s">
        <v>33</v>
      </c>
      <c r="L40">
        <v>200000</v>
      </c>
      <c r="M40" s="7">
        <v>200000</v>
      </c>
      <c r="O40" s="7">
        <f t="shared" si="0"/>
        <v>200000</v>
      </c>
      <c r="P40" s="7">
        <f t="shared" si="1"/>
        <v>0</v>
      </c>
      <c r="Q40" s="8">
        <v>0</v>
      </c>
      <c r="R40" s="7">
        <f t="shared" si="2"/>
        <v>200000</v>
      </c>
      <c r="S40" s="10">
        <f>IFERROR(((R40-P40)/R40),0)</f>
        <v>1</v>
      </c>
      <c r="T40" s="7">
        <f t="shared" si="10"/>
        <v>0</v>
      </c>
      <c r="U40" s="8">
        <v>0</v>
      </c>
      <c r="V40" s="7">
        <f t="shared" si="11"/>
        <v>0</v>
      </c>
      <c r="W40" s="8">
        <f t="shared" si="12"/>
        <v>0</v>
      </c>
      <c r="X40" s="7">
        <f t="shared" si="13"/>
        <v>0</v>
      </c>
      <c r="Y40" s="8">
        <v>0</v>
      </c>
      <c r="Z40" s="7">
        <f t="shared" si="14"/>
        <v>0</v>
      </c>
      <c r="AA40" s="8">
        <f t="shared" si="15"/>
        <v>0</v>
      </c>
      <c r="AB40" s="8">
        <v>0.1</v>
      </c>
    </row>
    <row r="41" spans="1:28" x14ac:dyDescent="0.25">
      <c r="A41">
        <v>2026</v>
      </c>
      <c r="B41" t="s">
        <v>51</v>
      </c>
      <c r="C41" t="s">
        <v>29</v>
      </c>
      <c r="D41" t="s">
        <v>30</v>
      </c>
      <c r="F41">
        <v>600</v>
      </c>
      <c r="G41" t="s">
        <v>42</v>
      </c>
      <c r="H41" t="s">
        <v>42</v>
      </c>
      <c r="I41" t="s">
        <v>48</v>
      </c>
      <c r="J41">
        <v>60</v>
      </c>
      <c r="K41" t="s">
        <v>45</v>
      </c>
      <c r="L41">
        <v>35000</v>
      </c>
      <c r="M41" s="7">
        <f t="shared" ref="M41:M43" si="16">+L41*J41</f>
        <v>2100000</v>
      </c>
      <c r="O41" s="7">
        <f t="shared" si="0"/>
        <v>2100000</v>
      </c>
      <c r="P41" s="7">
        <f t="shared" si="1"/>
        <v>2100000</v>
      </c>
      <c r="Q41" s="8">
        <v>0</v>
      </c>
      <c r="R41" s="7">
        <f t="shared" si="2"/>
        <v>2100000</v>
      </c>
      <c r="S41" s="10">
        <f>IFERROR(((R41-P41)/R41),0)</f>
        <v>0</v>
      </c>
      <c r="T41" s="7">
        <f>IF(C41="Mediana Complejidad",M41,0)</f>
        <v>0</v>
      </c>
      <c r="U41" s="8">
        <v>0</v>
      </c>
      <c r="V41" s="7">
        <f>(T41)+(T41*U41)</f>
        <v>0</v>
      </c>
      <c r="W41" s="8">
        <f>IFERROR(((V41-T41)/V41),0)</f>
        <v>0</v>
      </c>
      <c r="X41" s="7">
        <f>IF(C41="Baja Complejidad",M41,0)</f>
        <v>0</v>
      </c>
      <c r="Y41" s="8">
        <v>0</v>
      </c>
      <c r="Z41" s="7">
        <f>(X41)+(X41*Y41)</f>
        <v>0</v>
      </c>
      <c r="AA41" s="8">
        <f>IFERROR(((Z41-X41)/Z41),0)</f>
        <v>0</v>
      </c>
      <c r="AB41" s="8">
        <v>0.1</v>
      </c>
    </row>
    <row r="42" spans="1:28" x14ac:dyDescent="0.25">
      <c r="A42">
        <v>2026</v>
      </c>
      <c r="B42" t="s">
        <v>51</v>
      </c>
      <c r="C42" t="s">
        <v>29</v>
      </c>
      <c r="D42" t="s">
        <v>30</v>
      </c>
      <c r="F42">
        <v>600</v>
      </c>
      <c r="G42" t="s">
        <v>42</v>
      </c>
      <c r="H42" t="s">
        <v>42</v>
      </c>
      <c r="I42" t="s">
        <v>49</v>
      </c>
      <c r="J42">
        <v>60</v>
      </c>
      <c r="K42" t="s">
        <v>45</v>
      </c>
      <c r="L42">
        <v>25000</v>
      </c>
      <c r="M42" s="7">
        <f t="shared" si="16"/>
        <v>1500000</v>
      </c>
      <c r="O42" s="7">
        <f t="shared" si="0"/>
        <v>1500000</v>
      </c>
      <c r="P42" s="7">
        <f t="shared" si="1"/>
        <v>1500000</v>
      </c>
      <c r="Q42" s="8">
        <v>0</v>
      </c>
      <c r="R42" s="7">
        <f t="shared" si="2"/>
        <v>1500000</v>
      </c>
      <c r="S42" s="10">
        <f>IFERROR(((R42-P42)/R42),0)</f>
        <v>0</v>
      </c>
      <c r="T42" s="7">
        <f>IF(C42="Mediana Complejidad",M42,0)</f>
        <v>0</v>
      </c>
      <c r="U42" s="8">
        <v>0</v>
      </c>
      <c r="V42" s="7">
        <f>(T42)+(T42*U42)</f>
        <v>0</v>
      </c>
      <c r="W42" s="8">
        <f>IFERROR(((V42-T42)/V42),0)</f>
        <v>0</v>
      </c>
      <c r="X42" s="7">
        <f>IF(C42="Baja Complejidad",M42,0)</f>
        <v>0</v>
      </c>
      <c r="Y42" s="8">
        <v>0</v>
      </c>
      <c r="Z42" s="7">
        <f>(X42)+(X42*Y42)</f>
        <v>0</v>
      </c>
      <c r="AA42" s="8">
        <f>IFERROR(((Z42-X42)/Z42),0)</f>
        <v>0</v>
      </c>
      <c r="AB42" s="8">
        <v>0.1</v>
      </c>
    </row>
    <row r="43" spans="1:28" x14ac:dyDescent="0.25">
      <c r="A43">
        <v>2026</v>
      </c>
      <c r="B43" t="s">
        <v>51</v>
      </c>
      <c r="C43" t="s">
        <v>29</v>
      </c>
      <c r="D43" t="s">
        <v>30</v>
      </c>
      <c r="F43">
        <v>600</v>
      </c>
      <c r="G43" t="s">
        <v>42</v>
      </c>
      <c r="H43" t="s">
        <v>42</v>
      </c>
      <c r="I43" t="s">
        <v>50</v>
      </c>
      <c r="J43">
        <v>60</v>
      </c>
      <c r="K43" t="s">
        <v>45</v>
      </c>
      <c r="L43">
        <v>20000</v>
      </c>
      <c r="M43" s="7">
        <f t="shared" si="16"/>
        <v>1200000</v>
      </c>
      <c r="O43" s="7">
        <f t="shared" si="0"/>
        <v>1200000</v>
      </c>
      <c r="P43" s="7">
        <f t="shared" si="1"/>
        <v>1200000</v>
      </c>
      <c r="Q43" s="8">
        <v>0</v>
      </c>
      <c r="R43" s="7">
        <f t="shared" si="2"/>
        <v>1200000</v>
      </c>
      <c r="S43" s="10">
        <f>IFERROR(((R43-P43)/R43),0)</f>
        <v>0</v>
      </c>
      <c r="T43" s="7">
        <f>IF(C43="Mediana Complejidad",M43,0)</f>
        <v>0</v>
      </c>
      <c r="U43" s="8">
        <v>0</v>
      </c>
      <c r="V43" s="7">
        <f>(T43)+(T43*U43)</f>
        <v>0</v>
      </c>
      <c r="W43" s="8">
        <f>IFERROR(((V43-T43)/V43),0)</f>
        <v>0</v>
      </c>
      <c r="X43" s="7">
        <f>IF(C43="Baja Complejidad",M43,0)</f>
        <v>0</v>
      </c>
      <c r="Y43" s="8">
        <v>0</v>
      </c>
      <c r="Z43" s="7">
        <f>(X43)+(X43*Y43)</f>
        <v>0</v>
      </c>
      <c r="AA43" s="8">
        <f>IFERROR(((Z43-X43)/Z43),0)</f>
        <v>0</v>
      </c>
      <c r="AB43" s="8">
        <v>0.1</v>
      </c>
    </row>
    <row r="44" spans="1:28" x14ac:dyDescent="0.25">
      <c r="A44">
        <v>2026</v>
      </c>
      <c r="B44" t="s">
        <v>52</v>
      </c>
      <c r="C44" t="s">
        <v>29</v>
      </c>
      <c r="D44" t="s">
        <v>30</v>
      </c>
      <c r="E44" t="s">
        <v>85</v>
      </c>
      <c r="G44" t="s">
        <v>31</v>
      </c>
      <c r="H44" t="s">
        <v>31</v>
      </c>
      <c r="I44" t="s">
        <v>32</v>
      </c>
      <c r="J44">
        <v>4</v>
      </c>
      <c r="K44" t="s">
        <v>33</v>
      </c>
      <c r="L44">
        <v>266</v>
      </c>
      <c r="M44" s="7">
        <v>1064</v>
      </c>
      <c r="O44" s="7">
        <f t="shared" si="0"/>
        <v>1064</v>
      </c>
      <c r="P44" s="7">
        <f t="shared" si="1"/>
        <v>1064</v>
      </c>
      <c r="Q44" s="8">
        <v>0</v>
      </c>
      <c r="R44" s="7">
        <f t="shared" si="2"/>
        <v>1064</v>
      </c>
      <c r="S44" s="10">
        <f>IFERROR(((R44-P44)/R44),0)</f>
        <v>0</v>
      </c>
      <c r="T44" s="7">
        <f>IF(C44="Mediana Complejidad",M44,0)</f>
        <v>0</v>
      </c>
      <c r="U44" s="8">
        <v>0</v>
      </c>
      <c r="V44" s="7">
        <f>(T44)+(T44*U44)</f>
        <v>0</v>
      </c>
      <c r="W44" s="8">
        <f>IFERROR(((V44-T44)/V44),0)</f>
        <v>0</v>
      </c>
      <c r="X44" s="7">
        <f>IF(C44="Baja Complejidad",M44,0)</f>
        <v>0</v>
      </c>
      <c r="Y44" s="8">
        <v>0</v>
      </c>
      <c r="Z44" s="7">
        <f>(X44)+(X44*Y44)</f>
        <v>0</v>
      </c>
      <c r="AA44" s="8">
        <f>IFERROR(((Z44-X44)/Z44),0)</f>
        <v>0</v>
      </c>
      <c r="AB44" s="8">
        <v>0.1</v>
      </c>
    </row>
    <row r="45" spans="1:28" x14ac:dyDescent="0.25">
      <c r="A45">
        <v>2026</v>
      </c>
      <c r="B45" t="s">
        <v>52</v>
      </c>
      <c r="C45" t="s">
        <v>29</v>
      </c>
      <c r="D45" t="s">
        <v>30</v>
      </c>
      <c r="E45" t="s">
        <v>86</v>
      </c>
      <c r="G45" t="s">
        <v>31</v>
      </c>
      <c r="H45" t="s">
        <v>31</v>
      </c>
      <c r="I45" t="s">
        <v>34</v>
      </c>
      <c r="J45">
        <v>2</v>
      </c>
      <c r="K45" t="s">
        <v>33</v>
      </c>
      <c r="L45">
        <v>1086.232</v>
      </c>
      <c r="M45" s="7">
        <v>2172.4639999999999</v>
      </c>
      <c r="O45" s="7">
        <f t="shared" si="0"/>
        <v>2172.4639999999999</v>
      </c>
      <c r="P45" s="7">
        <f t="shared" si="1"/>
        <v>2172.4639999999999</v>
      </c>
      <c r="Q45" s="8">
        <v>0</v>
      </c>
      <c r="R45" s="7">
        <f t="shared" si="2"/>
        <v>2172.4639999999999</v>
      </c>
      <c r="S45" s="10">
        <f>IFERROR(((R45-P45)/R45),0)</f>
        <v>0</v>
      </c>
      <c r="T45" s="7">
        <f>IF(C45="Mediana Complejidad",M45,0)</f>
        <v>0</v>
      </c>
      <c r="U45" s="8">
        <v>0</v>
      </c>
      <c r="V45" s="7">
        <f>(T45)+(T45*U45)</f>
        <v>0</v>
      </c>
      <c r="W45" s="8">
        <f>IFERROR(((V45-T45)/V45),0)</f>
        <v>0</v>
      </c>
      <c r="X45" s="7">
        <f>IF(C45="Baja Complejidad",M45,0)</f>
        <v>0</v>
      </c>
      <c r="Y45" s="8">
        <v>0</v>
      </c>
      <c r="Z45" s="7">
        <f>(X45)+(X45*Y45)</f>
        <v>0</v>
      </c>
      <c r="AA45" s="8">
        <f>IFERROR(((Z45-X45)/Z45),0)</f>
        <v>0</v>
      </c>
      <c r="AB45" s="8">
        <v>0.1</v>
      </c>
    </row>
    <row r="46" spans="1:28" x14ac:dyDescent="0.25">
      <c r="A46">
        <v>2026</v>
      </c>
      <c r="B46" t="s">
        <v>52</v>
      </c>
      <c r="C46" t="s">
        <v>29</v>
      </c>
      <c r="D46" t="s">
        <v>30</v>
      </c>
      <c r="E46" t="s">
        <v>87</v>
      </c>
      <c r="G46" t="s">
        <v>31</v>
      </c>
      <c r="H46" t="s">
        <v>31</v>
      </c>
      <c r="I46" t="s">
        <v>35</v>
      </c>
      <c r="J46">
        <v>10</v>
      </c>
      <c r="K46" t="s">
        <v>33</v>
      </c>
      <c r="L46">
        <v>370</v>
      </c>
      <c r="M46" s="7">
        <v>3700</v>
      </c>
      <c r="O46" s="7">
        <f t="shared" si="0"/>
        <v>3700</v>
      </c>
      <c r="P46" s="7">
        <f t="shared" si="1"/>
        <v>3700</v>
      </c>
      <c r="Q46" s="8">
        <v>0</v>
      </c>
      <c r="R46" s="7">
        <f t="shared" si="2"/>
        <v>3700</v>
      </c>
      <c r="S46" s="10">
        <f>IFERROR(((R46-P46)/R46),0)</f>
        <v>0</v>
      </c>
      <c r="T46" s="7">
        <f>IF(C46="Mediana Complejidad",M46,0)</f>
        <v>0</v>
      </c>
      <c r="U46" s="8">
        <v>0</v>
      </c>
      <c r="V46" s="7">
        <f>(T46)+(T46*U46)</f>
        <v>0</v>
      </c>
      <c r="W46" s="8">
        <f>IFERROR(((V46-T46)/V46),0)</f>
        <v>0</v>
      </c>
      <c r="X46" s="7">
        <f>IF(C46="Baja Complejidad",M46,0)</f>
        <v>0</v>
      </c>
      <c r="Y46" s="8">
        <v>0</v>
      </c>
      <c r="Z46" s="7">
        <f>(X46)+(X46*Y46)</f>
        <v>0</v>
      </c>
      <c r="AA46" s="8">
        <f>IFERROR(((Z46-X46)/Z46),0)</f>
        <v>0</v>
      </c>
      <c r="AB46" s="8">
        <v>0.1</v>
      </c>
    </row>
    <row r="47" spans="1:28" x14ac:dyDescent="0.25">
      <c r="A47">
        <v>2026</v>
      </c>
      <c r="B47" t="s">
        <v>52</v>
      </c>
      <c r="C47" t="s">
        <v>29</v>
      </c>
      <c r="D47" t="s">
        <v>30</v>
      </c>
      <c r="E47" t="s">
        <v>88</v>
      </c>
      <c r="G47" t="s">
        <v>31</v>
      </c>
      <c r="H47" t="s">
        <v>31</v>
      </c>
      <c r="I47" t="s">
        <v>36</v>
      </c>
      <c r="J47">
        <v>2</v>
      </c>
      <c r="K47" t="s">
        <v>33</v>
      </c>
      <c r="L47">
        <v>2643</v>
      </c>
      <c r="M47" s="7">
        <v>5286</v>
      </c>
      <c r="O47" s="7">
        <f t="shared" si="0"/>
        <v>5286</v>
      </c>
      <c r="P47" s="7">
        <f t="shared" si="1"/>
        <v>5286</v>
      </c>
      <c r="Q47" s="8">
        <v>0</v>
      </c>
      <c r="R47" s="7">
        <f t="shared" si="2"/>
        <v>5286</v>
      </c>
      <c r="S47" s="10">
        <f>IFERROR(((R47-P47)/R47),0)</f>
        <v>0</v>
      </c>
      <c r="T47" s="7">
        <f>IF(C47="Mediana Complejidad",M47,0)</f>
        <v>0</v>
      </c>
      <c r="U47" s="8">
        <v>0</v>
      </c>
      <c r="V47" s="7">
        <f>(T47)+(T47*U47)</f>
        <v>0</v>
      </c>
      <c r="W47" s="8">
        <f>IFERROR(((V47-T47)/V47),0)</f>
        <v>0</v>
      </c>
      <c r="X47" s="7">
        <f>IF(C47="Baja Complejidad",M47,0)</f>
        <v>0</v>
      </c>
      <c r="Y47" s="8">
        <v>0</v>
      </c>
      <c r="Z47" s="7">
        <f>(X47)+(X47*Y47)</f>
        <v>0</v>
      </c>
      <c r="AA47" s="8">
        <f>IFERROR(((Z47-X47)/Z47),0)</f>
        <v>0</v>
      </c>
      <c r="AB47" s="8">
        <v>0.1</v>
      </c>
    </row>
    <row r="48" spans="1:28" x14ac:dyDescent="0.25">
      <c r="A48">
        <v>2026</v>
      </c>
      <c r="B48" t="s">
        <v>52</v>
      </c>
      <c r="C48" t="s">
        <v>29</v>
      </c>
      <c r="D48" t="s">
        <v>30</v>
      </c>
      <c r="E48" t="s">
        <v>89</v>
      </c>
      <c r="G48" t="s">
        <v>31</v>
      </c>
      <c r="H48" t="s">
        <v>31</v>
      </c>
      <c r="I48" t="s">
        <v>37</v>
      </c>
      <c r="J48">
        <v>5</v>
      </c>
      <c r="K48" t="s">
        <v>33</v>
      </c>
      <c r="L48">
        <v>135.66</v>
      </c>
      <c r="M48" s="7">
        <v>678.3</v>
      </c>
      <c r="O48" s="7">
        <f t="shared" si="0"/>
        <v>678.3</v>
      </c>
      <c r="P48" s="7">
        <f t="shared" si="1"/>
        <v>678.3</v>
      </c>
      <c r="Q48" s="8">
        <v>0</v>
      </c>
      <c r="R48" s="7">
        <f t="shared" si="2"/>
        <v>678.3</v>
      </c>
      <c r="S48" s="10">
        <f>IFERROR(((R48-P48)/R48),0)</f>
        <v>0</v>
      </c>
      <c r="T48" s="7">
        <f>IF(C48="Mediana Complejidad",M48,0)</f>
        <v>0</v>
      </c>
      <c r="U48" s="8">
        <v>0</v>
      </c>
      <c r="V48" s="7">
        <f>(T48)+(T48*U48)</f>
        <v>0</v>
      </c>
      <c r="W48" s="8">
        <f>IFERROR(((V48-T48)/V48),0)</f>
        <v>0</v>
      </c>
      <c r="X48" s="7">
        <f>IF(C48="Baja Complejidad",M48,0)</f>
        <v>0</v>
      </c>
      <c r="Y48" s="8">
        <v>0</v>
      </c>
      <c r="Z48" s="7">
        <f>(X48)+(X48*Y48)</f>
        <v>0</v>
      </c>
      <c r="AA48" s="8">
        <f>IFERROR(((Z48-X48)/Z48),0)</f>
        <v>0</v>
      </c>
      <c r="AB48" s="8">
        <v>0.1</v>
      </c>
    </row>
    <row r="49" spans="1:28" x14ac:dyDescent="0.25">
      <c r="A49">
        <v>2026</v>
      </c>
      <c r="B49" t="s">
        <v>52</v>
      </c>
      <c r="C49" t="s">
        <v>29</v>
      </c>
      <c r="D49" t="s">
        <v>30</v>
      </c>
      <c r="E49" t="s">
        <v>90</v>
      </c>
      <c r="G49" t="s">
        <v>31</v>
      </c>
      <c r="H49" t="s">
        <v>31</v>
      </c>
      <c r="I49" t="s">
        <v>38</v>
      </c>
      <c r="J49">
        <v>2</v>
      </c>
      <c r="K49" t="s">
        <v>33</v>
      </c>
      <c r="L49">
        <v>3808</v>
      </c>
      <c r="M49" s="7">
        <v>7616</v>
      </c>
      <c r="O49" s="7">
        <f t="shared" si="0"/>
        <v>7616</v>
      </c>
      <c r="P49" s="7">
        <f t="shared" si="1"/>
        <v>7616</v>
      </c>
      <c r="Q49" s="8">
        <v>0</v>
      </c>
      <c r="R49" s="7">
        <f t="shared" si="2"/>
        <v>7616</v>
      </c>
      <c r="S49" s="10">
        <f>IFERROR(((R49-P49)/R49),0)</f>
        <v>0</v>
      </c>
      <c r="T49" s="7">
        <f>IF(C49="Mediana Complejidad",M49,0)</f>
        <v>0</v>
      </c>
      <c r="U49" s="8">
        <v>0</v>
      </c>
      <c r="V49" s="7">
        <f>(T49)+(T49*U49)</f>
        <v>0</v>
      </c>
      <c r="W49" s="8">
        <f>IFERROR(((V49-T49)/V49),0)</f>
        <v>0</v>
      </c>
      <c r="X49" s="7">
        <f>IF(C49="Baja Complejidad",M49,0)</f>
        <v>0</v>
      </c>
      <c r="Y49" s="8">
        <v>0</v>
      </c>
      <c r="Z49" s="7">
        <f>(X49)+(X49*Y49)</f>
        <v>0</v>
      </c>
      <c r="AA49" s="8">
        <f>IFERROR(((Z49-X49)/Z49),0)</f>
        <v>0</v>
      </c>
      <c r="AB49" s="8">
        <v>0.1</v>
      </c>
    </row>
    <row r="50" spans="1:28" x14ac:dyDescent="0.25">
      <c r="A50">
        <v>2026</v>
      </c>
      <c r="B50" t="s">
        <v>52</v>
      </c>
      <c r="C50" t="s">
        <v>29</v>
      </c>
      <c r="D50" t="s">
        <v>30</v>
      </c>
      <c r="E50" t="s">
        <v>91</v>
      </c>
      <c r="G50" t="s">
        <v>31</v>
      </c>
      <c r="H50" t="s">
        <v>31</v>
      </c>
      <c r="I50" t="s">
        <v>39</v>
      </c>
      <c r="J50">
        <v>2</v>
      </c>
      <c r="K50" t="s">
        <v>33</v>
      </c>
      <c r="L50">
        <v>111.86</v>
      </c>
      <c r="M50" s="7">
        <v>223.72</v>
      </c>
      <c r="O50" s="7">
        <f t="shared" si="0"/>
        <v>223.72</v>
      </c>
      <c r="P50" s="7">
        <f t="shared" si="1"/>
        <v>223.72</v>
      </c>
      <c r="Q50" s="8">
        <v>0</v>
      </c>
      <c r="R50" s="7">
        <f t="shared" si="2"/>
        <v>223.72</v>
      </c>
      <c r="S50" s="10">
        <f>IFERROR(((R50-P50)/R50),0)</f>
        <v>0</v>
      </c>
      <c r="T50" s="7">
        <f>IF(C50="Mediana Complejidad",M50,0)</f>
        <v>0</v>
      </c>
      <c r="U50" s="8">
        <v>0</v>
      </c>
      <c r="V50" s="7">
        <f>(T50)+(T50*U50)</f>
        <v>0</v>
      </c>
      <c r="W50" s="8">
        <f>IFERROR(((V50-T50)/V50),0)</f>
        <v>0</v>
      </c>
      <c r="X50" s="7">
        <f>IF(C50="Baja Complejidad",M50,0)</f>
        <v>0</v>
      </c>
      <c r="Y50" s="8">
        <v>0</v>
      </c>
      <c r="Z50" s="7">
        <f>(X50)+(X50*Y50)</f>
        <v>0</v>
      </c>
      <c r="AA50" s="8">
        <f>IFERROR(((Z50-X50)/Z50),0)</f>
        <v>0</v>
      </c>
      <c r="AB50" s="8">
        <v>0.1</v>
      </c>
    </row>
    <row r="51" spans="1:28" x14ac:dyDescent="0.25">
      <c r="A51">
        <v>2026</v>
      </c>
      <c r="B51" t="s">
        <v>52</v>
      </c>
      <c r="C51" t="s">
        <v>29</v>
      </c>
      <c r="D51" t="s">
        <v>30</v>
      </c>
      <c r="E51" t="s">
        <v>92</v>
      </c>
      <c r="G51" t="s">
        <v>31</v>
      </c>
      <c r="H51" t="s">
        <v>31</v>
      </c>
      <c r="I51" t="s">
        <v>64</v>
      </c>
      <c r="J51">
        <v>10</v>
      </c>
      <c r="K51" t="s">
        <v>33</v>
      </c>
      <c r="L51">
        <v>80300</v>
      </c>
      <c r="M51" s="7">
        <v>3212</v>
      </c>
      <c r="O51" s="7">
        <f t="shared" si="0"/>
        <v>3212</v>
      </c>
      <c r="P51" s="7">
        <f t="shared" si="1"/>
        <v>3212</v>
      </c>
      <c r="Q51" s="8">
        <v>0</v>
      </c>
      <c r="R51" s="7">
        <f t="shared" si="2"/>
        <v>3212</v>
      </c>
      <c r="S51" s="10">
        <f>IFERROR(((R51-P51)/R51),0)</f>
        <v>0</v>
      </c>
      <c r="T51" s="7">
        <f>IF(C51="Mediana Complejidad",M51,0)</f>
        <v>0</v>
      </c>
      <c r="U51" s="8">
        <v>0</v>
      </c>
      <c r="V51" s="7">
        <f>(T51)+(T51*U51)</f>
        <v>0</v>
      </c>
      <c r="W51" s="8">
        <f>IFERROR(((V51-T51)/V51),0)</f>
        <v>0</v>
      </c>
      <c r="X51" s="7">
        <f>IF(C51="Baja Complejidad",M51,0)</f>
        <v>0</v>
      </c>
      <c r="Y51" s="8">
        <v>0</v>
      </c>
      <c r="Z51" s="7">
        <f>(X51)+(X51*Y51)</f>
        <v>0</v>
      </c>
      <c r="AA51" s="8">
        <f>IFERROR(((Z51-X51)/Z51),0)</f>
        <v>0</v>
      </c>
      <c r="AB51" s="8">
        <v>0.1</v>
      </c>
    </row>
    <row r="52" spans="1:28" x14ac:dyDescent="0.25">
      <c r="A52">
        <v>2026</v>
      </c>
      <c r="B52" t="s">
        <v>52</v>
      </c>
      <c r="C52" t="s">
        <v>29</v>
      </c>
      <c r="D52" t="s">
        <v>30</v>
      </c>
      <c r="E52" t="s">
        <v>93</v>
      </c>
      <c r="G52" t="s">
        <v>31</v>
      </c>
      <c r="H52" t="s">
        <v>31</v>
      </c>
      <c r="I52" t="s">
        <v>40</v>
      </c>
      <c r="J52">
        <v>5</v>
      </c>
      <c r="K52" t="s">
        <v>33</v>
      </c>
      <c r="L52">
        <v>17888.080000000002</v>
      </c>
      <c r="M52" s="7">
        <v>89440.400000000009</v>
      </c>
      <c r="O52" s="7">
        <f t="shared" si="0"/>
        <v>89440.400000000009</v>
      </c>
      <c r="P52" s="7">
        <f t="shared" si="1"/>
        <v>89440.400000000009</v>
      </c>
      <c r="Q52" s="8">
        <v>0</v>
      </c>
      <c r="R52" s="7">
        <f t="shared" si="2"/>
        <v>89440.400000000009</v>
      </c>
      <c r="S52" s="10">
        <f>IFERROR(((R52-P52)/R52),0)</f>
        <v>0</v>
      </c>
      <c r="T52" s="7">
        <f>IF(C52="Mediana Complejidad",M52,0)</f>
        <v>0</v>
      </c>
      <c r="U52" s="8">
        <v>0</v>
      </c>
      <c r="V52" s="7">
        <f>(T52)+(T52*U52)</f>
        <v>0</v>
      </c>
      <c r="W52" s="8">
        <f>IFERROR(((V52-T52)/V52),0)</f>
        <v>0</v>
      </c>
      <c r="X52" s="7">
        <f>IF(C52="Baja Complejidad",M52,0)</f>
        <v>0</v>
      </c>
      <c r="Y52" s="8">
        <v>0</v>
      </c>
      <c r="Z52" s="7">
        <f>(X52)+(X52*Y52)</f>
        <v>0</v>
      </c>
      <c r="AA52" s="8">
        <f>IFERROR(((Z52-X52)/Z52),0)</f>
        <v>0</v>
      </c>
      <c r="AB52" s="8">
        <v>0.1</v>
      </c>
    </row>
    <row r="53" spans="1:28" x14ac:dyDescent="0.25">
      <c r="A53">
        <v>2026</v>
      </c>
      <c r="B53" t="s">
        <v>52</v>
      </c>
      <c r="C53" t="s">
        <v>29</v>
      </c>
      <c r="D53" t="s">
        <v>30</v>
      </c>
      <c r="E53" t="s">
        <v>94</v>
      </c>
      <c r="G53" t="s">
        <v>31</v>
      </c>
      <c r="H53" t="s">
        <v>31</v>
      </c>
      <c r="I53" t="s">
        <v>41</v>
      </c>
      <c r="J53">
        <v>2</v>
      </c>
      <c r="K53" t="s">
        <v>33</v>
      </c>
      <c r="L53">
        <v>337.3837894736842</v>
      </c>
      <c r="M53" s="7">
        <v>674.76757894736841</v>
      </c>
      <c r="O53" s="7">
        <f t="shared" si="0"/>
        <v>674.76757894736841</v>
      </c>
      <c r="P53" s="7">
        <f t="shared" si="1"/>
        <v>674.76757894736841</v>
      </c>
      <c r="Q53" s="8">
        <v>0</v>
      </c>
      <c r="R53" s="7">
        <f t="shared" si="2"/>
        <v>674.76757894736841</v>
      </c>
      <c r="S53" s="10">
        <f>IFERROR(((R53-P53)/R53),0)</f>
        <v>0</v>
      </c>
      <c r="T53" s="7">
        <f>IF(C53="Mediana Complejidad",M53,0)</f>
        <v>0</v>
      </c>
      <c r="U53" s="8">
        <v>0</v>
      </c>
      <c r="V53" s="7">
        <f>(T53)+(T53*U53)</f>
        <v>0</v>
      </c>
      <c r="W53" s="8">
        <f>IFERROR(((V53-T53)/V53),0)</f>
        <v>0</v>
      </c>
      <c r="X53" s="7">
        <f>IF(C53="Baja Complejidad",M53,0)</f>
        <v>0</v>
      </c>
      <c r="Y53" s="8">
        <v>0</v>
      </c>
      <c r="Z53" s="7">
        <f>(X53)+(X53*Y53)</f>
        <v>0</v>
      </c>
      <c r="AA53" s="8">
        <f>IFERROR(((Z53-X53)/Z53),0)</f>
        <v>0</v>
      </c>
      <c r="AB53" s="8">
        <v>0.1</v>
      </c>
    </row>
    <row r="54" spans="1:28" x14ac:dyDescent="0.25">
      <c r="A54">
        <v>2026</v>
      </c>
      <c r="B54" t="s">
        <v>52</v>
      </c>
      <c r="C54" t="s">
        <v>29</v>
      </c>
      <c r="D54" t="s">
        <v>30</v>
      </c>
      <c r="E54" t="s">
        <v>95</v>
      </c>
      <c r="G54" t="s">
        <v>31</v>
      </c>
      <c r="H54" t="s">
        <v>31</v>
      </c>
      <c r="I54" t="s">
        <v>83</v>
      </c>
      <c r="J54">
        <v>2</v>
      </c>
      <c r="K54" t="s">
        <v>33</v>
      </c>
      <c r="L54">
        <v>67900</v>
      </c>
      <c r="M54" s="7">
        <v>13580</v>
      </c>
      <c r="O54" s="7">
        <f t="shared" si="0"/>
        <v>13580</v>
      </c>
      <c r="P54" s="7">
        <f t="shared" si="1"/>
        <v>13580</v>
      </c>
      <c r="Q54" s="8">
        <v>0</v>
      </c>
      <c r="R54" s="7">
        <f t="shared" si="2"/>
        <v>13580</v>
      </c>
      <c r="S54" s="10">
        <f>IFERROR(((R54-P54)/R54),0)</f>
        <v>0</v>
      </c>
      <c r="T54" s="7">
        <f>IF(C54="Mediana Complejidad",M54,0)</f>
        <v>0</v>
      </c>
      <c r="U54" s="8">
        <v>0</v>
      </c>
      <c r="V54" s="7">
        <f>(T54)+(T54*U54)</f>
        <v>0</v>
      </c>
      <c r="W54" s="8">
        <f>IFERROR(((V54-T54)/V54),0)</f>
        <v>0</v>
      </c>
      <c r="X54" s="7">
        <f>IF(C54="Baja Complejidad",M54,0)</f>
        <v>0</v>
      </c>
      <c r="Y54" s="8">
        <v>0</v>
      </c>
      <c r="Z54" s="7">
        <f>(X54)+(X54*Y54)</f>
        <v>0</v>
      </c>
      <c r="AA54" s="8">
        <f>IFERROR(((Z54-X54)/Z54),0)</f>
        <v>0</v>
      </c>
      <c r="AB54" s="8">
        <v>0.1</v>
      </c>
    </row>
    <row r="55" spans="1:28" x14ac:dyDescent="0.25">
      <c r="A55">
        <v>2026</v>
      </c>
      <c r="B55" t="s">
        <v>52</v>
      </c>
      <c r="C55" t="s">
        <v>29</v>
      </c>
      <c r="D55" t="s">
        <v>30</v>
      </c>
      <c r="E55" t="s">
        <v>96</v>
      </c>
      <c r="G55" t="s">
        <v>31</v>
      </c>
      <c r="H55" t="s">
        <v>31</v>
      </c>
      <c r="I55" t="s">
        <v>84</v>
      </c>
      <c r="J55">
        <v>2</v>
      </c>
      <c r="K55" t="s">
        <v>33</v>
      </c>
      <c r="L55">
        <v>50300</v>
      </c>
      <c r="M55" s="7">
        <v>10060</v>
      </c>
      <c r="O55" s="7">
        <f t="shared" si="0"/>
        <v>10060</v>
      </c>
      <c r="P55" s="7">
        <f t="shared" si="1"/>
        <v>10060</v>
      </c>
      <c r="Q55" s="8">
        <v>0</v>
      </c>
      <c r="R55" s="7">
        <f t="shared" si="2"/>
        <v>10060</v>
      </c>
      <c r="S55" s="10">
        <f>IFERROR(((R55-P55)/R55),0)</f>
        <v>0</v>
      </c>
      <c r="T55" s="7">
        <f>IF(C55="Mediana Complejidad",M55,0)</f>
        <v>0</v>
      </c>
      <c r="U55" s="8">
        <v>0</v>
      </c>
      <c r="V55" s="7">
        <f>(T55)+(T55*U55)</f>
        <v>0</v>
      </c>
      <c r="W55" s="8">
        <f>IFERROR(((V55-T55)/V55),0)</f>
        <v>0</v>
      </c>
      <c r="X55" s="7">
        <f>IF(C55="Baja Complejidad",M55,0)</f>
        <v>0</v>
      </c>
      <c r="Y55" s="8">
        <v>0</v>
      </c>
      <c r="Z55" s="7">
        <f>(X55)+(X55*Y55)</f>
        <v>0</v>
      </c>
      <c r="AA55" s="8">
        <f>IFERROR(((Z55-X55)/Z55),0)</f>
        <v>0</v>
      </c>
      <c r="AB55" s="8">
        <v>0.1</v>
      </c>
    </row>
    <row r="56" spans="1:28" x14ac:dyDescent="0.25">
      <c r="A56">
        <v>2026</v>
      </c>
      <c r="B56" t="s">
        <v>52</v>
      </c>
      <c r="C56" t="s">
        <v>29</v>
      </c>
      <c r="D56" t="s">
        <v>30</v>
      </c>
      <c r="E56" t="s">
        <v>97</v>
      </c>
      <c r="G56" t="s">
        <v>31</v>
      </c>
      <c r="H56" t="s">
        <v>31</v>
      </c>
      <c r="I56" t="s">
        <v>82</v>
      </c>
      <c r="J56">
        <v>2</v>
      </c>
      <c r="K56" t="s">
        <v>33</v>
      </c>
      <c r="L56">
        <v>43500</v>
      </c>
      <c r="M56" s="7">
        <v>7250</v>
      </c>
      <c r="O56" s="7">
        <f t="shared" si="0"/>
        <v>7250</v>
      </c>
      <c r="P56" s="7">
        <f t="shared" si="1"/>
        <v>7250</v>
      </c>
      <c r="Q56" s="8">
        <v>0</v>
      </c>
      <c r="R56" s="7">
        <f t="shared" si="2"/>
        <v>7250</v>
      </c>
      <c r="S56" s="10">
        <f>IFERROR(((R56-P56)/R56),0)</f>
        <v>0</v>
      </c>
      <c r="T56" s="7">
        <f>IF(C56="Mediana Complejidad",M56,0)</f>
        <v>0</v>
      </c>
      <c r="U56" s="8">
        <v>0</v>
      </c>
      <c r="V56" s="7">
        <f>(T56)+(T56*U56)</f>
        <v>0</v>
      </c>
      <c r="W56" s="8">
        <f>IFERROR(((V56-T56)/V56),0)</f>
        <v>0</v>
      </c>
      <c r="X56" s="7">
        <f>IF(C56="Baja Complejidad",M56,0)</f>
        <v>0</v>
      </c>
      <c r="Y56" s="8">
        <v>0</v>
      </c>
      <c r="Z56" s="7">
        <f>(X56)+(X56*Y56)</f>
        <v>0</v>
      </c>
      <c r="AA56" s="8">
        <f>IFERROR(((Z56-X56)/Z56),0)</f>
        <v>0</v>
      </c>
      <c r="AB56" s="8">
        <v>0.1</v>
      </c>
    </row>
    <row r="57" spans="1:28" x14ac:dyDescent="0.25">
      <c r="A57">
        <v>2026</v>
      </c>
      <c r="B57" t="s">
        <v>52</v>
      </c>
      <c r="C57" t="s">
        <v>29</v>
      </c>
      <c r="D57" t="s">
        <v>30</v>
      </c>
      <c r="F57">
        <v>1800</v>
      </c>
      <c r="G57" t="s">
        <v>42</v>
      </c>
      <c r="H57" t="s">
        <v>42</v>
      </c>
      <c r="I57" t="s">
        <v>62</v>
      </c>
      <c r="J57">
        <v>60</v>
      </c>
      <c r="K57" t="s">
        <v>45</v>
      </c>
      <c r="L57" s="12">
        <v>20894.400000000001</v>
      </c>
      <c r="M57" s="7">
        <f>+L57*J57</f>
        <v>1253664</v>
      </c>
      <c r="O57" s="7">
        <f t="shared" si="0"/>
        <v>1253664</v>
      </c>
      <c r="P57" s="7">
        <f t="shared" si="1"/>
        <v>1253664</v>
      </c>
      <c r="Q57" s="8">
        <v>0</v>
      </c>
      <c r="R57" s="7">
        <f t="shared" si="2"/>
        <v>1253664</v>
      </c>
      <c r="S57" s="10">
        <f>IFERROR(((R57-P57)/R57),0)</f>
        <v>0</v>
      </c>
      <c r="T57" s="7">
        <f>IF(C57="Mediana Complejidad",M57,0)</f>
        <v>0</v>
      </c>
      <c r="U57" s="8">
        <v>0</v>
      </c>
      <c r="V57" s="7">
        <f>(T57)+(T57*U57)</f>
        <v>0</v>
      </c>
      <c r="W57" s="8">
        <f>IFERROR(((V57-T57)/V57),0)</f>
        <v>0</v>
      </c>
      <c r="X57" s="7">
        <f>IF(C57="Baja Complejidad",M57,0)</f>
        <v>0</v>
      </c>
      <c r="Y57" s="8">
        <v>0</v>
      </c>
      <c r="Z57" s="7">
        <f>(X57)+(X57*Y57)</f>
        <v>0</v>
      </c>
      <c r="AA57" s="8">
        <f>IFERROR(((Z57-X57)/Z57),0)</f>
        <v>0</v>
      </c>
      <c r="AB57" s="8">
        <v>0.1</v>
      </c>
    </row>
    <row r="58" spans="1:28" x14ac:dyDescent="0.25">
      <c r="A58">
        <v>2026</v>
      </c>
      <c r="B58" t="s">
        <v>52</v>
      </c>
      <c r="C58" t="s">
        <v>29</v>
      </c>
      <c r="D58" t="s">
        <v>30</v>
      </c>
      <c r="F58">
        <v>900</v>
      </c>
      <c r="G58" t="s">
        <v>42</v>
      </c>
      <c r="H58" t="s">
        <v>42</v>
      </c>
      <c r="I58" t="s">
        <v>59</v>
      </c>
      <c r="J58">
        <v>60</v>
      </c>
      <c r="K58" t="s">
        <v>45</v>
      </c>
      <c r="L58" s="12">
        <v>6048.3</v>
      </c>
      <c r="M58" s="7">
        <f>+L58*J58</f>
        <v>362898</v>
      </c>
      <c r="O58" s="7">
        <f t="shared" si="0"/>
        <v>362898</v>
      </c>
      <c r="P58" s="7">
        <f t="shared" si="1"/>
        <v>362898</v>
      </c>
      <c r="Q58" s="8">
        <v>0</v>
      </c>
      <c r="R58" s="7">
        <f t="shared" si="2"/>
        <v>362898</v>
      </c>
      <c r="S58" s="10">
        <f>IFERROR(((R58-P58)/R58),0)</f>
        <v>0</v>
      </c>
      <c r="T58" s="7">
        <f>IF(C58="Mediana Complejidad",M58,0)</f>
        <v>0</v>
      </c>
      <c r="U58" s="8">
        <v>0</v>
      </c>
      <c r="V58" s="7">
        <f>(T58)+(T58*U58)</f>
        <v>0</v>
      </c>
      <c r="W58" s="8">
        <f>IFERROR(((V58-T58)/V58),0)</f>
        <v>0</v>
      </c>
      <c r="X58" s="7">
        <f>IF(C58="Baja Complejidad",M58,0)</f>
        <v>0</v>
      </c>
      <c r="Y58" s="8">
        <v>0</v>
      </c>
      <c r="Z58" s="7">
        <f>(X58)+(X58*Y58)</f>
        <v>0</v>
      </c>
      <c r="AA58" s="8">
        <f>IFERROR(((Z58-X58)/Z58),0)</f>
        <v>0</v>
      </c>
      <c r="AB58" s="8">
        <v>0.1</v>
      </c>
    </row>
    <row r="59" spans="1:28" x14ac:dyDescent="0.25">
      <c r="A59">
        <v>2026</v>
      </c>
      <c r="B59" t="s">
        <v>52</v>
      </c>
      <c r="C59" t="s">
        <v>43</v>
      </c>
      <c r="D59" t="s">
        <v>43</v>
      </c>
      <c r="G59" t="s">
        <v>43</v>
      </c>
      <c r="H59" t="s">
        <v>43</v>
      </c>
      <c r="I59" t="s">
        <v>44</v>
      </c>
      <c r="J59">
        <v>10</v>
      </c>
      <c r="K59" t="s">
        <v>45</v>
      </c>
      <c r="L59">
        <v>3000</v>
      </c>
      <c r="M59" s="7">
        <v>30000</v>
      </c>
      <c r="O59" s="7">
        <f t="shared" si="0"/>
        <v>30000</v>
      </c>
      <c r="P59" s="7">
        <f t="shared" si="1"/>
        <v>0</v>
      </c>
      <c r="Q59" s="8">
        <v>0</v>
      </c>
      <c r="R59" s="7">
        <f t="shared" si="2"/>
        <v>30000</v>
      </c>
      <c r="S59" s="10">
        <f>IFERROR(((R59-P59)/R59),0)</f>
        <v>1</v>
      </c>
      <c r="T59" s="7">
        <f>IF(C59="Mediana Complejidad",M59,0)</f>
        <v>0</v>
      </c>
      <c r="U59" s="8">
        <v>0</v>
      </c>
      <c r="V59" s="7">
        <f>(T59)+(T59*U59)</f>
        <v>0</v>
      </c>
      <c r="W59" s="8">
        <f>IFERROR(((V59-T59)/V59),0)</f>
        <v>0</v>
      </c>
      <c r="X59" s="7">
        <f>IF(C59="Baja Complejidad",M59,0)</f>
        <v>0</v>
      </c>
      <c r="Y59" s="8">
        <v>0</v>
      </c>
      <c r="Z59" s="7">
        <f>(X59)+(X59*Y59)</f>
        <v>0</v>
      </c>
      <c r="AA59" s="8">
        <f>IFERROR(((Z59-X59)/Z59),0)</f>
        <v>0</v>
      </c>
      <c r="AB59" s="8">
        <v>0.1</v>
      </c>
    </row>
    <row r="60" spans="1:28" x14ac:dyDescent="0.25">
      <c r="A60">
        <v>2026</v>
      </c>
      <c r="B60" t="s">
        <v>52</v>
      </c>
      <c r="C60" t="s">
        <v>43</v>
      </c>
      <c r="D60" t="s">
        <v>43</v>
      </c>
      <c r="G60" t="s">
        <v>43</v>
      </c>
      <c r="H60" t="s">
        <v>43</v>
      </c>
      <c r="I60" t="s">
        <v>46</v>
      </c>
      <c r="J60">
        <v>1</v>
      </c>
      <c r="K60" t="s">
        <v>33</v>
      </c>
      <c r="L60">
        <v>2000000</v>
      </c>
      <c r="M60" s="7">
        <v>2000000</v>
      </c>
      <c r="O60" s="7">
        <f t="shared" si="0"/>
        <v>2000000</v>
      </c>
      <c r="P60" s="7">
        <f t="shared" si="1"/>
        <v>0</v>
      </c>
      <c r="Q60" s="8">
        <v>0</v>
      </c>
      <c r="R60" s="7">
        <f t="shared" si="2"/>
        <v>2000000</v>
      </c>
      <c r="S60" s="10">
        <f>IFERROR(((R60-P60)/R60),0)</f>
        <v>1</v>
      </c>
      <c r="T60" s="7">
        <f t="shared" ref="T60:T61" si="17">IF(C60="Mediana Complejidad",M60,0)</f>
        <v>0</v>
      </c>
      <c r="U60" s="8">
        <v>0</v>
      </c>
      <c r="V60" s="7">
        <f t="shared" ref="V60:V61" si="18">(T60)+(T60*U60)</f>
        <v>0</v>
      </c>
      <c r="W60" s="8">
        <f t="shared" ref="W60:W61" si="19">IFERROR(((V60-T60)/V60),0)</f>
        <v>0</v>
      </c>
      <c r="X60" s="7">
        <f t="shared" ref="X60:X61" si="20">IF(C60="Baja Complejidad",M60,0)</f>
        <v>0</v>
      </c>
      <c r="Y60" s="8">
        <v>0</v>
      </c>
      <c r="Z60" s="7">
        <f t="shared" ref="Z60:Z61" si="21">(X60)+(X60*Y60)</f>
        <v>0</v>
      </c>
      <c r="AA60" s="8">
        <f t="shared" ref="AA60:AA61" si="22">IFERROR(((Z60-X60)/Z60),0)</f>
        <v>0</v>
      </c>
      <c r="AB60" s="8">
        <v>0.1</v>
      </c>
    </row>
    <row r="61" spans="1:28" x14ac:dyDescent="0.25">
      <c r="A61">
        <v>2026</v>
      </c>
      <c r="B61" t="s">
        <v>52</v>
      </c>
      <c r="C61" t="s">
        <v>43</v>
      </c>
      <c r="D61" t="s">
        <v>43</v>
      </c>
      <c r="G61" t="s">
        <v>43</v>
      </c>
      <c r="H61" t="s">
        <v>43</v>
      </c>
      <c r="I61" t="s">
        <v>47</v>
      </c>
      <c r="J61">
        <v>1</v>
      </c>
      <c r="K61" t="s">
        <v>33</v>
      </c>
      <c r="L61">
        <v>200000</v>
      </c>
      <c r="M61" s="7">
        <v>200000</v>
      </c>
      <c r="O61" s="7">
        <f t="shared" si="0"/>
        <v>200000</v>
      </c>
      <c r="P61" s="7">
        <f t="shared" si="1"/>
        <v>0</v>
      </c>
      <c r="Q61" s="8">
        <v>0</v>
      </c>
      <c r="R61" s="7">
        <f t="shared" si="2"/>
        <v>200000</v>
      </c>
      <c r="S61" s="10">
        <f>IFERROR(((R61-P61)/R61),0)</f>
        <v>1</v>
      </c>
      <c r="T61" s="7">
        <f t="shared" si="17"/>
        <v>0</v>
      </c>
      <c r="U61" s="8">
        <v>0</v>
      </c>
      <c r="V61" s="7">
        <f t="shared" si="18"/>
        <v>0</v>
      </c>
      <c r="W61" s="8">
        <f t="shared" si="19"/>
        <v>0</v>
      </c>
      <c r="X61" s="7">
        <f t="shared" si="20"/>
        <v>0</v>
      </c>
      <c r="Y61" s="8">
        <v>0</v>
      </c>
      <c r="Z61" s="7">
        <f t="shared" si="21"/>
        <v>0</v>
      </c>
      <c r="AA61" s="8">
        <f t="shared" si="22"/>
        <v>0</v>
      </c>
      <c r="AB61" s="8">
        <v>0.1</v>
      </c>
    </row>
    <row r="62" spans="1:28" x14ac:dyDescent="0.25">
      <c r="A62">
        <v>2026</v>
      </c>
      <c r="B62" t="s">
        <v>52</v>
      </c>
      <c r="C62" t="s">
        <v>29</v>
      </c>
      <c r="D62" t="s">
        <v>30</v>
      </c>
      <c r="F62">
        <v>600</v>
      </c>
      <c r="G62" t="s">
        <v>42</v>
      </c>
      <c r="H62" t="s">
        <v>42</v>
      </c>
      <c r="I62" t="s">
        <v>48</v>
      </c>
      <c r="J62">
        <v>60</v>
      </c>
      <c r="K62" t="s">
        <v>45</v>
      </c>
      <c r="L62">
        <v>35000</v>
      </c>
      <c r="M62" s="7">
        <f t="shared" ref="M62:M64" si="23">+L62*J62</f>
        <v>2100000</v>
      </c>
      <c r="O62" s="7">
        <f t="shared" si="0"/>
        <v>2100000</v>
      </c>
      <c r="P62" s="7">
        <f t="shared" si="1"/>
        <v>2100000</v>
      </c>
      <c r="Q62" s="8">
        <v>0</v>
      </c>
      <c r="R62" s="7">
        <f t="shared" si="2"/>
        <v>2100000</v>
      </c>
      <c r="S62" s="10">
        <f>IFERROR(((R62-P62)/R62),0)</f>
        <v>0</v>
      </c>
      <c r="T62" s="7">
        <f>IF(C62="Mediana Complejidad",M62,0)</f>
        <v>0</v>
      </c>
      <c r="U62" s="8">
        <v>0</v>
      </c>
      <c r="V62" s="7">
        <f>(T62)+(T62*U62)</f>
        <v>0</v>
      </c>
      <c r="W62" s="8">
        <f>IFERROR(((V62-T62)/V62),0)</f>
        <v>0</v>
      </c>
      <c r="X62" s="7">
        <f>IF(C62="Baja Complejidad",M62,0)</f>
        <v>0</v>
      </c>
      <c r="Y62" s="8">
        <v>0</v>
      </c>
      <c r="Z62" s="7">
        <f>(X62)+(X62*Y62)</f>
        <v>0</v>
      </c>
      <c r="AA62" s="8">
        <f>IFERROR(((Z62-X62)/Z62),0)</f>
        <v>0</v>
      </c>
      <c r="AB62" s="8">
        <v>0.1</v>
      </c>
    </row>
    <row r="63" spans="1:28" x14ac:dyDescent="0.25">
      <c r="A63">
        <v>2026</v>
      </c>
      <c r="B63" t="s">
        <v>52</v>
      </c>
      <c r="C63" t="s">
        <v>29</v>
      </c>
      <c r="D63" t="s">
        <v>30</v>
      </c>
      <c r="F63">
        <v>600</v>
      </c>
      <c r="G63" t="s">
        <v>42</v>
      </c>
      <c r="H63" t="s">
        <v>42</v>
      </c>
      <c r="I63" t="s">
        <v>49</v>
      </c>
      <c r="J63">
        <v>60</v>
      </c>
      <c r="K63" t="s">
        <v>45</v>
      </c>
      <c r="L63">
        <v>25000</v>
      </c>
      <c r="M63" s="7">
        <f t="shared" si="23"/>
        <v>1500000</v>
      </c>
      <c r="O63" s="7">
        <f t="shared" si="0"/>
        <v>1500000</v>
      </c>
      <c r="P63" s="7">
        <f t="shared" si="1"/>
        <v>1500000</v>
      </c>
      <c r="Q63" s="8">
        <v>0</v>
      </c>
      <c r="R63" s="7">
        <f t="shared" si="2"/>
        <v>1500000</v>
      </c>
      <c r="S63" s="10">
        <f>IFERROR(((R63-P63)/R63),0)</f>
        <v>0</v>
      </c>
      <c r="T63" s="7">
        <f>IF(C63="Mediana Complejidad",M63,0)</f>
        <v>0</v>
      </c>
      <c r="U63" s="8">
        <v>0</v>
      </c>
      <c r="V63" s="7">
        <f>(T63)+(T63*U63)</f>
        <v>0</v>
      </c>
      <c r="W63" s="8">
        <f>IFERROR(((V63-T63)/V63),0)</f>
        <v>0</v>
      </c>
      <c r="X63" s="7">
        <f>IF(C63="Baja Complejidad",M63,0)</f>
        <v>0</v>
      </c>
      <c r="Y63" s="8">
        <v>0</v>
      </c>
      <c r="Z63" s="7">
        <f>(X63)+(X63*Y63)</f>
        <v>0</v>
      </c>
      <c r="AA63" s="8">
        <f>IFERROR(((Z63-X63)/Z63),0)</f>
        <v>0</v>
      </c>
      <c r="AB63" s="8">
        <v>0.1</v>
      </c>
    </row>
    <row r="64" spans="1:28" x14ac:dyDescent="0.25">
      <c r="A64">
        <v>2026</v>
      </c>
      <c r="B64" t="s">
        <v>52</v>
      </c>
      <c r="C64" t="s">
        <v>29</v>
      </c>
      <c r="D64" t="s">
        <v>30</v>
      </c>
      <c r="F64">
        <v>600</v>
      </c>
      <c r="G64" t="s">
        <v>42</v>
      </c>
      <c r="H64" t="s">
        <v>42</v>
      </c>
      <c r="I64" t="s">
        <v>50</v>
      </c>
      <c r="J64">
        <v>60</v>
      </c>
      <c r="K64" t="s">
        <v>45</v>
      </c>
      <c r="L64">
        <v>20000</v>
      </c>
      <c r="M64" s="7">
        <f t="shared" si="23"/>
        <v>1200000</v>
      </c>
      <c r="O64" s="7">
        <f t="shared" si="0"/>
        <v>1200000</v>
      </c>
      <c r="P64" s="7">
        <f t="shared" si="1"/>
        <v>1200000</v>
      </c>
      <c r="Q64" s="8">
        <v>0</v>
      </c>
      <c r="R64" s="7">
        <f t="shared" si="2"/>
        <v>1200000</v>
      </c>
      <c r="S64" s="10">
        <f>IFERROR(((R64-P64)/R64),0)</f>
        <v>0</v>
      </c>
      <c r="T64" s="7">
        <f>IF(C64="Mediana Complejidad",M64,0)</f>
        <v>0</v>
      </c>
      <c r="U64" s="8">
        <v>0</v>
      </c>
      <c r="V64" s="7">
        <f>(T64)+(T64*U64)</f>
        <v>0</v>
      </c>
      <c r="W64" s="8">
        <f>IFERROR(((V64-T64)/V64),0)</f>
        <v>0</v>
      </c>
      <c r="X64" s="7">
        <f>IF(C64="Baja Complejidad",M64,0)</f>
        <v>0</v>
      </c>
      <c r="Y64" s="8">
        <v>0</v>
      </c>
      <c r="Z64" s="7">
        <f>(X64)+(X64*Y64)</f>
        <v>0</v>
      </c>
      <c r="AA64" s="8">
        <f>IFERROR(((Z64-X64)/Z64),0)</f>
        <v>0</v>
      </c>
      <c r="AB64" s="8">
        <v>0.1</v>
      </c>
    </row>
    <row r="65" spans="1:28" x14ac:dyDescent="0.25">
      <c r="A65">
        <v>2026</v>
      </c>
      <c r="B65" t="s">
        <v>53</v>
      </c>
      <c r="C65" t="s">
        <v>29</v>
      </c>
      <c r="D65" t="s">
        <v>30</v>
      </c>
      <c r="E65" t="s">
        <v>85</v>
      </c>
      <c r="G65" t="s">
        <v>31</v>
      </c>
      <c r="H65" t="s">
        <v>31</v>
      </c>
      <c r="I65" t="s">
        <v>32</v>
      </c>
      <c r="J65">
        <v>4</v>
      </c>
      <c r="K65" t="s">
        <v>33</v>
      </c>
      <c r="L65">
        <v>266</v>
      </c>
      <c r="M65" s="7">
        <v>1064</v>
      </c>
      <c r="O65" s="7">
        <f t="shared" si="0"/>
        <v>1064</v>
      </c>
      <c r="P65" s="7">
        <f t="shared" si="1"/>
        <v>1064</v>
      </c>
      <c r="Q65" s="8">
        <v>0</v>
      </c>
      <c r="R65" s="7">
        <f t="shared" si="2"/>
        <v>1064</v>
      </c>
      <c r="S65" s="10">
        <f>IFERROR(((R65-P65)/R65),0)</f>
        <v>0</v>
      </c>
      <c r="T65" s="7">
        <f>IF(C65="Mediana Complejidad",M65,0)</f>
        <v>0</v>
      </c>
      <c r="U65" s="8">
        <v>0</v>
      </c>
      <c r="V65" s="7">
        <f>(T65)+(T65*U65)</f>
        <v>0</v>
      </c>
      <c r="W65" s="8">
        <f>IFERROR(((V65-T65)/V65),0)</f>
        <v>0</v>
      </c>
      <c r="X65" s="7">
        <f>IF(C65="Baja Complejidad",M65,0)</f>
        <v>0</v>
      </c>
      <c r="Y65" s="8">
        <v>0</v>
      </c>
      <c r="Z65" s="7">
        <f>(X65)+(X65*Y65)</f>
        <v>0</v>
      </c>
      <c r="AA65" s="8">
        <f>IFERROR(((Z65-X65)/Z65),0)</f>
        <v>0</v>
      </c>
      <c r="AB65" s="8">
        <v>0.1</v>
      </c>
    </row>
    <row r="66" spans="1:28" x14ac:dyDescent="0.25">
      <c r="A66">
        <v>2026</v>
      </c>
      <c r="B66" t="s">
        <v>53</v>
      </c>
      <c r="C66" t="s">
        <v>29</v>
      </c>
      <c r="D66" t="s">
        <v>30</v>
      </c>
      <c r="E66" t="s">
        <v>86</v>
      </c>
      <c r="G66" t="s">
        <v>31</v>
      </c>
      <c r="H66" t="s">
        <v>31</v>
      </c>
      <c r="I66" t="s">
        <v>34</v>
      </c>
      <c r="J66">
        <v>2</v>
      </c>
      <c r="K66" t="s">
        <v>33</v>
      </c>
      <c r="L66">
        <v>1086.232</v>
      </c>
      <c r="M66" s="7">
        <v>2172.4639999999999</v>
      </c>
      <c r="O66" s="7">
        <f t="shared" si="0"/>
        <v>2172.4639999999999</v>
      </c>
      <c r="P66" s="7">
        <f t="shared" si="1"/>
        <v>2172.4639999999999</v>
      </c>
      <c r="Q66" s="8">
        <v>0</v>
      </c>
      <c r="R66" s="7">
        <f t="shared" si="2"/>
        <v>2172.4639999999999</v>
      </c>
      <c r="S66" s="10">
        <f>IFERROR(((R66-P66)/R66),0)</f>
        <v>0</v>
      </c>
      <c r="T66" s="7">
        <f>IF(C66="Mediana Complejidad",M66,0)</f>
        <v>0</v>
      </c>
      <c r="U66" s="8">
        <v>0</v>
      </c>
      <c r="V66" s="7">
        <f>(T66)+(T66*U66)</f>
        <v>0</v>
      </c>
      <c r="W66" s="8">
        <f>IFERROR(((V66-T66)/V66),0)</f>
        <v>0</v>
      </c>
      <c r="X66" s="7">
        <f>IF(C66="Baja Complejidad",M66,0)</f>
        <v>0</v>
      </c>
      <c r="Y66" s="8">
        <v>0</v>
      </c>
      <c r="Z66" s="7">
        <f>(X66)+(X66*Y66)</f>
        <v>0</v>
      </c>
      <c r="AA66" s="8">
        <f>IFERROR(((Z66-X66)/Z66),0)</f>
        <v>0</v>
      </c>
      <c r="AB66" s="8">
        <v>0.1</v>
      </c>
    </row>
    <row r="67" spans="1:28" x14ac:dyDescent="0.25">
      <c r="A67">
        <v>2026</v>
      </c>
      <c r="B67" t="s">
        <v>53</v>
      </c>
      <c r="C67" t="s">
        <v>29</v>
      </c>
      <c r="D67" t="s">
        <v>30</v>
      </c>
      <c r="E67" t="s">
        <v>87</v>
      </c>
      <c r="G67" t="s">
        <v>31</v>
      </c>
      <c r="H67" t="s">
        <v>31</v>
      </c>
      <c r="I67" t="s">
        <v>35</v>
      </c>
      <c r="J67">
        <v>10</v>
      </c>
      <c r="K67" t="s">
        <v>33</v>
      </c>
      <c r="L67">
        <v>370</v>
      </c>
      <c r="M67" s="7">
        <v>3700</v>
      </c>
      <c r="O67" s="7">
        <f t="shared" ref="O67:O130" si="24">R67</f>
        <v>3700</v>
      </c>
      <c r="P67" s="7">
        <f t="shared" ref="P67:P130" si="25">IF(C67="Alta Complejidad",M67,0)</f>
        <v>3700</v>
      </c>
      <c r="Q67" s="8">
        <v>0</v>
      </c>
      <c r="R67" s="7">
        <f t="shared" ref="R67:R130" si="26">M67+(M67*Q67)</f>
        <v>3700</v>
      </c>
      <c r="S67" s="10">
        <f>IFERROR(((R67-P67)/R67),0)</f>
        <v>0</v>
      </c>
      <c r="T67" s="7">
        <f>IF(C67="Mediana Complejidad",M67,0)</f>
        <v>0</v>
      </c>
      <c r="U67" s="8">
        <v>0</v>
      </c>
      <c r="V67" s="7">
        <f>(T67)+(T67*U67)</f>
        <v>0</v>
      </c>
      <c r="W67" s="8">
        <f>IFERROR(((V67-T67)/V67),0)</f>
        <v>0</v>
      </c>
      <c r="X67" s="7">
        <f>IF(C67="Baja Complejidad",M67,0)</f>
        <v>0</v>
      </c>
      <c r="Y67" s="8">
        <v>0</v>
      </c>
      <c r="Z67" s="7">
        <f>(X67)+(X67*Y67)</f>
        <v>0</v>
      </c>
      <c r="AA67" s="8">
        <f>IFERROR(((Z67-X67)/Z67),0)</f>
        <v>0</v>
      </c>
      <c r="AB67" s="8">
        <v>0.1</v>
      </c>
    </row>
    <row r="68" spans="1:28" x14ac:dyDescent="0.25">
      <c r="A68">
        <v>2026</v>
      </c>
      <c r="B68" t="s">
        <v>53</v>
      </c>
      <c r="C68" t="s">
        <v>29</v>
      </c>
      <c r="D68" t="s">
        <v>30</v>
      </c>
      <c r="E68" t="s">
        <v>88</v>
      </c>
      <c r="G68" t="s">
        <v>31</v>
      </c>
      <c r="H68" t="s">
        <v>31</v>
      </c>
      <c r="I68" t="s">
        <v>36</v>
      </c>
      <c r="J68">
        <v>2</v>
      </c>
      <c r="K68" t="s">
        <v>33</v>
      </c>
      <c r="L68">
        <v>2643</v>
      </c>
      <c r="M68" s="7">
        <v>5286</v>
      </c>
      <c r="O68" s="7">
        <f t="shared" si="24"/>
        <v>5286</v>
      </c>
      <c r="P68" s="7">
        <f t="shared" si="25"/>
        <v>5286</v>
      </c>
      <c r="Q68" s="8">
        <v>0</v>
      </c>
      <c r="R68" s="7">
        <f t="shared" si="26"/>
        <v>5286</v>
      </c>
      <c r="S68" s="10">
        <f>IFERROR(((R68-P68)/R68),0)</f>
        <v>0</v>
      </c>
      <c r="T68" s="7">
        <f>IF(C68="Mediana Complejidad",M68,0)</f>
        <v>0</v>
      </c>
      <c r="U68" s="8">
        <v>0</v>
      </c>
      <c r="V68" s="7">
        <f>(T68)+(T68*U68)</f>
        <v>0</v>
      </c>
      <c r="W68" s="8">
        <f>IFERROR(((V68-T68)/V68),0)</f>
        <v>0</v>
      </c>
      <c r="X68" s="7">
        <f>IF(C68="Baja Complejidad",M68,0)</f>
        <v>0</v>
      </c>
      <c r="Y68" s="8">
        <v>0</v>
      </c>
      <c r="Z68" s="7">
        <f>(X68)+(X68*Y68)</f>
        <v>0</v>
      </c>
      <c r="AA68" s="8">
        <f>IFERROR(((Z68-X68)/Z68),0)</f>
        <v>0</v>
      </c>
      <c r="AB68" s="8">
        <v>0.1</v>
      </c>
    </row>
    <row r="69" spans="1:28" x14ac:dyDescent="0.25">
      <c r="A69">
        <v>2026</v>
      </c>
      <c r="B69" t="s">
        <v>53</v>
      </c>
      <c r="C69" t="s">
        <v>29</v>
      </c>
      <c r="D69" t="s">
        <v>30</v>
      </c>
      <c r="E69" t="s">
        <v>89</v>
      </c>
      <c r="G69" t="s">
        <v>31</v>
      </c>
      <c r="H69" t="s">
        <v>31</v>
      </c>
      <c r="I69" t="s">
        <v>37</v>
      </c>
      <c r="J69">
        <v>5</v>
      </c>
      <c r="K69" t="s">
        <v>33</v>
      </c>
      <c r="L69">
        <v>135.66</v>
      </c>
      <c r="M69" s="7">
        <v>678.3</v>
      </c>
      <c r="O69" s="7">
        <f t="shared" si="24"/>
        <v>678.3</v>
      </c>
      <c r="P69" s="7">
        <f t="shared" si="25"/>
        <v>678.3</v>
      </c>
      <c r="Q69" s="8">
        <v>0</v>
      </c>
      <c r="R69" s="7">
        <f t="shared" si="26"/>
        <v>678.3</v>
      </c>
      <c r="S69" s="10">
        <f>IFERROR(((R69-P69)/R69),0)</f>
        <v>0</v>
      </c>
      <c r="T69" s="7">
        <f>IF(C69="Mediana Complejidad",M69,0)</f>
        <v>0</v>
      </c>
      <c r="U69" s="8">
        <v>0</v>
      </c>
      <c r="V69" s="7">
        <f>(T69)+(T69*U69)</f>
        <v>0</v>
      </c>
      <c r="W69" s="8">
        <f>IFERROR(((V69-T69)/V69),0)</f>
        <v>0</v>
      </c>
      <c r="X69" s="7">
        <f>IF(C69="Baja Complejidad",M69,0)</f>
        <v>0</v>
      </c>
      <c r="Y69" s="8">
        <v>0</v>
      </c>
      <c r="Z69" s="7">
        <f>(X69)+(X69*Y69)</f>
        <v>0</v>
      </c>
      <c r="AA69" s="8">
        <f>IFERROR(((Z69-X69)/Z69),0)</f>
        <v>0</v>
      </c>
      <c r="AB69" s="8">
        <v>0.1</v>
      </c>
    </row>
    <row r="70" spans="1:28" x14ac:dyDescent="0.25">
      <c r="A70">
        <v>2026</v>
      </c>
      <c r="B70" t="s">
        <v>53</v>
      </c>
      <c r="C70" t="s">
        <v>29</v>
      </c>
      <c r="D70" t="s">
        <v>30</v>
      </c>
      <c r="E70" t="s">
        <v>90</v>
      </c>
      <c r="G70" t="s">
        <v>31</v>
      </c>
      <c r="H70" t="s">
        <v>31</v>
      </c>
      <c r="I70" t="s">
        <v>38</v>
      </c>
      <c r="J70">
        <v>2</v>
      </c>
      <c r="K70" t="s">
        <v>33</v>
      </c>
      <c r="L70">
        <v>3808</v>
      </c>
      <c r="M70" s="7">
        <v>7616</v>
      </c>
      <c r="O70" s="7">
        <f t="shared" si="24"/>
        <v>7616</v>
      </c>
      <c r="P70" s="7">
        <f t="shared" si="25"/>
        <v>7616</v>
      </c>
      <c r="Q70" s="8">
        <v>0</v>
      </c>
      <c r="R70" s="7">
        <f t="shared" si="26"/>
        <v>7616</v>
      </c>
      <c r="S70" s="10">
        <f>IFERROR(((R70-P70)/R70),0)</f>
        <v>0</v>
      </c>
      <c r="T70" s="7">
        <f>IF(C70="Mediana Complejidad",M70,0)</f>
        <v>0</v>
      </c>
      <c r="U70" s="8">
        <v>0</v>
      </c>
      <c r="V70" s="7">
        <f>(T70)+(T70*U70)</f>
        <v>0</v>
      </c>
      <c r="W70" s="8">
        <f>IFERROR(((V70-T70)/V70),0)</f>
        <v>0</v>
      </c>
      <c r="X70" s="7">
        <f>IF(C70="Baja Complejidad",M70,0)</f>
        <v>0</v>
      </c>
      <c r="Y70" s="8">
        <v>0</v>
      </c>
      <c r="Z70" s="7">
        <f>(X70)+(X70*Y70)</f>
        <v>0</v>
      </c>
      <c r="AA70" s="8">
        <f>IFERROR(((Z70-X70)/Z70),0)</f>
        <v>0</v>
      </c>
      <c r="AB70" s="8">
        <v>0.1</v>
      </c>
    </row>
    <row r="71" spans="1:28" x14ac:dyDescent="0.25">
      <c r="A71">
        <v>2026</v>
      </c>
      <c r="B71" t="s">
        <v>53</v>
      </c>
      <c r="C71" t="s">
        <v>29</v>
      </c>
      <c r="D71" t="s">
        <v>30</v>
      </c>
      <c r="E71" t="s">
        <v>91</v>
      </c>
      <c r="G71" t="s">
        <v>31</v>
      </c>
      <c r="H71" t="s">
        <v>31</v>
      </c>
      <c r="I71" t="s">
        <v>39</v>
      </c>
      <c r="J71">
        <v>2</v>
      </c>
      <c r="K71" t="s">
        <v>33</v>
      </c>
      <c r="L71">
        <v>111.86</v>
      </c>
      <c r="M71" s="7">
        <v>223.72</v>
      </c>
      <c r="O71" s="7">
        <f t="shared" si="24"/>
        <v>223.72</v>
      </c>
      <c r="P71" s="7">
        <f t="shared" si="25"/>
        <v>223.72</v>
      </c>
      <c r="Q71" s="8">
        <v>0</v>
      </c>
      <c r="R71" s="7">
        <f t="shared" si="26"/>
        <v>223.72</v>
      </c>
      <c r="S71" s="10">
        <f>IFERROR(((R71-P71)/R71),0)</f>
        <v>0</v>
      </c>
      <c r="T71" s="7">
        <f>IF(C71="Mediana Complejidad",M71,0)</f>
        <v>0</v>
      </c>
      <c r="U71" s="8">
        <v>0</v>
      </c>
      <c r="V71" s="7">
        <f>(T71)+(T71*U71)</f>
        <v>0</v>
      </c>
      <c r="W71" s="8">
        <f>IFERROR(((V71-T71)/V71),0)</f>
        <v>0</v>
      </c>
      <c r="X71" s="7">
        <f>IF(C71="Baja Complejidad",M71,0)</f>
        <v>0</v>
      </c>
      <c r="Y71" s="8">
        <v>0</v>
      </c>
      <c r="Z71" s="7">
        <f>(X71)+(X71*Y71)</f>
        <v>0</v>
      </c>
      <c r="AA71" s="8">
        <f>IFERROR(((Z71-X71)/Z71),0)</f>
        <v>0</v>
      </c>
      <c r="AB71" s="8">
        <v>0.1</v>
      </c>
    </row>
    <row r="72" spans="1:28" x14ac:dyDescent="0.25">
      <c r="A72">
        <v>2026</v>
      </c>
      <c r="B72" t="s">
        <v>53</v>
      </c>
      <c r="C72" t="s">
        <v>29</v>
      </c>
      <c r="D72" t="s">
        <v>30</v>
      </c>
      <c r="E72" t="s">
        <v>92</v>
      </c>
      <c r="G72" t="s">
        <v>31</v>
      </c>
      <c r="H72" t="s">
        <v>31</v>
      </c>
      <c r="I72" t="s">
        <v>64</v>
      </c>
      <c r="J72">
        <v>10</v>
      </c>
      <c r="K72" t="s">
        <v>33</v>
      </c>
      <c r="L72">
        <v>80300</v>
      </c>
      <c r="M72" s="7">
        <v>3212</v>
      </c>
      <c r="O72" s="7">
        <f t="shared" si="24"/>
        <v>3212</v>
      </c>
      <c r="P72" s="7">
        <f t="shared" si="25"/>
        <v>3212</v>
      </c>
      <c r="Q72" s="8">
        <v>0</v>
      </c>
      <c r="R72" s="7">
        <f t="shared" si="26"/>
        <v>3212</v>
      </c>
      <c r="S72" s="10">
        <f>IFERROR(((R72-P72)/R72),0)</f>
        <v>0</v>
      </c>
      <c r="T72" s="7">
        <f>IF(C72="Mediana Complejidad",M72,0)</f>
        <v>0</v>
      </c>
      <c r="U72" s="8">
        <v>0</v>
      </c>
      <c r="V72" s="7">
        <f>(T72)+(T72*U72)</f>
        <v>0</v>
      </c>
      <c r="W72" s="8">
        <f>IFERROR(((V72-T72)/V72),0)</f>
        <v>0</v>
      </c>
      <c r="X72" s="7">
        <f>IF(C72="Baja Complejidad",M72,0)</f>
        <v>0</v>
      </c>
      <c r="Y72" s="8">
        <v>0</v>
      </c>
      <c r="Z72" s="7">
        <f>(X72)+(X72*Y72)</f>
        <v>0</v>
      </c>
      <c r="AA72" s="8">
        <f>IFERROR(((Z72-X72)/Z72),0)</f>
        <v>0</v>
      </c>
      <c r="AB72" s="8">
        <v>0.1</v>
      </c>
    </row>
    <row r="73" spans="1:28" x14ac:dyDescent="0.25">
      <c r="A73">
        <v>2026</v>
      </c>
      <c r="B73" t="s">
        <v>53</v>
      </c>
      <c r="C73" t="s">
        <v>29</v>
      </c>
      <c r="D73" t="s">
        <v>30</v>
      </c>
      <c r="E73" t="s">
        <v>93</v>
      </c>
      <c r="G73" t="s">
        <v>31</v>
      </c>
      <c r="H73" t="s">
        <v>31</v>
      </c>
      <c r="I73" t="s">
        <v>40</v>
      </c>
      <c r="J73">
        <v>5</v>
      </c>
      <c r="K73" t="s">
        <v>33</v>
      </c>
      <c r="L73">
        <v>17888.080000000002</v>
      </c>
      <c r="M73" s="7">
        <v>89440.400000000009</v>
      </c>
      <c r="O73" s="7">
        <f t="shared" si="24"/>
        <v>89440.400000000009</v>
      </c>
      <c r="P73" s="7">
        <f t="shared" si="25"/>
        <v>89440.400000000009</v>
      </c>
      <c r="Q73" s="8">
        <v>0</v>
      </c>
      <c r="R73" s="7">
        <f t="shared" si="26"/>
        <v>89440.400000000009</v>
      </c>
      <c r="S73" s="10">
        <f>IFERROR(((R73-P73)/R73),0)</f>
        <v>0</v>
      </c>
      <c r="T73" s="7">
        <f>IF(C73="Mediana Complejidad",M73,0)</f>
        <v>0</v>
      </c>
      <c r="U73" s="8">
        <v>0</v>
      </c>
      <c r="V73" s="7">
        <f>(T73)+(T73*U73)</f>
        <v>0</v>
      </c>
      <c r="W73" s="8">
        <f>IFERROR(((V73-T73)/V73),0)</f>
        <v>0</v>
      </c>
      <c r="X73" s="7">
        <f>IF(C73="Baja Complejidad",M73,0)</f>
        <v>0</v>
      </c>
      <c r="Y73" s="8">
        <v>0</v>
      </c>
      <c r="Z73" s="7">
        <f>(X73)+(X73*Y73)</f>
        <v>0</v>
      </c>
      <c r="AA73" s="8">
        <f>IFERROR(((Z73-X73)/Z73),0)</f>
        <v>0</v>
      </c>
      <c r="AB73" s="8">
        <v>0.1</v>
      </c>
    </row>
    <row r="74" spans="1:28" x14ac:dyDescent="0.25">
      <c r="A74">
        <v>2026</v>
      </c>
      <c r="B74" t="s">
        <v>53</v>
      </c>
      <c r="C74" t="s">
        <v>29</v>
      </c>
      <c r="D74" t="s">
        <v>30</v>
      </c>
      <c r="E74" t="s">
        <v>94</v>
      </c>
      <c r="G74" t="s">
        <v>31</v>
      </c>
      <c r="H74" t="s">
        <v>31</v>
      </c>
      <c r="I74" t="s">
        <v>41</v>
      </c>
      <c r="J74">
        <v>2</v>
      </c>
      <c r="K74" t="s">
        <v>33</v>
      </c>
      <c r="L74">
        <v>337.3837894736842</v>
      </c>
      <c r="M74" s="7">
        <v>674.76757894736841</v>
      </c>
      <c r="O74" s="7">
        <f t="shared" si="24"/>
        <v>674.76757894736841</v>
      </c>
      <c r="P74" s="7">
        <f t="shared" si="25"/>
        <v>674.76757894736841</v>
      </c>
      <c r="Q74" s="8">
        <v>0</v>
      </c>
      <c r="R74" s="7">
        <f t="shared" si="26"/>
        <v>674.76757894736841</v>
      </c>
      <c r="S74" s="10">
        <f>IFERROR(((R74-P74)/R74),0)</f>
        <v>0</v>
      </c>
      <c r="T74" s="7">
        <f>IF(C74="Mediana Complejidad",M74,0)</f>
        <v>0</v>
      </c>
      <c r="U74" s="8">
        <v>0</v>
      </c>
      <c r="V74" s="7">
        <f>(T74)+(T74*U74)</f>
        <v>0</v>
      </c>
      <c r="W74" s="8">
        <f>IFERROR(((V74-T74)/V74),0)</f>
        <v>0</v>
      </c>
      <c r="X74" s="7">
        <f>IF(C74="Baja Complejidad",M74,0)</f>
        <v>0</v>
      </c>
      <c r="Y74" s="8">
        <v>0</v>
      </c>
      <c r="Z74" s="7">
        <f>(X74)+(X74*Y74)</f>
        <v>0</v>
      </c>
      <c r="AA74" s="8">
        <f>IFERROR(((Z74-X74)/Z74),0)</f>
        <v>0</v>
      </c>
      <c r="AB74" s="8">
        <v>0.1</v>
      </c>
    </row>
    <row r="75" spans="1:28" x14ac:dyDescent="0.25">
      <c r="A75">
        <v>2026</v>
      </c>
      <c r="B75" t="s">
        <v>53</v>
      </c>
      <c r="C75" t="s">
        <v>29</v>
      </c>
      <c r="D75" t="s">
        <v>30</v>
      </c>
      <c r="E75" t="s">
        <v>95</v>
      </c>
      <c r="G75" t="s">
        <v>31</v>
      </c>
      <c r="H75" t="s">
        <v>31</v>
      </c>
      <c r="I75" t="s">
        <v>83</v>
      </c>
      <c r="J75">
        <v>2</v>
      </c>
      <c r="K75" t="s">
        <v>33</v>
      </c>
      <c r="L75">
        <v>67900</v>
      </c>
      <c r="M75" s="7">
        <v>13580</v>
      </c>
      <c r="O75" s="7">
        <f t="shared" si="24"/>
        <v>13580</v>
      </c>
      <c r="P75" s="7">
        <f t="shared" si="25"/>
        <v>13580</v>
      </c>
      <c r="Q75" s="8">
        <v>0</v>
      </c>
      <c r="R75" s="7">
        <f t="shared" si="26"/>
        <v>13580</v>
      </c>
      <c r="S75" s="10">
        <f>IFERROR(((R75-P75)/R75),0)</f>
        <v>0</v>
      </c>
      <c r="T75" s="7">
        <f>IF(C75="Mediana Complejidad",M75,0)</f>
        <v>0</v>
      </c>
      <c r="U75" s="8">
        <v>0</v>
      </c>
      <c r="V75" s="7">
        <f>(T75)+(T75*U75)</f>
        <v>0</v>
      </c>
      <c r="W75" s="8">
        <f>IFERROR(((V75-T75)/V75),0)</f>
        <v>0</v>
      </c>
      <c r="X75" s="7">
        <f>IF(C75="Baja Complejidad",M75,0)</f>
        <v>0</v>
      </c>
      <c r="Y75" s="8">
        <v>0</v>
      </c>
      <c r="Z75" s="7">
        <f>(X75)+(X75*Y75)</f>
        <v>0</v>
      </c>
      <c r="AA75" s="8">
        <f>IFERROR(((Z75-X75)/Z75),0)</f>
        <v>0</v>
      </c>
      <c r="AB75" s="8">
        <v>0.1</v>
      </c>
    </row>
    <row r="76" spans="1:28" x14ac:dyDescent="0.25">
      <c r="A76">
        <v>2026</v>
      </c>
      <c r="B76" t="s">
        <v>53</v>
      </c>
      <c r="C76" t="s">
        <v>29</v>
      </c>
      <c r="D76" t="s">
        <v>30</v>
      </c>
      <c r="E76" t="s">
        <v>96</v>
      </c>
      <c r="G76" t="s">
        <v>31</v>
      </c>
      <c r="H76" t="s">
        <v>31</v>
      </c>
      <c r="I76" t="s">
        <v>84</v>
      </c>
      <c r="J76">
        <v>2</v>
      </c>
      <c r="K76" t="s">
        <v>33</v>
      </c>
      <c r="L76">
        <v>50300</v>
      </c>
      <c r="M76" s="7">
        <v>10060</v>
      </c>
      <c r="O76" s="7">
        <f t="shared" si="24"/>
        <v>10060</v>
      </c>
      <c r="P76" s="7">
        <f t="shared" si="25"/>
        <v>10060</v>
      </c>
      <c r="Q76" s="8">
        <v>0</v>
      </c>
      <c r="R76" s="7">
        <f t="shared" si="26"/>
        <v>10060</v>
      </c>
      <c r="S76" s="10">
        <f>IFERROR(((R76-P76)/R76),0)</f>
        <v>0</v>
      </c>
      <c r="T76" s="7">
        <f>IF(C76="Mediana Complejidad",M76,0)</f>
        <v>0</v>
      </c>
      <c r="U76" s="8">
        <v>0</v>
      </c>
      <c r="V76" s="7">
        <f>(T76)+(T76*U76)</f>
        <v>0</v>
      </c>
      <c r="W76" s="8">
        <f>IFERROR(((V76-T76)/V76),0)</f>
        <v>0</v>
      </c>
      <c r="X76" s="7">
        <f>IF(C76="Baja Complejidad",M76,0)</f>
        <v>0</v>
      </c>
      <c r="Y76" s="8">
        <v>0</v>
      </c>
      <c r="Z76" s="7">
        <f>(X76)+(X76*Y76)</f>
        <v>0</v>
      </c>
      <c r="AA76" s="8">
        <f>IFERROR(((Z76-X76)/Z76),0)</f>
        <v>0</v>
      </c>
      <c r="AB76" s="8">
        <v>0.1</v>
      </c>
    </row>
    <row r="77" spans="1:28" x14ac:dyDescent="0.25">
      <c r="A77">
        <v>2026</v>
      </c>
      <c r="B77" t="s">
        <v>53</v>
      </c>
      <c r="C77" t="s">
        <v>29</v>
      </c>
      <c r="D77" t="s">
        <v>30</v>
      </c>
      <c r="E77" t="s">
        <v>97</v>
      </c>
      <c r="G77" t="s">
        <v>31</v>
      </c>
      <c r="H77" t="s">
        <v>31</v>
      </c>
      <c r="I77" t="s">
        <v>82</v>
      </c>
      <c r="J77">
        <v>2</v>
      </c>
      <c r="K77" t="s">
        <v>33</v>
      </c>
      <c r="L77">
        <v>43500</v>
      </c>
      <c r="M77" s="7">
        <v>7250</v>
      </c>
      <c r="O77" s="7">
        <f t="shared" si="24"/>
        <v>7250</v>
      </c>
      <c r="P77" s="7">
        <f t="shared" si="25"/>
        <v>7250</v>
      </c>
      <c r="Q77" s="8">
        <v>0</v>
      </c>
      <c r="R77" s="7">
        <f t="shared" si="26"/>
        <v>7250</v>
      </c>
      <c r="S77" s="10">
        <f>IFERROR(((R77-P77)/R77),0)</f>
        <v>0</v>
      </c>
      <c r="T77" s="7">
        <f>IF(C77="Mediana Complejidad",M77,0)</f>
        <v>0</v>
      </c>
      <c r="U77" s="8">
        <v>0</v>
      </c>
      <c r="V77" s="7">
        <f>(T77)+(T77*U77)</f>
        <v>0</v>
      </c>
      <c r="W77" s="8">
        <f>IFERROR(((V77-T77)/V77),0)</f>
        <v>0</v>
      </c>
      <c r="X77" s="7">
        <f>IF(C77="Baja Complejidad",M77,0)</f>
        <v>0</v>
      </c>
      <c r="Y77" s="8">
        <v>0</v>
      </c>
      <c r="Z77" s="7">
        <f>(X77)+(X77*Y77)</f>
        <v>0</v>
      </c>
      <c r="AA77" s="8">
        <f>IFERROR(((Z77-X77)/Z77),0)</f>
        <v>0</v>
      </c>
      <c r="AB77" s="8">
        <v>0.1</v>
      </c>
    </row>
    <row r="78" spans="1:28" x14ac:dyDescent="0.25">
      <c r="A78">
        <v>2026</v>
      </c>
      <c r="B78" t="s">
        <v>53</v>
      </c>
      <c r="C78" t="s">
        <v>29</v>
      </c>
      <c r="D78" t="s">
        <v>30</v>
      </c>
      <c r="F78">
        <v>1800</v>
      </c>
      <c r="G78" t="s">
        <v>42</v>
      </c>
      <c r="H78" t="s">
        <v>42</v>
      </c>
      <c r="I78" t="s">
        <v>62</v>
      </c>
      <c r="J78">
        <v>60</v>
      </c>
      <c r="K78" t="s">
        <v>45</v>
      </c>
      <c r="L78" s="12">
        <v>20894.400000000001</v>
      </c>
      <c r="M78" s="7">
        <f>+L78*J78</f>
        <v>1253664</v>
      </c>
      <c r="O78" s="7">
        <f t="shared" si="24"/>
        <v>1253664</v>
      </c>
      <c r="P78" s="7">
        <f t="shared" si="25"/>
        <v>1253664</v>
      </c>
      <c r="Q78" s="8">
        <v>0</v>
      </c>
      <c r="R78" s="7">
        <f t="shared" si="26"/>
        <v>1253664</v>
      </c>
      <c r="S78" s="10">
        <f>IFERROR(((R78-P78)/R78),0)</f>
        <v>0</v>
      </c>
      <c r="T78" s="7">
        <f>IF(C78="Mediana Complejidad",M78,0)</f>
        <v>0</v>
      </c>
      <c r="U78" s="8">
        <v>0</v>
      </c>
      <c r="V78" s="7">
        <f>(T78)+(T78*U78)</f>
        <v>0</v>
      </c>
      <c r="W78" s="8">
        <f>IFERROR(((V78-T78)/V78),0)</f>
        <v>0</v>
      </c>
      <c r="X78" s="7">
        <f>IF(C78="Baja Complejidad",M78,0)</f>
        <v>0</v>
      </c>
      <c r="Y78" s="8">
        <v>0</v>
      </c>
      <c r="Z78" s="7">
        <f>(X78)+(X78*Y78)</f>
        <v>0</v>
      </c>
      <c r="AA78" s="8">
        <f>IFERROR(((Z78-X78)/Z78),0)</f>
        <v>0</v>
      </c>
      <c r="AB78" s="8">
        <v>0.1</v>
      </c>
    </row>
    <row r="79" spans="1:28" x14ac:dyDescent="0.25">
      <c r="A79">
        <v>2026</v>
      </c>
      <c r="B79" t="s">
        <v>53</v>
      </c>
      <c r="C79" t="s">
        <v>29</v>
      </c>
      <c r="D79" t="s">
        <v>30</v>
      </c>
      <c r="F79">
        <v>900</v>
      </c>
      <c r="G79" t="s">
        <v>42</v>
      </c>
      <c r="H79" t="s">
        <v>42</v>
      </c>
      <c r="I79" t="s">
        <v>59</v>
      </c>
      <c r="J79">
        <v>60</v>
      </c>
      <c r="K79" t="s">
        <v>45</v>
      </c>
      <c r="L79" s="12">
        <v>6048.3</v>
      </c>
      <c r="M79" s="7">
        <f>+L79*J79</f>
        <v>362898</v>
      </c>
      <c r="O79" s="7">
        <f t="shared" si="24"/>
        <v>362898</v>
      </c>
      <c r="P79" s="7">
        <f t="shared" si="25"/>
        <v>362898</v>
      </c>
      <c r="Q79" s="8">
        <v>0</v>
      </c>
      <c r="R79" s="7">
        <f t="shared" si="26"/>
        <v>362898</v>
      </c>
      <c r="S79" s="10">
        <f>IFERROR(((R79-P79)/R79),0)</f>
        <v>0</v>
      </c>
      <c r="T79" s="7">
        <f>IF(C79="Mediana Complejidad",M79,0)</f>
        <v>0</v>
      </c>
      <c r="U79" s="8">
        <v>0</v>
      </c>
      <c r="V79" s="7">
        <f>(T79)+(T79*U79)</f>
        <v>0</v>
      </c>
      <c r="W79" s="8">
        <f>IFERROR(((V79-T79)/V79),0)</f>
        <v>0</v>
      </c>
      <c r="X79" s="7">
        <f>IF(C79="Baja Complejidad",M79,0)</f>
        <v>0</v>
      </c>
      <c r="Y79" s="8">
        <v>0</v>
      </c>
      <c r="Z79" s="7">
        <f>(X79)+(X79*Y79)</f>
        <v>0</v>
      </c>
      <c r="AA79" s="8">
        <f>IFERROR(((Z79-X79)/Z79),0)</f>
        <v>0</v>
      </c>
      <c r="AB79" s="8">
        <v>0.1</v>
      </c>
    </row>
    <row r="80" spans="1:28" x14ac:dyDescent="0.25">
      <c r="A80">
        <v>2026</v>
      </c>
      <c r="B80" t="s">
        <v>53</v>
      </c>
      <c r="C80" t="s">
        <v>43</v>
      </c>
      <c r="D80" t="s">
        <v>43</v>
      </c>
      <c r="G80" t="s">
        <v>43</v>
      </c>
      <c r="H80" t="s">
        <v>43</v>
      </c>
      <c r="I80" t="s">
        <v>44</v>
      </c>
      <c r="J80">
        <v>10</v>
      </c>
      <c r="K80" t="s">
        <v>45</v>
      </c>
      <c r="L80">
        <v>3000</v>
      </c>
      <c r="M80" s="7">
        <v>30000</v>
      </c>
      <c r="O80" s="7">
        <f t="shared" si="24"/>
        <v>30000</v>
      </c>
      <c r="P80" s="7">
        <f t="shared" si="25"/>
        <v>0</v>
      </c>
      <c r="Q80" s="8">
        <v>0</v>
      </c>
      <c r="R80" s="7">
        <f t="shared" si="26"/>
        <v>30000</v>
      </c>
      <c r="S80" s="10">
        <f>IFERROR(((R80-P80)/R80),0)</f>
        <v>1</v>
      </c>
      <c r="T80" s="7">
        <f>IF(C80="Mediana Complejidad",M80,0)</f>
        <v>0</v>
      </c>
      <c r="U80" s="8">
        <v>0</v>
      </c>
      <c r="V80" s="7">
        <f>(T80)+(T80*U80)</f>
        <v>0</v>
      </c>
      <c r="W80" s="8">
        <f>IFERROR(((V80-T80)/V80),0)</f>
        <v>0</v>
      </c>
      <c r="X80" s="7">
        <f>IF(C80="Baja Complejidad",M80,0)</f>
        <v>0</v>
      </c>
      <c r="Y80" s="8">
        <v>0</v>
      </c>
      <c r="Z80" s="7">
        <f>(X80)+(X80*Y80)</f>
        <v>0</v>
      </c>
      <c r="AA80" s="8">
        <f>IFERROR(((Z80-X80)/Z80),0)</f>
        <v>0</v>
      </c>
      <c r="AB80" s="8">
        <v>0.1</v>
      </c>
    </row>
    <row r="81" spans="1:28" x14ac:dyDescent="0.25">
      <c r="A81">
        <v>2026</v>
      </c>
      <c r="B81" t="s">
        <v>53</v>
      </c>
      <c r="C81" t="s">
        <v>43</v>
      </c>
      <c r="D81" t="s">
        <v>43</v>
      </c>
      <c r="G81" t="s">
        <v>43</v>
      </c>
      <c r="H81" t="s">
        <v>43</v>
      </c>
      <c r="I81" t="s">
        <v>46</v>
      </c>
      <c r="J81">
        <v>1</v>
      </c>
      <c r="K81" t="s">
        <v>33</v>
      </c>
      <c r="L81">
        <v>2000000</v>
      </c>
      <c r="M81" s="7">
        <v>2000000</v>
      </c>
      <c r="O81" s="7">
        <f t="shared" si="24"/>
        <v>2000000</v>
      </c>
      <c r="P81" s="7">
        <f t="shared" si="25"/>
        <v>0</v>
      </c>
      <c r="Q81" s="8">
        <v>0</v>
      </c>
      <c r="R81" s="7">
        <f t="shared" si="26"/>
        <v>2000000</v>
      </c>
      <c r="S81" s="10">
        <f>IFERROR(((R81-P81)/R81),0)</f>
        <v>1</v>
      </c>
      <c r="T81" s="7">
        <f t="shared" ref="T81:T82" si="27">IF(C81="Mediana Complejidad",M81,0)</f>
        <v>0</v>
      </c>
      <c r="U81" s="8">
        <v>0</v>
      </c>
      <c r="V81" s="7">
        <f t="shared" ref="V81:V82" si="28">(T81)+(T81*U81)</f>
        <v>0</v>
      </c>
      <c r="W81" s="8">
        <f t="shared" ref="W81:W82" si="29">IFERROR(((V81-T81)/V81),0)</f>
        <v>0</v>
      </c>
      <c r="X81" s="7">
        <f t="shared" ref="X81:X82" si="30">IF(C81="Baja Complejidad",M81,0)</f>
        <v>0</v>
      </c>
      <c r="Y81" s="8">
        <v>0</v>
      </c>
      <c r="Z81" s="7">
        <f t="shared" ref="Z81:Z82" si="31">(X81)+(X81*Y81)</f>
        <v>0</v>
      </c>
      <c r="AA81" s="8">
        <f t="shared" ref="AA81:AA82" si="32">IFERROR(((Z81-X81)/Z81),0)</f>
        <v>0</v>
      </c>
      <c r="AB81" s="8">
        <v>0.1</v>
      </c>
    </row>
    <row r="82" spans="1:28" x14ac:dyDescent="0.25">
      <c r="A82">
        <v>2026</v>
      </c>
      <c r="B82" t="s">
        <v>53</v>
      </c>
      <c r="C82" t="s">
        <v>43</v>
      </c>
      <c r="D82" t="s">
        <v>43</v>
      </c>
      <c r="G82" t="s">
        <v>43</v>
      </c>
      <c r="H82" t="s">
        <v>43</v>
      </c>
      <c r="I82" t="s">
        <v>47</v>
      </c>
      <c r="J82">
        <v>1</v>
      </c>
      <c r="K82" t="s">
        <v>33</v>
      </c>
      <c r="L82">
        <v>200000</v>
      </c>
      <c r="M82" s="7">
        <v>200000</v>
      </c>
      <c r="O82" s="7">
        <f t="shared" si="24"/>
        <v>200000</v>
      </c>
      <c r="P82" s="7">
        <f t="shared" si="25"/>
        <v>0</v>
      </c>
      <c r="Q82" s="8">
        <v>0</v>
      </c>
      <c r="R82" s="7">
        <f t="shared" si="26"/>
        <v>200000</v>
      </c>
      <c r="S82" s="10">
        <f>IFERROR(((R82-P82)/R82),0)</f>
        <v>1</v>
      </c>
      <c r="T82" s="7">
        <f t="shared" si="27"/>
        <v>0</v>
      </c>
      <c r="U82" s="8">
        <v>0</v>
      </c>
      <c r="V82" s="7">
        <f t="shared" si="28"/>
        <v>0</v>
      </c>
      <c r="W82" s="8">
        <f t="shared" si="29"/>
        <v>0</v>
      </c>
      <c r="X82" s="7">
        <f t="shared" si="30"/>
        <v>0</v>
      </c>
      <c r="Y82" s="8">
        <v>0</v>
      </c>
      <c r="Z82" s="7">
        <f t="shared" si="31"/>
        <v>0</v>
      </c>
      <c r="AA82" s="8">
        <f t="shared" si="32"/>
        <v>0</v>
      </c>
      <c r="AB82" s="8">
        <v>0.1</v>
      </c>
    </row>
    <row r="83" spans="1:28" x14ac:dyDescent="0.25">
      <c r="A83">
        <v>2026</v>
      </c>
      <c r="B83" t="s">
        <v>53</v>
      </c>
      <c r="C83" t="s">
        <v>29</v>
      </c>
      <c r="D83" t="s">
        <v>30</v>
      </c>
      <c r="F83">
        <v>600</v>
      </c>
      <c r="G83" t="s">
        <v>42</v>
      </c>
      <c r="H83" t="s">
        <v>42</v>
      </c>
      <c r="I83" t="s">
        <v>48</v>
      </c>
      <c r="J83">
        <v>60</v>
      </c>
      <c r="K83" t="s">
        <v>45</v>
      </c>
      <c r="L83">
        <v>35000</v>
      </c>
      <c r="M83" s="7">
        <f t="shared" ref="M83:M85" si="33">+L83*J83</f>
        <v>2100000</v>
      </c>
      <c r="O83" s="7">
        <f t="shared" si="24"/>
        <v>2100000</v>
      </c>
      <c r="P83" s="7">
        <f t="shared" si="25"/>
        <v>2100000</v>
      </c>
      <c r="Q83" s="8">
        <v>0</v>
      </c>
      <c r="R83" s="7">
        <f t="shared" si="26"/>
        <v>2100000</v>
      </c>
      <c r="S83" s="10">
        <f>IFERROR(((R83-P83)/R83),0)</f>
        <v>0</v>
      </c>
      <c r="T83" s="7">
        <f>IF(C83="Mediana Complejidad",M83,0)</f>
        <v>0</v>
      </c>
      <c r="U83" s="8">
        <v>0</v>
      </c>
      <c r="V83" s="7">
        <f>(T83)+(T83*U83)</f>
        <v>0</v>
      </c>
      <c r="W83" s="8">
        <f>IFERROR(((V83-T83)/V83),0)</f>
        <v>0</v>
      </c>
      <c r="X83" s="7">
        <f>IF(C83="Baja Complejidad",M83,0)</f>
        <v>0</v>
      </c>
      <c r="Y83" s="8">
        <v>0</v>
      </c>
      <c r="Z83" s="7">
        <f>(X83)+(X83*Y83)</f>
        <v>0</v>
      </c>
      <c r="AA83" s="8">
        <f>IFERROR(((Z83-X83)/Z83),0)</f>
        <v>0</v>
      </c>
      <c r="AB83" s="8">
        <v>0.1</v>
      </c>
    </row>
    <row r="84" spans="1:28" x14ac:dyDescent="0.25">
      <c r="A84">
        <v>2026</v>
      </c>
      <c r="B84" t="s">
        <v>53</v>
      </c>
      <c r="C84" t="s">
        <v>29</v>
      </c>
      <c r="D84" t="s">
        <v>30</v>
      </c>
      <c r="F84">
        <v>600</v>
      </c>
      <c r="G84" t="s">
        <v>42</v>
      </c>
      <c r="H84" t="s">
        <v>42</v>
      </c>
      <c r="I84" t="s">
        <v>49</v>
      </c>
      <c r="J84">
        <v>60</v>
      </c>
      <c r="K84" t="s">
        <v>45</v>
      </c>
      <c r="L84">
        <v>25000</v>
      </c>
      <c r="M84" s="7">
        <f t="shared" si="33"/>
        <v>1500000</v>
      </c>
      <c r="O84" s="7">
        <f t="shared" si="24"/>
        <v>1500000</v>
      </c>
      <c r="P84" s="7">
        <f t="shared" si="25"/>
        <v>1500000</v>
      </c>
      <c r="Q84" s="8">
        <v>0</v>
      </c>
      <c r="R84" s="7">
        <f t="shared" si="26"/>
        <v>1500000</v>
      </c>
      <c r="S84" s="10">
        <f>IFERROR(((R84-P84)/R84),0)</f>
        <v>0</v>
      </c>
      <c r="T84" s="7">
        <f>IF(C84="Mediana Complejidad",M84,0)</f>
        <v>0</v>
      </c>
      <c r="U84" s="8">
        <v>0</v>
      </c>
      <c r="V84" s="7">
        <f>(T84)+(T84*U84)</f>
        <v>0</v>
      </c>
      <c r="W84" s="8">
        <f>IFERROR(((V84-T84)/V84),0)</f>
        <v>0</v>
      </c>
      <c r="X84" s="7">
        <f>IF(C84="Baja Complejidad",M84,0)</f>
        <v>0</v>
      </c>
      <c r="Y84" s="8">
        <v>0</v>
      </c>
      <c r="Z84" s="7">
        <f>(X84)+(X84*Y84)</f>
        <v>0</v>
      </c>
      <c r="AA84" s="8">
        <f>IFERROR(((Z84-X84)/Z84),0)</f>
        <v>0</v>
      </c>
      <c r="AB84" s="8">
        <v>0.1</v>
      </c>
    </row>
    <row r="85" spans="1:28" x14ac:dyDescent="0.25">
      <c r="A85">
        <v>2026</v>
      </c>
      <c r="B85" t="s">
        <v>53</v>
      </c>
      <c r="C85" t="s">
        <v>29</v>
      </c>
      <c r="D85" t="s">
        <v>30</v>
      </c>
      <c r="F85">
        <v>600</v>
      </c>
      <c r="G85" t="s">
        <v>42</v>
      </c>
      <c r="H85" t="s">
        <v>42</v>
      </c>
      <c r="I85" t="s">
        <v>50</v>
      </c>
      <c r="J85">
        <v>60</v>
      </c>
      <c r="K85" t="s">
        <v>45</v>
      </c>
      <c r="L85">
        <v>20000</v>
      </c>
      <c r="M85" s="7">
        <f t="shared" si="33"/>
        <v>1200000</v>
      </c>
      <c r="O85" s="7">
        <f t="shared" si="24"/>
        <v>1200000</v>
      </c>
      <c r="P85" s="7">
        <f t="shared" si="25"/>
        <v>1200000</v>
      </c>
      <c r="Q85" s="8">
        <v>0</v>
      </c>
      <c r="R85" s="7">
        <f t="shared" si="26"/>
        <v>1200000</v>
      </c>
      <c r="S85" s="10">
        <f>IFERROR(((R85-P85)/R85),0)</f>
        <v>0</v>
      </c>
      <c r="T85" s="7">
        <f>IF(C85="Mediana Complejidad",M85,0)</f>
        <v>0</v>
      </c>
      <c r="U85" s="8">
        <v>0</v>
      </c>
      <c r="V85" s="7">
        <f>(T85)+(T85*U85)</f>
        <v>0</v>
      </c>
      <c r="W85" s="8">
        <f>IFERROR(((V85-T85)/V85),0)</f>
        <v>0</v>
      </c>
      <c r="X85" s="7">
        <f>IF(C85="Baja Complejidad",M85,0)</f>
        <v>0</v>
      </c>
      <c r="Y85" s="8">
        <v>0</v>
      </c>
      <c r="Z85" s="7">
        <f>(X85)+(X85*Y85)</f>
        <v>0</v>
      </c>
      <c r="AA85" s="8">
        <f>IFERROR(((Z85-X85)/Z85),0)</f>
        <v>0</v>
      </c>
      <c r="AB85" s="8">
        <v>0.1</v>
      </c>
    </row>
    <row r="86" spans="1:28" x14ac:dyDescent="0.25">
      <c r="A86">
        <v>2026</v>
      </c>
      <c r="B86" t="s">
        <v>54</v>
      </c>
      <c r="C86" t="s">
        <v>29</v>
      </c>
      <c r="D86" t="s">
        <v>30</v>
      </c>
      <c r="E86" t="s">
        <v>85</v>
      </c>
      <c r="G86" t="s">
        <v>31</v>
      </c>
      <c r="H86" t="s">
        <v>31</v>
      </c>
      <c r="I86" t="s">
        <v>32</v>
      </c>
      <c r="J86">
        <v>4</v>
      </c>
      <c r="K86" t="s">
        <v>33</v>
      </c>
      <c r="L86">
        <v>266</v>
      </c>
      <c r="M86" s="7">
        <v>1064</v>
      </c>
      <c r="O86" s="7">
        <f t="shared" si="24"/>
        <v>1064</v>
      </c>
      <c r="P86" s="7">
        <f t="shared" si="25"/>
        <v>1064</v>
      </c>
      <c r="Q86" s="8">
        <v>0</v>
      </c>
      <c r="R86" s="7">
        <f t="shared" si="26"/>
        <v>1064</v>
      </c>
      <c r="S86" s="10">
        <f>IFERROR(((R86-P86)/R86),0)</f>
        <v>0</v>
      </c>
      <c r="T86" s="7">
        <f>IF(C86="Mediana Complejidad",M86,0)</f>
        <v>0</v>
      </c>
      <c r="U86" s="8">
        <v>0</v>
      </c>
      <c r="V86" s="7">
        <f>(T86)+(T86*U86)</f>
        <v>0</v>
      </c>
      <c r="W86" s="8">
        <f>IFERROR(((V86-T86)/V86),0)</f>
        <v>0</v>
      </c>
      <c r="X86" s="7">
        <f>IF(C86="Baja Complejidad",M86,0)</f>
        <v>0</v>
      </c>
      <c r="Y86" s="8">
        <v>0</v>
      </c>
      <c r="Z86" s="7">
        <f>(X86)+(X86*Y86)</f>
        <v>0</v>
      </c>
      <c r="AA86" s="8">
        <f>IFERROR(((Z86-X86)/Z86),0)</f>
        <v>0</v>
      </c>
      <c r="AB86" s="8">
        <v>0.1</v>
      </c>
    </row>
    <row r="87" spans="1:28" x14ac:dyDescent="0.25">
      <c r="A87">
        <v>2026</v>
      </c>
      <c r="B87" t="s">
        <v>54</v>
      </c>
      <c r="C87" t="s">
        <v>29</v>
      </c>
      <c r="D87" t="s">
        <v>30</v>
      </c>
      <c r="E87" t="s">
        <v>86</v>
      </c>
      <c r="G87" t="s">
        <v>31</v>
      </c>
      <c r="H87" t="s">
        <v>31</v>
      </c>
      <c r="I87" t="s">
        <v>34</v>
      </c>
      <c r="J87">
        <v>2</v>
      </c>
      <c r="K87" t="s">
        <v>33</v>
      </c>
      <c r="L87">
        <v>1086.232</v>
      </c>
      <c r="M87" s="7">
        <v>2172.4639999999999</v>
      </c>
      <c r="O87" s="7">
        <f t="shared" si="24"/>
        <v>2172.4639999999999</v>
      </c>
      <c r="P87" s="7">
        <f t="shared" si="25"/>
        <v>2172.4639999999999</v>
      </c>
      <c r="Q87" s="8">
        <v>0</v>
      </c>
      <c r="R87" s="7">
        <f t="shared" si="26"/>
        <v>2172.4639999999999</v>
      </c>
      <c r="S87" s="10">
        <f>IFERROR(((R87-P87)/R87),0)</f>
        <v>0</v>
      </c>
      <c r="T87" s="7">
        <f>IF(C87="Mediana Complejidad",M87,0)</f>
        <v>0</v>
      </c>
      <c r="U87" s="8">
        <v>0</v>
      </c>
      <c r="V87" s="7">
        <f>(T87)+(T87*U87)</f>
        <v>0</v>
      </c>
      <c r="W87" s="8">
        <f>IFERROR(((V87-T87)/V87),0)</f>
        <v>0</v>
      </c>
      <c r="X87" s="7">
        <f>IF(C87="Baja Complejidad",M87,0)</f>
        <v>0</v>
      </c>
      <c r="Y87" s="8">
        <v>0</v>
      </c>
      <c r="Z87" s="7">
        <f>(X87)+(X87*Y87)</f>
        <v>0</v>
      </c>
      <c r="AA87" s="8">
        <f>IFERROR(((Z87-X87)/Z87),0)</f>
        <v>0</v>
      </c>
      <c r="AB87" s="8">
        <v>0.1</v>
      </c>
    </row>
    <row r="88" spans="1:28" x14ac:dyDescent="0.25">
      <c r="A88">
        <v>2026</v>
      </c>
      <c r="B88" t="s">
        <v>54</v>
      </c>
      <c r="C88" t="s">
        <v>29</v>
      </c>
      <c r="D88" t="s">
        <v>30</v>
      </c>
      <c r="E88" t="s">
        <v>87</v>
      </c>
      <c r="G88" t="s">
        <v>31</v>
      </c>
      <c r="H88" t="s">
        <v>31</v>
      </c>
      <c r="I88" t="s">
        <v>35</v>
      </c>
      <c r="J88">
        <v>10</v>
      </c>
      <c r="K88" t="s">
        <v>33</v>
      </c>
      <c r="L88">
        <v>370</v>
      </c>
      <c r="M88" s="7">
        <v>3700</v>
      </c>
      <c r="O88" s="7">
        <f t="shared" si="24"/>
        <v>3700</v>
      </c>
      <c r="P88" s="7">
        <f t="shared" si="25"/>
        <v>3700</v>
      </c>
      <c r="Q88" s="8">
        <v>0</v>
      </c>
      <c r="R88" s="7">
        <f t="shared" si="26"/>
        <v>3700</v>
      </c>
      <c r="S88" s="10">
        <f>IFERROR(((R88-P88)/R88),0)</f>
        <v>0</v>
      </c>
      <c r="T88" s="7">
        <f>IF(C88="Mediana Complejidad",M88,0)</f>
        <v>0</v>
      </c>
      <c r="U88" s="8">
        <v>0</v>
      </c>
      <c r="V88" s="7">
        <f>(T88)+(T88*U88)</f>
        <v>0</v>
      </c>
      <c r="W88" s="8">
        <f>IFERROR(((V88-T88)/V88),0)</f>
        <v>0</v>
      </c>
      <c r="X88" s="7">
        <f>IF(C88="Baja Complejidad",M88,0)</f>
        <v>0</v>
      </c>
      <c r="Y88" s="8">
        <v>0</v>
      </c>
      <c r="Z88" s="7">
        <f>(X88)+(X88*Y88)</f>
        <v>0</v>
      </c>
      <c r="AA88" s="8">
        <f>IFERROR(((Z88-X88)/Z88),0)</f>
        <v>0</v>
      </c>
      <c r="AB88" s="8">
        <v>0.1</v>
      </c>
    </row>
    <row r="89" spans="1:28" x14ac:dyDescent="0.25">
      <c r="A89">
        <v>2026</v>
      </c>
      <c r="B89" t="s">
        <v>54</v>
      </c>
      <c r="C89" t="s">
        <v>29</v>
      </c>
      <c r="D89" t="s">
        <v>30</v>
      </c>
      <c r="E89" t="s">
        <v>88</v>
      </c>
      <c r="G89" t="s">
        <v>31</v>
      </c>
      <c r="H89" t="s">
        <v>31</v>
      </c>
      <c r="I89" t="s">
        <v>36</v>
      </c>
      <c r="J89">
        <v>2</v>
      </c>
      <c r="K89" t="s">
        <v>33</v>
      </c>
      <c r="L89">
        <v>2643</v>
      </c>
      <c r="M89" s="7">
        <v>5286</v>
      </c>
      <c r="O89" s="7">
        <f t="shared" si="24"/>
        <v>5286</v>
      </c>
      <c r="P89" s="7">
        <f t="shared" si="25"/>
        <v>5286</v>
      </c>
      <c r="Q89" s="8">
        <v>0</v>
      </c>
      <c r="R89" s="7">
        <f t="shared" si="26"/>
        <v>5286</v>
      </c>
      <c r="S89" s="10">
        <f>IFERROR(((R89-P89)/R89),0)</f>
        <v>0</v>
      </c>
      <c r="T89" s="7">
        <f>IF(C89="Mediana Complejidad",M89,0)</f>
        <v>0</v>
      </c>
      <c r="U89" s="8">
        <v>0</v>
      </c>
      <c r="V89" s="7">
        <f>(T89)+(T89*U89)</f>
        <v>0</v>
      </c>
      <c r="W89" s="8">
        <f>IFERROR(((V89-T89)/V89),0)</f>
        <v>0</v>
      </c>
      <c r="X89" s="7">
        <f>IF(C89="Baja Complejidad",M89,0)</f>
        <v>0</v>
      </c>
      <c r="Y89" s="8">
        <v>0</v>
      </c>
      <c r="Z89" s="7">
        <f>(X89)+(X89*Y89)</f>
        <v>0</v>
      </c>
      <c r="AA89" s="8">
        <f>IFERROR(((Z89-X89)/Z89),0)</f>
        <v>0</v>
      </c>
      <c r="AB89" s="8">
        <v>0.1</v>
      </c>
    </row>
    <row r="90" spans="1:28" x14ac:dyDescent="0.25">
      <c r="A90">
        <v>2026</v>
      </c>
      <c r="B90" t="s">
        <v>54</v>
      </c>
      <c r="C90" t="s">
        <v>29</v>
      </c>
      <c r="D90" t="s">
        <v>30</v>
      </c>
      <c r="E90" t="s">
        <v>89</v>
      </c>
      <c r="G90" t="s">
        <v>31</v>
      </c>
      <c r="H90" t="s">
        <v>31</v>
      </c>
      <c r="I90" t="s">
        <v>37</v>
      </c>
      <c r="J90">
        <v>5</v>
      </c>
      <c r="K90" t="s">
        <v>33</v>
      </c>
      <c r="L90">
        <v>135.66</v>
      </c>
      <c r="M90" s="7">
        <v>678.3</v>
      </c>
      <c r="O90" s="7">
        <f t="shared" si="24"/>
        <v>678.3</v>
      </c>
      <c r="P90" s="7">
        <f t="shared" si="25"/>
        <v>678.3</v>
      </c>
      <c r="Q90" s="8">
        <v>0</v>
      </c>
      <c r="R90" s="7">
        <f t="shared" si="26"/>
        <v>678.3</v>
      </c>
      <c r="S90" s="10">
        <f>IFERROR(((R90-P90)/R90),0)</f>
        <v>0</v>
      </c>
      <c r="T90" s="7">
        <f>IF(C90="Mediana Complejidad",M90,0)</f>
        <v>0</v>
      </c>
      <c r="U90" s="8">
        <v>0</v>
      </c>
      <c r="V90" s="7">
        <f>(T90)+(T90*U90)</f>
        <v>0</v>
      </c>
      <c r="W90" s="8">
        <f>IFERROR(((V90-T90)/V90),0)</f>
        <v>0</v>
      </c>
      <c r="X90" s="7">
        <f>IF(C90="Baja Complejidad",M90,0)</f>
        <v>0</v>
      </c>
      <c r="Y90" s="8">
        <v>0</v>
      </c>
      <c r="Z90" s="7">
        <f>(X90)+(X90*Y90)</f>
        <v>0</v>
      </c>
      <c r="AA90" s="8">
        <f>IFERROR(((Z90-X90)/Z90),0)</f>
        <v>0</v>
      </c>
      <c r="AB90" s="8">
        <v>0.1</v>
      </c>
    </row>
    <row r="91" spans="1:28" x14ac:dyDescent="0.25">
      <c r="A91">
        <v>2026</v>
      </c>
      <c r="B91" t="s">
        <v>54</v>
      </c>
      <c r="C91" t="s">
        <v>29</v>
      </c>
      <c r="D91" t="s">
        <v>30</v>
      </c>
      <c r="E91" t="s">
        <v>90</v>
      </c>
      <c r="G91" t="s">
        <v>31</v>
      </c>
      <c r="H91" t="s">
        <v>31</v>
      </c>
      <c r="I91" t="s">
        <v>38</v>
      </c>
      <c r="J91">
        <v>2</v>
      </c>
      <c r="K91" t="s">
        <v>33</v>
      </c>
      <c r="L91">
        <v>3808</v>
      </c>
      <c r="M91" s="7">
        <v>7616</v>
      </c>
      <c r="O91" s="7">
        <f t="shared" si="24"/>
        <v>7616</v>
      </c>
      <c r="P91" s="7">
        <f t="shared" si="25"/>
        <v>7616</v>
      </c>
      <c r="Q91" s="8">
        <v>0</v>
      </c>
      <c r="R91" s="7">
        <f t="shared" si="26"/>
        <v>7616</v>
      </c>
      <c r="S91" s="10">
        <f>IFERROR(((R91-P91)/R91),0)</f>
        <v>0</v>
      </c>
      <c r="T91" s="7">
        <f>IF(C91="Mediana Complejidad",M91,0)</f>
        <v>0</v>
      </c>
      <c r="U91" s="8">
        <v>0</v>
      </c>
      <c r="V91" s="7">
        <f>(T91)+(T91*U91)</f>
        <v>0</v>
      </c>
      <c r="W91" s="8">
        <f>IFERROR(((V91-T91)/V91),0)</f>
        <v>0</v>
      </c>
      <c r="X91" s="7">
        <f>IF(C91="Baja Complejidad",M91,0)</f>
        <v>0</v>
      </c>
      <c r="Y91" s="8">
        <v>0</v>
      </c>
      <c r="Z91" s="7">
        <f>(X91)+(X91*Y91)</f>
        <v>0</v>
      </c>
      <c r="AA91" s="8">
        <f>IFERROR(((Z91-X91)/Z91),0)</f>
        <v>0</v>
      </c>
      <c r="AB91" s="8">
        <v>0.1</v>
      </c>
    </row>
    <row r="92" spans="1:28" x14ac:dyDescent="0.25">
      <c r="A92">
        <v>2026</v>
      </c>
      <c r="B92" t="s">
        <v>54</v>
      </c>
      <c r="C92" t="s">
        <v>29</v>
      </c>
      <c r="D92" t="s">
        <v>30</v>
      </c>
      <c r="E92" t="s">
        <v>91</v>
      </c>
      <c r="G92" t="s">
        <v>31</v>
      </c>
      <c r="H92" t="s">
        <v>31</v>
      </c>
      <c r="I92" t="s">
        <v>39</v>
      </c>
      <c r="J92">
        <v>2</v>
      </c>
      <c r="K92" t="s">
        <v>33</v>
      </c>
      <c r="L92">
        <v>111.86</v>
      </c>
      <c r="M92" s="7">
        <v>223.72</v>
      </c>
      <c r="O92" s="7">
        <f t="shared" si="24"/>
        <v>223.72</v>
      </c>
      <c r="P92" s="7">
        <f t="shared" si="25"/>
        <v>223.72</v>
      </c>
      <c r="Q92" s="8">
        <v>0</v>
      </c>
      <c r="R92" s="7">
        <f t="shared" si="26"/>
        <v>223.72</v>
      </c>
      <c r="S92" s="10">
        <f>IFERROR(((R92-P92)/R92),0)</f>
        <v>0</v>
      </c>
      <c r="T92" s="7">
        <f>IF(C92="Mediana Complejidad",M92,0)</f>
        <v>0</v>
      </c>
      <c r="U92" s="8">
        <v>0</v>
      </c>
      <c r="V92" s="7">
        <f>(T92)+(T92*U92)</f>
        <v>0</v>
      </c>
      <c r="W92" s="8">
        <f>IFERROR(((V92-T92)/V92),0)</f>
        <v>0</v>
      </c>
      <c r="X92" s="7">
        <f>IF(C92="Baja Complejidad",M92,0)</f>
        <v>0</v>
      </c>
      <c r="Y92" s="8">
        <v>0</v>
      </c>
      <c r="Z92" s="7">
        <f>(X92)+(X92*Y92)</f>
        <v>0</v>
      </c>
      <c r="AA92" s="8">
        <f>IFERROR(((Z92-X92)/Z92),0)</f>
        <v>0</v>
      </c>
      <c r="AB92" s="8">
        <v>0.1</v>
      </c>
    </row>
    <row r="93" spans="1:28" x14ac:dyDescent="0.25">
      <c r="A93">
        <v>2026</v>
      </c>
      <c r="B93" t="s">
        <v>54</v>
      </c>
      <c r="C93" t="s">
        <v>29</v>
      </c>
      <c r="D93" t="s">
        <v>30</v>
      </c>
      <c r="E93" t="s">
        <v>92</v>
      </c>
      <c r="G93" t="s">
        <v>31</v>
      </c>
      <c r="H93" t="s">
        <v>31</v>
      </c>
      <c r="I93" t="s">
        <v>64</v>
      </c>
      <c r="J93">
        <v>10</v>
      </c>
      <c r="K93" t="s">
        <v>33</v>
      </c>
      <c r="L93">
        <v>80300</v>
      </c>
      <c r="M93" s="7">
        <v>3212</v>
      </c>
      <c r="O93" s="7">
        <f t="shared" si="24"/>
        <v>3212</v>
      </c>
      <c r="P93" s="7">
        <f t="shared" si="25"/>
        <v>3212</v>
      </c>
      <c r="Q93" s="8">
        <v>0</v>
      </c>
      <c r="R93" s="7">
        <f t="shared" si="26"/>
        <v>3212</v>
      </c>
      <c r="S93" s="10">
        <f>IFERROR(((R93-P93)/R93),0)</f>
        <v>0</v>
      </c>
      <c r="T93" s="7">
        <f>IF(C93="Mediana Complejidad",M93,0)</f>
        <v>0</v>
      </c>
      <c r="U93" s="8">
        <v>0</v>
      </c>
      <c r="V93" s="7">
        <f>(T93)+(T93*U93)</f>
        <v>0</v>
      </c>
      <c r="W93" s="8">
        <f>IFERROR(((V93-T93)/V93),0)</f>
        <v>0</v>
      </c>
      <c r="X93" s="7">
        <f>IF(C93="Baja Complejidad",M93,0)</f>
        <v>0</v>
      </c>
      <c r="Y93" s="8">
        <v>0</v>
      </c>
      <c r="Z93" s="7">
        <f>(X93)+(X93*Y93)</f>
        <v>0</v>
      </c>
      <c r="AA93" s="8">
        <f>IFERROR(((Z93-X93)/Z93),0)</f>
        <v>0</v>
      </c>
      <c r="AB93" s="8">
        <v>0.1</v>
      </c>
    </row>
    <row r="94" spans="1:28" x14ac:dyDescent="0.25">
      <c r="A94">
        <v>2026</v>
      </c>
      <c r="B94" t="s">
        <v>54</v>
      </c>
      <c r="C94" t="s">
        <v>29</v>
      </c>
      <c r="D94" t="s">
        <v>30</v>
      </c>
      <c r="E94" t="s">
        <v>93</v>
      </c>
      <c r="G94" t="s">
        <v>31</v>
      </c>
      <c r="H94" t="s">
        <v>31</v>
      </c>
      <c r="I94" t="s">
        <v>40</v>
      </c>
      <c r="J94">
        <v>5</v>
      </c>
      <c r="K94" t="s">
        <v>33</v>
      </c>
      <c r="L94">
        <v>17888.080000000002</v>
      </c>
      <c r="M94" s="7">
        <v>89440.400000000009</v>
      </c>
      <c r="O94" s="7">
        <f t="shared" si="24"/>
        <v>89440.400000000009</v>
      </c>
      <c r="P94" s="7">
        <f t="shared" si="25"/>
        <v>89440.400000000009</v>
      </c>
      <c r="Q94" s="8">
        <v>0</v>
      </c>
      <c r="R94" s="7">
        <f t="shared" si="26"/>
        <v>89440.400000000009</v>
      </c>
      <c r="S94" s="10">
        <f>IFERROR(((R94-P94)/R94),0)</f>
        <v>0</v>
      </c>
      <c r="T94" s="7">
        <f>IF(C94="Mediana Complejidad",M94,0)</f>
        <v>0</v>
      </c>
      <c r="U94" s="8">
        <v>0</v>
      </c>
      <c r="V94" s="7">
        <f>(T94)+(T94*U94)</f>
        <v>0</v>
      </c>
      <c r="W94" s="8">
        <f>IFERROR(((V94-T94)/V94),0)</f>
        <v>0</v>
      </c>
      <c r="X94" s="7">
        <f>IF(C94="Baja Complejidad",M94,0)</f>
        <v>0</v>
      </c>
      <c r="Y94" s="8">
        <v>0</v>
      </c>
      <c r="Z94" s="7">
        <f>(X94)+(X94*Y94)</f>
        <v>0</v>
      </c>
      <c r="AA94" s="8">
        <f>IFERROR(((Z94-X94)/Z94),0)</f>
        <v>0</v>
      </c>
      <c r="AB94" s="8">
        <v>0.1</v>
      </c>
    </row>
    <row r="95" spans="1:28" x14ac:dyDescent="0.25">
      <c r="A95">
        <v>2026</v>
      </c>
      <c r="B95" t="s">
        <v>54</v>
      </c>
      <c r="C95" t="s">
        <v>29</v>
      </c>
      <c r="D95" t="s">
        <v>30</v>
      </c>
      <c r="E95" t="s">
        <v>94</v>
      </c>
      <c r="G95" t="s">
        <v>31</v>
      </c>
      <c r="H95" t="s">
        <v>31</v>
      </c>
      <c r="I95" t="s">
        <v>41</v>
      </c>
      <c r="J95">
        <v>2</v>
      </c>
      <c r="K95" t="s">
        <v>33</v>
      </c>
      <c r="L95">
        <v>337.3837894736842</v>
      </c>
      <c r="M95" s="7">
        <v>674.76757894736841</v>
      </c>
      <c r="O95" s="7">
        <f t="shared" si="24"/>
        <v>674.76757894736841</v>
      </c>
      <c r="P95" s="7">
        <f t="shared" si="25"/>
        <v>674.76757894736841</v>
      </c>
      <c r="Q95" s="8">
        <v>0</v>
      </c>
      <c r="R95" s="7">
        <f t="shared" si="26"/>
        <v>674.76757894736841</v>
      </c>
      <c r="S95" s="10">
        <f>IFERROR(((R95-P95)/R95),0)</f>
        <v>0</v>
      </c>
      <c r="T95" s="7">
        <f>IF(C95="Mediana Complejidad",M95,0)</f>
        <v>0</v>
      </c>
      <c r="U95" s="8">
        <v>0</v>
      </c>
      <c r="V95" s="7">
        <f>(T95)+(T95*U95)</f>
        <v>0</v>
      </c>
      <c r="W95" s="8">
        <f>IFERROR(((V95-T95)/V95),0)</f>
        <v>0</v>
      </c>
      <c r="X95" s="7">
        <f>IF(C95="Baja Complejidad",M95,0)</f>
        <v>0</v>
      </c>
      <c r="Y95" s="8">
        <v>0</v>
      </c>
      <c r="Z95" s="7">
        <f>(X95)+(X95*Y95)</f>
        <v>0</v>
      </c>
      <c r="AA95" s="8">
        <f>IFERROR(((Z95-X95)/Z95),0)</f>
        <v>0</v>
      </c>
      <c r="AB95" s="8">
        <v>0.1</v>
      </c>
    </row>
    <row r="96" spans="1:28" x14ac:dyDescent="0.25">
      <c r="A96">
        <v>2026</v>
      </c>
      <c r="B96" t="s">
        <v>54</v>
      </c>
      <c r="C96" t="s">
        <v>29</v>
      </c>
      <c r="D96" t="s">
        <v>30</v>
      </c>
      <c r="E96" t="s">
        <v>95</v>
      </c>
      <c r="G96" t="s">
        <v>31</v>
      </c>
      <c r="H96" t="s">
        <v>31</v>
      </c>
      <c r="I96" t="s">
        <v>83</v>
      </c>
      <c r="J96">
        <v>2</v>
      </c>
      <c r="K96" t="s">
        <v>33</v>
      </c>
      <c r="L96">
        <v>67900</v>
      </c>
      <c r="M96" s="7">
        <v>13580</v>
      </c>
      <c r="O96" s="7">
        <f t="shared" si="24"/>
        <v>13580</v>
      </c>
      <c r="P96" s="7">
        <f t="shared" si="25"/>
        <v>13580</v>
      </c>
      <c r="Q96" s="8">
        <v>0</v>
      </c>
      <c r="R96" s="7">
        <f t="shared" si="26"/>
        <v>13580</v>
      </c>
      <c r="S96" s="10">
        <f>IFERROR(((R96-P96)/R96),0)</f>
        <v>0</v>
      </c>
      <c r="T96" s="7">
        <f>IF(C96="Mediana Complejidad",M96,0)</f>
        <v>0</v>
      </c>
      <c r="U96" s="8">
        <v>0</v>
      </c>
      <c r="V96" s="7">
        <f>(T96)+(T96*U96)</f>
        <v>0</v>
      </c>
      <c r="W96" s="8">
        <f>IFERROR(((V96-T96)/V96),0)</f>
        <v>0</v>
      </c>
      <c r="X96" s="7">
        <f>IF(C96="Baja Complejidad",M96,0)</f>
        <v>0</v>
      </c>
      <c r="Y96" s="8">
        <v>0</v>
      </c>
      <c r="Z96" s="7">
        <f>(X96)+(X96*Y96)</f>
        <v>0</v>
      </c>
      <c r="AA96" s="8">
        <f>IFERROR(((Z96-X96)/Z96),0)</f>
        <v>0</v>
      </c>
      <c r="AB96" s="8">
        <v>0.1</v>
      </c>
    </row>
    <row r="97" spans="1:28" x14ac:dyDescent="0.25">
      <c r="A97">
        <v>2026</v>
      </c>
      <c r="B97" t="s">
        <v>54</v>
      </c>
      <c r="C97" t="s">
        <v>29</v>
      </c>
      <c r="D97" t="s">
        <v>30</v>
      </c>
      <c r="E97" t="s">
        <v>96</v>
      </c>
      <c r="G97" t="s">
        <v>31</v>
      </c>
      <c r="H97" t="s">
        <v>31</v>
      </c>
      <c r="I97" t="s">
        <v>84</v>
      </c>
      <c r="J97">
        <v>2</v>
      </c>
      <c r="K97" t="s">
        <v>33</v>
      </c>
      <c r="L97">
        <v>50300</v>
      </c>
      <c r="M97" s="7">
        <v>10060</v>
      </c>
      <c r="O97" s="7">
        <f t="shared" si="24"/>
        <v>10060</v>
      </c>
      <c r="P97" s="7">
        <f t="shared" si="25"/>
        <v>10060</v>
      </c>
      <c r="Q97" s="8">
        <v>0</v>
      </c>
      <c r="R97" s="7">
        <f t="shared" si="26"/>
        <v>10060</v>
      </c>
      <c r="S97" s="10">
        <f>IFERROR(((R97-P97)/R97),0)</f>
        <v>0</v>
      </c>
      <c r="T97" s="7">
        <f>IF(C97="Mediana Complejidad",M97,0)</f>
        <v>0</v>
      </c>
      <c r="U97" s="8">
        <v>0</v>
      </c>
      <c r="V97" s="7">
        <f>(T97)+(T97*U97)</f>
        <v>0</v>
      </c>
      <c r="W97" s="8">
        <f>IFERROR(((V97-T97)/V97),0)</f>
        <v>0</v>
      </c>
      <c r="X97" s="7">
        <f>IF(C97="Baja Complejidad",M97,0)</f>
        <v>0</v>
      </c>
      <c r="Y97" s="8">
        <v>0</v>
      </c>
      <c r="Z97" s="7">
        <f>(X97)+(X97*Y97)</f>
        <v>0</v>
      </c>
      <c r="AA97" s="8">
        <f>IFERROR(((Z97-X97)/Z97),0)</f>
        <v>0</v>
      </c>
      <c r="AB97" s="8">
        <v>0.1</v>
      </c>
    </row>
    <row r="98" spans="1:28" x14ac:dyDescent="0.25">
      <c r="A98">
        <v>2026</v>
      </c>
      <c r="B98" t="s">
        <v>54</v>
      </c>
      <c r="C98" t="s">
        <v>29</v>
      </c>
      <c r="D98" t="s">
        <v>30</v>
      </c>
      <c r="E98" t="s">
        <v>97</v>
      </c>
      <c r="G98" t="s">
        <v>31</v>
      </c>
      <c r="H98" t="s">
        <v>31</v>
      </c>
      <c r="I98" t="s">
        <v>82</v>
      </c>
      <c r="J98">
        <v>2</v>
      </c>
      <c r="K98" t="s">
        <v>33</v>
      </c>
      <c r="L98">
        <v>43500</v>
      </c>
      <c r="M98" s="7">
        <v>7250</v>
      </c>
      <c r="O98" s="7">
        <f t="shared" si="24"/>
        <v>7250</v>
      </c>
      <c r="P98" s="7">
        <f t="shared" si="25"/>
        <v>7250</v>
      </c>
      <c r="Q98" s="8">
        <v>0</v>
      </c>
      <c r="R98" s="7">
        <f t="shared" si="26"/>
        <v>7250</v>
      </c>
      <c r="S98" s="10">
        <f>IFERROR(((R98-P98)/R98),0)</f>
        <v>0</v>
      </c>
      <c r="T98" s="7">
        <f>IF(C98="Mediana Complejidad",M98,0)</f>
        <v>0</v>
      </c>
      <c r="U98" s="8">
        <v>0</v>
      </c>
      <c r="V98" s="7">
        <f>(T98)+(T98*U98)</f>
        <v>0</v>
      </c>
      <c r="W98" s="8">
        <f>IFERROR(((V98-T98)/V98),0)</f>
        <v>0</v>
      </c>
      <c r="X98" s="7">
        <f>IF(C98="Baja Complejidad",M98,0)</f>
        <v>0</v>
      </c>
      <c r="Y98" s="8">
        <v>0</v>
      </c>
      <c r="Z98" s="7">
        <f>(X98)+(X98*Y98)</f>
        <v>0</v>
      </c>
      <c r="AA98" s="8">
        <f>IFERROR(((Z98-X98)/Z98),0)</f>
        <v>0</v>
      </c>
      <c r="AB98" s="8">
        <v>0.1</v>
      </c>
    </row>
    <row r="99" spans="1:28" x14ac:dyDescent="0.25">
      <c r="A99">
        <v>2026</v>
      </c>
      <c r="B99" t="s">
        <v>54</v>
      </c>
      <c r="C99" t="s">
        <v>29</v>
      </c>
      <c r="D99" t="s">
        <v>30</v>
      </c>
      <c r="F99">
        <v>1800</v>
      </c>
      <c r="G99" t="s">
        <v>42</v>
      </c>
      <c r="H99" t="s">
        <v>42</v>
      </c>
      <c r="I99" t="s">
        <v>62</v>
      </c>
      <c r="J99">
        <v>60</v>
      </c>
      <c r="K99" t="s">
        <v>45</v>
      </c>
      <c r="L99" s="12">
        <v>20894.400000000001</v>
      </c>
      <c r="M99" s="7">
        <f>+L99*J99</f>
        <v>1253664</v>
      </c>
      <c r="O99" s="7">
        <f t="shared" si="24"/>
        <v>1253664</v>
      </c>
      <c r="P99" s="7">
        <f t="shared" si="25"/>
        <v>1253664</v>
      </c>
      <c r="Q99" s="8">
        <v>0</v>
      </c>
      <c r="R99" s="7">
        <f t="shared" si="26"/>
        <v>1253664</v>
      </c>
      <c r="S99" s="10">
        <f>IFERROR(((R99-P99)/R99),0)</f>
        <v>0</v>
      </c>
      <c r="T99" s="7">
        <f>IF(C99="Mediana Complejidad",M99,0)</f>
        <v>0</v>
      </c>
      <c r="U99" s="8">
        <v>0</v>
      </c>
      <c r="V99" s="7">
        <f>(T99)+(T99*U99)</f>
        <v>0</v>
      </c>
      <c r="W99" s="8">
        <f>IFERROR(((V99-T99)/V99),0)</f>
        <v>0</v>
      </c>
      <c r="X99" s="7">
        <f>IF(C99="Baja Complejidad",M99,0)</f>
        <v>0</v>
      </c>
      <c r="Y99" s="8">
        <v>0</v>
      </c>
      <c r="Z99" s="7">
        <f>(X99)+(X99*Y99)</f>
        <v>0</v>
      </c>
      <c r="AA99" s="8">
        <f>IFERROR(((Z99-X99)/Z99),0)</f>
        <v>0</v>
      </c>
      <c r="AB99" s="8">
        <v>0.1</v>
      </c>
    </row>
    <row r="100" spans="1:28" x14ac:dyDescent="0.25">
      <c r="A100">
        <v>2026</v>
      </c>
      <c r="B100" t="s">
        <v>54</v>
      </c>
      <c r="C100" t="s">
        <v>29</v>
      </c>
      <c r="D100" t="s">
        <v>30</v>
      </c>
      <c r="F100">
        <v>900</v>
      </c>
      <c r="G100" t="s">
        <v>42</v>
      </c>
      <c r="H100" t="s">
        <v>42</v>
      </c>
      <c r="I100" t="s">
        <v>59</v>
      </c>
      <c r="J100">
        <v>60</v>
      </c>
      <c r="K100" t="s">
        <v>45</v>
      </c>
      <c r="L100" s="12">
        <v>6048.3</v>
      </c>
      <c r="M100" s="7">
        <f>+L100*J100</f>
        <v>362898</v>
      </c>
      <c r="O100" s="7">
        <f t="shared" si="24"/>
        <v>362898</v>
      </c>
      <c r="P100" s="7">
        <f t="shared" si="25"/>
        <v>362898</v>
      </c>
      <c r="Q100" s="8">
        <v>0</v>
      </c>
      <c r="R100" s="7">
        <f t="shared" si="26"/>
        <v>362898</v>
      </c>
      <c r="S100" s="10">
        <f>IFERROR(((R100-P100)/R100),0)</f>
        <v>0</v>
      </c>
      <c r="T100" s="7">
        <f>IF(C100="Mediana Complejidad",M100,0)</f>
        <v>0</v>
      </c>
      <c r="U100" s="8">
        <v>0</v>
      </c>
      <c r="V100" s="7">
        <f>(T100)+(T100*U100)</f>
        <v>0</v>
      </c>
      <c r="W100" s="8">
        <f>IFERROR(((V100-T100)/V100),0)</f>
        <v>0</v>
      </c>
      <c r="X100" s="7">
        <f>IF(C100="Baja Complejidad",M100,0)</f>
        <v>0</v>
      </c>
      <c r="Y100" s="8">
        <v>0</v>
      </c>
      <c r="Z100" s="7">
        <f>(X100)+(X100*Y100)</f>
        <v>0</v>
      </c>
      <c r="AA100" s="8">
        <f>IFERROR(((Z100-X100)/Z100),0)</f>
        <v>0</v>
      </c>
      <c r="AB100" s="8">
        <v>0.1</v>
      </c>
    </row>
    <row r="101" spans="1:28" x14ac:dyDescent="0.25">
      <c r="A101">
        <v>2026</v>
      </c>
      <c r="B101" t="s">
        <v>54</v>
      </c>
      <c r="C101" t="s">
        <v>43</v>
      </c>
      <c r="D101" t="s">
        <v>43</v>
      </c>
      <c r="G101" t="s">
        <v>43</v>
      </c>
      <c r="H101" t="s">
        <v>43</v>
      </c>
      <c r="I101" t="s">
        <v>44</v>
      </c>
      <c r="J101">
        <v>10</v>
      </c>
      <c r="K101" t="s">
        <v>45</v>
      </c>
      <c r="L101">
        <v>3000</v>
      </c>
      <c r="M101" s="7">
        <v>30000</v>
      </c>
      <c r="O101" s="7">
        <f t="shared" si="24"/>
        <v>30000</v>
      </c>
      <c r="P101" s="7">
        <f t="shared" si="25"/>
        <v>0</v>
      </c>
      <c r="Q101" s="8">
        <v>0</v>
      </c>
      <c r="R101" s="7">
        <f t="shared" si="26"/>
        <v>30000</v>
      </c>
      <c r="S101" s="10">
        <f>IFERROR(((R101-P101)/R101),0)</f>
        <v>1</v>
      </c>
      <c r="T101" s="7">
        <f>IF(C101="Mediana Complejidad",M101,0)</f>
        <v>0</v>
      </c>
      <c r="U101" s="8">
        <v>0</v>
      </c>
      <c r="V101" s="7">
        <f>(T101)+(T101*U101)</f>
        <v>0</v>
      </c>
      <c r="W101" s="8">
        <f>IFERROR(((V101-T101)/V101),0)</f>
        <v>0</v>
      </c>
      <c r="X101" s="7">
        <f>IF(C101="Baja Complejidad",M101,0)</f>
        <v>0</v>
      </c>
      <c r="Y101" s="8">
        <v>0</v>
      </c>
      <c r="Z101" s="7">
        <f>(X101)+(X101*Y101)</f>
        <v>0</v>
      </c>
      <c r="AA101" s="8">
        <f>IFERROR(((Z101-X101)/Z101),0)</f>
        <v>0</v>
      </c>
      <c r="AB101" s="8">
        <v>0.1</v>
      </c>
    </row>
    <row r="102" spans="1:28" x14ac:dyDescent="0.25">
      <c r="A102">
        <v>2026</v>
      </c>
      <c r="B102" t="s">
        <v>54</v>
      </c>
      <c r="C102" t="s">
        <v>43</v>
      </c>
      <c r="D102" t="s">
        <v>43</v>
      </c>
      <c r="G102" t="s">
        <v>43</v>
      </c>
      <c r="H102" t="s">
        <v>43</v>
      </c>
      <c r="I102" t="s">
        <v>46</v>
      </c>
      <c r="J102">
        <v>1</v>
      </c>
      <c r="K102" t="s">
        <v>33</v>
      </c>
      <c r="L102">
        <v>2000000</v>
      </c>
      <c r="M102" s="7">
        <v>2000000</v>
      </c>
      <c r="O102" s="7">
        <f t="shared" si="24"/>
        <v>2000000</v>
      </c>
      <c r="P102" s="7">
        <f t="shared" si="25"/>
        <v>0</v>
      </c>
      <c r="Q102" s="8">
        <v>0</v>
      </c>
      <c r="R102" s="7">
        <f t="shared" si="26"/>
        <v>2000000</v>
      </c>
      <c r="S102" s="10">
        <f>IFERROR(((R102-P102)/R102),0)</f>
        <v>1</v>
      </c>
      <c r="T102" s="7">
        <f t="shared" ref="T102:T103" si="34">IF(C102="Mediana Complejidad",M102,0)</f>
        <v>0</v>
      </c>
      <c r="U102" s="8">
        <v>0</v>
      </c>
      <c r="V102" s="7">
        <f t="shared" ref="V102:V103" si="35">(T102)+(T102*U102)</f>
        <v>0</v>
      </c>
      <c r="W102" s="8">
        <f t="shared" ref="W102:W103" si="36">IFERROR(((V102-T102)/V102),0)</f>
        <v>0</v>
      </c>
      <c r="X102" s="7">
        <f t="shared" ref="X102:X103" si="37">IF(C102="Baja Complejidad",M102,0)</f>
        <v>0</v>
      </c>
      <c r="Y102" s="8">
        <v>0</v>
      </c>
      <c r="Z102" s="7">
        <f t="shared" ref="Z102:Z103" si="38">(X102)+(X102*Y102)</f>
        <v>0</v>
      </c>
      <c r="AA102" s="8">
        <f t="shared" ref="AA102:AA103" si="39">IFERROR(((Z102-X102)/Z102),0)</f>
        <v>0</v>
      </c>
      <c r="AB102" s="8">
        <v>0.1</v>
      </c>
    </row>
    <row r="103" spans="1:28" x14ac:dyDescent="0.25">
      <c r="A103">
        <v>2026</v>
      </c>
      <c r="B103" t="s">
        <v>54</v>
      </c>
      <c r="C103" t="s">
        <v>43</v>
      </c>
      <c r="D103" t="s">
        <v>43</v>
      </c>
      <c r="G103" t="s">
        <v>43</v>
      </c>
      <c r="H103" t="s">
        <v>43</v>
      </c>
      <c r="I103" t="s">
        <v>47</v>
      </c>
      <c r="J103">
        <v>1</v>
      </c>
      <c r="K103" t="s">
        <v>33</v>
      </c>
      <c r="L103">
        <v>200000</v>
      </c>
      <c r="M103" s="7">
        <v>200000</v>
      </c>
      <c r="O103" s="7">
        <f t="shared" si="24"/>
        <v>200000</v>
      </c>
      <c r="P103" s="7">
        <f t="shared" si="25"/>
        <v>0</v>
      </c>
      <c r="Q103" s="8">
        <v>0</v>
      </c>
      <c r="R103" s="7">
        <f t="shared" si="26"/>
        <v>200000</v>
      </c>
      <c r="S103" s="10">
        <f>IFERROR(((R103-P103)/R103),0)</f>
        <v>1</v>
      </c>
      <c r="T103" s="7">
        <f t="shared" si="34"/>
        <v>0</v>
      </c>
      <c r="U103" s="8">
        <v>0</v>
      </c>
      <c r="V103" s="7">
        <f t="shared" si="35"/>
        <v>0</v>
      </c>
      <c r="W103" s="8">
        <f t="shared" si="36"/>
        <v>0</v>
      </c>
      <c r="X103" s="7">
        <f t="shared" si="37"/>
        <v>0</v>
      </c>
      <c r="Y103" s="8">
        <v>0</v>
      </c>
      <c r="Z103" s="7">
        <f t="shared" si="38"/>
        <v>0</v>
      </c>
      <c r="AA103" s="8">
        <f t="shared" si="39"/>
        <v>0</v>
      </c>
      <c r="AB103" s="8">
        <v>0.1</v>
      </c>
    </row>
    <row r="104" spans="1:28" x14ac:dyDescent="0.25">
      <c r="A104">
        <v>2026</v>
      </c>
      <c r="B104" t="s">
        <v>54</v>
      </c>
      <c r="C104" t="s">
        <v>29</v>
      </c>
      <c r="D104" t="s">
        <v>30</v>
      </c>
      <c r="F104">
        <v>600</v>
      </c>
      <c r="G104" t="s">
        <v>42</v>
      </c>
      <c r="H104" t="s">
        <v>42</v>
      </c>
      <c r="I104" t="s">
        <v>48</v>
      </c>
      <c r="J104">
        <v>60</v>
      </c>
      <c r="K104" t="s">
        <v>45</v>
      </c>
      <c r="L104">
        <v>35000</v>
      </c>
      <c r="M104" s="7">
        <f t="shared" ref="M104:M106" si="40">+L104*J104</f>
        <v>2100000</v>
      </c>
      <c r="O104" s="7">
        <f t="shared" si="24"/>
        <v>2100000</v>
      </c>
      <c r="P104" s="7">
        <f t="shared" si="25"/>
        <v>2100000</v>
      </c>
      <c r="Q104" s="8">
        <v>0</v>
      </c>
      <c r="R104" s="7">
        <f t="shared" si="26"/>
        <v>2100000</v>
      </c>
      <c r="S104" s="10">
        <f>IFERROR(((R104-P104)/R104),0)</f>
        <v>0</v>
      </c>
      <c r="T104" s="7">
        <f>IF(C104="Mediana Complejidad",M104,0)</f>
        <v>0</v>
      </c>
      <c r="U104" s="8">
        <v>0</v>
      </c>
      <c r="V104" s="7">
        <f>(T104)+(T104*U104)</f>
        <v>0</v>
      </c>
      <c r="W104" s="8">
        <f>IFERROR(((V104-T104)/V104),0)</f>
        <v>0</v>
      </c>
      <c r="X104" s="7">
        <f>IF(C104="Baja Complejidad",M104,0)</f>
        <v>0</v>
      </c>
      <c r="Y104" s="8">
        <v>0</v>
      </c>
      <c r="Z104" s="7">
        <f>(X104)+(X104*Y104)</f>
        <v>0</v>
      </c>
      <c r="AA104" s="8">
        <f>IFERROR(((Z104-X104)/Z104),0)</f>
        <v>0</v>
      </c>
      <c r="AB104" s="8">
        <v>0.1</v>
      </c>
    </row>
    <row r="105" spans="1:28" x14ac:dyDescent="0.25">
      <c r="A105">
        <v>2026</v>
      </c>
      <c r="B105" t="s">
        <v>54</v>
      </c>
      <c r="C105" t="s">
        <v>29</v>
      </c>
      <c r="D105" t="s">
        <v>30</v>
      </c>
      <c r="F105">
        <v>600</v>
      </c>
      <c r="G105" t="s">
        <v>42</v>
      </c>
      <c r="H105" t="s">
        <v>42</v>
      </c>
      <c r="I105" t="s">
        <v>49</v>
      </c>
      <c r="J105">
        <v>60</v>
      </c>
      <c r="K105" t="s">
        <v>45</v>
      </c>
      <c r="L105">
        <v>25000</v>
      </c>
      <c r="M105" s="7">
        <f t="shared" si="40"/>
        <v>1500000</v>
      </c>
      <c r="O105" s="7">
        <f t="shared" si="24"/>
        <v>1500000</v>
      </c>
      <c r="P105" s="7">
        <f t="shared" si="25"/>
        <v>1500000</v>
      </c>
      <c r="Q105" s="8">
        <v>0</v>
      </c>
      <c r="R105" s="7">
        <f t="shared" si="26"/>
        <v>1500000</v>
      </c>
      <c r="S105" s="10">
        <f>IFERROR(((R105-P105)/R105),0)</f>
        <v>0</v>
      </c>
      <c r="T105" s="7">
        <f>IF(C105="Mediana Complejidad",M105,0)</f>
        <v>0</v>
      </c>
      <c r="U105" s="8">
        <v>0</v>
      </c>
      <c r="V105" s="7">
        <f>(T105)+(T105*U105)</f>
        <v>0</v>
      </c>
      <c r="W105" s="8">
        <f>IFERROR(((V105-T105)/V105),0)</f>
        <v>0</v>
      </c>
      <c r="X105" s="7">
        <f>IF(C105="Baja Complejidad",M105,0)</f>
        <v>0</v>
      </c>
      <c r="Y105" s="8">
        <v>0</v>
      </c>
      <c r="Z105" s="7">
        <f>(X105)+(X105*Y105)</f>
        <v>0</v>
      </c>
      <c r="AA105" s="8">
        <f>IFERROR(((Z105-X105)/Z105),0)</f>
        <v>0</v>
      </c>
      <c r="AB105" s="8">
        <v>0.1</v>
      </c>
    </row>
    <row r="106" spans="1:28" x14ac:dyDescent="0.25">
      <c r="A106">
        <v>2026</v>
      </c>
      <c r="B106" t="s">
        <v>54</v>
      </c>
      <c r="C106" t="s">
        <v>29</v>
      </c>
      <c r="D106" t="s">
        <v>30</v>
      </c>
      <c r="F106">
        <v>600</v>
      </c>
      <c r="G106" t="s">
        <v>42</v>
      </c>
      <c r="H106" t="s">
        <v>42</v>
      </c>
      <c r="I106" t="s">
        <v>50</v>
      </c>
      <c r="J106">
        <v>60</v>
      </c>
      <c r="K106" t="s">
        <v>45</v>
      </c>
      <c r="L106">
        <v>20000</v>
      </c>
      <c r="M106" s="7">
        <f t="shared" si="40"/>
        <v>1200000</v>
      </c>
      <c r="O106" s="7">
        <f t="shared" si="24"/>
        <v>1200000</v>
      </c>
      <c r="P106" s="7">
        <f t="shared" si="25"/>
        <v>1200000</v>
      </c>
      <c r="Q106" s="8">
        <v>0</v>
      </c>
      <c r="R106" s="7">
        <f t="shared" si="26"/>
        <v>1200000</v>
      </c>
      <c r="S106" s="10">
        <f>IFERROR(((R106-P106)/R106),0)</f>
        <v>0</v>
      </c>
      <c r="T106" s="7">
        <f>IF(C106="Mediana Complejidad",M106,0)</f>
        <v>0</v>
      </c>
      <c r="U106" s="8">
        <v>0</v>
      </c>
      <c r="V106" s="7">
        <f>(T106)+(T106*U106)</f>
        <v>0</v>
      </c>
      <c r="W106" s="8">
        <f>IFERROR(((V106-T106)/V106),0)</f>
        <v>0</v>
      </c>
      <c r="X106" s="7">
        <f>IF(C106="Baja Complejidad",M106,0)</f>
        <v>0</v>
      </c>
      <c r="Y106" s="8">
        <v>0</v>
      </c>
      <c r="Z106" s="7">
        <f>(X106)+(X106*Y106)</f>
        <v>0</v>
      </c>
      <c r="AA106" s="8">
        <f>IFERROR(((Z106-X106)/Z106),0)</f>
        <v>0</v>
      </c>
      <c r="AB106" s="8">
        <v>0.1</v>
      </c>
    </row>
    <row r="107" spans="1:28" x14ac:dyDescent="0.25">
      <c r="A107">
        <v>2026</v>
      </c>
      <c r="B107" t="s">
        <v>55</v>
      </c>
      <c r="C107" t="s">
        <v>29</v>
      </c>
      <c r="D107" t="s">
        <v>30</v>
      </c>
      <c r="E107" t="s">
        <v>85</v>
      </c>
      <c r="G107" t="s">
        <v>31</v>
      </c>
      <c r="H107" t="s">
        <v>31</v>
      </c>
      <c r="I107" t="s">
        <v>32</v>
      </c>
      <c r="J107">
        <v>4</v>
      </c>
      <c r="K107" t="s">
        <v>33</v>
      </c>
      <c r="L107">
        <v>266</v>
      </c>
      <c r="M107" s="7">
        <v>1064</v>
      </c>
      <c r="O107" s="7">
        <f t="shared" si="24"/>
        <v>1064</v>
      </c>
      <c r="P107" s="7">
        <f t="shared" si="25"/>
        <v>1064</v>
      </c>
      <c r="Q107" s="8">
        <v>0</v>
      </c>
      <c r="R107" s="7">
        <f t="shared" si="26"/>
        <v>1064</v>
      </c>
      <c r="S107" s="10">
        <f>IFERROR(((R107-P107)/R107),0)</f>
        <v>0</v>
      </c>
      <c r="T107" s="7">
        <f>IF(C107="Mediana Complejidad",M107,0)</f>
        <v>0</v>
      </c>
      <c r="U107" s="8">
        <v>0</v>
      </c>
      <c r="V107" s="7">
        <f>(T107)+(T107*U107)</f>
        <v>0</v>
      </c>
      <c r="W107" s="8">
        <f>IFERROR(((V107-T107)/V107),0)</f>
        <v>0</v>
      </c>
      <c r="X107" s="7">
        <f>IF(C107="Baja Complejidad",M107,0)</f>
        <v>0</v>
      </c>
      <c r="Y107" s="8">
        <v>0</v>
      </c>
      <c r="Z107" s="7">
        <f>(X107)+(X107*Y107)</f>
        <v>0</v>
      </c>
      <c r="AA107" s="8">
        <f>IFERROR(((Z107-X107)/Z107),0)</f>
        <v>0</v>
      </c>
      <c r="AB107" s="8">
        <v>0.1</v>
      </c>
    </row>
    <row r="108" spans="1:28" x14ac:dyDescent="0.25">
      <c r="A108">
        <v>2026</v>
      </c>
      <c r="B108" t="s">
        <v>55</v>
      </c>
      <c r="C108" t="s">
        <v>29</v>
      </c>
      <c r="D108" t="s">
        <v>30</v>
      </c>
      <c r="E108" t="s">
        <v>86</v>
      </c>
      <c r="G108" t="s">
        <v>31</v>
      </c>
      <c r="H108" t="s">
        <v>31</v>
      </c>
      <c r="I108" t="s">
        <v>34</v>
      </c>
      <c r="J108">
        <v>2</v>
      </c>
      <c r="K108" t="s">
        <v>33</v>
      </c>
      <c r="L108">
        <v>1086.232</v>
      </c>
      <c r="M108" s="7">
        <v>2172.4639999999999</v>
      </c>
      <c r="O108" s="7">
        <f t="shared" si="24"/>
        <v>2172.4639999999999</v>
      </c>
      <c r="P108" s="7">
        <f t="shared" si="25"/>
        <v>2172.4639999999999</v>
      </c>
      <c r="Q108" s="8">
        <v>0</v>
      </c>
      <c r="R108" s="7">
        <f t="shared" si="26"/>
        <v>2172.4639999999999</v>
      </c>
      <c r="S108" s="10">
        <f>IFERROR(((R108-P108)/R108),0)</f>
        <v>0</v>
      </c>
      <c r="T108" s="7">
        <f>IF(C108="Mediana Complejidad",M108,0)</f>
        <v>0</v>
      </c>
      <c r="U108" s="8">
        <v>0</v>
      </c>
      <c r="V108" s="7">
        <f>(T108)+(T108*U108)</f>
        <v>0</v>
      </c>
      <c r="W108" s="8">
        <f>IFERROR(((V108-T108)/V108),0)</f>
        <v>0</v>
      </c>
      <c r="X108" s="7">
        <f>IF(C108="Baja Complejidad",M108,0)</f>
        <v>0</v>
      </c>
      <c r="Y108" s="8">
        <v>0</v>
      </c>
      <c r="Z108" s="7">
        <f>(X108)+(X108*Y108)</f>
        <v>0</v>
      </c>
      <c r="AA108" s="8">
        <f>IFERROR(((Z108-X108)/Z108),0)</f>
        <v>0</v>
      </c>
      <c r="AB108" s="8">
        <v>0.1</v>
      </c>
    </row>
    <row r="109" spans="1:28" x14ac:dyDescent="0.25">
      <c r="A109">
        <v>2026</v>
      </c>
      <c r="B109" t="s">
        <v>55</v>
      </c>
      <c r="C109" t="s">
        <v>29</v>
      </c>
      <c r="D109" t="s">
        <v>30</v>
      </c>
      <c r="E109" t="s">
        <v>87</v>
      </c>
      <c r="G109" t="s">
        <v>31</v>
      </c>
      <c r="H109" t="s">
        <v>31</v>
      </c>
      <c r="I109" t="s">
        <v>35</v>
      </c>
      <c r="J109">
        <v>10</v>
      </c>
      <c r="K109" t="s">
        <v>33</v>
      </c>
      <c r="L109">
        <v>370</v>
      </c>
      <c r="M109" s="7">
        <v>3700</v>
      </c>
      <c r="O109" s="7">
        <f t="shared" si="24"/>
        <v>3700</v>
      </c>
      <c r="P109" s="7">
        <f t="shared" si="25"/>
        <v>3700</v>
      </c>
      <c r="Q109" s="8">
        <v>0</v>
      </c>
      <c r="R109" s="7">
        <f t="shared" si="26"/>
        <v>3700</v>
      </c>
      <c r="S109" s="10">
        <f>IFERROR(((R109-P109)/R109),0)</f>
        <v>0</v>
      </c>
      <c r="T109" s="7">
        <f>IF(C109="Mediana Complejidad",M109,0)</f>
        <v>0</v>
      </c>
      <c r="U109" s="8">
        <v>0</v>
      </c>
      <c r="V109" s="7">
        <f>(T109)+(T109*U109)</f>
        <v>0</v>
      </c>
      <c r="W109" s="8">
        <f>IFERROR(((V109-T109)/V109),0)</f>
        <v>0</v>
      </c>
      <c r="X109" s="7">
        <f>IF(C109="Baja Complejidad",M109,0)</f>
        <v>0</v>
      </c>
      <c r="Y109" s="8">
        <v>0</v>
      </c>
      <c r="Z109" s="7">
        <f>(X109)+(X109*Y109)</f>
        <v>0</v>
      </c>
      <c r="AA109" s="8">
        <f>IFERROR(((Z109-X109)/Z109),0)</f>
        <v>0</v>
      </c>
      <c r="AB109" s="8">
        <v>0.1</v>
      </c>
    </row>
    <row r="110" spans="1:28" x14ac:dyDescent="0.25">
      <c r="A110">
        <v>2026</v>
      </c>
      <c r="B110" t="s">
        <v>55</v>
      </c>
      <c r="C110" t="s">
        <v>29</v>
      </c>
      <c r="D110" t="s">
        <v>30</v>
      </c>
      <c r="E110" t="s">
        <v>88</v>
      </c>
      <c r="G110" t="s">
        <v>31</v>
      </c>
      <c r="H110" t="s">
        <v>31</v>
      </c>
      <c r="I110" t="s">
        <v>36</v>
      </c>
      <c r="J110">
        <v>2</v>
      </c>
      <c r="K110" t="s">
        <v>33</v>
      </c>
      <c r="L110">
        <v>2643</v>
      </c>
      <c r="M110" s="7">
        <v>5286</v>
      </c>
      <c r="O110" s="7">
        <f t="shared" si="24"/>
        <v>5286</v>
      </c>
      <c r="P110" s="7">
        <f t="shared" si="25"/>
        <v>5286</v>
      </c>
      <c r="Q110" s="8">
        <v>0</v>
      </c>
      <c r="R110" s="7">
        <f t="shared" si="26"/>
        <v>5286</v>
      </c>
      <c r="S110" s="10">
        <f>IFERROR(((R110-P110)/R110),0)</f>
        <v>0</v>
      </c>
      <c r="T110" s="7">
        <f>IF(C110="Mediana Complejidad",M110,0)</f>
        <v>0</v>
      </c>
      <c r="U110" s="8">
        <v>0</v>
      </c>
      <c r="V110" s="7">
        <f>(T110)+(T110*U110)</f>
        <v>0</v>
      </c>
      <c r="W110" s="8">
        <f>IFERROR(((V110-T110)/V110),0)</f>
        <v>0</v>
      </c>
      <c r="X110" s="7">
        <f>IF(C110="Baja Complejidad",M110,0)</f>
        <v>0</v>
      </c>
      <c r="Y110" s="8">
        <v>0</v>
      </c>
      <c r="Z110" s="7">
        <f>(X110)+(X110*Y110)</f>
        <v>0</v>
      </c>
      <c r="AA110" s="8">
        <f>IFERROR(((Z110-X110)/Z110),0)</f>
        <v>0</v>
      </c>
      <c r="AB110" s="8">
        <v>0.1</v>
      </c>
    </row>
    <row r="111" spans="1:28" x14ac:dyDescent="0.25">
      <c r="A111">
        <v>2026</v>
      </c>
      <c r="B111" t="s">
        <v>55</v>
      </c>
      <c r="C111" t="s">
        <v>29</v>
      </c>
      <c r="D111" t="s">
        <v>30</v>
      </c>
      <c r="E111" t="s">
        <v>89</v>
      </c>
      <c r="G111" t="s">
        <v>31</v>
      </c>
      <c r="H111" t="s">
        <v>31</v>
      </c>
      <c r="I111" t="s">
        <v>37</v>
      </c>
      <c r="J111">
        <v>5</v>
      </c>
      <c r="K111" t="s">
        <v>33</v>
      </c>
      <c r="L111">
        <v>135.66</v>
      </c>
      <c r="M111" s="7">
        <v>678.3</v>
      </c>
      <c r="O111" s="7">
        <f t="shared" si="24"/>
        <v>678.3</v>
      </c>
      <c r="P111" s="7">
        <f t="shared" si="25"/>
        <v>678.3</v>
      </c>
      <c r="Q111" s="8">
        <v>0</v>
      </c>
      <c r="R111" s="7">
        <f t="shared" si="26"/>
        <v>678.3</v>
      </c>
      <c r="S111" s="10">
        <f>IFERROR(((R111-P111)/R111),0)</f>
        <v>0</v>
      </c>
      <c r="T111" s="7">
        <f>IF(C111="Mediana Complejidad",M111,0)</f>
        <v>0</v>
      </c>
      <c r="U111" s="8">
        <v>0</v>
      </c>
      <c r="V111" s="7">
        <f>(T111)+(T111*U111)</f>
        <v>0</v>
      </c>
      <c r="W111" s="8">
        <f>IFERROR(((V111-T111)/V111),0)</f>
        <v>0</v>
      </c>
      <c r="X111" s="7">
        <f>IF(C111="Baja Complejidad",M111,0)</f>
        <v>0</v>
      </c>
      <c r="Y111" s="8">
        <v>0</v>
      </c>
      <c r="Z111" s="7">
        <f>(X111)+(X111*Y111)</f>
        <v>0</v>
      </c>
      <c r="AA111" s="8">
        <f>IFERROR(((Z111-X111)/Z111),0)</f>
        <v>0</v>
      </c>
      <c r="AB111" s="8">
        <v>0.1</v>
      </c>
    </row>
    <row r="112" spans="1:28" x14ac:dyDescent="0.25">
      <c r="A112">
        <v>2026</v>
      </c>
      <c r="B112" t="s">
        <v>55</v>
      </c>
      <c r="C112" t="s">
        <v>29</v>
      </c>
      <c r="D112" t="s">
        <v>30</v>
      </c>
      <c r="E112" t="s">
        <v>90</v>
      </c>
      <c r="G112" t="s">
        <v>31</v>
      </c>
      <c r="H112" t="s">
        <v>31</v>
      </c>
      <c r="I112" t="s">
        <v>38</v>
      </c>
      <c r="J112">
        <v>2</v>
      </c>
      <c r="K112" t="s">
        <v>33</v>
      </c>
      <c r="L112">
        <v>3808</v>
      </c>
      <c r="M112" s="7">
        <v>7616</v>
      </c>
      <c r="O112" s="7">
        <f t="shared" si="24"/>
        <v>7616</v>
      </c>
      <c r="P112" s="7">
        <f t="shared" si="25"/>
        <v>7616</v>
      </c>
      <c r="Q112" s="8">
        <v>0</v>
      </c>
      <c r="R112" s="7">
        <f t="shared" si="26"/>
        <v>7616</v>
      </c>
      <c r="S112" s="10">
        <f>IFERROR(((R112-P112)/R112),0)</f>
        <v>0</v>
      </c>
      <c r="T112" s="7">
        <f>IF(C112="Mediana Complejidad",M112,0)</f>
        <v>0</v>
      </c>
      <c r="U112" s="8">
        <v>0</v>
      </c>
      <c r="V112" s="7">
        <f>(T112)+(T112*U112)</f>
        <v>0</v>
      </c>
      <c r="W112" s="8">
        <f>IFERROR(((V112-T112)/V112),0)</f>
        <v>0</v>
      </c>
      <c r="X112" s="7">
        <f>IF(C112="Baja Complejidad",M112,0)</f>
        <v>0</v>
      </c>
      <c r="Y112" s="8">
        <v>0</v>
      </c>
      <c r="Z112" s="7">
        <f>(X112)+(X112*Y112)</f>
        <v>0</v>
      </c>
      <c r="AA112" s="8">
        <f>IFERROR(((Z112-X112)/Z112),0)</f>
        <v>0</v>
      </c>
      <c r="AB112" s="8">
        <v>0.1</v>
      </c>
    </row>
    <row r="113" spans="1:28" x14ac:dyDescent="0.25">
      <c r="A113">
        <v>2026</v>
      </c>
      <c r="B113" t="s">
        <v>55</v>
      </c>
      <c r="C113" t="s">
        <v>29</v>
      </c>
      <c r="D113" t="s">
        <v>30</v>
      </c>
      <c r="E113" t="s">
        <v>91</v>
      </c>
      <c r="G113" t="s">
        <v>31</v>
      </c>
      <c r="H113" t="s">
        <v>31</v>
      </c>
      <c r="I113" t="s">
        <v>39</v>
      </c>
      <c r="J113">
        <v>2</v>
      </c>
      <c r="K113" t="s">
        <v>33</v>
      </c>
      <c r="L113">
        <v>111.86</v>
      </c>
      <c r="M113" s="7">
        <v>223.72</v>
      </c>
      <c r="O113" s="7">
        <f t="shared" si="24"/>
        <v>223.72</v>
      </c>
      <c r="P113" s="7">
        <f t="shared" si="25"/>
        <v>223.72</v>
      </c>
      <c r="Q113" s="8">
        <v>0</v>
      </c>
      <c r="R113" s="7">
        <f t="shared" si="26"/>
        <v>223.72</v>
      </c>
      <c r="S113" s="10">
        <f>IFERROR(((R113-P113)/R113),0)</f>
        <v>0</v>
      </c>
      <c r="T113" s="7">
        <f>IF(C113="Mediana Complejidad",M113,0)</f>
        <v>0</v>
      </c>
      <c r="U113" s="8">
        <v>0</v>
      </c>
      <c r="V113" s="7">
        <f>(T113)+(T113*U113)</f>
        <v>0</v>
      </c>
      <c r="W113" s="8">
        <f>IFERROR(((V113-T113)/V113),0)</f>
        <v>0</v>
      </c>
      <c r="X113" s="7">
        <f>IF(C113="Baja Complejidad",M113,0)</f>
        <v>0</v>
      </c>
      <c r="Y113" s="8">
        <v>0</v>
      </c>
      <c r="Z113" s="7">
        <f>(X113)+(X113*Y113)</f>
        <v>0</v>
      </c>
      <c r="AA113" s="8">
        <f>IFERROR(((Z113-X113)/Z113),0)</f>
        <v>0</v>
      </c>
      <c r="AB113" s="8">
        <v>0.1</v>
      </c>
    </row>
    <row r="114" spans="1:28" x14ac:dyDescent="0.25">
      <c r="A114">
        <v>2026</v>
      </c>
      <c r="B114" t="s">
        <v>55</v>
      </c>
      <c r="C114" t="s">
        <v>29</v>
      </c>
      <c r="D114" t="s">
        <v>30</v>
      </c>
      <c r="E114" t="s">
        <v>92</v>
      </c>
      <c r="G114" t="s">
        <v>31</v>
      </c>
      <c r="H114" t="s">
        <v>31</v>
      </c>
      <c r="I114" t="s">
        <v>64</v>
      </c>
      <c r="J114">
        <v>10</v>
      </c>
      <c r="K114" t="s">
        <v>33</v>
      </c>
      <c r="L114">
        <v>80300</v>
      </c>
      <c r="M114" s="7">
        <v>3212</v>
      </c>
      <c r="O114" s="7">
        <f t="shared" si="24"/>
        <v>3212</v>
      </c>
      <c r="P114" s="7">
        <f t="shared" si="25"/>
        <v>3212</v>
      </c>
      <c r="Q114" s="8">
        <v>0</v>
      </c>
      <c r="R114" s="7">
        <f t="shared" si="26"/>
        <v>3212</v>
      </c>
      <c r="S114" s="10">
        <f>IFERROR(((R114-P114)/R114),0)</f>
        <v>0</v>
      </c>
      <c r="T114" s="7">
        <f>IF(C114="Mediana Complejidad",M114,0)</f>
        <v>0</v>
      </c>
      <c r="U114" s="8">
        <v>0</v>
      </c>
      <c r="V114" s="7">
        <f>(T114)+(T114*U114)</f>
        <v>0</v>
      </c>
      <c r="W114" s="8">
        <f>IFERROR(((V114-T114)/V114),0)</f>
        <v>0</v>
      </c>
      <c r="X114" s="7">
        <f>IF(C114="Baja Complejidad",M114,0)</f>
        <v>0</v>
      </c>
      <c r="Y114" s="8">
        <v>0</v>
      </c>
      <c r="Z114" s="7">
        <f>(X114)+(X114*Y114)</f>
        <v>0</v>
      </c>
      <c r="AA114" s="8">
        <f>IFERROR(((Z114-X114)/Z114),0)</f>
        <v>0</v>
      </c>
      <c r="AB114" s="8">
        <v>0.1</v>
      </c>
    </row>
    <row r="115" spans="1:28" x14ac:dyDescent="0.25">
      <c r="A115">
        <v>2026</v>
      </c>
      <c r="B115" t="s">
        <v>55</v>
      </c>
      <c r="C115" t="s">
        <v>29</v>
      </c>
      <c r="D115" t="s">
        <v>30</v>
      </c>
      <c r="E115" t="s">
        <v>93</v>
      </c>
      <c r="G115" t="s">
        <v>31</v>
      </c>
      <c r="H115" t="s">
        <v>31</v>
      </c>
      <c r="I115" t="s">
        <v>40</v>
      </c>
      <c r="J115">
        <v>5</v>
      </c>
      <c r="K115" t="s">
        <v>33</v>
      </c>
      <c r="L115">
        <v>17888.080000000002</v>
      </c>
      <c r="M115" s="7">
        <v>89440.400000000009</v>
      </c>
      <c r="O115" s="7">
        <f t="shared" si="24"/>
        <v>89440.400000000009</v>
      </c>
      <c r="P115" s="7">
        <f t="shared" si="25"/>
        <v>89440.400000000009</v>
      </c>
      <c r="Q115" s="8">
        <v>0</v>
      </c>
      <c r="R115" s="7">
        <f t="shared" si="26"/>
        <v>89440.400000000009</v>
      </c>
      <c r="S115" s="10">
        <f>IFERROR(((R115-P115)/R115),0)</f>
        <v>0</v>
      </c>
      <c r="T115" s="7">
        <f>IF(C115="Mediana Complejidad",M115,0)</f>
        <v>0</v>
      </c>
      <c r="U115" s="8">
        <v>0</v>
      </c>
      <c r="V115" s="7">
        <f>(T115)+(T115*U115)</f>
        <v>0</v>
      </c>
      <c r="W115" s="8">
        <f>IFERROR(((V115-T115)/V115),0)</f>
        <v>0</v>
      </c>
      <c r="X115" s="7">
        <f>IF(C115="Baja Complejidad",M115,0)</f>
        <v>0</v>
      </c>
      <c r="Y115" s="8">
        <v>0</v>
      </c>
      <c r="Z115" s="7">
        <f>(X115)+(X115*Y115)</f>
        <v>0</v>
      </c>
      <c r="AA115" s="8">
        <f>IFERROR(((Z115-X115)/Z115),0)</f>
        <v>0</v>
      </c>
      <c r="AB115" s="8">
        <v>0.1</v>
      </c>
    </row>
    <row r="116" spans="1:28" x14ac:dyDescent="0.25">
      <c r="A116">
        <v>2026</v>
      </c>
      <c r="B116" t="s">
        <v>55</v>
      </c>
      <c r="C116" t="s">
        <v>29</v>
      </c>
      <c r="D116" t="s">
        <v>30</v>
      </c>
      <c r="E116" t="s">
        <v>94</v>
      </c>
      <c r="G116" t="s">
        <v>31</v>
      </c>
      <c r="H116" t="s">
        <v>31</v>
      </c>
      <c r="I116" t="s">
        <v>41</v>
      </c>
      <c r="J116">
        <v>2</v>
      </c>
      <c r="K116" t="s">
        <v>33</v>
      </c>
      <c r="L116">
        <v>337.3837894736842</v>
      </c>
      <c r="M116" s="7">
        <v>674.76757894736841</v>
      </c>
      <c r="O116" s="7">
        <f t="shared" si="24"/>
        <v>674.76757894736841</v>
      </c>
      <c r="P116" s="7">
        <f t="shared" si="25"/>
        <v>674.76757894736841</v>
      </c>
      <c r="Q116" s="8">
        <v>0</v>
      </c>
      <c r="R116" s="7">
        <f t="shared" si="26"/>
        <v>674.76757894736841</v>
      </c>
      <c r="S116" s="10">
        <f>IFERROR(((R116-P116)/R116),0)</f>
        <v>0</v>
      </c>
      <c r="T116" s="7">
        <f>IF(C116="Mediana Complejidad",M116,0)</f>
        <v>0</v>
      </c>
      <c r="U116" s="8">
        <v>0</v>
      </c>
      <c r="V116" s="7">
        <f>(T116)+(T116*U116)</f>
        <v>0</v>
      </c>
      <c r="W116" s="8">
        <f>IFERROR(((V116-T116)/V116),0)</f>
        <v>0</v>
      </c>
      <c r="X116" s="7">
        <f>IF(C116="Baja Complejidad",M116,0)</f>
        <v>0</v>
      </c>
      <c r="Y116" s="8">
        <v>0</v>
      </c>
      <c r="Z116" s="7">
        <f>(X116)+(X116*Y116)</f>
        <v>0</v>
      </c>
      <c r="AA116" s="8">
        <f>IFERROR(((Z116-X116)/Z116),0)</f>
        <v>0</v>
      </c>
      <c r="AB116" s="8">
        <v>0.1</v>
      </c>
    </row>
    <row r="117" spans="1:28" x14ac:dyDescent="0.25">
      <c r="A117">
        <v>2026</v>
      </c>
      <c r="B117" t="s">
        <v>55</v>
      </c>
      <c r="C117" t="s">
        <v>29</v>
      </c>
      <c r="D117" t="s">
        <v>30</v>
      </c>
      <c r="E117" t="s">
        <v>95</v>
      </c>
      <c r="G117" t="s">
        <v>31</v>
      </c>
      <c r="H117" t="s">
        <v>31</v>
      </c>
      <c r="I117" t="s">
        <v>83</v>
      </c>
      <c r="J117">
        <v>2</v>
      </c>
      <c r="K117" t="s">
        <v>33</v>
      </c>
      <c r="L117">
        <v>67900</v>
      </c>
      <c r="M117" s="7">
        <v>13580</v>
      </c>
      <c r="O117" s="7">
        <f t="shared" si="24"/>
        <v>13580</v>
      </c>
      <c r="P117" s="7">
        <f t="shared" si="25"/>
        <v>13580</v>
      </c>
      <c r="Q117" s="8">
        <v>0</v>
      </c>
      <c r="R117" s="7">
        <f t="shared" si="26"/>
        <v>13580</v>
      </c>
      <c r="S117" s="10">
        <f>IFERROR(((R117-P117)/R117),0)</f>
        <v>0</v>
      </c>
      <c r="T117" s="7">
        <f>IF(C117="Mediana Complejidad",M117,0)</f>
        <v>0</v>
      </c>
      <c r="U117" s="8">
        <v>0</v>
      </c>
      <c r="V117" s="7">
        <f>(T117)+(T117*U117)</f>
        <v>0</v>
      </c>
      <c r="W117" s="8">
        <f>IFERROR(((V117-T117)/V117),0)</f>
        <v>0</v>
      </c>
      <c r="X117" s="7">
        <f>IF(C117="Baja Complejidad",M117,0)</f>
        <v>0</v>
      </c>
      <c r="Y117" s="8">
        <v>0</v>
      </c>
      <c r="Z117" s="7">
        <f>(X117)+(X117*Y117)</f>
        <v>0</v>
      </c>
      <c r="AA117" s="8">
        <f>IFERROR(((Z117-X117)/Z117),0)</f>
        <v>0</v>
      </c>
      <c r="AB117" s="8">
        <v>0.1</v>
      </c>
    </row>
    <row r="118" spans="1:28" x14ac:dyDescent="0.25">
      <c r="A118">
        <v>2026</v>
      </c>
      <c r="B118" t="s">
        <v>55</v>
      </c>
      <c r="C118" t="s">
        <v>29</v>
      </c>
      <c r="D118" t="s">
        <v>30</v>
      </c>
      <c r="E118" t="s">
        <v>96</v>
      </c>
      <c r="G118" t="s">
        <v>31</v>
      </c>
      <c r="H118" t="s">
        <v>31</v>
      </c>
      <c r="I118" t="s">
        <v>84</v>
      </c>
      <c r="J118">
        <v>2</v>
      </c>
      <c r="K118" t="s">
        <v>33</v>
      </c>
      <c r="L118">
        <v>50300</v>
      </c>
      <c r="M118" s="7">
        <v>10060</v>
      </c>
      <c r="O118" s="7">
        <f t="shared" si="24"/>
        <v>10060</v>
      </c>
      <c r="P118" s="7">
        <f t="shared" si="25"/>
        <v>10060</v>
      </c>
      <c r="Q118" s="8">
        <v>0</v>
      </c>
      <c r="R118" s="7">
        <f t="shared" si="26"/>
        <v>10060</v>
      </c>
      <c r="S118" s="10">
        <f>IFERROR(((R118-P118)/R118),0)</f>
        <v>0</v>
      </c>
      <c r="T118" s="7">
        <f>IF(C118="Mediana Complejidad",M118,0)</f>
        <v>0</v>
      </c>
      <c r="U118" s="8">
        <v>0</v>
      </c>
      <c r="V118" s="7">
        <f>(T118)+(T118*U118)</f>
        <v>0</v>
      </c>
      <c r="W118" s="8">
        <f>IFERROR(((V118-T118)/V118),0)</f>
        <v>0</v>
      </c>
      <c r="X118" s="7">
        <f>IF(C118="Baja Complejidad",M118,0)</f>
        <v>0</v>
      </c>
      <c r="Y118" s="8">
        <v>0</v>
      </c>
      <c r="Z118" s="7">
        <f>(X118)+(X118*Y118)</f>
        <v>0</v>
      </c>
      <c r="AA118" s="8">
        <f>IFERROR(((Z118-X118)/Z118),0)</f>
        <v>0</v>
      </c>
      <c r="AB118" s="8">
        <v>0.1</v>
      </c>
    </row>
    <row r="119" spans="1:28" x14ac:dyDescent="0.25">
      <c r="A119">
        <v>2026</v>
      </c>
      <c r="B119" t="s">
        <v>55</v>
      </c>
      <c r="C119" t="s">
        <v>29</v>
      </c>
      <c r="D119" t="s">
        <v>30</v>
      </c>
      <c r="E119" t="s">
        <v>97</v>
      </c>
      <c r="G119" t="s">
        <v>31</v>
      </c>
      <c r="H119" t="s">
        <v>31</v>
      </c>
      <c r="I119" t="s">
        <v>82</v>
      </c>
      <c r="J119">
        <v>2</v>
      </c>
      <c r="K119" t="s">
        <v>33</v>
      </c>
      <c r="L119">
        <v>43500</v>
      </c>
      <c r="M119" s="7">
        <v>7250</v>
      </c>
      <c r="O119" s="7">
        <f t="shared" si="24"/>
        <v>7250</v>
      </c>
      <c r="P119" s="7">
        <f t="shared" si="25"/>
        <v>7250</v>
      </c>
      <c r="Q119" s="8">
        <v>0</v>
      </c>
      <c r="R119" s="7">
        <f t="shared" si="26"/>
        <v>7250</v>
      </c>
      <c r="S119" s="10">
        <f>IFERROR(((R119-P119)/R119),0)</f>
        <v>0</v>
      </c>
      <c r="T119" s="7">
        <f>IF(C119="Mediana Complejidad",M119,0)</f>
        <v>0</v>
      </c>
      <c r="U119" s="8">
        <v>0</v>
      </c>
      <c r="V119" s="7">
        <f>(T119)+(T119*U119)</f>
        <v>0</v>
      </c>
      <c r="W119" s="8">
        <f>IFERROR(((V119-T119)/V119),0)</f>
        <v>0</v>
      </c>
      <c r="X119" s="7">
        <f>IF(C119="Baja Complejidad",M119,0)</f>
        <v>0</v>
      </c>
      <c r="Y119" s="8">
        <v>0</v>
      </c>
      <c r="Z119" s="7">
        <f>(X119)+(X119*Y119)</f>
        <v>0</v>
      </c>
      <c r="AA119" s="8">
        <f>IFERROR(((Z119-X119)/Z119),0)</f>
        <v>0</v>
      </c>
      <c r="AB119" s="8">
        <v>0.1</v>
      </c>
    </row>
    <row r="120" spans="1:28" x14ac:dyDescent="0.25">
      <c r="A120">
        <v>2026</v>
      </c>
      <c r="B120" t="s">
        <v>55</v>
      </c>
      <c r="C120" t="s">
        <v>29</v>
      </c>
      <c r="D120" t="s">
        <v>30</v>
      </c>
      <c r="F120">
        <v>1800</v>
      </c>
      <c r="G120" t="s">
        <v>42</v>
      </c>
      <c r="H120" t="s">
        <v>42</v>
      </c>
      <c r="I120" t="s">
        <v>62</v>
      </c>
      <c r="J120">
        <v>60</v>
      </c>
      <c r="K120" t="s">
        <v>45</v>
      </c>
      <c r="L120" s="12">
        <v>20894.400000000001</v>
      </c>
      <c r="M120" s="7">
        <f>+L120*J120</f>
        <v>1253664</v>
      </c>
      <c r="O120" s="7">
        <f t="shared" si="24"/>
        <v>1253664</v>
      </c>
      <c r="P120" s="7">
        <f t="shared" si="25"/>
        <v>1253664</v>
      </c>
      <c r="Q120" s="8">
        <v>0</v>
      </c>
      <c r="R120" s="7">
        <f t="shared" si="26"/>
        <v>1253664</v>
      </c>
      <c r="S120" s="10">
        <f>IFERROR(((R120-P120)/R120),0)</f>
        <v>0</v>
      </c>
      <c r="T120" s="7">
        <f>IF(C120="Mediana Complejidad",M120,0)</f>
        <v>0</v>
      </c>
      <c r="U120" s="8">
        <v>0</v>
      </c>
      <c r="V120" s="7">
        <f>(T120)+(T120*U120)</f>
        <v>0</v>
      </c>
      <c r="W120" s="8">
        <f>IFERROR(((V120-T120)/V120),0)</f>
        <v>0</v>
      </c>
      <c r="X120" s="7">
        <f>IF(C120="Baja Complejidad",M120,0)</f>
        <v>0</v>
      </c>
      <c r="Y120" s="8">
        <v>0</v>
      </c>
      <c r="Z120" s="7">
        <f>(X120)+(X120*Y120)</f>
        <v>0</v>
      </c>
      <c r="AA120" s="8">
        <f>IFERROR(((Z120-X120)/Z120),0)</f>
        <v>0</v>
      </c>
      <c r="AB120" s="8">
        <v>0.1</v>
      </c>
    </row>
    <row r="121" spans="1:28" x14ac:dyDescent="0.25">
      <c r="A121">
        <v>2026</v>
      </c>
      <c r="B121" t="s">
        <v>55</v>
      </c>
      <c r="C121" t="s">
        <v>29</v>
      </c>
      <c r="D121" t="s">
        <v>30</v>
      </c>
      <c r="F121">
        <v>900</v>
      </c>
      <c r="G121" t="s">
        <v>42</v>
      </c>
      <c r="H121" t="s">
        <v>42</v>
      </c>
      <c r="I121" t="s">
        <v>59</v>
      </c>
      <c r="J121">
        <v>60</v>
      </c>
      <c r="K121" t="s">
        <v>45</v>
      </c>
      <c r="L121" s="12">
        <v>6048.3</v>
      </c>
      <c r="M121" s="7">
        <f>+L121*J121</f>
        <v>362898</v>
      </c>
      <c r="O121" s="7">
        <f t="shared" si="24"/>
        <v>362898</v>
      </c>
      <c r="P121" s="7">
        <f t="shared" si="25"/>
        <v>362898</v>
      </c>
      <c r="Q121" s="8">
        <v>0</v>
      </c>
      <c r="R121" s="7">
        <f t="shared" si="26"/>
        <v>362898</v>
      </c>
      <c r="S121" s="10">
        <f>IFERROR(((R121-P121)/R121),0)</f>
        <v>0</v>
      </c>
      <c r="T121" s="7">
        <f>IF(C121="Mediana Complejidad",M121,0)</f>
        <v>0</v>
      </c>
      <c r="U121" s="8">
        <v>0</v>
      </c>
      <c r="V121" s="7">
        <f>(T121)+(T121*U121)</f>
        <v>0</v>
      </c>
      <c r="W121" s="8">
        <f>IFERROR(((V121-T121)/V121),0)</f>
        <v>0</v>
      </c>
      <c r="X121" s="7">
        <f>IF(C121="Baja Complejidad",M121,0)</f>
        <v>0</v>
      </c>
      <c r="Y121" s="8">
        <v>0</v>
      </c>
      <c r="Z121" s="7">
        <f>(X121)+(X121*Y121)</f>
        <v>0</v>
      </c>
      <c r="AA121" s="8">
        <f>IFERROR(((Z121-X121)/Z121),0)</f>
        <v>0</v>
      </c>
      <c r="AB121" s="8">
        <v>0.1</v>
      </c>
    </row>
    <row r="122" spans="1:28" x14ac:dyDescent="0.25">
      <c r="A122">
        <v>2026</v>
      </c>
      <c r="B122" t="s">
        <v>55</v>
      </c>
      <c r="C122" t="s">
        <v>43</v>
      </c>
      <c r="D122" t="s">
        <v>43</v>
      </c>
      <c r="G122" t="s">
        <v>43</v>
      </c>
      <c r="H122" t="s">
        <v>43</v>
      </c>
      <c r="I122" t="s">
        <v>44</v>
      </c>
      <c r="J122">
        <v>10</v>
      </c>
      <c r="K122" t="s">
        <v>45</v>
      </c>
      <c r="L122">
        <v>3000</v>
      </c>
      <c r="M122" s="7">
        <v>30000</v>
      </c>
      <c r="O122" s="7">
        <f t="shared" si="24"/>
        <v>30000</v>
      </c>
      <c r="P122" s="7">
        <f t="shared" si="25"/>
        <v>0</v>
      </c>
      <c r="Q122" s="8">
        <v>0</v>
      </c>
      <c r="R122" s="7">
        <f t="shared" si="26"/>
        <v>30000</v>
      </c>
      <c r="S122" s="10">
        <f>IFERROR(((R122-P122)/R122),0)</f>
        <v>1</v>
      </c>
      <c r="T122" s="7">
        <f>IF(C122="Mediana Complejidad",M122,0)</f>
        <v>0</v>
      </c>
      <c r="U122" s="8">
        <v>0</v>
      </c>
      <c r="V122" s="7">
        <f>(T122)+(T122*U122)</f>
        <v>0</v>
      </c>
      <c r="W122" s="8">
        <f>IFERROR(((V122-T122)/V122),0)</f>
        <v>0</v>
      </c>
      <c r="X122" s="7">
        <f>IF(C122="Baja Complejidad",M122,0)</f>
        <v>0</v>
      </c>
      <c r="Y122" s="8">
        <v>0</v>
      </c>
      <c r="Z122" s="7">
        <f>(X122)+(X122*Y122)</f>
        <v>0</v>
      </c>
      <c r="AA122" s="8">
        <f>IFERROR(((Z122-X122)/Z122),0)</f>
        <v>0</v>
      </c>
      <c r="AB122" s="8">
        <v>0.1</v>
      </c>
    </row>
    <row r="123" spans="1:28" x14ac:dyDescent="0.25">
      <c r="A123">
        <v>2026</v>
      </c>
      <c r="B123" t="s">
        <v>55</v>
      </c>
      <c r="C123" t="s">
        <v>43</v>
      </c>
      <c r="D123" t="s">
        <v>43</v>
      </c>
      <c r="G123" t="s">
        <v>43</v>
      </c>
      <c r="H123" t="s">
        <v>43</v>
      </c>
      <c r="I123" t="s">
        <v>46</v>
      </c>
      <c r="J123">
        <v>1</v>
      </c>
      <c r="K123" t="s">
        <v>33</v>
      </c>
      <c r="L123">
        <v>2000000</v>
      </c>
      <c r="M123" s="7">
        <v>2000000</v>
      </c>
      <c r="O123" s="7">
        <f t="shared" si="24"/>
        <v>2000000</v>
      </c>
      <c r="P123" s="7">
        <f t="shared" si="25"/>
        <v>0</v>
      </c>
      <c r="Q123" s="8">
        <v>0</v>
      </c>
      <c r="R123" s="7">
        <f t="shared" si="26"/>
        <v>2000000</v>
      </c>
      <c r="S123" s="10">
        <f>IFERROR(((R123-P123)/R123),0)</f>
        <v>1</v>
      </c>
      <c r="T123" s="7">
        <f t="shared" ref="T123:T124" si="41">IF(C123="Mediana Complejidad",M123,0)</f>
        <v>0</v>
      </c>
      <c r="U123" s="8">
        <v>0</v>
      </c>
      <c r="V123" s="7">
        <f t="shared" ref="V123:V124" si="42">(T123)+(T123*U123)</f>
        <v>0</v>
      </c>
      <c r="W123" s="8">
        <f t="shared" ref="W123:W124" si="43">IFERROR(((V123-T123)/V123),0)</f>
        <v>0</v>
      </c>
      <c r="X123" s="7">
        <f t="shared" ref="X123:X124" si="44">IF(C123="Baja Complejidad",M123,0)</f>
        <v>0</v>
      </c>
      <c r="Y123" s="8">
        <v>0</v>
      </c>
      <c r="Z123" s="7">
        <f t="shared" ref="Z123:Z124" si="45">(X123)+(X123*Y123)</f>
        <v>0</v>
      </c>
      <c r="AA123" s="8">
        <f t="shared" ref="AA123:AA124" si="46">IFERROR(((Z123-X123)/Z123),0)</f>
        <v>0</v>
      </c>
      <c r="AB123" s="8">
        <v>0.1</v>
      </c>
    </row>
    <row r="124" spans="1:28" x14ac:dyDescent="0.25">
      <c r="A124">
        <v>2026</v>
      </c>
      <c r="B124" t="s">
        <v>55</v>
      </c>
      <c r="C124" t="s">
        <v>43</v>
      </c>
      <c r="D124" t="s">
        <v>43</v>
      </c>
      <c r="G124" t="s">
        <v>43</v>
      </c>
      <c r="H124" t="s">
        <v>43</v>
      </c>
      <c r="I124" t="s">
        <v>47</v>
      </c>
      <c r="J124">
        <v>1</v>
      </c>
      <c r="K124" t="s">
        <v>33</v>
      </c>
      <c r="L124">
        <v>200000</v>
      </c>
      <c r="M124" s="7">
        <v>200000</v>
      </c>
      <c r="O124" s="7">
        <f t="shared" si="24"/>
        <v>200000</v>
      </c>
      <c r="P124" s="7">
        <f t="shared" si="25"/>
        <v>0</v>
      </c>
      <c r="Q124" s="8">
        <v>0</v>
      </c>
      <c r="R124" s="7">
        <f t="shared" si="26"/>
        <v>200000</v>
      </c>
      <c r="S124" s="10">
        <f>IFERROR(((R124-P124)/R124),0)</f>
        <v>1</v>
      </c>
      <c r="T124" s="7">
        <f t="shared" si="41"/>
        <v>0</v>
      </c>
      <c r="U124" s="8">
        <v>0</v>
      </c>
      <c r="V124" s="7">
        <f t="shared" si="42"/>
        <v>0</v>
      </c>
      <c r="W124" s="8">
        <f t="shared" si="43"/>
        <v>0</v>
      </c>
      <c r="X124" s="7">
        <f t="shared" si="44"/>
        <v>0</v>
      </c>
      <c r="Y124" s="8">
        <v>0</v>
      </c>
      <c r="Z124" s="7">
        <f t="shared" si="45"/>
        <v>0</v>
      </c>
      <c r="AA124" s="8">
        <f t="shared" si="46"/>
        <v>0</v>
      </c>
      <c r="AB124" s="8">
        <v>0.1</v>
      </c>
    </row>
    <row r="125" spans="1:28" x14ac:dyDescent="0.25">
      <c r="A125">
        <v>2026</v>
      </c>
      <c r="B125" t="s">
        <v>55</v>
      </c>
      <c r="C125" t="s">
        <v>29</v>
      </c>
      <c r="D125" t="s">
        <v>30</v>
      </c>
      <c r="F125">
        <v>600</v>
      </c>
      <c r="G125" t="s">
        <v>42</v>
      </c>
      <c r="H125" t="s">
        <v>42</v>
      </c>
      <c r="I125" t="s">
        <v>48</v>
      </c>
      <c r="J125">
        <v>60</v>
      </c>
      <c r="K125" t="s">
        <v>45</v>
      </c>
      <c r="L125">
        <v>35000</v>
      </c>
      <c r="M125" s="7">
        <f t="shared" ref="M125:M127" si="47">+L125*J125</f>
        <v>2100000</v>
      </c>
      <c r="O125" s="7">
        <f t="shared" si="24"/>
        <v>2100000</v>
      </c>
      <c r="P125" s="7">
        <f t="shared" si="25"/>
        <v>2100000</v>
      </c>
      <c r="Q125" s="8">
        <v>0</v>
      </c>
      <c r="R125" s="7">
        <f t="shared" si="26"/>
        <v>2100000</v>
      </c>
      <c r="S125" s="10">
        <f>IFERROR(((R125-P125)/R125),0)</f>
        <v>0</v>
      </c>
      <c r="T125" s="7">
        <f>IF(C125="Mediana Complejidad",M125,0)</f>
        <v>0</v>
      </c>
      <c r="U125" s="8">
        <v>0</v>
      </c>
      <c r="V125" s="7">
        <f>(T125)+(T125*U125)</f>
        <v>0</v>
      </c>
      <c r="W125" s="8">
        <f>IFERROR(((V125-T125)/V125),0)</f>
        <v>0</v>
      </c>
      <c r="X125" s="7">
        <f>IF(C125="Baja Complejidad",M125,0)</f>
        <v>0</v>
      </c>
      <c r="Y125" s="8">
        <v>0</v>
      </c>
      <c r="Z125" s="7">
        <f>(X125)+(X125*Y125)</f>
        <v>0</v>
      </c>
      <c r="AA125" s="8">
        <f>IFERROR(((Z125-X125)/Z125),0)</f>
        <v>0</v>
      </c>
      <c r="AB125" s="8">
        <v>0.1</v>
      </c>
    </row>
    <row r="126" spans="1:28" x14ac:dyDescent="0.25">
      <c r="A126">
        <v>2026</v>
      </c>
      <c r="B126" t="s">
        <v>55</v>
      </c>
      <c r="C126" t="s">
        <v>29</v>
      </c>
      <c r="D126" t="s">
        <v>30</v>
      </c>
      <c r="F126">
        <v>600</v>
      </c>
      <c r="G126" t="s">
        <v>42</v>
      </c>
      <c r="H126" t="s">
        <v>42</v>
      </c>
      <c r="I126" t="s">
        <v>49</v>
      </c>
      <c r="J126">
        <v>60</v>
      </c>
      <c r="K126" t="s">
        <v>45</v>
      </c>
      <c r="L126">
        <v>25000</v>
      </c>
      <c r="M126" s="7">
        <f t="shared" si="47"/>
        <v>1500000</v>
      </c>
      <c r="O126" s="7">
        <f t="shared" si="24"/>
        <v>1500000</v>
      </c>
      <c r="P126" s="7">
        <f t="shared" si="25"/>
        <v>1500000</v>
      </c>
      <c r="Q126" s="8">
        <v>0</v>
      </c>
      <c r="R126" s="7">
        <f t="shared" si="26"/>
        <v>1500000</v>
      </c>
      <c r="S126" s="10">
        <f>IFERROR(((R126-P126)/R126),0)</f>
        <v>0</v>
      </c>
      <c r="T126" s="7">
        <f>IF(C126="Mediana Complejidad",M126,0)</f>
        <v>0</v>
      </c>
      <c r="U126" s="8">
        <v>0</v>
      </c>
      <c r="V126" s="7">
        <f>(T126)+(T126*U126)</f>
        <v>0</v>
      </c>
      <c r="W126" s="8">
        <f>IFERROR(((V126-T126)/V126),0)</f>
        <v>0</v>
      </c>
      <c r="X126" s="7">
        <f>IF(C126="Baja Complejidad",M126,0)</f>
        <v>0</v>
      </c>
      <c r="Y126" s="8">
        <v>0</v>
      </c>
      <c r="Z126" s="7">
        <f>(X126)+(X126*Y126)</f>
        <v>0</v>
      </c>
      <c r="AA126" s="8">
        <f>IFERROR(((Z126-X126)/Z126),0)</f>
        <v>0</v>
      </c>
      <c r="AB126" s="8">
        <v>0.1</v>
      </c>
    </row>
    <row r="127" spans="1:28" x14ac:dyDescent="0.25">
      <c r="A127">
        <v>2026</v>
      </c>
      <c r="B127" t="s">
        <v>55</v>
      </c>
      <c r="C127" t="s">
        <v>29</v>
      </c>
      <c r="D127" t="s">
        <v>30</v>
      </c>
      <c r="F127">
        <v>600</v>
      </c>
      <c r="G127" t="s">
        <v>42</v>
      </c>
      <c r="H127" t="s">
        <v>42</v>
      </c>
      <c r="I127" t="s">
        <v>50</v>
      </c>
      <c r="J127">
        <v>60</v>
      </c>
      <c r="K127" t="s">
        <v>45</v>
      </c>
      <c r="L127">
        <v>20000</v>
      </c>
      <c r="M127" s="7">
        <f t="shared" si="47"/>
        <v>1200000</v>
      </c>
      <c r="O127" s="7">
        <f t="shared" si="24"/>
        <v>1200000</v>
      </c>
      <c r="P127" s="7">
        <f t="shared" si="25"/>
        <v>1200000</v>
      </c>
      <c r="Q127" s="8">
        <v>0</v>
      </c>
      <c r="R127" s="7">
        <f t="shared" si="26"/>
        <v>1200000</v>
      </c>
      <c r="S127" s="10">
        <f>IFERROR(((R127-P127)/R127),0)</f>
        <v>0</v>
      </c>
      <c r="T127" s="7">
        <f>IF(C127="Mediana Complejidad",M127,0)</f>
        <v>0</v>
      </c>
      <c r="U127" s="8">
        <v>0</v>
      </c>
      <c r="V127" s="7">
        <f>(T127)+(T127*U127)</f>
        <v>0</v>
      </c>
      <c r="W127" s="8">
        <f>IFERROR(((V127-T127)/V127),0)</f>
        <v>0</v>
      </c>
      <c r="X127" s="7">
        <f>IF(C127="Baja Complejidad",M127,0)</f>
        <v>0</v>
      </c>
      <c r="Y127" s="8">
        <v>0</v>
      </c>
      <c r="Z127" s="7">
        <f>(X127)+(X127*Y127)</f>
        <v>0</v>
      </c>
      <c r="AA127" s="8">
        <f>IFERROR(((Z127-X127)/Z127),0)</f>
        <v>0</v>
      </c>
      <c r="AB127" s="8">
        <v>0.1</v>
      </c>
    </row>
    <row r="128" spans="1:28" x14ac:dyDescent="0.25">
      <c r="A128">
        <v>2026</v>
      </c>
      <c r="B128" t="s">
        <v>56</v>
      </c>
      <c r="C128" t="s">
        <v>29</v>
      </c>
      <c r="D128" t="s">
        <v>30</v>
      </c>
      <c r="E128" t="s">
        <v>85</v>
      </c>
      <c r="G128" t="s">
        <v>31</v>
      </c>
      <c r="H128" t="s">
        <v>31</v>
      </c>
      <c r="I128" t="s">
        <v>32</v>
      </c>
      <c r="J128">
        <v>4</v>
      </c>
      <c r="K128" t="s">
        <v>33</v>
      </c>
      <c r="L128">
        <v>266</v>
      </c>
      <c r="M128" s="7">
        <v>1064</v>
      </c>
      <c r="O128" s="7">
        <f t="shared" si="24"/>
        <v>1064</v>
      </c>
      <c r="P128" s="7">
        <f t="shared" si="25"/>
        <v>1064</v>
      </c>
      <c r="Q128" s="8">
        <v>0</v>
      </c>
      <c r="R128" s="7">
        <f t="shared" si="26"/>
        <v>1064</v>
      </c>
      <c r="S128" s="10">
        <f>IFERROR(((R128-P128)/R128),0)</f>
        <v>0</v>
      </c>
      <c r="T128" s="7">
        <f>IF(C128="Mediana Complejidad",M128,0)</f>
        <v>0</v>
      </c>
      <c r="U128" s="8">
        <v>0</v>
      </c>
      <c r="V128" s="7">
        <f>(T128)+(T128*U128)</f>
        <v>0</v>
      </c>
      <c r="W128" s="8">
        <f>IFERROR(((V128-T128)/V128),0)</f>
        <v>0</v>
      </c>
      <c r="X128" s="7">
        <f>IF(C128="Baja Complejidad",M128,0)</f>
        <v>0</v>
      </c>
      <c r="Y128" s="8">
        <v>0</v>
      </c>
      <c r="Z128" s="7">
        <f>(X128)+(X128*Y128)</f>
        <v>0</v>
      </c>
      <c r="AA128" s="8">
        <f>IFERROR(((Z128-X128)/Z128),0)</f>
        <v>0</v>
      </c>
      <c r="AB128" s="8">
        <v>0.1</v>
      </c>
    </row>
    <row r="129" spans="1:28" x14ac:dyDescent="0.25">
      <c r="A129">
        <v>2026</v>
      </c>
      <c r="B129" t="s">
        <v>56</v>
      </c>
      <c r="C129" t="s">
        <v>29</v>
      </c>
      <c r="D129" t="s">
        <v>30</v>
      </c>
      <c r="E129" t="s">
        <v>86</v>
      </c>
      <c r="G129" t="s">
        <v>31</v>
      </c>
      <c r="H129" t="s">
        <v>31</v>
      </c>
      <c r="I129" t="s">
        <v>34</v>
      </c>
      <c r="J129">
        <v>2</v>
      </c>
      <c r="K129" t="s">
        <v>33</v>
      </c>
      <c r="L129">
        <v>1086.232</v>
      </c>
      <c r="M129" s="7">
        <v>2172.4639999999999</v>
      </c>
      <c r="O129" s="7">
        <f t="shared" si="24"/>
        <v>2172.4639999999999</v>
      </c>
      <c r="P129" s="7">
        <f t="shared" si="25"/>
        <v>2172.4639999999999</v>
      </c>
      <c r="Q129" s="8">
        <v>0</v>
      </c>
      <c r="R129" s="7">
        <f t="shared" si="26"/>
        <v>2172.4639999999999</v>
      </c>
      <c r="S129" s="10">
        <f>IFERROR(((R129-P129)/R129),0)</f>
        <v>0</v>
      </c>
      <c r="T129" s="7">
        <f>IF(C129="Mediana Complejidad",M129,0)</f>
        <v>0</v>
      </c>
      <c r="U129" s="8">
        <v>0</v>
      </c>
      <c r="V129" s="7">
        <f>(T129)+(T129*U129)</f>
        <v>0</v>
      </c>
      <c r="W129" s="8">
        <f>IFERROR(((V129-T129)/V129),0)</f>
        <v>0</v>
      </c>
      <c r="X129" s="7">
        <f>IF(C129="Baja Complejidad",M129,0)</f>
        <v>0</v>
      </c>
      <c r="Y129" s="8">
        <v>0</v>
      </c>
      <c r="Z129" s="7">
        <f>(X129)+(X129*Y129)</f>
        <v>0</v>
      </c>
      <c r="AA129" s="8">
        <f>IFERROR(((Z129-X129)/Z129),0)</f>
        <v>0</v>
      </c>
      <c r="AB129" s="8">
        <v>0.1</v>
      </c>
    </row>
    <row r="130" spans="1:28" x14ac:dyDescent="0.25">
      <c r="A130">
        <v>2026</v>
      </c>
      <c r="B130" t="s">
        <v>56</v>
      </c>
      <c r="C130" t="s">
        <v>29</v>
      </c>
      <c r="D130" t="s">
        <v>30</v>
      </c>
      <c r="E130" t="s">
        <v>87</v>
      </c>
      <c r="G130" t="s">
        <v>31</v>
      </c>
      <c r="H130" t="s">
        <v>31</v>
      </c>
      <c r="I130" t="s">
        <v>35</v>
      </c>
      <c r="J130">
        <v>10</v>
      </c>
      <c r="K130" t="s">
        <v>33</v>
      </c>
      <c r="L130">
        <v>370</v>
      </c>
      <c r="M130" s="7">
        <v>3700</v>
      </c>
      <c r="O130" s="7">
        <f t="shared" si="24"/>
        <v>3700</v>
      </c>
      <c r="P130" s="7">
        <f t="shared" si="25"/>
        <v>3700</v>
      </c>
      <c r="Q130" s="8">
        <v>0</v>
      </c>
      <c r="R130" s="7">
        <f t="shared" si="26"/>
        <v>3700</v>
      </c>
      <c r="S130" s="10">
        <f>IFERROR(((R130-P130)/R130),0)</f>
        <v>0</v>
      </c>
      <c r="T130" s="7">
        <f>IF(C130="Mediana Complejidad",M130,0)</f>
        <v>0</v>
      </c>
      <c r="U130" s="8">
        <v>0</v>
      </c>
      <c r="V130" s="7">
        <f>(T130)+(T130*U130)</f>
        <v>0</v>
      </c>
      <c r="W130" s="8">
        <f>IFERROR(((V130-T130)/V130),0)</f>
        <v>0</v>
      </c>
      <c r="X130" s="7">
        <f>IF(C130="Baja Complejidad",M130,0)</f>
        <v>0</v>
      </c>
      <c r="Y130" s="8">
        <v>0</v>
      </c>
      <c r="Z130" s="7">
        <f>(X130)+(X130*Y130)</f>
        <v>0</v>
      </c>
      <c r="AA130" s="8">
        <f>IFERROR(((Z130-X130)/Z130),0)</f>
        <v>0</v>
      </c>
      <c r="AB130" s="8">
        <v>0.1</v>
      </c>
    </row>
    <row r="131" spans="1:28" x14ac:dyDescent="0.25">
      <c r="A131">
        <v>2026</v>
      </c>
      <c r="B131" t="s">
        <v>56</v>
      </c>
      <c r="C131" t="s">
        <v>29</v>
      </c>
      <c r="D131" t="s">
        <v>30</v>
      </c>
      <c r="E131" t="s">
        <v>88</v>
      </c>
      <c r="G131" t="s">
        <v>31</v>
      </c>
      <c r="H131" t="s">
        <v>31</v>
      </c>
      <c r="I131" t="s">
        <v>36</v>
      </c>
      <c r="J131">
        <v>2</v>
      </c>
      <c r="K131" t="s">
        <v>33</v>
      </c>
      <c r="L131">
        <v>2643</v>
      </c>
      <c r="M131" s="7">
        <v>5286</v>
      </c>
      <c r="O131" s="7">
        <f t="shared" ref="O131:O148" si="48">R131</f>
        <v>5286</v>
      </c>
      <c r="P131" s="7">
        <f t="shared" ref="P131:P148" si="49">IF(C131="Alta Complejidad",M131,0)</f>
        <v>5286</v>
      </c>
      <c r="Q131" s="8">
        <v>0</v>
      </c>
      <c r="R131" s="7">
        <f t="shared" ref="R131:R148" si="50">M131+(M131*Q131)</f>
        <v>5286</v>
      </c>
      <c r="S131" s="10">
        <f>IFERROR(((R131-P131)/R131),0)</f>
        <v>0</v>
      </c>
      <c r="T131" s="7">
        <f>IF(C131="Mediana Complejidad",M131,0)</f>
        <v>0</v>
      </c>
      <c r="U131" s="8">
        <v>0</v>
      </c>
      <c r="V131" s="7">
        <f>(T131)+(T131*U131)</f>
        <v>0</v>
      </c>
      <c r="W131" s="8">
        <f>IFERROR(((V131-T131)/V131),0)</f>
        <v>0</v>
      </c>
      <c r="X131" s="7">
        <f>IF(C131="Baja Complejidad",M131,0)</f>
        <v>0</v>
      </c>
      <c r="Y131" s="8">
        <v>0</v>
      </c>
      <c r="Z131" s="7">
        <f>(X131)+(X131*Y131)</f>
        <v>0</v>
      </c>
      <c r="AA131" s="8">
        <f>IFERROR(((Z131-X131)/Z131),0)</f>
        <v>0</v>
      </c>
      <c r="AB131" s="8">
        <v>0.1</v>
      </c>
    </row>
    <row r="132" spans="1:28" x14ac:dyDescent="0.25">
      <c r="A132">
        <v>2026</v>
      </c>
      <c r="B132" t="s">
        <v>56</v>
      </c>
      <c r="C132" t="s">
        <v>29</v>
      </c>
      <c r="D132" t="s">
        <v>30</v>
      </c>
      <c r="E132" t="s">
        <v>89</v>
      </c>
      <c r="G132" t="s">
        <v>31</v>
      </c>
      <c r="H132" t="s">
        <v>31</v>
      </c>
      <c r="I132" t="s">
        <v>37</v>
      </c>
      <c r="J132">
        <v>5</v>
      </c>
      <c r="K132" t="s">
        <v>33</v>
      </c>
      <c r="L132">
        <v>135.66</v>
      </c>
      <c r="M132" s="7">
        <v>678.3</v>
      </c>
      <c r="O132" s="7">
        <f t="shared" si="48"/>
        <v>678.3</v>
      </c>
      <c r="P132" s="7">
        <f t="shared" si="49"/>
        <v>678.3</v>
      </c>
      <c r="Q132" s="8">
        <v>0</v>
      </c>
      <c r="R132" s="7">
        <f t="shared" si="50"/>
        <v>678.3</v>
      </c>
      <c r="S132" s="10">
        <f>IFERROR(((R132-P132)/R132),0)</f>
        <v>0</v>
      </c>
      <c r="T132" s="7">
        <f>IF(C132="Mediana Complejidad",M132,0)</f>
        <v>0</v>
      </c>
      <c r="U132" s="8">
        <v>0</v>
      </c>
      <c r="V132" s="7">
        <f>(T132)+(T132*U132)</f>
        <v>0</v>
      </c>
      <c r="W132" s="8">
        <f>IFERROR(((V132-T132)/V132),0)</f>
        <v>0</v>
      </c>
      <c r="X132" s="7">
        <f>IF(C132="Baja Complejidad",M132,0)</f>
        <v>0</v>
      </c>
      <c r="Y132" s="8">
        <v>0</v>
      </c>
      <c r="Z132" s="7">
        <f>(X132)+(X132*Y132)</f>
        <v>0</v>
      </c>
      <c r="AA132" s="8">
        <f>IFERROR(((Z132-X132)/Z132),0)</f>
        <v>0</v>
      </c>
      <c r="AB132" s="8">
        <v>0.1</v>
      </c>
    </row>
    <row r="133" spans="1:28" x14ac:dyDescent="0.25">
      <c r="A133">
        <v>2026</v>
      </c>
      <c r="B133" t="s">
        <v>56</v>
      </c>
      <c r="C133" t="s">
        <v>29</v>
      </c>
      <c r="D133" t="s">
        <v>30</v>
      </c>
      <c r="E133" t="s">
        <v>90</v>
      </c>
      <c r="G133" t="s">
        <v>31</v>
      </c>
      <c r="H133" t="s">
        <v>31</v>
      </c>
      <c r="I133" t="s">
        <v>38</v>
      </c>
      <c r="J133">
        <v>2</v>
      </c>
      <c r="K133" t="s">
        <v>33</v>
      </c>
      <c r="L133">
        <v>3808</v>
      </c>
      <c r="M133" s="7">
        <v>7616</v>
      </c>
      <c r="O133" s="7">
        <f t="shared" si="48"/>
        <v>7616</v>
      </c>
      <c r="P133" s="7">
        <f t="shared" si="49"/>
        <v>7616</v>
      </c>
      <c r="Q133" s="8">
        <v>0</v>
      </c>
      <c r="R133" s="7">
        <f t="shared" si="50"/>
        <v>7616</v>
      </c>
      <c r="S133" s="10">
        <f>IFERROR(((R133-P133)/R133),0)</f>
        <v>0</v>
      </c>
      <c r="T133" s="7">
        <f>IF(C133="Mediana Complejidad",M133,0)</f>
        <v>0</v>
      </c>
      <c r="U133" s="8">
        <v>0</v>
      </c>
      <c r="V133" s="7">
        <f>(T133)+(T133*U133)</f>
        <v>0</v>
      </c>
      <c r="W133" s="8">
        <f>IFERROR(((V133-T133)/V133),0)</f>
        <v>0</v>
      </c>
      <c r="X133" s="7">
        <f>IF(C133="Baja Complejidad",M133,0)</f>
        <v>0</v>
      </c>
      <c r="Y133" s="8">
        <v>0</v>
      </c>
      <c r="Z133" s="7">
        <f>(X133)+(X133*Y133)</f>
        <v>0</v>
      </c>
      <c r="AA133" s="8">
        <f>IFERROR(((Z133-X133)/Z133),0)</f>
        <v>0</v>
      </c>
      <c r="AB133" s="8">
        <v>0.1</v>
      </c>
    </row>
    <row r="134" spans="1:28" x14ac:dyDescent="0.25">
      <c r="A134">
        <v>2026</v>
      </c>
      <c r="B134" t="s">
        <v>56</v>
      </c>
      <c r="C134" t="s">
        <v>29</v>
      </c>
      <c r="D134" t="s">
        <v>30</v>
      </c>
      <c r="E134" t="s">
        <v>91</v>
      </c>
      <c r="G134" t="s">
        <v>31</v>
      </c>
      <c r="H134" t="s">
        <v>31</v>
      </c>
      <c r="I134" t="s">
        <v>39</v>
      </c>
      <c r="J134">
        <v>2</v>
      </c>
      <c r="K134" t="s">
        <v>33</v>
      </c>
      <c r="L134">
        <v>111.86</v>
      </c>
      <c r="M134" s="7">
        <v>223.72</v>
      </c>
      <c r="O134" s="7">
        <f t="shared" si="48"/>
        <v>223.72</v>
      </c>
      <c r="P134" s="7">
        <f t="shared" si="49"/>
        <v>223.72</v>
      </c>
      <c r="Q134" s="8">
        <v>0</v>
      </c>
      <c r="R134" s="7">
        <f t="shared" si="50"/>
        <v>223.72</v>
      </c>
      <c r="S134" s="10">
        <f>IFERROR(((R134-P134)/R134),0)</f>
        <v>0</v>
      </c>
      <c r="T134" s="7">
        <f>IF(C134="Mediana Complejidad",M134,0)</f>
        <v>0</v>
      </c>
      <c r="U134" s="8">
        <v>0</v>
      </c>
      <c r="V134" s="7">
        <f>(T134)+(T134*U134)</f>
        <v>0</v>
      </c>
      <c r="W134" s="8">
        <f>IFERROR(((V134-T134)/V134),0)</f>
        <v>0</v>
      </c>
      <c r="X134" s="7">
        <f>IF(C134="Baja Complejidad",M134,0)</f>
        <v>0</v>
      </c>
      <c r="Y134" s="8">
        <v>0</v>
      </c>
      <c r="Z134" s="7">
        <f>(X134)+(X134*Y134)</f>
        <v>0</v>
      </c>
      <c r="AA134" s="8">
        <f>IFERROR(((Z134-X134)/Z134),0)</f>
        <v>0</v>
      </c>
      <c r="AB134" s="8">
        <v>0.1</v>
      </c>
    </row>
    <row r="135" spans="1:28" x14ac:dyDescent="0.25">
      <c r="A135">
        <v>2026</v>
      </c>
      <c r="B135" t="s">
        <v>56</v>
      </c>
      <c r="C135" t="s">
        <v>29</v>
      </c>
      <c r="D135" t="s">
        <v>30</v>
      </c>
      <c r="E135" t="s">
        <v>92</v>
      </c>
      <c r="G135" t="s">
        <v>31</v>
      </c>
      <c r="H135" t="s">
        <v>31</v>
      </c>
      <c r="I135" t="s">
        <v>64</v>
      </c>
      <c r="J135">
        <v>10</v>
      </c>
      <c r="K135" t="s">
        <v>33</v>
      </c>
      <c r="L135">
        <v>80300</v>
      </c>
      <c r="M135" s="7">
        <v>3212</v>
      </c>
      <c r="O135" s="7">
        <f t="shared" si="48"/>
        <v>3212</v>
      </c>
      <c r="P135" s="7">
        <f t="shared" si="49"/>
        <v>3212</v>
      </c>
      <c r="Q135" s="8">
        <v>0</v>
      </c>
      <c r="R135" s="7">
        <f t="shared" si="50"/>
        <v>3212</v>
      </c>
      <c r="S135" s="10">
        <f>IFERROR(((R135-P135)/R135),0)</f>
        <v>0</v>
      </c>
      <c r="T135" s="7">
        <f>IF(C135="Mediana Complejidad",M135,0)</f>
        <v>0</v>
      </c>
      <c r="U135" s="8">
        <v>0</v>
      </c>
      <c r="V135" s="7">
        <f>(T135)+(T135*U135)</f>
        <v>0</v>
      </c>
      <c r="W135" s="8">
        <f>IFERROR(((V135-T135)/V135),0)</f>
        <v>0</v>
      </c>
      <c r="X135" s="7">
        <f>IF(C135="Baja Complejidad",M135,0)</f>
        <v>0</v>
      </c>
      <c r="Y135" s="8">
        <v>0</v>
      </c>
      <c r="Z135" s="7">
        <f>(X135)+(X135*Y135)</f>
        <v>0</v>
      </c>
      <c r="AA135" s="8">
        <f>IFERROR(((Z135-X135)/Z135),0)</f>
        <v>0</v>
      </c>
      <c r="AB135" s="8">
        <v>0.1</v>
      </c>
    </row>
    <row r="136" spans="1:28" x14ac:dyDescent="0.25">
      <c r="A136">
        <v>2026</v>
      </c>
      <c r="B136" t="s">
        <v>56</v>
      </c>
      <c r="C136" t="s">
        <v>29</v>
      </c>
      <c r="D136" t="s">
        <v>30</v>
      </c>
      <c r="E136" t="s">
        <v>93</v>
      </c>
      <c r="G136" t="s">
        <v>31</v>
      </c>
      <c r="H136" t="s">
        <v>31</v>
      </c>
      <c r="I136" t="s">
        <v>40</v>
      </c>
      <c r="J136">
        <v>5</v>
      </c>
      <c r="K136" t="s">
        <v>33</v>
      </c>
      <c r="L136">
        <v>17888.080000000002</v>
      </c>
      <c r="M136" s="7">
        <v>89440.400000000009</v>
      </c>
      <c r="O136" s="7">
        <f t="shared" si="48"/>
        <v>89440.400000000009</v>
      </c>
      <c r="P136" s="7">
        <f t="shared" si="49"/>
        <v>89440.400000000009</v>
      </c>
      <c r="Q136" s="8">
        <v>0</v>
      </c>
      <c r="R136" s="7">
        <f t="shared" si="50"/>
        <v>89440.400000000009</v>
      </c>
      <c r="S136" s="10">
        <f>IFERROR(((R136-P136)/R136),0)</f>
        <v>0</v>
      </c>
      <c r="T136" s="7">
        <f>IF(C136="Mediana Complejidad",M136,0)</f>
        <v>0</v>
      </c>
      <c r="U136" s="8">
        <v>0</v>
      </c>
      <c r="V136" s="7">
        <f>(T136)+(T136*U136)</f>
        <v>0</v>
      </c>
      <c r="W136" s="8">
        <f>IFERROR(((V136-T136)/V136),0)</f>
        <v>0</v>
      </c>
      <c r="X136" s="7">
        <f>IF(C136="Baja Complejidad",M136,0)</f>
        <v>0</v>
      </c>
      <c r="Y136" s="8">
        <v>0</v>
      </c>
      <c r="Z136" s="7">
        <f>(X136)+(X136*Y136)</f>
        <v>0</v>
      </c>
      <c r="AA136" s="8">
        <f>IFERROR(((Z136-X136)/Z136),0)</f>
        <v>0</v>
      </c>
      <c r="AB136" s="8">
        <v>0.1</v>
      </c>
    </row>
    <row r="137" spans="1:28" x14ac:dyDescent="0.25">
      <c r="A137">
        <v>2026</v>
      </c>
      <c r="B137" t="s">
        <v>56</v>
      </c>
      <c r="C137" t="s">
        <v>29</v>
      </c>
      <c r="D137" t="s">
        <v>30</v>
      </c>
      <c r="E137" t="s">
        <v>94</v>
      </c>
      <c r="G137" t="s">
        <v>31</v>
      </c>
      <c r="H137" t="s">
        <v>31</v>
      </c>
      <c r="I137" t="s">
        <v>41</v>
      </c>
      <c r="J137">
        <v>2</v>
      </c>
      <c r="K137" t="s">
        <v>33</v>
      </c>
      <c r="L137">
        <v>337.3837894736842</v>
      </c>
      <c r="M137" s="7">
        <v>674.76757894736841</v>
      </c>
      <c r="O137" s="7">
        <f t="shared" si="48"/>
        <v>674.76757894736841</v>
      </c>
      <c r="P137" s="7">
        <f t="shared" si="49"/>
        <v>674.76757894736841</v>
      </c>
      <c r="Q137" s="8">
        <v>0</v>
      </c>
      <c r="R137" s="7">
        <f t="shared" si="50"/>
        <v>674.76757894736841</v>
      </c>
      <c r="S137" s="10">
        <f>IFERROR(((R137-P137)/R137),0)</f>
        <v>0</v>
      </c>
      <c r="T137" s="7">
        <f>IF(C137="Mediana Complejidad",M137,0)</f>
        <v>0</v>
      </c>
      <c r="U137" s="8">
        <v>0</v>
      </c>
      <c r="V137" s="7">
        <f>(T137)+(T137*U137)</f>
        <v>0</v>
      </c>
      <c r="W137" s="8">
        <f>IFERROR(((V137-T137)/V137),0)</f>
        <v>0</v>
      </c>
      <c r="X137" s="7">
        <f>IF(C137="Baja Complejidad",M137,0)</f>
        <v>0</v>
      </c>
      <c r="Y137" s="8">
        <v>0</v>
      </c>
      <c r="Z137" s="7">
        <f>(X137)+(X137*Y137)</f>
        <v>0</v>
      </c>
      <c r="AA137" s="8">
        <f>IFERROR(((Z137-X137)/Z137),0)</f>
        <v>0</v>
      </c>
      <c r="AB137" s="8">
        <v>0.1</v>
      </c>
    </row>
    <row r="138" spans="1:28" x14ac:dyDescent="0.25">
      <c r="A138">
        <v>2026</v>
      </c>
      <c r="B138" t="s">
        <v>56</v>
      </c>
      <c r="C138" t="s">
        <v>29</v>
      </c>
      <c r="D138" t="s">
        <v>30</v>
      </c>
      <c r="E138" t="s">
        <v>95</v>
      </c>
      <c r="G138" t="s">
        <v>31</v>
      </c>
      <c r="H138" t="s">
        <v>31</v>
      </c>
      <c r="I138" t="s">
        <v>83</v>
      </c>
      <c r="J138">
        <v>2</v>
      </c>
      <c r="K138" t="s">
        <v>33</v>
      </c>
      <c r="L138">
        <v>67900</v>
      </c>
      <c r="M138" s="7">
        <v>13580</v>
      </c>
      <c r="O138" s="7">
        <f t="shared" si="48"/>
        <v>13580</v>
      </c>
      <c r="P138" s="7">
        <f t="shared" si="49"/>
        <v>13580</v>
      </c>
      <c r="Q138" s="8">
        <v>0</v>
      </c>
      <c r="R138" s="7">
        <f t="shared" si="50"/>
        <v>13580</v>
      </c>
      <c r="S138" s="10">
        <f>IFERROR(((R138-P138)/R138),0)</f>
        <v>0</v>
      </c>
      <c r="T138" s="7">
        <f>IF(C138="Mediana Complejidad",M138,0)</f>
        <v>0</v>
      </c>
      <c r="U138" s="8">
        <v>0</v>
      </c>
      <c r="V138" s="7">
        <f>(T138)+(T138*U138)</f>
        <v>0</v>
      </c>
      <c r="W138" s="8">
        <f>IFERROR(((V138-T138)/V138),0)</f>
        <v>0</v>
      </c>
      <c r="X138" s="7">
        <f>IF(C138="Baja Complejidad",M138,0)</f>
        <v>0</v>
      </c>
      <c r="Y138" s="8">
        <v>0</v>
      </c>
      <c r="Z138" s="7">
        <f>(X138)+(X138*Y138)</f>
        <v>0</v>
      </c>
      <c r="AA138" s="8">
        <f>IFERROR(((Z138-X138)/Z138),0)</f>
        <v>0</v>
      </c>
      <c r="AB138" s="8">
        <v>0.1</v>
      </c>
    </row>
    <row r="139" spans="1:28" x14ac:dyDescent="0.25">
      <c r="A139">
        <v>2026</v>
      </c>
      <c r="B139" t="s">
        <v>56</v>
      </c>
      <c r="C139" t="s">
        <v>29</v>
      </c>
      <c r="D139" t="s">
        <v>30</v>
      </c>
      <c r="E139" t="s">
        <v>96</v>
      </c>
      <c r="G139" t="s">
        <v>31</v>
      </c>
      <c r="H139" t="s">
        <v>31</v>
      </c>
      <c r="I139" t="s">
        <v>84</v>
      </c>
      <c r="J139">
        <v>2</v>
      </c>
      <c r="K139" t="s">
        <v>33</v>
      </c>
      <c r="L139">
        <v>50300</v>
      </c>
      <c r="M139" s="7">
        <v>10060</v>
      </c>
      <c r="O139" s="7">
        <f t="shared" si="48"/>
        <v>10060</v>
      </c>
      <c r="P139" s="7">
        <f t="shared" si="49"/>
        <v>10060</v>
      </c>
      <c r="Q139" s="8">
        <v>0</v>
      </c>
      <c r="R139" s="7">
        <f t="shared" si="50"/>
        <v>10060</v>
      </c>
      <c r="S139" s="10">
        <f>IFERROR(((R139-P139)/R139),0)</f>
        <v>0</v>
      </c>
      <c r="T139" s="7">
        <f>IF(C139="Mediana Complejidad",M139,0)</f>
        <v>0</v>
      </c>
      <c r="U139" s="8">
        <v>0</v>
      </c>
      <c r="V139" s="7">
        <f>(T139)+(T139*U139)</f>
        <v>0</v>
      </c>
      <c r="W139" s="8">
        <f>IFERROR(((V139-T139)/V139),0)</f>
        <v>0</v>
      </c>
      <c r="X139" s="7">
        <f>IF(C139="Baja Complejidad",M139,0)</f>
        <v>0</v>
      </c>
      <c r="Y139" s="8">
        <v>0</v>
      </c>
      <c r="Z139" s="7">
        <f>(X139)+(X139*Y139)</f>
        <v>0</v>
      </c>
      <c r="AA139" s="8">
        <f>IFERROR(((Z139-X139)/Z139),0)</f>
        <v>0</v>
      </c>
      <c r="AB139" s="8">
        <v>0.1</v>
      </c>
    </row>
    <row r="140" spans="1:28" x14ac:dyDescent="0.25">
      <c r="A140">
        <v>2026</v>
      </c>
      <c r="B140" t="s">
        <v>56</v>
      </c>
      <c r="C140" t="s">
        <v>29</v>
      </c>
      <c r="D140" t="s">
        <v>30</v>
      </c>
      <c r="E140" t="s">
        <v>97</v>
      </c>
      <c r="G140" t="s">
        <v>31</v>
      </c>
      <c r="H140" t="s">
        <v>31</v>
      </c>
      <c r="I140" t="s">
        <v>82</v>
      </c>
      <c r="J140">
        <v>2</v>
      </c>
      <c r="K140" t="s">
        <v>33</v>
      </c>
      <c r="L140">
        <v>43500</v>
      </c>
      <c r="M140" s="7">
        <v>7250</v>
      </c>
      <c r="O140" s="7">
        <f t="shared" si="48"/>
        <v>7250</v>
      </c>
      <c r="P140" s="7">
        <f t="shared" si="49"/>
        <v>7250</v>
      </c>
      <c r="Q140" s="8">
        <v>0</v>
      </c>
      <c r="R140" s="7">
        <f t="shared" si="50"/>
        <v>7250</v>
      </c>
      <c r="S140" s="10">
        <f>IFERROR(((R140-P140)/R140),0)</f>
        <v>0</v>
      </c>
      <c r="T140" s="7">
        <f>IF(C140="Mediana Complejidad",M140,0)</f>
        <v>0</v>
      </c>
      <c r="U140" s="8">
        <v>0</v>
      </c>
      <c r="V140" s="7">
        <f>(T140)+(T140*U140)</f>
        <v>0</v>
      </c>
      <c r="W140" s="8">
        <f>IFERROR(((V140-T140)/V140),0)</f>
        <v>0</v>
      </c>
      <c r="X140" s="7">
        <f>IF(C140="Baja Complejidad",M140,0)</f>
        <v>0</v>
      </c>
      <c r="Y140" s="8">
        <v>0</v>
      </c>
      <c r="Z140" s="7">
        <f>(X140)+(X140*Y140)</f>
        <v>0</v>
      </c>
      <c r="AA140" s="8">
        <f>IFERROR(((Z140-X140)/Z140),0)</f>
        <v>0</v>
      </c>
      <c r="AB140" s="8">
        <v>0.1</v>
      </c>
    </row>
    <row r="141" spans="1:28" x14ac:dyDescent="0.25">
      <c r="A141">
        <v>2026</v>
      </c>
      <c r="B141" t="s">
        <v>56</v>
      </c>
      <c r="C141" t="s">
        <v>29</v>
      </c>
      <c r="D141" t="s">
        <v>30</v>
      </c>
      <c r="F141">
        <v>1800</v>
      </c>
      <c r="G141" t="s">
        <v>42</v>
      </c>
      <c r="H141" t="s">
        <v>42</v>
      </c>
      <c r="I141" t="s">
        <v>62</v>
      </c>
      <c r="J141">
        <v>60</v>
      </c>
      <c r="K141" t="s">
        <v>45</v>
      </c>
      <c r="L141" s="12">
        <v>20894.400000000001</v>
      </c>
      <c r="M141" s="7">
        <f>+L141*J141</f>
        <v>1253664</v>
      </c>
      <c r="O141" s="7">
        <f t="shared" si="48"/>
        <v>1253664</v>
      </c>
      <c r="P141" s="7">
        <f t="shared" si="49"/>
        <v>1253664</v>
      </c>
      <c r="Q141" s="8">
        <v>0</v>
      </c>
      <c r="R141" s="7">
        <f t="shared" si="50"/>
        <v>1253664</v>
      </c>
      <c r="S141" s="10">
        <f>IFERROR(((R141-P141)/R141),0)</f>
        <v>0</v>
      </c>
      <c r="T141" s="7">
        <f>IF(C141="Mediana Complejidad",M141,0)</f>
        <v>0</v>
      </c>
      <c r="U141" s="8">
        <v>0</v>
      </c>
      <c r="V141" s="7">
        <f>(T141)+(T141*U141)</f>
        <v>0</v>
      </c>
      <c r="W141" s="8">
        <f>IFERROR(((V141-T141)/V141),0)</f>
        <v>0</v>
      </c>
      <c r="X141" s="7">
        <f>IF(C141="Baja Complejidad",M141,0)</f>
        <v>0</v>
      </c>
      <c r="Y141" s="8">
        <v>0</v>
      </c>
      <c r="Z141" s="7">
        <f>(X141)+(X141*Y141)</f>
        <v>0</v>
      </c>
      <c r="AA141" s="8">
        <f>IFERROR(((Z141-X141)/Z141),0)</f>
        <v>0</v>
      </c>
      <c r="AB141" s="8">
        <v>0.1</v>
      </c>
    </row>
    <row r="142" spans="1:28" x14ac:dyDescent="0.25">
      <c r="A142">
        <v>2026</v>
      </c>
      <c r="B142" t="s">
        <v>56</v>
      </c>
      <c r="C142" t="s">
        <v>29</v>
      </c>
      <c r="D142" t="s">
        <v>30</v>
      </c>
      <c r="F142">
        <v>900</v>
      </c>
      <c r="G142" t="s">
        <v>42</v>
      </c>
      <c r="H142" t="s">
        <v>42</v>
      </c>
      <c r="I142" t="s">
        <v>59</v>
      </c>
      <c r="J142">
        <v>60</v>
      </c>
      <c r="K142" t="s">
        <v>45</v>
      </c>
      <c r="L142" s="12">
        <v>6048.3</v>
      </c>
      <c r="M142" s="7">
        <f>+L142*J142</f>
        <v>362898</v>
      </c>
      <c r="O142" s="7">
        <f t="shared" si="48"/>
        <v>362898</v>
      </c>
      <c r="P142" s="7">
        <f t="shared" si="49"/>
        <v>362898</v>
      </c>
      <c r="Q142" s="8">
        <v>0</v>
      </c>
      <c r="R142" s="7">
        <f t="shared" si="50"/>
        <v>362898</v>
      </c>
      <c r="S142" s="10">
        <f>IFERROR(((R142-P142)/R142),0)</f>
        <v>0</v>
      </c>
      <c r="T142" s="7">
        <f>IF(C142="Mediana Complejidad",M142,0)</f>
        <v>0</v>
      </c>
      <c r="U142" s="8">
        <v>0</v>
      </c>
      <c r="V142" s="7">
        <f>(T142)+(T142*U142)</f>
        <v>0</v>
      </c>
      <c r="W142" s="8">
        <f>IFERROR(((V142-T142)/V142),0)</f>
        <v>0</v>
      </c>
      <c r="X142" s="7">
        <f>IF(C142="Baja Complejidad",M142,0)</f>
        <v>0</v>
      </c>
      <c r="Y142" s="8">
        <v>0</v>
      </c>
      <c r="Z142" s="7">
        <f>(X142)+(X142*Y142)</f>
        <v>0</v>
      </c>
      <c r="AA142" s="8">
        <f>IFERROR(((Z142-X142)/Z142),0)</f>
        <v>0</v>
      </c>
      <c r="AB142" s="8">
        <v>0.1</v>
      </c>
    </row>
    <row r="143" spans="1:28" x14ac:dyDescent="0.25">
      <c r="A143">
        <v>2026</v>
      </c>
      <c r="B143" t="s">
        <v>56</v>
      </c>
      <c r="C143" t="s">
        <v>43</v>
      </c>
      <c r="D143" t="s">
        <v>43</v>
      </c>
      <c r="G143" t="s">
        <v>43</v>
      </c>
      <c r="H143" t="s">
        <v>43</v>
      </c>
      <c r="I143" t="s">
        <v>44</v>
      </c>
      <c r="J143">
        <v>10</v>
      </c>
      <c r="K143" t="s">
        <v>45</v>
      </c>
      <c r="L143">
        <v>3000</v>
      </c>
      <c r="M143" s="7">
        <v>30000</v>
      </c>
      <c r="O143" s="7">
        <f t="shared" si="48"/>
        <v>30000</v>
      </c>
      <c r="P143" s="7">
        <f t="shared" si="49"/>
        <v>0</v>
      </c>
      <c r="Q143" s="8">
        <v>0</v>
      </c>
      <c r="R143" s="7">
        <f t="shared" si="50"/>
        <v>30000</v>
      </c>
      <c r="S143" s="10">
        <f>IFERROR(((R143-P143)/R143),0)</f>
        <v>1</v>
      </c>
      <c r="T143" s="7">
        <f>IF(C143="Mediana Complejidad",M143,0)</f>
        <v>0</v>
      </c>
      <c r="U143" s="8">
        <v>0</v>
      </c>
      <c r="V143" s="7">
        <f>(T143)+(T143*U143)</f>
        <v>0</v>
      </c>
      <c r="W143" s="8">
        <f>IFERROR(((V143-T143)/V143),0)</f>
        <v>0</v>
      </c>
      <c r="X143" s="7">
        <f>IF(C143="Baja Complejidad",M143,0)</f>
        <v>0</v>
      </c>
      <c r="Y143" s="8">
        <v>0</v>
      </c>
      <c r="Z143" s="7">
        <f>(X143)+(X143*Y143)</f>
        <v>0</v>
      </c>
      <c r="AA143" s="8">
        <f>IFERROR(((Z143-X143)/Z143),0)</f>
        <v>0</v>
      </c>
      <c r="AB143" s="8">
        <v>0.1</v>
      </c>
    </row>
    <row r="144" spans="1:28" x14ac:dyDescent="0.25">
      <c r="A144">
        <v>2026</v>
      </c>
      <c r="B144" t="s">
        <v>56</v>
      </c>
      <c r="C144" t="s">
        <v>43</v>
      </c>
      <c r="D144" t="s">
        <v>43</v>
      </c>
      <c r="G144" t="s">
        <v>43</v>
      </c>
      <c r="H144" t="s">
        <v>43</v>
      </c>
      <c r="I144" t="s">
        <v>46</v>
      </c>
      <c r="J144">
        <v>1</v>
      </c>
      <c r="K144" t="s">
        <v>33</v>
      </c>
      <c r="L144">
        <v>2000000</v>
      </c>
      <c r="M144" s="7">
        <v>2000000</v>
      </c>
      <c r="O144" s="7">
        <f t="shared" si="48"/>
        <v>2000000</v>
      </c>
      <c r="P144" s="7">
        <f t="shared" si="49"/>
        <v>0</v>
      </c>
      <c r="Q144" s="8">
        <v>0</v>
      </c>
      <c r="R144" s="7">
        <f t="shared" si="50"/>
        <v>2000000</v>
      </c>
      <c r="S144" s="10">
        <f>IFERROR(((R144-P144)/R144),0)</f>
        <v>1</v>
      </c>
      <c r="T144" s="7">
        <f t="shared" ref="T144:T145" si="51">IF(C144="Mediana Complejidad",M144,0)</f>
        <v>0</v>
      </c>
      <c r="U144" s="8">
        <v>0</v>
      </c>
      <c r="V144" s="7">
        <f t="shared" ref="V144:V145" si="52">(T144)+(T144*U144)</f>
        <v>0</v>
      </c>
      <c r="W144" s="8">
        <f t="shared" ref="W144:W145" si="53">IFERROR(((V144-T144)/V144),0)</f>
        <v>0</v>
      </c>
      <c r="X144" s="7">
        <f t="shared" ref="X144:X145" si="54">IF(C144="Baja Complejidad",M144,0)</f>
        <v>0</v>
      </c>
      <c r="Y144" s="8">
        <v>0</v>
      </c>
      <c r="Z144" s="7">
        <f t="shared" ref="Z144:Z145" si="55">(X144)+(X144*Y144)</f>
        <v>0</v>
      </c>
      <c r="AA144" s="8">
        <f t="shared" ref="AA144:AA145" si="56">IFERROR(((Z144-X144)/Z144),0)</f>
        <v>0</v>
      </c>
      <c r="AB144" s="8">
        <v>0.1</v>
      </c>
    </row>
    <row r="145" spans="1:28" x14ac:dyDescent="0.25">
      <c r="A145">
        <v>2026</v>
      </c>
      <c r="B145" t="s">
        <v>56</v>
      </c>
      <c r="C145" t="s">
        <v>43</v>
      </c>
      <c r="D145" t="s">
        <v>43</v>
      </c>
      <c r="G145" t="s">
        <v>43</v>
      </c>
      <c r="H145" t="s">
        <v>43</v>
      </c>
      <c r="I145" t="s">
        <v>47</v>
      </c>
      <c r="J145">
        <v>1</v>
      </c>
      <c r="K145" t="s">
        <v>33</v>
      </c>
      <c r="L145">
        <v>200000</v>
      </c>
      <c r="M145" s="7">
        <v>200000</v>
      </c>
      <c r="O145" s="7">
        <f t="shared" si="48"/>
        <v>200000</v>
      </c>
      <c r="P145" s="7">
        <f t="shared" si="49"/>
        <v>0</v>
      </c>
      <c r="Q145" s="8">
        <v>0</v>
      </c>
      <c r="R145" s="7">
        <f t="shared" si="50"/>
        <v>200000</v>
      </c>
      <c r="S145" s="10">
        <f>IFERROR(((R145-P145)/R145),0)</f>
        <v>1</v>
      </c>
      <c r="T145" s="7">
        <f t="shared" si="51"/>
        <v>0</v>
      </c>
      <c r="U145" s="8">
        <v>0</v>
      </c>
      <c r="V145" s="7">
        <f t="shared" si="52"/>
        <v>0</v>
      </c>
      <c r="W145" s="8">
        <f t="shared" si="53"/>
        <v>0</v>
      </c>
      <c r="X145" s="7">
        <f t="shared" si="54"/>
        <v>0</v>
      </c>
      <c r="Y145" s="8">
        <v>0</v>
      </c>
      <c r="Z145" s="7">
        <f t="shared" si="55"/>
        <v>0</v>
      </c>
      <c r="AA145" s="8">
        <f t="shared" si="56"/>
        <v>0</v>
      </c>
      <c r="AB145" s="8">
        <v>0.1</v>
      </c>
    </row>
    <row r="146" spans="1:28" x14ac:dyDescent="0.25">
      <c r="A146">
        <v>2026</v>
      </c>
      <c r="B146" t="s">
        <v>56</v>
      </c>
      <c r="C146" t="s">
        <v>29</v>
      </c>
      <c r="D146" t="s">
        <v>30</v>
      </c>
      <c r="F146">
        <v>600</v>
      </c>
      <c r="G146" t="s">
        <v>42</v>
      </c>
      <c r="H146" t="s">
        <v>42</v>
      </c>
      <c r="I146" t="s">
        <v>48</v>
      </c>
      <c r="J146">
        <v>60</v>
      </c>
      <c r="K146" t="s">
        <v>45</v>
      </c>
      <c r="L146">
        <v>35000</v>
      </c>
      <c r="M146" s="7">
        <f t="shared" ref="M146:M148" si="57">+L146*J146</f>
        <v>2100000</v>
      </c>
      <c r="O146" s="7">
        <f t="shared" si="48"/>
        <v>2100000</v>
      </c>
      <c r="P146" s="7">
        <f t="shared" si="49"/>
        <v>2100000</v>
      </c>
      <c r="Q146" s="8">
        <v>0</v>
      </c>
      <c r="R146" s="7">
        <f t="shared" si="50"/>
        <v>2100000</v>
      </c>
      <c r="S146" s="10">
        <f>IFERROR(((R146-P146)/R146),0)</f>
        <v>0</v>
      </c>
      <c r="T146" s="7">
        <f>IF(C146="Mediana Complejidad",M146,0)</f>
        <v>0</v>
      </c>
      <c r="U146" s="8">
        <v>0</v>
      </c>
      <c r="V146" s="7">
        <f>(T146)+(T146*U146)</f>
        <v>0</v>
      </c>
      <c r="W146" s="8">
        <f>IFERROR(((V146-T146)/V146),0)</f>
        <v>0</v>
      </c>
      <c r="X146" s="7">
        <f>IF(C146="Baja Complejidad",M146,0)</f>
        <v>0</v>
      </c>
      <c r="Y146" s="8">
        <v>0</v>
      </c>
      <c r="Z146" s="7">
        <f>(X146)+(X146*Y146)</f>
        <v>0</v>
      </c>
      <c r="AA146" s="8">
        <f>IFERROR(((Z146-X146)/Z146),0)</f>
        <v>0</v>
      </c>
      <c r="AB146" s="8">
        <v>0.1</v>
      </c>
    </row>
    <row r="147" spans="1:28" x14ac:dyDescent="0.25">
      <c r="A147">
        <v>2026</v>
      </c>
      <c r="B147" t="s">
        <v>56</v>
      </c>
      <c r="C147" t="s">
        <v>29</v>
      </c>
      <c r="D147" t="s">
        <v>30</v>
      </c>
      <c r="F147">
        <v>600</v>
      </c>
      <c r="G147" t="s">
        <v>42</v>
      </c>
      <c r="H147" t="s">
        <v>42</v>
      </c>
      <c r="I147" t="s">
        <v>49</v>
      </c>
      <c r="J147">
        <v>60</v>
      </c>
      <c r="K147" t="s">
        <v>45</v>
      </c>
      <c r="L147">
        <v>25000</v>
      </c>
      <c r="M147" s="7">
        <f t="shared" si="57"/>
        <v>1500000</v>
      </c>
      <c r="O147" s="7">
        <f t="shared" si="48"/>
        <v>1500000</v>
      </c>
      <c r="P147" s="7">
        <f t="shared" si="49"/>
        <v>1500000</v>
      </c>
      <c r="Q147" s="8">
        <v>0</v>
      </c>
      <c r="R147" s="7">
        <f t="shared" si="50"/>
        <v>1500000</v>
      </c>
      <c r="S147" s="10">
        <f>IFERROR(((R147-P147)/R147),0)</f>
        <v>0</v>
      </c>
      <c r="T147" s="7">
        <f>IF(C147="Mediana Complejidad",M147,0)</f>
        <v>0</v>
      </c>
      <c r="U147" s="8">
        <v>0</v>
      </c>
      <c r="V147" s="7">
        <f>(T147)+(T147*U147)</f>
        <v>0</v>
      </c>
      <c r="W147" s="8">
        <f>IFERROR(((V147-T147)/V147),0)</f>
        <v>0</v>
      </c>
      <c r="X147" s="7">
        <f>IF(C147="Baja Complejidad",M147,0)</f>
        <v>0</v>
      </c>
      <c r="Y147" s="8">
        <v>0</v>
      </c>
      <c r="Z147" s="7">
        <f>(X147)+(X147*Y147)</f>
        <v>0</v>
      </c>
      <c r="AA147" s="8">
        <f>IFERROR(((Z147-X147)/Z147),0)</f>
        <v>0</v>
      </c>
      <c r="AB147" s="8">
        <v>0.1</v>
      </c>
    </row>
    <row r="148" spans="1:28" x14ac:dyDescent="0.25">
      <c r="A148">
        <v>2026</v>
      </c>
      <c r="B148" t="s">
        <v>56</v>
      </c>
      <c r="C148" t="s">
        <v>29</v>
      </c>
      <c r="D148" t="s">
        <v>30</v>
      </c>
      <c r="F148">
        <v>600</v>
      </c>
      <c r="G148" t="s">
        <v>42</v>
      </c>
      <c r="H148" t="s">
        <v>42</v>
      </c>
      <c r="I148" t="s">
        <v>50</v>
      </c>
      <c r="J148">
        <v>60</v>
      </c>
      <c r="K148" t="s">
        <v>45</v>
      </c>
      <c r="L148">
        <v>20000</v>
      </c>
      <c r="M148" s="7">
        <f t="shared" si="57"/>
        <v>1200000</v>
      </c>
      <c r="O148" s="7">
        <f t="shared" si="48"/>
        <v>1200000</v>
      </c>
      <c r="P148" s="7">
        <f t="shared" si="49"/>
        <v>1200000</v>
      </c>
      <c r="Q148" s="8">
        <v>0</v>
      </c>
      <c r="R148" s="7">
        <f t="shared" si="50"/>
        <v>1200000</v>
      </c>
      <c r="S148" s="10">
        <f>IFERROR(((R148-P148)/R148),0)</f>
        <v>0</v>
      </c>
      <c r="T148" s="7">
        <f>IF(C148="Mediana Complejidad",M148,0)</f>
        <v>0</v>
      </c>
      <c r="U148" s="8">
        <v>0</v>
      </c>
      <c r="V148" s="7">
        <f>(T148)+(T148*U148)</f>
        <v>0</v>
      </c>
      <c r="W148" s="8">
        <f>IFERROR(((V148-T148)/V148),0)</f>
        <v>0</v>
      </c>
      <c r="X148" s="7">
        <f>IF(C148="Baja Complejidad",M148,0)</f>
        <v>0</v>
      </c>
      <c r="Y148" s="8">
        <v>0</v>
      </c>
      <c r="Z148" s="7">
        <f>(X148)+(X148*Y148)</f>
        <v>0</v>
      </c>
      <c r="AA148" s="8">
        <f>IFERROR(((Z148-X148)/Z148),0)</f>
        <v>0</v>
      </c>
      <c r="AB148" s="8">
        <v>0.1</v>
      </c>
    </row>
    <row r="149" spans="1:28" x14ac:dyDescent="0.25">
      <c r="M149" s="7"/>
      <c r="O149" s="7"/>
      <c r="P149" s="7"/>
      <c r="Q149" s="8"/>
      <c r="R149" s="7"/>
      <c r="T149" s="7"/>
      <c r="U149" s="8"/>
      <c r="V149" s="7"/>
      <c r="W149" s="8"/>
      <c r="X149" s="7"/>
      <c r="Y149" s="8"/>
      <c r="Z149" s="7"/>
      <c r="AA149" s="8"/>
      <c r="AB149" s="8"/>
    </row>
  </sheetData>
  <autoFilter ref="A1:AB148" xr:uid="{67FC5F04-0963-4D52-9C9F-6A7E8E6380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6CA9-AD0B-4518-AD18-EB7415AE0E3A}">
  <dimension ref="A1:AB113"/>
  <sheetViews>
    <sheetView topLeftCell="Y89" workbookViewId="0">
      <selection activeCell="A2" sqref="A2:AB113"/>
    </sheetView>
  </sheetViews>
  <sheetFormatPr baseColWidth="10" defaultRowHeight="15" x14ac:dyDescent="0.25"/>
  <cols>
    <col min="5" max="5" width="32.140625" customWidth="1"/>
    <col min="12" max="12" width="15.7109375" customWidth="1"/>
    <col min="24" max="24" width="22.42578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98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3" t="s">
        <v>26</v>
      </c>
      <c r="AB1" s="4" t="s">
        <v>27</v>
      </c>
    </row>
    <row r="2" spans="1:28" x14ac:dyDescent="0.25">
      <c r="A2">
        <v>2026</v>
      </c>
      <c r="B2" t="s">
        <v>28</v>
      </c>
      <c r="C2" t="s">
        <v>60</v>
      </c>
      <c r="D2" t="s">
        <v>61</v>
      </c>
      <c r="E2" t="s">
        <v>85</v>
      </c>
      <c r="G2" t="s">
        <v>31</v>
      </c>
      <c r="H2" t="s">
        <v>31</v>
      </c>
      <c r="I2" t="s">
        <v>32</v>
      </c>
      <c r="J2">
        <v>4</v>
      </c>
      <c r="K2" t="s">
        <v>33</v>
      </c>
      <c r="L2">
        <v>266</v>
      </c>
      <c r="M2" s="7">
        <v>1064</v>
      </c>
      <c r="O2" s="7">
        <f>V2</f>
        <v>1064</v>
      </c>
      <c r="P2" s="7">
        <f>IF(C2="Alta Complejidad",M2,0)</f>
        <v>0</v>
      </c>
      <c r="Q2" s="8">
        <v>0</v>
      </c>
      <c r="R2" s="7">
        <f>P2+(P2*Q2)</f>
        <v>0</v>
      </c>
      <c r="S2" s="9">
        <f>IFERROR(((R2-P2)/R2),0)</f>
        <v>0</v>
      </c>
      <c r="T2" s="7">
        <f>IF(C2="Mediana Complejidad",M2,0)</f>
        <v>1064</v>
      </c>
      <c r="U2" s="8">
        <v>0</v>
      </c>
      <c r="V2" s="7">
        <f>T2+(T2*U2)</f>
        <v>1064</v>
      </c>
      <c r="W2" s="8">
        <f>(V2-T2)/V2</f>
        <v>0</v>
      </c>
      <c r="X2" s="7">
        <f>IF(C2="Baja Complejidad",M2,0)</f>
        <v>0</v>
      </c>
      <c r="Y2" s="8">
        <v>0</v>
      </c>
      <c r="Z2" s="7">
        <f>(X2)+(X2*Y2)</f>
        <v>0</v>
      </c>
      <c r="AA2" s="8">
        <f>IFERROR(((Z2-X2)/Z2),0)</f>
        <v>0</v>
      </c>
      <c r="AB2" s="8">
        <v>0.1</v>
      </c>
    </row>
    <row r="3" spans="1:28" x14ac:dyDescent="0.25">
      <c r="A3">
        <v>2026</v>
      </c>
      <c r="B3" t="s">
        <v>28</v>
      </c>
      <c r="C3" t="s">
        <v>60</v>
      </c>
      <c r="D3" t="s">
        <v>61</v>
      </c>
      <c r="E3" t="s">
        <v>86</v>
      </c>
      <c r="G3" t="s">
        <v>31</v>
      </c>
      <c r="H3" t="s">
        <v>31</v>
      </c>
      <c r="I3" t="s">
        <v>34</v>
      </c>
      <c r="J3">
        <v>2</v>
      </c>
      <c r="K3" t="s">
        <v>33</v>
      </c>
      <c r="L3">
        <v>1086.232</v>
      </c>
      <c r="M3" s="7">
        <v>2172.4639999999999</v>
      </c>
      <c r="O3" s="7">
        <f t="shared" ref="O3:O66" si="0">V3</f>
        <v>2172.4639999999999</v>
      </c>
      <c r="P3" s="7">
        <f>IF(C3="Alta Complejidad",M3,0)</f>
        <v>0</v>
      </c>
      <c r="Q3" s="8">
        <v>0</v>
      </c>
      <c r="R3" s="7">
        <f>P3+(P3*Q3)</f>
        <v>0</v>
      </c>
      <c r="S3" s="9">
        <f>IFERROR(((R3-P3)/R3),0)</f>
        <v>0</v>
      </c>
      <c r="T3" s="7">
        <f t="shared" ref="T3:T66" si="1">IF(C3="Mediana Complejidad",M3,0)</f>
        <v>2172.4639999999999</v>
      </c>
      <c r="U3" s="8">
        <v>0</v>
      </c>
      <c r="V3" s="7">
        <f t="shared" ref="V3:V66" si="2">T3+(T3*U3)</f>
        <v>2172.4639999999999</v>
      </c>
      <c r="W3" s="8">
        <f t="shared" ref="W3:W66" si="3">(V3-T3)/V3</f>
        <v>0</v>
      </c>
      <c r="X3" s="7">
        <f>IF(C3="Baja Complejidad",M3,0)</f>
        <v>0</v>
      </c>
      <c r="Y3" s="8">
        <v>0</v>
      </c>
      <c r="Z3" s="7">
        <f>(X3)+(X3*Y3)</f>
        <v>0</v>
      </c>
      <c r="AA3" s="8">
        <f>IFERROR(((Z3-X3)/Z3),0)</f>
        <v>0</v>
      </c>
      <c r="AB3" s="8">
        <v>0.1</v>
      </c>
    </row>
    <row r="4" spans="1:28" x14ac:dyDescent="0.25">
      <c r="A4">
        <v>2026</v>
      </c>
      <c r="B4" t="s">
        <v>28</v>
      </c>
      <c r="C4" t="s">
        <v>60</v>
      </c>
      <c r="D4" t="s">
        <v>61</v>
      </c>
      <c r="E4" t="s">
        <v>87</v>
      </c>
      <c r="G4" t="s">
        <v>31</v>
      </c>
      <c r="H4" t="s">
        <v>31</v>
      </c>
      <c r="I4" t="s">
        <v>35</v>
      </c>
      <c r="J4">
        <v>6</v>
      </c>
      <c r="K4" t="s">
        <v>33</v>
      </c>
      <c r="L4">
        <v>370</v>
      </c>
      <c r="M4" s="7">
        <v>2220</v>
      </c>
      <c r="O4" s="7">
        <f t="shared" si="0"/>
        <v>2220</v>
      </c>
      <c r="P4" s="7">
        <f>IF(C4="Alta Complejidad",M4,0)</f>
        <v>0</v>
      </c>
      <c r="Q4" s="8">
        <v>0</v>
      </c>
      <c r="R4" s="7">
        <f>P4+(P4*Q4)</f>
        <v>0</v>
      </c>
      <c r="S4" s="9">
        <f>IFERROR(((R4-P4)/R4),0)</f>
        <v>0</v>
      </c>
      <c r="T4" s="7">
        <f t="shared" si="1"/>
        <v>2220</v>
      </c>
      <c r="U4" s="8">
        <v>0</v>
      </c>
      <c r="V4" s="7">
        <f t="shared" si="2"/>
        <v>2220</v>
      </c>
      <c r="W4" s="8">
        <f t="shared" si="3"/>
        <v>0</v>
      </c>
      <c r="X4" s="7">
        <f>IF(C4="Baja Complejidad",M4,0)</f>
        <v>0</v>
      </c>
      <c r="Y4" s="8">
        <v>0</v>
      </c>
      <c r="Z4" s="7">
        <f>(X4)+(X4*Y4)</f>
        <v>0</v>
      </c>
      <c r="AA4" s="8">
        <f>IFERROR(((Z4-X4)/Z4),0)</f>
        <v>0</v>
      </c>
      <c r="AB4" s="8">
        <v>0.1</v>
      </c>
    </row>
    <row r="5" spans="1:28" x14ac:dyDescent="0.25">
      <c r="A5">
        <v>2026</v>
      </c>
      <c r="B5" t="s">
        <v>28</v>
      </c>
      <c r="C5" t="s">
        <v>60</v>
      </c>
      <c r="D5" t="s">
        <v>61</v>
      </c>
      <c r="E5" t="s">
        <v>88</v>
      </c>
      <c r="G5" t="s">
        <v>31</v>
      </c>
      <c r="H5" t="s">
        <v>31</v>
      </c>
      <c r="I5" t="s">
        <v>36</v>
      </c>
      <c r="J5">
        <v>2</v>
      </c>
      <c r="K5" t="s">
        <v>33</v>
      </c>
      <c r="L5">
        <v>2643</v>
      </c>
      <c r="M5" s="7">
        <v>5286</v>
      </c>
      <c r="O5" s="7">
        <f t="shared" si="0"/>
        <v>5286</v>
      </c>
      <c r="P5" s="7">
        <f>IF(C5="Alta Complejidad",M5,0)</f>
        <v>0</v>
      </c>
      <c r="Q5" s="8">
        <v>0</v>
      </c>
      <c r="R5" s="7">
        <f>P5+(P5*Q5)</f>
        <v>0</v>
      </c>
      <c r="S5" s="9">
        <f>IFERROR(((R5-P5)/R5),0)</f>
        <v>0</v>
      </c>
      <c r="T5" s="7">
        <f t="shared" si="1"/>
        <v>5286</v>
      </c>
      <c r="U5" s="8">
        <v>0</v>
      </c>
      <c r="V5" s="7">
        <f t="shared" si="2"/>
        <v>5286</v>
      </c>
      <c r="W5" s="8">
        <f t="shared" si="3"/>
        <v>0</v>
      </c>
      <c r="X5" s="7">
        <f>IF(C5="Baja Complejidad",M5,0)</f>
        <v>0</v>
      </c>
      <c r="Y5" s="8">
        <v>0</v>
      </c>
      <c r="Z5" s="7">
        <f>(X5)+(X5*Y5)</f>
        <v>0</v>
      </c>
      <c r="AA5" s="8">
        <f>IFERROR(((Z5-X5)/Z5),0)</f>
        <v>0</v>
      </c>
      <c r="AB5" s="8">
        <v>0.1</v>
      </c>
    </row>
    <row r="6" spans="1:28" x14ac:dyDescent="0.25">
      <c r="A6">
        <v>2026</v>
      </c>
      <c r="B6" t="s">
        <v>28</v>
      </c>
      <c r="C6" t="s">
        <v>60</v>
      </c>
      <c r="D6" t="s">
        <v>61</v>
      </c>
      <c r="E6" t="s">
        <v>89</v>
      </c>
      <c r="G6" t="s">
        <v>31</v>
      </c>
      <c r="H6" t="s">
        <v>31</v>
      </c>
      <c r="I6" t="s">
        <v>37</v>
      </c>
      <c r="J6">
        <v>3</v>
      </c>
      <c r="K6" t="s">
        <v>33</v>
      </c>
      <c r="L6">
        <v>135.66</v>
      </c>
      <c r="M6" s="7">
        <v>406.98</v>
      </c>
      <c r="O6" s="7">
        <f t="shared" si="0"/>
        <v>406.98</v>
      </c>
      <c r="P6" s="7">
        <f>IF(C6="Alta Complejidad",M6,0)</f>
        <v>0</v>
      </c>
      <c r="Q6" s="8">
        <v>0</v>
      </c>
      <c r="R6" s="7">
        <f>P6+(P6*Q6)</f>
        <v>0</v>
      </c>
      <c r="S6" s="9">
        <f>IFERROR(((R6-P6)/R6),0)</f>
        <v>0</v>
      </c>
      <c r="T6" s="7">
        <f t="shared" si="1"/>
        <v>406.98</v>
      </c>
      <c r="U6" s="8">
        <v>0</v>
      </c>
      <c r="V6" s="7">
        <f t="shared" si="2"/>
        <v>406.98</v>
      </c>
      <c r="W6" s="8">
        <f t="shared" si="3"/>
        <v>0</v>
      </c>
      <c r="X6" s="7">
        <f>IF(C6="Baja Complejidad",M6,0)</f>
        <v>0</v>
      </c>
      <c r="Y6" s="8">
        <v>0</v>
      </c>
      <c r="Z6" s="7">
        <f>(X6)+(X6*Y6)</f>
        <v>0</v>
      </c>
      <c r="AA6" s="8">
        <f>IFERROR(((Z6-X6)/Z6),0)</f>
        <v>0</v>
      </c>
      <c r="AB6" s="8">
        <v>0.1</v>
      </c>
    </row>
    <row r="7" spans="1:28" x14ac:dyDescent="0.25">
      <c r="A7">
        <v>2026</v>
      </c>
      <c r="B7" t="s">
        <v>28</v>
      </c>
      <c r="C7" t="s">
        <v>60</v>
      </c>
      <c r="D7" t="s">
        <v>61</v>
      </c>
      <c r="E7" t="s">
        <v>90</v>
      </c>
      <c r="G7" t="s">
        <v>31</v>
      </c>
      <c r="H7" t="s">
        <v>31</v>
      </c>
      <c r="I7" t="s">
        <v>38</v>
      </c>
      <c r="J7">
        <v>2</v>
      </c>
      <c r="K7" t="s">
        <v>33</v>
      </c>
      <c r="L7">
        <v>3808</v>
      </c>
      <c r="M7" s="7">
        <v>7616</v>
      </c>
      <c r="O7" s="7">
        <f t="shared" si="0"/>
        <v>7616</v>
      </c>
      <c r="P7" s="7">
        <f>IF(C7="Alta Complejidad",M7,0)</f>
        <v>0</v>
      </c>
      <c r="Q7" s="8">
        <v>0</v>
      </c>
      <c r="R7" s="7">
        <f>P7+(P7*Q7)</f>
        <v>0</v>
      </c>
      <c r="S7" s="9">
        <f>IFERROR(((R7-P7)/R7),0)</f>
        <v>0</v>
      </c>
      <c r="T7" s="7">
        <f t="shared" si="1"/>
        <v>7616</v>
      </c>
      <c r="U7" s="8">
        <v>0</v>
      </c>
      <c r="V7" s="7">
        <f t="shared" si="2"/>
        <v>7616</v>
      </c>
      <c r="W7" s="8">
        <f t="shared" si="3"/>
        <v>0</v>
      </c>
      <c r="X7" s="7">
        <f>IF(C7="Baja Complejidad",M7,0)</f>
        <v>0</v>
      </c>
      <c r="Y7" s="8">
        <v>0</v>
      </c>
      <c r="Z7" s="7">
        <f>(X7)+(X7*Y7)</f>
        <v>0</v>
      </c>
      <c r="AA7" s="8">
        <f>IFERROR(((Z7-X7)/Z7),0)</f>
        <v>0</v>
      </c>
      <c r="AB7" s="8">
        <v>0.1</v>
      </c>
    </row>
    <row r="8" spans="1:28" x14ac:dyDescent="0.25">
      <c r="A8">
        <v>2026</v>
      </c>
      <c r="B8" t="s">
        <v>28</v>
      </c>
      <c r="C8" t="s">
        <v>60</v>
      </c>
      <c r="D8" t="s">
        <v>61</v>
      </c>
      <c r="E8" t="s">
        <v>91</v>
      </c>
      <c r="G8" t="s">
        <v>31</v>
      </c>
      <c r="H8" t="s">
        <v>31</v>
      </c>
      <c r="I8" t="s">
        <v>39</v>
      </c>
      <c r="J8">
        <v>0.4</v>
      </c>
      <c r="K8" t="s">
        <v>33</v>
      </c>
      <c r="L8">
        <v>111.86</v>
      </c>
      <c r="M8" s="7">
        <v>44.744</v>
      </c>
      <c r="O8" s="7">
        <f t="shared" si="0"/>
        <v>44.744</v>
      </c>
      <c r="P8" s="7">
        <f>IF(C8="Alta Complejidad",M8,0)</f>
        <v>0</v>
      </c>
      <c r="Q8" s="8">
        <v>0</v>
      </c>
      <c r="R8" s="7">
        <f>P8+(P8*Q8)</f>
        <v>0</v>
      </c>
      <c r="S8" s="9">
        <f>IFERROR(((R8-P8)/R8),0)</f>
        <v>0</v>
      </c>
      <c r="T8" s="7">
        <f t="shared" si="1"/>
        <v>44.744</v>
      </c>
      <c r="U8" s="8">
        <v>0</v>
      </c>
      <c r="V8" s="7">
        <f t="shared" si="2"/>
        <v>44.744</v>
      </c>
      <c r="W8" s="8">
        <f t="shared" si="3"/>
        <v>0</v>
      </c>
      <c r="X8" s="7">
        <f>IF(C8="Baja Complejidad",M8,0)</f>
        <v>0</v>
      </c>
      <c r="Y8" s="8">
        <v>0</v>
      </c>
      <c r="Z8" s="7">
        <f>(X8)+(X8*Y8)</f>
        <v>0</v>
      </c>
      <c r="AA8" s="8">
        <f>IFERROR(((Z8-X8)/Z8),0)</f>
        <v>0</v>
      </c>
      <c r="AB8" s="8">
        <v>0.1</v>
      </c>
    </row>
    <row r="9" spans="1:28" x14ac:dyDescent="0.25">
      <c r="A9">
        <v>2026</v>
      </c>
      <c r="B9" t="s">
        <v>28</v>
      </c>
      <c r="C9" t="s">
        <v>60</v>
      </c>
      <c r="D9" t="s">
        <v>61</v>
      </c>
      <c r="E9" t="s">
        <v>92</v>
      </c>
      <c r="G9" t="s">
        <v>31</v>
      </c>
      <c r="H9" t="s">
        <v>31</v>
      </c>
      <c r="I9" t="s">
        <v>64</v>
      </c>
      <c r="J9">
        <v>4</v>
      </c>
      <c r="K9" t="s">
        <v>33</v>
      </c>
      <c r="L9">
        <v>80300</v>
      </c>
      <c r="M9" s="7">
        <v>1284.8</v>
      </c>
      <c r="O9" s="7">
        <f t="shared" si="0"/>
        <v>1284.8</v>
      </c>
      <c r="P9" s="7">
        <f>IF(C9="Alta Complejidad",M9,0)</f>
        <v>0</v>
      </c>
      <c r="Q9" s="8">
        <v>0</v>
      </c>
      <c r="R9" s="7">
        <f>P9+(P9*Q9)</f>
        <v>0</v>
      </c>
      <c r="S9" s="9">
        <f>IFERROR(((R9-P9)/R9),0)</f>
        <v>0</v>
      </c>
      <c r="T9" s="7">
        <f t="shared" si="1"/>
        <v>1284.8</v>
      </c>
      <c r="U9" s="8">
        <v>0</v>
      </c>
      <c r="V9" s="7">
        <f t="shared" si="2"/>
        <v>1284.8</v>
      </c>
      <c r="W9" s="8">
        <f t="shared" si="3"/>
        <v>0</v>
      </c>
      <c r="X9" s="7">
        <f>IF(C9="Baja Complejidad",M9,0)</f>
        <v>0</v>
      </c>
      <c r="Y9" s="8">
        <v>0</v>
      </c>
      <c r="Z9" s="7">
        <f>(X9)+(X9*Y9)</f>
        <v>0</v>
      </c>
      <c r="AA9" s="8">
        <f>IFERROR(((Z9-X9)/Z9),0)</f>
        <v>0</v>
      </c>
      <c r="AB9" s="8">
        <v>0.1</v>
      </c>
    </row>
    <row r="10" spans="1:28" x14ac:dyDescent="0.25">
      <c r="A10">
        <v>2026</v>
      </c>
      <c r="B10" t="s">
        <v>28</v>
      </c>
      <c r="C10" t="s">
        <v>60</v>
      </c>
      <c r="D10" t="s">
        <v>61</v>
      </c>
      <c r="E10" t="s">
        <v>93</v>
      </c>
      <c r="G10" t="s">
        <v>31</v>
      </c>
      <c r="H10" t="s">
        <v>31</v>
      </c>
      <c r="I10" t="s">
        <v>40</v>
      </c>
      <c r="J10">
        <v>3</v>
      </c>
      <c r="K10" t="s">
        <v>33</v>
      </c>
      <c r="L10">
        <v>17888.080000000002</v>
      </c>
      <c r="M10" s="7">
        <v>53664.240000000005</v>
      </c>
      <c r="O10" s="7">
        <f t="shared" si="0"/>
        <v>53664.240000000005</v>
      </c>
      <c r="P10" s="7">
        <f>IF(C10="Alta Complejidad",M10,0)</f>
        <v>0</v>
      </c>
      <c r="Q10" s="8">
        <v>0</v>
      </c>
      <c r="R10" s="7">
        <f>P10+(P10*Q10)</f>
        <v>0</v>
      </c>
      <c r="S10" s="9">
        <f>IFERROR(((R10-P10)/R10),0)</f>
        <v>0</v>
      </c>
      <c r="T10" s="7">
        <f t="shared" si="1"/>
        <v>53664.240000000005</v>
      </c>
      <c r="U10" s="8">
        <v>0</v>
      </c>
      <c r="V10" s="7">
        <f t="shared" si="2"/>
        <v>53664.240000000005</v>
      </c>
      <c r="W10" s="8">
        <f t="shared" si="3"/>
        <v>0</v>
      </c>
      <c r="X10" s="7">
        <f>IF(C10="Baja Complejidad",M10,0)</f>
        <v>0</v>
      </c>
      <c r="Y10" s="8">
        <v>0</v>
      </c>
      <c r="Z10" s="7">
        <f>(X10)+(X10*Y10)</f>
        <v>0</v>
      </c>
      <c r="AA10" s="8">
        <f>IFERROR(((Z10-X10)/Z10),0)</f>
        <v>0</v>
      </c>
      <c r="AB10" s="8">
        <v>0.1</v>
      </c>
    </row>
    <row r="11" spans="1:28" x14ac:dyDescent="0.25">
      <c r="A11">
        <v>2026</v>
      </c>
      <c r="B11" t="s">
        <v>28</v>
      </c>
      <c r="C11" t="s">
        <v>60</v>
      </c>
      <c r="D11" t="s">
        <v>61</v>
      </c>
      <c r="E11" t="s">
        <v>94</v>
      </c>
      <c r="G11" t="s">
        <v>31</v>
      </c>
      <c r="H11" t="s">
        <v>31</v>
      </c>
      <c r="I11" t="s">
        <v>41</v>
      </c>
      <c r="J11">
        <v>1</v>
      </c>
      <c r="K11" t="s">
        <v>33</v>
      </c>
      <c r="L11">
        <v>337.3837894736842</v>
      </c>
      <c r="M11" s="7">
        <v>337.3837894736842</v>
      </c>
      <c r="O11" s="7">
        <f t="shared" si="0"/>
        <v>337.3837894736842</v>
      </c>
      <c r="P11" s="7">
        <f>IF(C11="Alta Complejidad",M11,0)</f>
        <v>0</v>
      </c>
      <c r="Q11" s="8">
        <v>0</v>
      </c>
      <c r="R11" s="7">
        <f>P11+(P11*Q11)</f>
        <v>0</v>
      </c>
      <c r="S11" s="9">
        <f>IFERROR(((R11-P11)/R11),0)</f>
        <v>0</v>
      </c>
      <c r="T11" s="7">
        <f t="shared" si="1"/>
        <v>337.3837894736842</v>
      </c>
      <c r="U11" s="8">
        <v>0</v>
      </c>
      <c r="V11" s="7">
        <f t="shared" si="2"/>
        <v>337.3837894736842</v>
      </c>
      <c r="W11" s="8">
        <f t="shared" si="3"/>
        <v>0</v>
      </c>
      <c r="X11" s="7">
        <f>IF(C11="Baja Complejidad",M11,0)</f>
        <v>0</v>
      </c>
      <c r="Y11" s="8">
        <v>0</v>
      </c>
      <c r="Z11" s="7">
        <f>(X11)+(X11*Y11)</f>
        <v>0</v>
      </c>
      <c r="AA11" s="8">
        <f>IFERROR(((Z11-X11)/Z11),0)</f>
        <v>0</v>
      </c>
      <c r="AB11" s="8">
        <v>0.1</v>
      </c>
    </row>
    <row r="12" spans="1:28" x14ac:dyDescent="0.25">
      <c r="A12">
        <v>2026</v>
      </c>
      <c r="B12" t="s">
        <v>28</v>
      </c>
      <c r="C12" t="s">
        <v>60</v>
      </c>
      <c r="D12" t="s">
        <v>61</v>
      </c>
      <c r="E12" t="s">
        <v>95</v>
      </c>
      <c r="G12" t="s">
        <v>31</v>
      </c>
      <c r="H12" t="s">
        <v>31</v>
      </c>
      <c r="I12" t="s">
        <v>83</v>
      </c>
      <c r="J12">
        <v>2</v>
      </c>
      <c r="K12" t="s">
        <v>33</v>
      </c>
      <c r="L12">
        <v>67900</v>
      </c>
      <c r="M12" s="7">
        <v>13580</v>
      </c>
      <c r="O12" s="7">
        <f t="shared" si="0"/>
        <v>13580</v>
      </c>
      <c r="P12" s="7">
        <f>IF(C12="Alta Complejidad",M12,0)</f>
        <v>0</v>
      </c>
      <c r="Q12" s="8">
        <v>0</v>
      </c>
      <c r="R12" s="7">
        <f>P12+(P12*Q12)</f>
        <v>0</v>
      </c>
      <c r="S12" s="9">
        <f>IFERROR(((R12-P12)/R12),0)</f>
        <v>0</v>
      </c>
      <c r="T12" s="7">
        <f t="shared" si="1"/>
        <v>13580</v>
      </c>
      <c r="U12" s="8">
        <v>0</v>
      </c>
      <c r="V12" s="7">
        <f t="shared" si="2"/>
        <v>13580</v>
      </c>
      <c r="W12" s="8">
        <f t="shared" si="3"/>
        <v>0</v>
      </c>
      <c r="X12" s="7">
        <f>IF(C12="Baja Complejidad",M12,0)</f>
        <v>0</v>
      </c>
      <c r="Y12" s="8">
        <v>0</v>
      </c>
      <c r="Z12" s="7">
        <f>(X12)+(X12*Y12)</f>
        <v>0</v>
      </c>
      <c r="AA12" s="8">
        <f>IFERROR(((Z12-X12)/Z12),0)</f>
        <v>0</v>
      </c>
      <c r="AB12" s="8">
        <v>0.1</v>
      </c>
    </row>
    <row r="13" spans="1:28" x14ac:dyDescent="0.25">
      <c r="A13">
        <v>2026</v>
      </c>
      <c r="B13" t="s">
        <v>28</v>
      </c>
      <c r="C13" t="s">
        <v>60</v>
      </c>
      <c r="D13" t="s">
        <v>61</v>
      </c>
      <c r="E13" t="s">
        <v>96</v>
      </c>
      <c r="G13" t="s">
        <v>31</v>
      </c>
      <c r="H13" t="s">
        <v>31</v>
      </c>
      <c r="I13" t="s">
        <v>84</v>
      </c>
      <c r="J13">
        <v>2</v>
      </c>
      <c r="K13" t="s">
        <v>33</v>
      </c>
      <c r="L13">
        <v>50300</v>
      </c>
      <c r="M13" s="7">
        <v>10060</v>
      </c>
      <c r="O13" s="7">
        <f t="shared" si="0"/>
        <v>10060</v>
      </c>
      <c r="P13" s="7">
        <f>IF(C13="Alta Complejidad",M13,0)</f>
        <v>0</v>
      </c>
      <c r="Q13" s="8">
        <v>0</v>
      </c>
      <c r="R13" s="7">
        <f>P13+(P13*Q13)</f>
        <v>0</v>
      </c>
      <c r="S13" s="9">
        <f>IFERROR(((R13-P13)/R13),0)</f>
        <v>0</v>
      </c>
      <c r="T13" s="7">
        <f t="shared" si="1"/>
        <v>10060</v>
      </c>
      <c r="U13" s="8">
        <v>0</v>
      </c>
      <c r="V13" s="7">
        <f t="shared" si="2"/>
        <v>10060</v>
      </c>
      <c r="W13" s="8">
        <f t="shared" si="3"/>
        <v>0</v>
      </c>
      <c r="X13" s="7">
        <f>IF(C13="Baja Complejidad",M13,0)</f>
        <v>0</v>
      </c>
      <c r="Y13" s="8">
        <v>0</v>
      </c>
      <c r="Z13" s="7">
        <f>(X13)+(X13*Y13)</f>
        <v>0</v>
      </c>
      <c r="AA13" s="8">
        <f>IFERROR(((Z13-X13)/Z13),0)</f>
        <v>0</v>
      </c>
      <c r="AB13" s="8">
        <v>0.1</v>
      </c>
    </row>
    <row r="14" spans="1:28" x14ac:dyDescent="0.25">
      <c r="A14">
        <v>2026</v>
      </c>
      <c r="B14" t="s">
        <v>28</v>
      </c>
      <c r="C14" t="s">
        <v>60</v>
      </c>
      <c r="D14" t="s">
        <v>61</v>
      </c>
      <c r="E14" t="s">
        <v>97</v>
      </c>
      <c r="G14" t="s">
        <v>31</v>
      </c>
      <c r="H14" t="s">
        <v>31</v>
      </c>
      <c r="I14" t="s">
        <v>82</v>
      </c>
      <c r="J14">
        <v>2</v>
      </c>
      <c r="K14" t="s">
        <v>33</v>
      </c>
      <c r="L14">
        <v>43500</v>
      </c>
      <c r="M14" s="7">
        <v>7250</v>
      </c>
      <c r="O14" s="7">
        <f t="shared" si="0"/>
        <v>7250</v>
      </c>
      <c r="P14" s="7">
        <f>IF(C14="Alta Complejidad",M14,0)</f>
        <v>0</v>
      </c>
      <c r="Q14" s="8">
        <v>0</v>
      </c>
      <c r="R14" s="7">
        <f>P14+(P14*Q14)</f>
        <v>0</v>
      </c>
      <c r="S14" s="9">
        <f>IFERROR(((R14-P14)/R14),0)</f>
        <v>0</v>
      </c>
      <c r="T14" s="7">
        <f t="shared" si="1"/>
        <v>7250</v>
      </c>
      <c r="U14" s="8">
        <v>0</v>
      </c>
      <c r="V14" s="7">
        <f t="shared" si="2"/>
        <v>7250</v>
      </c>
      <c r="W14" s="8">
        <f t="shared" si="3"/>
        <v>0</v>
      </c>
      <c r="X14" s="7">
        <f>IF(C14="Baja Complejidad",M14,0)</f>
        <v>0</v>
      </c>
      <c r="Y14" s="8">
        <v>0</v>
      </c>
      <c r="Z14" s="7">
        <f>(X14)+(X14*Y14)</f>
        <v>0</v>
      </c>
      <c r="AA14" s="8">
        <f>IFERROR(((Z14-X14)/Z14),0)</f>
        <v>0</v>
      </c>
      <c r="AB14" s="8">
        <v>0.1</v>
      </c>
    </row>
    <row r="15" spans="1:28" x14ac:dyDescent="0.25">
      <c r="A15">
        <v>2026</v>
      </c>
      <c r="B15" t="s">
        <v>28</v>
      </c>
      <c r="C15" t="s">
        <v>60</v>
      </c>
      <c r="D15" t="s">
        <v>61</v>
      </c>
      <c r="F15">
        <v>2400</v>
      </c>
      <c r="G15" t="s">
        <v>42</v>
      </c>
      <c r="H15" t="s">
        <v>42</v>
      </c>
      <c r="I15" t="s">
        <v>62</v>
      </c>
      <c r="J15">
        <v>30</v>
      </c>
      <c r="K15" t="s">
        <v>45</v>
      </c>
      <c r="L15" s="12">
        <v>348.24</v>
      </c>
      <c r="M15" s="7">
        <f>+L15*F15</f>
        <v>835776</v>
      </c>
      <c r="O15" s="7">
        <f t="shared" si="0"/>
        <v>835776</v>
      </c>
      <c r="P15" s="7">
        <f>IF(C15="Alta Complejidad",M15,0)</f>
        <v>0</v>
      </c>
      <c r="Q15" s="8">
        <v>0</v>
      </c>
      <c r="R15" s="7">
        <f>P15+(P15*Q15)</f>
        <v>0</v>
      </c>
      <c r="S15" s="9">
        <f>IFERROR(((R15-P15)/R15),0)</f>
        <v>0</v>
      </c>
      <c r="T15" s="7">
        <f t="shared" si="1"/>
        <v>835776</v>
      </c>
      <c r="U15" s="8">
        <v>0</v>
      </c>
      <c r="V15" s="7">
        <f t="shared" si="2"/>
        <v>835776</v>
      </c>
      <c r="W15" s="8">
        <f t="shared" si="3"/>
        <v>0</v>
      </c>
      <c r="X15" s="7">
        <f>IF(C15="Baja Complejidad",M15,0)</f>
        <v>0</v>
      </c>
      <c r="Y15" s="8">
        <v>0</v>
      </c>
      <c r="Z15" s="7">
        <f>(X15)+(X15*Y15)</f>
        <v>0</v>
      </c>
      <c r="AA15" s="8">
        <f>IFERROR(((Z15-X15)/Z15),0)</f>
        <v>0</v>
      </c>
      <c r="AB15" s="8">
        <v>0.1</v>
      </c>
    </row>
    <row r="16" spans="1:28" x14ac:dyDescent="0.25">
      <c r="A16">
        <v>2026</v>
      </c>
      <c r="B16" t="s">
        <v>28</v>
      </c>
      <c r="C16" t="s">
        <v>60</v>
      </c>
      <c r="D16" t="s">
        <v>61</v>
      </c>
      <c r="F16">
        <v>2400</v>
      </c>
      <c r="G16" t="s">
        <v>42</v>
      </c>
      <c r="H16" t="s">
        <v>42</v>
      </c>
      <c r="I16" t="s">
        <v>59</v>
      </c>
      <c r="J16">
        <v>30</v>
      </c>
      <c r="K16" t="s">
        <v>45</v>
      </c>
      <c r="L16" s="12">
        <v>201.61</v>
      </c>
      <c r="M16" s="7">
        <f t="shared" ref="M16:M17" si="4">+L16*F16</f>
        <v>483864.00000000006</v>
      </c>
      <c r="O16" s="7">
        <f t="shared" si="0"/>
        <v>483864.00000000006</v>
      </c>
      <c r="P16" s="7">
        <f>IF(C16="Alta Complejidad",M16,0)</f>
        <v>0</v>
      </c>
      <c r="Q16" s="8">
        <v>0</v>
      </c>
      <c r="R16" s="7">
        <f>P16+(P16*Q16)</f>
        <v>0</v>
      </c>
      <c r="S16" s="9">
        <f>IFERROR(((R16-P16)/R16),0)</f>
        <v>0</v>
      </c>
      <c r="T16" s="7">
        <f t="shared" si="1"/>
        <v>483864.00000000006</v>
      </c>
      <c r="U16" s="8">
        <v>0</v>
      </c>
      <c r="V16" s="7">
        <f t="shared" si="2"/>
        <v>483864.00000000006</v>
      </c>
      <c r="W16" s="8">
        <f t="shared" si="3"/>
        <v>0</v>
      </c>
      <c r="X16" s="7">
        <f>IF(C16="Baja Complejidad",M16,0)</f>
        <v>0</v>
      </c>
      <c r="Y16" s="8">
        <v>0</v>
      </c>
      <c r="Z16" s="7">
        <f>(X16)+(X16*Y16)</f>
        <v>0</v>
      </c>
      <c r="AA16" s="8">
        <f>IFERROR(((Z16-X16)/Z16),0)</f>
        <v>0</v>
      </c>
      <c r="AB16" s="8">
        <v>0.1</v>
      </c>
    </row>
    <row r="17" spans="1:28" x14ac:dyDescent="0.25">
      <c r="A17">
        <v>2026</v>
      </c>
      <c r="B17" t="s">
        <v>28</v>
      </c>
      <c r="C17" t="s">
        <v>60</v>
      </c>
      <c r="D17" t="s">
        <v>61</v>
      </c>
      <c r="F17">
        <v>1600</v>
      </c>
      <c r="G17" t="s">
        <v>42</v>
      </c>
      <c r="H17" t="s">
        <v>42</v>
      </c>
      <c r="I17" t="s">
        <v>50</v>
      </c>
      <c r="J17">
        <v>30</v>
      </c>
      <c r="K17" t="s">
        <v>45</v>
      </c>
      <c r="L17" s="12">
        <v>1000</v>
      </c>
      <c r="M17" s="7">
        <f t="shared" si="4"/>
        <v>1600000</v>
      </c>
      <c r="O17" s="7">
        <f t="shared" si="0"/>
        <v>1600000</v>
      </c>
      <c r="P17" s="7">
        <f>IF(C17="Alta Complejidad",M17,0)</f>
        <v>0</v>
      </c>
      <c r="Q17" s="8">
        <v>0</v>
      </c>
      <c r="R17" s="7">
        <f>P17+(P17*Q17)</f>
        <v>0</v>
      </c>
      <c r="S17" s="9">
        <f>IFERROR(((R17-P17)/R17),0)</f>
        <v>0</v>
      </c>
      <c r="T17" s="7">
        <f t="shared" si="1"/>
        <v>1600000</v>
      </c>
      <c r="U17" s="8">
        <v>0</v>
      </c>
      <c r="V17" s="7">
        <f t="shared" si="2"/>
        <v>1600000</v>
      </c>
      <c r="W17" s="8">
        <f t="shared" si="3"/>
        <v>0</v>
      </c>
      <c r="X17" s="7">
        <f>IF(C17="Baja Complejidad",M17,0)</f>
        <v>0</v>
      </c>
      <c r="Y17" s="8">
        <v>0</v>
      </c>
      <c r="Z17" s="7">
        <f>(X17)+(X17*Y17)</f>
        <v>0</v>
      </c>
      <c r="AA17" s="8">
        <f>IFERROR(((Z17-X17)/Z17),0)</f>
        <v>0</v>
      </c>
      <c r="AB17" s="8">
        <v>0.1</v>
      </c>
    </row>
    <row r="18" spans="1:28" x14ac:dyDescent="0.25">
      <c r="A18">
        <v>2026</v>
      </c>
      <c r="B18" t="s">
        <v>51</v>
      </c>
      <c r="C18" t="s">
        <v>60</v>
      </c>
      <c r="D18" t="s">
        <v>61</v>
      </c>
      <c r="E18" t="s">
        <v>85</v>
      </c>
      <c r="G18" t="s">
        <v>31</v>
      </c>
      <c r="H18" t="s">
        <v>31</v>
      </c>
      <c r="I18" t="s">
        <v>32</v>
      </c>
      <c r="J18">
        <v>4</v>
      </c>
      <c r="K18" t="s">
        <v>33</v>
      </c>
      <c r="L18">
        <v>266</v>
      </c>
      <c r="M18" s="7">
        <v>1064</v>
      </c>
      <c r="O18" s="7">
        <f t="shared" si="0"/>
        <v>1064</v>
      </c>
      <c r="P18" s="7">
        <f>IF(C18="Alta Complejidad",M18,0)</f>
        <v>0</v>
      </c>
      <c r="Q18" s="8">
        <v>0</v>
      </c>
      <c r="R18" s="7">
        <f>P18+(P18*Q18)</f>
        <v>0</v>
      </c>
      <c r="S18" s="9">
        <f>IFERROR(((R18-P18)/R18),0)</f>
        <v>0</v>
      </c>
      <c r="T18" s="7">
        <f t="shared" si="1"/>
        <v>1064</v>
      </c>
      <c r="U18" s="8">
        <v>0</v>
      </c>
      <c r="V18" s="7">
        <f t="shared" si="2"/>
        <v>1064</v>
      </c>
      <c r="W18" s="8">
        <f t="shared" si="3"/>
        <v>0</v>
      </c>
      <c r="X18" s="7">
        <f>IF(C18="Baja Complejidad",M18,0)</f>
        <v>0</v>
      </c>
      <c r="Y18" s="8">
        <v>0</v>
      </c>
      <c r="Z18" s="7">
        <f>(X18)+(X18*Y18)</f>
        <v>0</v>
      </c>
      <c r="AA18" s="8">
        <f>IFERROR(((Z18-X18)/Z18),0)</f>
        <v>0</v>
      </c>
      <c r="AB18" s="8">
        <v>0.1</v>
      </c>
    </row>
    <row r="19" spans="1:28" x14ac:dyDescent="0.25">
      <c r="A19">
        <v>2026</v>
      </c>
      <c r="B19" t="s">
        <v>51</v>
      </c>
      <c r="C19" t="s">
        <v>60</v>
      </c>
      <c r="D19" t="s">
        <v>61</v>
      </c>
      <c r="E19" t="s">
        <v>86</v>
      </c>
      <c r="G19" t="s">
        <v>31</v>
      </c>
      <c r="H19" t="s">
        <v>31</v>
      </c>
      <c r="I19" t="s">
        <v>34</v>
      </c>
      <c r="J19">
        <v>2</v>
      </c>
      <c r="K19" t="s">
        <v>33</v>
      </c>
      <c r="L19">
        <v>1086.232</v>
      </c>
      <c r="M19" s="7">
        <v>2172.4639999999999</v>
      </c>
      <c r="O19" s="7">
        <f t="shared" si="0"/>
        <v>2172.4639999999999</v>
      </c>
      <c r="P19" s="7">
        <f>IF(C19="Alta Complejidad",M19,0)</f>
        <v>0</v>
      </c>
      <c r="Q19" s="8">
        <v>0</v>
      </c>
      <c r="R19" s="7">
        <f>P19+(P19*Q19)</f>
        <v>0</v>
      </c>
      <c r="S19" s="9">
        <f>IFERROR(((R19-P19)/R19),0)</f>
        <v>0</v>
      </c>
      <c r="T19" s="7">
        <f t="shared" si="1"/>
        <v>2172.4639999999999</v>
      </c>
      <c r="U19" s="8">
        <v>0</v>
      </c>
      <c r="V19" s="7">
        <f t="shared" si="2"/>
        <v>2172.4639999999999</v>
      </c>
      <c r="W19" s="8">
        <f t="shared" si="3"/>
        <v>0</v>
      </c>
      <c r="X19" s="7">
        <f>IF(C19="Baja Complejidad",M19,0)</f>
        <v>0</v>
      </c>
      <c r="Y19" s="8">
        <v>0</v>
      </c>
      <c r="Z19" s="7">
        <f>(X19)+(X19*Y19)</f>
        <v>0</v>
      </c>
      <c r="AA19" s="8">
        <f>IFERROR(((Z19-X19)/Z19),0)</f>
        <v>0</v>
      </c>
      <c r="AB19" s="8">
        <v>0.1</v>
      </c>
    </row>
    <row r="20" spans="1:28" x14ac:dyDescent="0.25">
      <c r="A20">
        <v>2026</v>
      </c>
      <c r="B20" t="s">
        <v>51</v>
      </c>
      <c r="C20" t="s">
        <v>60</v>
      </c>
      <c r="D20" t="s">
        <v>61</v>
      </c>
      <c r="E20" t="s">
        <v>87</v>
      </c>
      <c r="G20" t="s">
        <v>31</v>
      </c>
      <c r="H20" t="s">
        <v>31</v>
      </c>
      <c r="I20" t="s">
        <v>35</v>
      </c>
      <c r="J20">
        <v>6</v>
      </c>
      <c r="K20" t="s">
        <v>33</v>
      </c>
      <c r="L20">
        <v>370</v>
      </c>
      <c r="M20" s="7">
        <v>2220</v>
      </c>
      <c r="O20" s="7">
        <f t="shared" si="0"/>
        <v>2220</v>
      </c>
      <c r="P20" s="7">
        <f>IF(C20="Alta Complejidad",M20,0)</f>
        <v>0</v>
      </c>
      <c r="Q20" s="8">
        <v>0</v>
      </c>
      <c r="R20" s="7">
        <f>P20+(P20*Q20)</f>
        <v>0</v>
      </c>
      <c r="S20" s="9">
        <f>IFERROR(((R20-P20)/R20),0)</f>
        <v>0</v>
      </c>
      <c r="T20" s="7">
        <f t="shared" si="1"/>
        <v>2220</v>
      </c>
      <c r="U20" s="8">
        <v>0</v>
      </c>
      <c r="V20" s="7">
        <f t="shared" si="2"/>
        <v>2220</v>
      </c>
      <c r="W20" s="8">
        <f t="shared" si="3"/>
        <v>0</v>
      </c>
      <c r="X20" s="7">
        <f>IF(C20="Baja Complejidad",M20,0)</f>
        <v>0</v>
      </c>
      <c r="Y20" s="8">
        <v>0</v>
      </c>
      <c r="Z20" s="7">
        <f>(X20)+(X20*Y20)</f>
        <v>0</v>
      </c>
      <c r="AA20" s="8">
        <f>IFERROR(((Z20-X20)/Z20),0)</f>
        <v>0</v>
      </c>
      <c r="AB20" s="8">
        <v>0.1</v>
      </c>
    </row>
    <row r="21" spans="1:28" x14ac:dyDescent="0.25">
      <c r="A21">
        <v>2026</v>
      </c>
      <c r="B21" t="s">
        <v>51</v>
      </c>
      <c r="C21" t="s">
        <v>60</v>
      </c>
      <c r="D21" t="s">
        <v>61</v>
      </c>
      <c r="E21" t="s">
        <v>88</v>
      </c>
      <c r="G21" t="s">
        <v>31</v>
      </c>
      <c r="H21" t="s">
        <v>31</v>
      </c>
      <c r="I21" t="s">
        <v>36</v>
      </c>
      <c r="J21">
        <v>2</v>
      </c>
      <c r="K21" t="s">
        <v>33</v>
      </c>
      <c r="L21">
        <v>2643</v>
      </c>
      <c r="M21" s="7">
        <v>5286</v>
      </c>
      <c r="O21" s="7">
        <f t="shared" si="0"/>
        <v>5286</v>
      </c>
      <c r="P21" s="7">
        <f>IF(C21="Alta Complejidad",M21,0)</f>
        <v>0</v>
      </c>
      <c r="Q21" s="8">
        <v>0</v>
      </c>
      <c r="R21" s="7">
        <f>P21+(P21*Q21)</f>
        <v>0</v>
      </c>
      <c r="S21" s="9">
        <f>IFERROR(((R21-P21)/R21),0)</f>
        <v>0</v>
      </c>
      <c r="T21" s="7">
        <f t="shared" si="1"/>
        <v>5286</v>
      </c>
      <c r="U21" s="8">
        <v>0</v>
      </c>
      <c r="V21" s="7">
        <f t="shared" si="2"/>
        <v>5286</v>
      </c>
      <c r="W21" s="8">
        <f t="shared" si="3"/>
        <v>0</v>
      </c>
      <c r="X21" s="7">
        <f>IF(C21="Baja Complejidad",M21,0)</f>
        <v>0</v>
      </c>
      <c r="Y21" s="8">
        <v>0</v>
      </c>
      <c r="Z21" s="7">
        <f>(X21)+(X21*Y21)</f>
        <v>0</v>
      </c>
      <c r="AA21" s="8">
        <f>IFERROR(((Z21-X21)/Z21),0)</f>
        <v>0</v>
      </c>
      <c r="AB21" s="8">
        <v>0.1</v>
      </c>
    </row>
    <row r="22" spans="1:28" x14ac:dyDescent="0.25">
      <c r="A22">
        <v>2026</v>
      </c>
      <c r="B22" t="s">
        <v>51</v>
      </c>
      <c r="C22" t="s">
        <v>60</v>
      </c>
      <c r="D22" t="s">
        <v>61</v>
      </c>
      <c r="E22" t="s">
        <v>89</v>
      </c>
      <c r="G22" t="s">
        <v>31</v>
      </c>
      <c r="H22" t="s">
        <v>31</v>
      </c>
      <c r="I22" t="s">
        <v>37</v>
      </c>
      <c r="J22">
        <v>3</v>
      </c>
      <c r="K22" t="s">
        <v>33</v>
      </c>
      <c r="L22">
        <v>135.66</v>
      </c>
      <c r="M22" s="7">
        <v>406.98</v>
      </c>
      <c r="O22" s="7">
        <f t="shared" si="0"/>
        <v>406.98</v>
      </c>
      <c r="P22" s="7">
        <f>IF(C22="Alta Complejidad",M22,0)</f>
        <v>0</v>
      </c>
      <c r="Q22" s="8">
        <v>0</v>
      </c>
      <c r="R22" s="7">
        <f>P22+(P22*Q22)</f>
        <v>0</v>
      </c>
      <c r="S22" s="9">
        <f>IFERROR(((R22-P22)/R22),0)</f>
        <v>0</v>
      </c>
      <c r="T22" s="7">
        <f t="shared" si="1"/>
        <v>406.98</v>
      </c>
      <c r="U22" s="8">
        <v>0</v>
      </c>
      <c r="V22" s="7">
        <f t="shared" si="2"/>
        <v>406.98</v>
      </c>
      <c r="W22" s="8">
        <f t="shared" si="3"/>
        <v>0</v>
      </c>
      <c r="X22" s="7">
        <f>IF(C22="Baja Complejidad",M22,0)</f>
        <v>0</v>
      </c>
      <c r="Y22" s="8">
        <v>0</v>
      </c>
      <c r="Z22" s="7">
        <f>(X22)+(X22*Y22)</f>
        <v>0</v>
      </c>
      <c r="AA22" s="8">
        <f>IFERROR(((Z22-X22)/Z22),0)</f>
        <v>0</v>
      </c>
      <c r="AB22" s="8">
        <v>0.1</v>
      </c>
    </row>
    <row r="23" spans="1:28" x14ac:dyDescent="0.25">
      <c r="A23">
        <v>2026</v>
      </c>
      <c r="B23" t="s">
        <v>51</v>
      </c>
      <c r="C23" t="s">
        <v>60</v>
      </c>
      <c r="D23" t="s">
        <v>61</v>
      </c>
      <c r="E23" t="s">
        <v>90</v>
      </c>
      <c r="G23" t="s">
        <v>31</v>
      </c>
      <c r="H23" t="s">
        <v>31</v>
      </c>
      <c r="I23" t="s">
        <v>38</v>
      </c>
      <c r="J23">
        <v>2</v>
      </c>
      <c r="K23" t="s">
        <v>33</v>
      </c>
      <c r="L23">
        <v>3808</v>
      </c>
      <c r="M23" s="7">
        <v>7616</v>
      </c>
      <c r="O23" s="7">
        <f t="shared" si="0"/>
        <v>7616</v>
      </c>
      <c r="P23" s="7">
        <f>IF(C23="Alta Complejidad",M23,0)</f>
        <v>0</v>
      </c>
      <c r="Q23" s="8">
        <v>0</v>
      </c>
      <c r="R23" s="7">
        <f>P23+(P23*Q23)</f>
        <v>0</v>
      </c>
      <c r="S23" s="9">
        <f>IFERROR(((R23-P23)/R23),0)</f>
        <v>0</v>
      </c>
      <c r="T23" s="7">
        <f t="shared" si="1"/>
        <v>7616</v>
      </c>
      <c r="U23" s="8">
        <v>0</v>
      </c>
      <c r="V23" s="7">
        <f t="shared" si="2"/>
        <v>7616</v>
      </c>
      <c r="W23" s="8">
        <f t="shared" si="3"/>
        <v>0</v>
      </c>
      <c r="X23" s="7">
        <f>IF(C23="Baja Complejidad",M23,0)</f>
        <v>0</v>
      </c>
      <c r="Y23" s="8">
        <v>0</v>
      </c>
      <c r="Z23" s="7">
        <f>(X23)+(X23*Y23)</f>
        <v>0</v>
      </c>
      <c r="AA23" s="8">
        <f>IFERROR(((Z23-X23)/Z23),0)</f>
        <v>0</v>
      </c>
      <c r="AB23" s="8">
        <v>0.1</v>
      </c>
    </row>
    <row r="24" spans="1:28" x14ac:dyDescent="0.25">
      <c r="A24">
        <v>2026</v>
      </c>
      <c r="B24" t="s">
        <v>51</v>
      </c>
      <c r="C24" t="s">
        <v>60</v>
      </c>
      <c r="D24" t="s">
        <v>61</v>
      </c>
      <c r="E24" t="s">
        <v>91</v>
      </c>
      <c r="G24" t="s">
        <v>31</v>
      </c>
      <c r="H24" t="s">
        <v>31</v>
      </c>
      <c r="I24" t="s">
        <v>39</v>
      </c>
      <c r="J24">
        <v>0.4</v>
      </c>
      <c r="K24" t="s">
        <v>33</v>
      </c>
      <c r="L24">
        <v>111.86</v>
      </c>
      <c r="M24" s="7">
        <v>44.744</v>
      </c>
      <c r="O24" s="7">
        <f t="shared" si="0"/>
        <v>44.744</v>
      </c>
      <c r="P24" s="7">
        <f>IF(C24="Alta Complejidad",M24,0)</f>
        <v>0</v>
      </c>
      <c r="Q24" s="8">
        <v>0</v>
      </c>
      <c r="R24" s="7">
        <f>P24+(P24*Q24)</f>
        <v>0</v>
      </c>
      <c r="S24" s="9">
        <f>IFERROR(((R24-P24)/R24),0)</f>
        <v>0</v>
      </c>
      <c r="T24" s="7">
        <f t="shared" si="1"/>
        <v>44.744</v>
      </c>
      <c r="U24" s="8">
        <v>0</v>
      </c>
      <c r="V24" s="7">
        <f t="shared" si="2"/>
        <v>44.744</v>
      </c>
      <c r="W24" s="8">
        <f t="shared" si="3"/>
        <v>0</v>
      </c>
      <c r="X24" s="7">
        <f>IF(C24="Baja Complejidad",M24,0)</f>
        <v>0</v>
      </c>
      <c r="Y24" s="8">
        <v>0</v>
      </c>
      <c r="Z24" s="7">
        <f>(X24)+(X24*Y24)</f>
        <v>0</v>
      </c>
      <c r="AA24" s="8">
        <f>IFERROR(((Z24-X24)/Z24),0)</f>
        <v>0</v>
      </c>
      <c r="AB24" s="8">
        <v>0.1</v>
      </c>
    </row>
    <row r="25" spans="1:28" x14ac:dyDescent="0.25">
      <c r="A25">
        <v>2026</v>
      </c>
      <c r="B25" t="s">
        <v>51</v>
      </c>
      <c r="C25" t="s">
        <v>60</v>
      </c>
      <c r="D25" t="s">
        <v>61</v>
      </c>
      <c r="E25" t="s">
        <v>92</v>
      </c>
      <c r="G25" t="s">
        <v>31</v>
      </c>
      <c r="H25" t="s">
        <v>31</v>
      </c>
      <c r="I25" t="s">
        <v>64</v>
      </c>
      <c r="J25">
        <v>4</v>
      </c>
      <c r="K25" t="s">
        <v>33</v>
      </c>
      <c r="L25">
        <v>80300</v>
      </c>
      <c r="M25" s="7">
        <v>1284.8</v>
      </c>
      <c r="O25" s="7">
        <f t="shared" si="0"/>
        <v>1284.8</v>
      </c>
      <c r="P25" s="7">
        <f>IF(C25="Alta Complejidad",M25,0)</f>
        <v>0</v>
      </c>
      <c r="Q25" s="8">
        <v>0</v>
      </c>
      <c r="R25" s="7">
        <f>P25+(P25*Q25)</f>
        <v>0</v>
      </c>
      <c r="S25" s="9">
        <f>IFERROR(((R25-P25)/R25),0)</f>
        <v>0</v>
      </c>
      <c r="T25" s="7">
        <f t="shared" si="1"/>
        <v>1284.8</v>
      </c>
      <c r="U25" s="8">
        <v>0</v>
      </c>
      <c r="V25" s="7">
        <f t="shared" si="2"/>
        <v>1284.8</v>
      </c>
      <c r="W25" s="8">
        <f t="shared" si="3"/>
        <v>0</v>
      </c>
      <c r="X25" s="7">
        <f>IF(C25="Baja Complejidad",M25,0)</f>
        <v>0</v>
      </c>
      <c r="Y25" s="8">
        <v>0</v>
      </c>
      <c r="Z25" s="7">
        <f>(X25)+(X25*Y25)</f>
        <v>0</v>
      </c>
      <c r="AA25" s="8">
        <f>IFERROR(((Z25-X25)/Z25),0)</f>
        <v>0</v>
      </c>
      <c r="AB25" s="8">
        <v>0.1</v>
      </c>
    </row>
    <row r="26" spans="1:28" x14ac:dyDescent="0.25">
      <c r="A26">
        <v>2026</v>
      </c>
      <c r="B26" t="s">
        <v>51</v>
      </c>
      <c r="C26" t="s">
        <v>60</v>
      </c>
      <c r="D26" t="s">
        <v>61</v>
      </c>
      <c r="E26" t="s">
        <v>93</v>
      </c>
      <c r="G26" t="s">
        <v>31</v>
      </c>
      <c r="H26" t="s">
        <v>31</v>
      </c>
      <c r="I26" t="s">
        <v>40</v>
      </c>
      <c r="J26">
        <v>3</v>
      </c>
      <c r="K26" t="s">
        <v>33</v>
      </c>
      <c r="L26">
        <v>17888.080000000002</v>
      </c>
      <c r="M26" s="7">
        <v>53664.240000000005</v>
      </c>
      <c r="O26" s="7">
        <f t="shared" si="0"/>
        <v>53664.240000000005</v>
      </c>
      <c r="P26" s="7">
        <f>IF(C26="Alta Complejidad",M26,0)</f>
        <v>0</v>
      </c>
      <c r="Q26" s="8">
        <v>0</v>
      </c>
      <c r="R26" s="7">
        <f>P26+(P26*Q26)</f>
        <v>0</v>
      </c>
      <c r="S26" s="9">
        <f>IFERROR(((R26-P26)/R26),0)</f>
        <v>0</v>
      </c>
      <c r="T26" s="7">
        <f t="shared" si="1"/>
        <v>53664.240000000005</v>
      </c>
      <c r="U26" s="8">
        <v>0</v>
      </c>
      <c r="V26" s="7">
        <f t="shared" si="2"/>
        <v>53664.240000000005</v>
      </c>
      <c r="W26" s="8">
        <f t="shared" si="3"/>
        <v>0</v>
      </c>
      <c r="X26" s="7">
        <f>IF(C26="Baja Complejidad",M26,0)</f>
        <v>0</v>
      </c>
      <c r="Y26" s="8">
        <v>0</v>
      </c>
      <c r="Z26" s="7">
        <f>(X26)+(X26*Y26)</f>
        <v>0</v>
      </c>
      <c r="AA26" s="8">
        <f>IFERROR(((Z26-X26)/Z26),0)</f>
        <v>0</v>
      </c>
      <c r="AB26" s="8">
        <v>0.1</v>
      </c>
    </row>
    <row r="27" spans="1:28" x14ac:dyDescent="0.25">
      <c r="A27">
        <v>2026</v>
      </c>
      <c r="B27" t="s">
        <v>51</v>
      </c>
      <c r="C27" t="s">
        <v>60</v>
      </c>
      <c r="D27" t="s">
        <v>61</v>
      </c>
      <c r="E27" t="s">
        <v>94</v>
      </c>
      <c r="G27" t="s">
        <v>31</v>
      </c>
      <c r="H27" t="s">
        <v>31</v>
      </c>
      <c r="I27" t="s">
        <v>41</v>
      </c>
      <c r="J27">
        <v>1</v>
      </c>
      <c r="K27" t="s">
        <v>33</v>
      </c>
      <c r="L27">
        <v>337.3837894736842</v>
      </c>
      <c r="M27" s="7">
        <v>337.3837894736842</v>
      </c>
      <c r="O27" s="7">
        <f t="shared" si="0"/>
        <v>337.3837894736842</v>
      </c>
      <c r="P27" s="7">
        <f>IF(C27="Alta Complejidad",M27,0)</f>
        <v>0</v>
      </c>
      <c r="Q27" s="8">
        <v>0</v>
      </c>
      <c r="R27" s="7">
        <f>P27+(P27*Q27)</f>
        <v>0</v>
      </c>
      <c r="S27" s="9">
        <f>IFERROR(((R27-P27)/R27),0)</f>
        <v>0</v>
      </c>
      <c r="T27" s="7">
        <f t="shared" si="1"/>
        <v>337.3837894736842</v>
      </c>
      <c r="U27" s="8">
        <v>0</v>
      </c>
      <c r="V27" s="7">
        <f t="shared" si="2"/>
        <v>337.3837894736842</v>
      </c>
      <c r="W27" s="8">
        <f t="shared" si="3"/>
        <v>0</v>
      </c>
      <c r="X27" s="7">
        <f>IF(C27="Baja Complejidad",M27,0)</f>
        <v>0</v>
      </c>
      <c r="Y27" s="8">
        <v>0</v>
      </c>
      <c r="Z27" s="7">
        <f>(X27)+(X27*Y27)</f>
        <v>0</v>
      </c>
      <c r="AA27" s="8">
        <f>IFERROR(((Z27-X27)/Z27),0)</f>
        <v>0</v>
      </c>
      <c r="AB27" s="8">
        <v>0.1</v>
      </c>
    </row>
    <row r="28" spans="1:28" x14ac:dyDescent="0.25">
      <c r="A28">
        <v>2026</v>
      </c>
      <c r="B28" t="s">
        <v>51</v>
      </c>
      <c r="C28" t="s">
        <v>60</v>
      </c>
      <c r="D28" t="s">
        <v>61</v>
      </c>
      <c r="E28" t="s">
        <v>95</v>
      </c>
      <c r="G28" t="s">
        <v>31</v>
      </c>
      <c r="H28" t="s">
        <v>31</v>
      </c>
      <c r="I28" t="s">
        <v>83</v>
      </c>
      <c r="J28">
        <v>2</v>
      </c>
      <c r="K28" t="s">
        <v>33</v>
      </c>
      <c r="L28">
        <v>67900</v>
      </c>
      <c r="M28" s="7">
        <v>13580</v>
      </c>
      <c r="O28" s="7">
        <f t="shared" si="0"/>
        <v>13580</v>
      </c>
      <c r="P28" s="7">
        <f>IF(C28="Alta Complejidad",M28,0)</f>
        <v>0</v>
      </c>
      <c r="Q28" s="8">
        <v>0</v>
      </c>
      <c r="R28" s="7">
        <f>P28+(P28*Q28)</f>
        <v>0</v>
      </c>
      <c r="S28" s="9">
        <f>IFERROR(((R28-P28)/R28),0)</f>
        <v>0</v>
      </c>
      <c r="T28" s="7">
        <f t="shared" si="1"/>
        <v>13580</v>
      </c>
      <c r="U28" s="8">
        <v>0</v>
      </c>
      <c r="V28" s="7">
        <f t="shared" si="2"/>
        <v>13580</v>
      </c>
      <c r="W28" s="8">
        <f t="shared" si="3"/>
        <v>0</v>
      </c>
      <c r="X28" s="7">
        <f>IF(C28="Baja Complejidad",M28,0)</f>
        <v>0</v>
      </c>
      <c r="Y28" s="8">
        <v>0</v>
      </c>
      <c r="Z28" s="7">
        <f>(X28)+(X28*Y28)</f>
        <v>0</v>
      </c>
      <c r="AA28" s="8">
        <f>IFERROR(((Z28-X28)/Z28),0)</f>
        <v>0</v>
      </c>
      <c r="AB28" s="8">
        <v>0.1</v>
      </c>
    </row>
    <row r="29" spans="1:28" x14ac:dyDescent="0.25">
      <c r="A29">
        <v>2026</v>
      </c>
      <c r="B29" t="s">
        <v>51</v>
      </c>
      <c r="C29" t="s">
        <v>60</v>
      </c>
      <c r="D29" t="s">
        <v>61</v>
      </c>
      <c r="E29" t="s">
        <v>96</v>
      </c>
      <c r="G29" t="s">
        <v>31</v>
      </c>
      <c r="H29" t="s">
        <v>31</v>
      </c>
      <c r="I29" t="s">
        <v>84</v>
      </c>
      <c r="J29">
        <v>2</v>
      </c>
      <c r="K29" t="s">
        <v>33</v>
      </c>
      <c r="L29">
        <v>50300</v>
      </c>
      <c r="M29" s="7">
        <v>10060</v>
      </c>
      <c r="O29" s="7">
        <f t="shared" si="0"/>
        <v>10060</v>
      </c>
      <c r="P29" s="7">
        <f>IF(C29="Alta Complejidad",M29,0)</f>
        <v>0</v>
      </c>
      <c r="Q29" s="8">
        <v>0</v>
      </c>
      <c r="R29" s="7">
        <f>P29+(P29*Q29)</f>
        <v>0</v>
      </c>
      <c r="S29" s="9">
        <f>IFERROR(((R29-P29)/R29),0)</f>
        <v>0</v>
      </c>
      <c r="T29" s="7">
        <f t="shared" si="1"/>
        <v>10060</v>
      </c>
      <c r="U29" s="8">
        <v>0</v>
      </c>
      <c r="V29" s="7">
        <f t="shared" si="2"/>
        <v>10060</v>
      </c>
      <c r="W29" s="8">
        <f t="shared" si="3"/>
        <v>0</v>
      </c>
      <c r="X29" s="7">
        <f>IF(C29="Baja Complejidad",M29,0)</f>
        <v>0</v>
      </c>
      <c r="Y29" s="8">
        <v>0</v>
      </c>
      <c r="Z29" s="7">
        <f>(X29)+(X29*Y29)</f>
        <v>0</v>
      </c>
      <c r="AA29" s="8">
        <f>IFERROR(((Z29-X29)/Z29),0)</f>
        <v>0</v>
      </c>
      <c r="AB29" s="8">
        <v>0.1</v>
      </c>
    </row>
    <row r="30" spans="1:28" x14ac:dyDescent="0.25">
      <c r="A30">
        <v>2026</v>
      </c>
      <c r="B30" t="s">
        <v>51</v>
      </c>
      <c r="C30" t="s">
        <v>60</v>
      </c>
      <c r="D30" t="s">
        <v>61</v>
      </c>
      <c r="E30" t="s">
        <v>97</v>
      </c>
      <c r="G30" t="s">
        <v>31</v>
      </c>
      <c r="H30" t="s">
        <v>31</v>
      </c>
      <c r="I30" t="s">
        <v>82</v>
      </c>
      <c r="J30">
        <v>2</v>
      </c>
      <c r="K30" t="s">
        <v>33</v>
      </c>
      <c r="L30">
        <v>43500</v>
      </c>
      <c r="M30" s="7">
        <v>7250</v>
      </c>
      <c r="O30" s="7">
        <f t="shared" si="0"/>
        <v>7250</v>
      </c>
      <c r="P30" s="7">
        <f>IF(C30="Alta Complejidad",M30,0)</f>
        <v>0</v>
      </c>
      <c r="Q30" s="8">
        <v>0</v>
      </c>
      <c r="R30" s="7">
        <f>P30+(P30*Q30)</f>
        <v>0</v>
      </c>
      <c r="S30" s="9">
        <f>IFERROR(((R30-P30)/R30),0)</f>
        <v>0</v>
      </c>
      <c r="T30" s="7">
        <f t="shared" si="1"/>
        <v>7250</v>
      </c>
      <c r="U30" s="8">
        <v>0</v>
      </c>
      <c r="V30" s="7">
        <f t="shared" si="2"/>
        <v>7250</v>
      </c>
      <c r="W30" s="8">
        <f t="shared" si="3"/>
        <v>0</v>
      </c>
      <c r="X30" s="7">
        <f>IF(C30="Baja Complejidad",M30,0)</f>
        <v>0</v>
      </c>
      <c r="Y30" s="8">
        <v>0</v>
      </c>
      <c r="Z30" s="7">
        <f>(X30)+(X30*Y30)</f>
        <v>0</v>
      </c>
      <c r="AA30" s="8">
        <f>IFERROR(((Z30-X30)/Z30),0)</f>
        <v>0</v>
      </c>
      <c r="AB30" s="8">
        <v>0.1</v>
      </c>
    </row>
    <row r="31" spans="1:28" x14ac:dyDescent="0.25">
      <c r="A31">
        <v>2026</v>
      </c>
      <c r="B31" t="s">
        <v>51</v>
      </c>
      <c r="C31" t="s">
        <v>60</v>
      </c>
      <c r="D31" t="s">
        <v>61</v>
      </c>
      <c r="F31">
        <v>2400</v>
      </c>
      <c r="G31" t="s">
        <v>42</v>
      </c>
      <c r="H31" t="s">
        <v>42</v>
      </c>
      <c r="I31" t="s">
        <v>62</v>
      </c>
      <c r="J31">
        <v>30</v>
      </c>
      <c r="K31" t="s">
        <v>45</v>
      </c>
      <c r="L31" s="12">
        <v>348.24</v>
      </c>
      <c r="M31" s="7">
        <f>+L31*F31</f>
        <v>835776</v>
      </c>
      <c r="O31" s="7">
        <f t="shared" si="0"/>
        <v>835776</v>
      </c>
      <c r="P31" s="7">
        <f>IF(C31="Alta Complejidad",M31,0)</f>
        <v>0</v>
      </c>
      <c r="Q31" s="8">
        <v>0</v>
      </c>
      <c r="R31" s="7">
        <f>P31+(P31*Q31)</f>
        <v>0</v>
      </c>
      <c r="S31" s="9">
        <f>IFERROR(((R31-P31)/R31),0)</f>
        <v>0</v>
      </c>
      <c r="T31" s="7">
        <f t="shared" si="1"/>
        <v>835776</v>
      </c>
      <c r="U31" s="8">
        <v>0</v>
      </c>
      <c r="V31" s="7">
        <f t="shared" si="2"/>
        <v>835776</v>
      </c>
      <c r="W31" s="8">
        <f t="shared" si="3"/>
        <v>0</v>
      </c>
      <c r="X31" s="7">
        <f>IF(C31="Baja Complejidad",M31,0)</f>
        <v>0</v>
      </c>
      <c r="Y31" s="8">
        <v>0</v>
      </c>
      <c r="Z31" s="7">
        <f>(X31)+(X31*Y31)</f>
        <v>0</v>
      </c>
      <c r="AA31" s="8">
        <f>IFERROR(((Z31-X31)/Z31),0)</f>
        <v>0</v>
      </c>
      <c r="AB31" s="8">
        <v>0.1</v>
      </c>
    </row>
    <row r="32" spans="1:28" x14ac:dyDescent="0.25">
      <c r="A32">
        <v>2026</v>
      </c>
      <c r="B32" t="s">
        <v>51</v>
      </c>
      <c r="C32" t="s">
        <v>60</v>
      </c>
      <c r="D32" t="s">
        <v>61</v>
      </c>
      <c r="F32">
        <v>2400</v>
      </c>
      <c r="G32" t="s">
        <v>42</v>
      </c>
      <c r="H32" t="s">
        <v>42</v>
      </c>
      <c r="I32" t="s">
        <v>59</v>
      </c>
      <c r="J32">
        <v>30</v>
      </c>
      <c r="K32" t="s">
        <v>45</v>
      </c>
      <c r="L32" s="12">
        <v>201.61</v>
      </c>
      <c r="M32" s="7">
        <f t="shared" ref="M32:M33" si="5">+L32*F32</f>
        <v>483864.00000000006</v>
      </c>
      <c r="O32" s="7">
        <f t="shared" si="0"/>
        <v>483864.00000000006</v>
      </c>
      <c r="P32" s="7">
        <f>IF(C32="Alta Complejidad",M32,0)</f>
        <v>0</v>
      </c>
      <c r="Q32" s="8">
        <v>0</v>
      </c>
      <c r="R32" s="7">
        <f>P32+(P32*Q32)</f>
        <v>0</v>
      </c>
      <c r="S32" s="9">
        <f>IFERROR(((R32-P32)/R32),0)</f>
        <v>0</v>
      </c>
      <c r="T32" s="7">
        <f t="shared" si="1"/>
        <v>483864.00000000006</v>
      </c>
      <c r="U32" s="8">
        <v>0</v>
      </c>
      <c r="V32" s="7">
        <f t="shared" si="2"/>
        <v>483864.00000000006</v>
      </c>
      <c r="W32" s="8">
        <f t="shared" si="3"/>
        <v>0</v>
      </c>
      <c r="X32" s="7">
        <f>IF(C32="Baja Complejidad",M32,0)</f>
        <v>0</v>
      </c>
      <c r="Y32" s="8">
        <v>0</v>
      </c>
      <c r="Z32" s="7">
        <f>(X32)+(X32*Y32)</f>
        <v>0</v>
      </c>
      <c r="AA32" s="8">
        <f>IFERROR(((Z32-X32)/Z32),0)</f>
        <v>0</v>
      </c>
      <c r="AB32" s="8">
        <v>0.1</v>
      </c>
    </row>
    <row r="33" spans="1:28" x14ac:dyDescent="0.25">
      <c r="A33">
        <v>2026</v>
      </c>
      <c r="B33" t="s">
        <v>51</v>
      </c>
      <c r="C33" t="s">
        <v>60</v>
      </c>
      <c r="D33" t="s">
        <v>61</v>
      </c>
      <c r="F33">
        <v>1600</v>
      </c>
      <c r="G33" t="s">
        <v>42</v>
      </c>
      <c r="H33" t="s">
        <v>42</v>
      </c>
      <c r="I33" t="s">
        <v>50</v>
      </c>
      <c r="J33">
        <v>30</v>
      </c>
      <c r="K33" t="s">
        <v>45</v>
      </c>
      <c r="L33" s="12">
        <v>1000</v>
      </c>
      <c r="M33" s="7">
        <f t="shared" si="5"/>
        <v>1600000</v>
      </c>
      <c r="O33" s="7">
        <f t="shared" si="0"/>
        <v>1600000</v>
      </c>
      <c r="P33" s="7">
        <f>IF(C33="Alta Complejidad",M33,0)</f>
        <v>0</v>
      </c>
      <c r="Q33" s="8">
        <v>0</v>
      </c>
      <c r="R33" s="7">
        <f>P33+(P33*Q33)</f>
        <v>0</v>
      </c>
      <c r="S33" s="9">
        <f>IFERROR(((R33-P33)/R33),0)</f>
        <v>0</v>
      </c>
      <c r="T33" s="7">
        <f t="shared" si="1"/>
        <v>1600000</v>
      </c>
      <c r="U33" s="8">
        <v>0</v>
      </c>
      <c r="V33" s="7">
        <f t="shared" si="2"/>
        <v>1600000</v>
      </c>
      <c r="W33" s="8">
        <f t="shared" si="3"/>
        <v>0</v>
      </c>
      <c r="X33" s="7">
        <f>IF(C33="Baja Complejidad",M33,0)</f>
        <v>0</v>
      </c>
      <c r="Y33" s="8">
        <v>0</v>
      </c>
      <c r="Z33" s="7">
        <f>(X33)+(X33*Y33)</f>
        <v>0</v>
      </c>
      <c r="AA33" s="8">
        <f>IFERROR(((Z33-X33)/Z33),0)</f>
        <v>0</v>
      </c>
      <c r="AB33" s="8">
        <v>0.1</v>
      </c>
    </row>
    <row r="34" spans="1:28" x14ac:dyDescent="0.25">
      <c r="A34">
        <v>2026</v>
      </c>
      <c r="B34" t="s">
        <v>52</v>
      </c>
      <c r="C34" t="s">
        <v>60</v>
      </c>
      <c r="D34" t="s">
        <v>61</v>
      </c>
      <c r="E34" t="s">
        <v>85</v>
      </c>
      <c r="G34" t="s">
        <v>31</v>
      </c>
      <c r="H34" t="s">
        <v>31</v>
      </c>
      <c r="I34" t="s">
        <v>32</v>
      </c>
      <c r="J34">
        <v>4</v>
      </c>
      <c r="K34" t="s">
        <v>33</v>
      </c>
      <c r="L34">
        <v>266</v>
      </c>
      <c r="M34" s="7">
        <v>1064</v>
      </c>
      <c r="O34" s="7">
        <f t="shared" si="0"/>
        <v>1064</v>
      </c>
      <c r="P34" s="7">
        <f>IF(C34="Alta Complejidad",M34,0)</f>
        <v>0</v>
      </c>
      <c r="Q34" s="8">
        <v>0</v>
      </c>
      <c r="R34" s="7">
        <f>P34+(P34*Q34)</f>
        <v>0</v>
      </c>
      <c r="S34" s="9">
        <f>IFERROR(((R34-P34)/R34),0)</f>
        <v>0</v>
      </c>
      <c r="T34" s="7">
        <f t="shared" si="1"/>
        <v>1064</v>
      </c>
      <c r="U34" s="8">
        <v>0</v>
      </c>
      <c r="V34" s="7">
        <f t="shared" si="2"/>
        <v>1064</v>
      </c>
      <c r="W34" s="8">
        <f t="shared" si="3"/>
        <v>0</v>
      </c>
      <c r="X34" s="7">
        <f>IF(C34="Baja Complejidad",M34,0)</f>
        <v>0</v>
      </c>
      <c r="Y34" s="8">
        <v>0</v>
      </c>
      <c r="Z34" s="7">
        <f>(X34)+(X34*Y34)</f>
        <v>0</v>
      </c>
      <c r="AA34" s="8">
        <f>IFERROR(((Z34-X34)/Z34),0)</f>
        <v>0</v>
      </c>
      <c r="AB34" s="8">
        <v>0.1</v>
      </c>
    </row>
    <row r="35" spans="1:28" x14ac:dyDescent="0.25">
      <c r="A35">
        <v>2026</v>
      </c>
      <c r="B35" t="s">
        <v>52</v>
      </c>
      <c r="C35" t="s">
        <v>60</v>
      </c>
      <c r="D35" t="s">
        <v>61</v>
      </c>
      <c r="E35" t="s">
        <v>86</v>
      </c>
      <c r="G35" t="s">
        <v>31</v>
      </c>
      <c r="H35" t="s">
        <v>31</v>
      </c>
      <c r="I35" t="s">
        <v>34</v>
      </c>
      <c r="J35">
        <v>2</v>
      </c>
      <c r="K35" t="s">
        <v>33</v>
      </c>
      <c r="L35">
        <v>1086.232</v>
      </c>
      <c r="M35" s="7">
        <v>2172.4639999999999</v>
      </c>
      <c r="O35" s="7">
        <f t="shared" si="0"/>
        <v>2172.4639999999999</v>
      </c>
      <c r="P35" s="7">
        <f>IF(C35="Alta Complejidad",M35,0)</f>
        <v>0</v>
      </c>
      <c r="Q35" s="8">
        <v>0</v>
      </c>
      <c r="R35" s="7">
        <f>P35+(P35*Q35)</f>
        <v>0</v>
      </c>
      <c r="S35" s="9">
        <f>IFERROR(((R35-P35)/R35),0)</f>
        <v>0</v>
      </c>
      <c r="T35" s="7">
        <f t="shared" si="1"/>
        <v>2172.4639999999999</v>
      </c>
      <c r="U35" s="8">
        <v>0</v>
      </c>
      <c r="V35" s="7">
        <f t="shared" si="2"/>
        <v>2172.4639999999999</v>
      </c>
      <c r="W35" s="8">
        <f t="shared" si="3"/>
        <v>0</v>
      </c>
      <c r="X35" s="7">
        <f>IF(C35="Baja Complejidad",M35,0)</f>
        <v>0</v>
      </c>
      <c r="Y35" s="8">
        <v>0</v>
      </c>
      <c r="Z35" s="7">
        <f>(X35)+(X35*Y35)</f>
        <v>0</v>
      </c>
      <c r="AA35" s="8">
        <f>IFERROR(((Z35-X35)/Z35),0)</f>
        <v>0</v>
      </c>
      <c r="AB35" s="8">
        <v>0.1</v>
      </c>
    </row>
    <row r="36" spans="1:28" x14ac:dyDescent="0.25">
      <c r="A36">
        <v>2026</v>
      </c>
      <c r="B36" t="s">
        <v>52</v>
      </c>
      <c r="C36" t="s">
        <v>60</v>
      </c>
      <c r="D36" t="s">
        <v>61</v>
      </c>
      <c r="E36" t="s">
        <v>87</v>
      </c>
      <c r="G36" t="s">
        <v>31</v>
      </c>
      <c r="H36" t="s">
        <v>31</v>
      </c>
      <c r="I36" t="s">
        <v>35</v>
      </c>
      <c r="J36">
        <v>6</v>
      </c>
      <c r="K36" t="s">
        <v>33</v>
      </c>
      <c r="L36">
        <v>370</v>
      </c>
      <c r="M36" s="7">
        <v>2220</v>
      </c>
      <c r="O36" s="7">
        <f t="shared" si="0"/>
        <v>2220</v>
      </c>
      <c r="P36" s="7">
        <f>IF(C36="Alta Complejidad",M36,0)</f>
        <v>0</v>
      </c>
      <c r="Q36" s="8">
        <v>0</v>
      </c>
      <c r="R36" s="7">
        <f>P36+(P36*Q36)</f>
        <v>0</v>
      </c>
      <c r="S36" s="9">
        <f>IFERROR(((R36-P36)/R36),0)</f>
        <v>0</v>
      </c>
      <c r="T36" s="7">
        <f t="shared" si="1"/>
        <v>2220</v>
      </c>
      <c r="U36" s="8">
        <v>0</v>
      </c>
      <c r="V36" s="7">
        <f t="shared" si="2"/>
        <v>2220</v>
      </c>
      <c r="W36" s="8">
        <f t="shared" si="3"/>
        <v>0</v>
      </c>
      <c r="X36" s="7">
        <f>IF(C36="Baja Complejidad",M36,0)</f>
        <v>0</v>
      </c>
      <c r="Y36" s="8">
        <v>0</v>
      </c>
      <c r="Z36" s="7">
        <f>(X36)+(X36*Y36)</f>
        <v>0</v>
      </c>
      <c r="AA36" s="8">
        <f>IFERROR(((Z36-X36)/Z36),0)</f>
        <v>0</v>
      </c>
      <c r="AB36" s="8">
        <v>0.1</v>
      </c>
    </row>
    <row r="37" spans="1:28" x14ac:dyDescent="0.25">
      <c r="A37">
        <v>2026</v>
      </c>
      <c r="B37" t="s">
        <v>52</v>
      </c>
      <c r="C37" t="s">
        <v>60</v>
      </c>
      <c r="D37" t="s">
        <v>61</v>
      </c>
      <c r="E37" t="s">
        <v>88</v>
      </c>
      <c r="G37" t="s">
        <v>31</v>
      </c>
      <c r="H37" t="s">
        <v>31</v>
      </c>
      <c r="I37" t="s">
        <v>36</v>
      </c>
      <c r="J37">
        <v>2</v>
      </c>
      <c r="K37" t="s">
        <v>33</v>
      </c>
      <c r="L37">
        <v>2643</v>
      </c>
      <c r="M37" s="7">
        <v>5286</v>
      </c>
      <c r="O37" s="7">
        <f t="shared" si="0"/>
        <v>5286</v>
      </c>
      <c r="P37" s="7">
        <f>IF(C37="Alta Complejidad",M37,0)</f>
        <v>0</v>
      </c>
      <c r="Q37" s="8">
        <v>0</v>
      </c>
      <c r="R37" s="7">
        <f>P37+(P37*Q37)</f>
        <v>0</v>
      </c>
      <c r="S37" s="9">
        <f>IFERROR(((R37-P37)/R37),0)</f>
        <v>0</v>
      </c>
      <c r="T37" s="7">
        <f t="shared" si="1"/>
        <v>5286</v>
      </c>
      <c r="U37" s="8">
        <v>0</v>
      </c>
      <c r="V37" s="7">
        <f t="shared" si="2"/>
        <v>5286</v>
      </c>
      <c r="W37" s="8">
        <f t="shared" si="3"/>
        <v>0</v>
      </c>
      <c r="X37" s="7">
        <f>IF(C37="Baja Complejidad",M37,0)</f>
        <v>0</v>
      </c>
      <c r="Y37" s="8">
        <v>0</v>
      </c>
      <c r="Z37" s="7">
        <f>(X37)+(X37*Y37)</f>
        <v>0</v>
      </c>
      <c r="AA37" s="8">
        <f>IFERROR(((Z37-X37)/Z37),0)</f>
        <v>0</v>
      </c>
      <c r="AB37" s="8">
        <v>0.1</v>
      </c>
    </row>
    <row r="38" spans="1:28" x14ac:dyDescent="0.25">
      <c r="A38">
        <v>2026</v>
      </c>
      <c r="B38" t="s">
        <v>52</v>
      </c>
      <c r="C38" t="s">
        <v>60</v>
      </c>
      <c r="D38" t="s">
        <v>61</v>
      </c>
      <c r="E38" t="s">
        <v>89</v>
      </c>
      <c r="G38" t="s">
        <v>31</v>
      </c>
      <c r="H38" t="s">
        <v>31</v>
      </c>
      <c r="I38" t="s">
        <v>37</v>
      </c>
      <c r="J38">
        <v>3</v>
      </c>
      <c r="K38" t="s">
        <v>33</v>
      </c>
      <c r="L38">
        <v>135.66</v>
      </c>
      <c r="M38" s="7">
        <v>406.98</v>
      </c>
      <c r="O38" s="7">
        <f t="shared" si="0"/>
        <v>406.98</v>
      </c>
      <c r="P38" s="7">
        <f>IF(C38="Alta Complejidad",M38,0)</f>
        <v>0</v>
      </c>
      <c r="Q38" s="8">
        <v>0</v>
      </c>
      <c r="R38" s="7">
        <f>P38+(P38*Q38)</f>
        <v>0</v>
      </c>
      <c r="S38" s="9">
        <f>IFERROR(((R38-P38)/R38),0)</f>
        <v>0</v>
      </c>
      <c r="T38" s="7">
        <f t="shared" si="1"/>
        <v>406.98</v>
      </c>
      <c r="U38" s="8">
        <v>0</v>
      </c>
      <c r="V38" s="7">
        <f t="shared" si="2"/>
        <v>406.98</v>
      </c>
      <c r="W38" s="8">
        <f t="shared" si="3"/>
        <v>0</v>
      </c>
      <c r="X38" s="7">
        <f>IF(C38="Baja Complejidad",M38,0)</f>
        <v>0</v>
      </c>
      <c r="Y38" s="8">
        <v>0</v>
      </c>
      <c r="Z38" s="7">
        <f>(X38)+(X38*Y38)</f>
        <v>0</v>
      </c>
      <c r="AA38" s="8">
        <f>IFERROR(((Z38-X38)/Z38),0)</f>
        <v>0</v>
      </c>
      <c r="AB38" s="8">
        <v>0.1</v>
      </c>
    </row>
    <row r="39" spans="1:28" x14ac:dyDescent="0.25">
      <c r="A39">
        <v>2026</v>
      </c>
      <c r="B39" t="s">
        <v>52</v>
      </c>
      <c r="C39" t="s">
        <v>60</v>
      </c>
      <c r="D39" t="s">
        <v>61</v>
      </c>
      <c r="E39" t="s">
        <v>90</v>
      </c>
      <c r="G39" t="s">
        <v>31</v>
      </c>
      <c r="H39" t="s">
        <v>31</v>
      </c>
      <c r="I39" t="s">
        <v>38</v>
      </c>
      <c r="J39">
        <v>2</v>
      </c>
      <c r="K39" t="s">
        <v>33</v>
      </c>
      <c r="L39">
        <v>3808</v>
      </c>
      <c r="M39" s="7">
        <v>7616</v>
      </c>
      <c r="O39" s="7">
        <f t="shared" si="0"/>
        <v>7616</v>
      </c>
      <c r="P39" s="7">
        <f>IF(C39="Alta Complejidad",M39,0)</f>
        <v>0</v>
      </c>
      <c r="Q39" s="8">
        <v>0</v>
      </c>
      <c r="R39" s="7">
        <f>P39+(P39*Q39)</f>
        <v>0</v>
      </c>
      <c r="S39" s="9">
        <f>IFERROR(((R39-P39)/R39),0)</f>
        <v>0</v>
      </c>
      <c r="T39" s="7">
        <f t="shared" si="1"/>
        <v>7616</v>
      </c>
      <c r="U39" s="8">
        <v>0</v>
      </c>
      <c r="V39" s="7">
        <f t="shared" si="2"/>
        <v>7616</v>
      </c>
      <c r="W39" s="8">
        <f t="shared" si="3"/>
        <v>0</v>
      </c>
      <c r="X39" s="7">
        <f>IF(C39="Baja Complejidad",M39,0)</f>
        <v>0</v>
      </c>
      <c r="Y39" s="8">
        <v>0</v>
      </c>
      <c r="Z39" s="7">
        <f>(X39)+(X39*Y39)</f>
        <v>0</v>
      </c>
      <c r="AA39" s="8">
        <f>IFERROR(((Z39-X39)/Z39),0)</f>
        <v>0</v>
      </c>
      <c r="AB39" s="8">
        <v>0.1</v>
      </c>
    </row>
    <row r="40" spans="1:28" x14ac:dyDescent="0.25">
      <c r="A40">
        <v>2026</v>
      </c>
      <c r="B40" t="s">
        <v>52</v>
      </c>
      <c r="C40" t="s">
        <v>60</v>
      </c>
      <c r="D40" t="s">
        <v>61</v>
      </c>
      <c r="E40" t="s">
        <v>91</v>
      </c>
      <c r="G40" t="s">
        <v>31</v>
      </c>
      <c r="H40" t="s">
        <v>31</v>
      </c>
      <c r="I40" t="s">
        <v>39</v>
      </c>
      <c r="J40">
        <v>0.4</v>
      </c>
      <c r="K40" t="s">
        <v>33</v>
      </c>
      <c r="L40">
        <v>111.86</v>
      </c>
      <c r="M40" s="7">
        <v>44.744</v>
      </c>
      <c r="O40" s="7">
        <f t="shared" si="0"/>
        <v>44.744</v>
      </c>
      <c r="P40" s="7">
        <f>IF(C40="Alta Complejidad",M40,0)</f>
        <v>0</v>
      </c>
      <c r="Q40" s="8">
        <v>0</v>
      </c>
      <c r="R40" s="7">
        <f>P40+(P40*Q40)</f>
        <v>0</v>
      </c>
      <c r="S40" s="9">
        <f>IFERROR(((R40-P40)/R40),0)</f>
        <v>0</v>
      </c>
      <c r="T40" s="7">
        <f t="shared" si="1"/>
        <v>44.744</v>
      </c>
      <c r="U40" s="8">
        <v>0</v>
      </c>
      <c r="V40" s="7">
        <f t="shared" si="2"/>
        <v>44.744</v>
      </c>
      <c r="W40" s="8">
        <f t="shared" si="3"/>
        <v>0</v>
      </c>
      <c r="X40" s="7">
        <f>IF(C40="Baja Complejidad",M40,0)</f>
        <v>0</v>
      </c>
      <c r="Y40" s="8">
        <v>0</v>
      </c>
      <c r="Z40" s="7">
        <f>(X40)+(X40*Y40)</f>
        <v>0</v>
      </c>
      <c r="AA40" s="8">
        <f>IFERROR(((Z40-X40)/Z40),0)</f>
        <v>0</v>
      </c>
      <c r="AB40" s="8">
        <v>0.1</v>
      </c>
    </row>
    <row r="41" spans="1:28" x14ac:dyDescent="0.25">
      <c r="A41">
        <v>2026</v>
      </c>
      <c r="B41" t="s">
        <v>52</v>
      </c>
      <c r="C41" t="s">
        <v>60</v>
      </c>
      <c r="D41" t="s">
        <v>61</v>
      </c>
      <c r="E41" t="s">
        <v>92</v>
      </c>
      <c r="G41" t="s">
        <v>31</v>
      </c>
      <c r="H41" t="s">
        <v>31</v>
      </c>
      <c r="I41" t="s">
        <v>64</v>
      </c>
      <c r="J41">
        <v>4</v>
      </c>
      <c r="K41" t="s">
        <v>33</v>
      </c>
      <c r="L41">
        <v>80300</v>
      </c>
      <c r="M41" s="7">
        <v>1284.8</v>
      </c>
      <c r="O41" s="7">
        <f t="shared" si="0"/>
        <v>1284.8</v>
      </c>
      <c r="P41" s="7">
        <f>IF(C41="Alta Complejidad",M41,0)</f>
        <v>0</v>
      </c>
      <c r="Q41" s="8">
        <v>0</v>
      </c>
      <c r="R41" s="7">
        <f>P41+(P41*Q41)</f>
        <v>0</v>
      </c>
      <c r="S41" s="9">
        <f>IFERROR(((R41-P41)/R41),0)</f>
        <v>0</v>
      </c>
      <c r="T41" s="7">
        <f t="shared" si="1"/>
        <v>1284.8</v>
      </c>
      <c r="U41" s="8">
        <v>0</v>
      </c>
      <c r="V41" s="7">
        <f t="shared" si="2"/>
        <v>1284.8</v>
      </c>
      <c r="W41" s="8">
        <f t="shared" si="3"/>
        <v>0</v>
      </c>
      <c r="X41" s="7">
        <f>IF(C41="Baja Complejidad",M41,0)</f>
        <v>0</v>
      </c>
      <c r="Y41" s="8">
        <v>0</v>
      </c>
      <c r="Z41" s="7">
        <f>(X41)+(X41*Y41)</f>
        <v>0</v>
      </c>
      <c r="AA41" s="8">
        <f>IFERROR(((Z41-X41)/Z41),0)</f>
        <v>0</v>
      </c>
      <c r="AB41" s="8">
        <v>0.1</v>
      </c>
    </row>
    <row r="42" spans="1:28" x14ac:dyDescent="0.25">
      <c r="A42">
        <v>2026</v>
      </c>
      <c r="B42" t="s">
        <v>52</v>
      </c>
      <c r="C42" t="s">
        <v>60</v>
      </c>
      <c r="D42" t="s">
        <v>61</v>
      </c>
      <c r="E42" t="s">
        <v>93</v>
      </c>
      <c r="G42" t="s">
        <v>31</v>
      </c>
      <c r="H42" t="s">
        <v>31</v>
      </c>
      <c r="I42" t="s">
        <v>40</v>
      </c>
      <c r="J42">
        <v>3</v>
      </c>
      <c r="K42" t="s">
        <v>33</v>
      </c>
      <c r="L42">
        <v>17888.080000000002</v>
      </c>
      <c r="M42" s="7">
        <v>53664.240000000005</v>
      </c>
      <c r="O42" s="7">
        <f t="shared" si="0"/>
        <v>53664.240000000005</v>
      </c>
      <c r="P42" s="7">
        <f>IF(C42="Alta Complejidad",M42,0)</f>
        <v>0</v>
      </c>
      <c r="Q42" s="8">
        <v>0</v>
      </c>
      <c r="R42" s="7">
        <f>P42+(P42*Q42)</f>
        <v>0</v>
      </c>
      <c r="S42" s="9">
        <f>IFERROR(((R42-P42)/R42),0)</f>
        <v>0</v>
      </c>
      <c r="T42" s="7">
        <f t="shared" si="1"/>
        <v>53664.240000000005</v>
      </c>
      <c r="U42" s="8">
        <v>0</v>
      </c>
      <c r="V42" s="7">
        <f t="shared" si="2"/>
        <v>53664.240000000005</v>
      </c>
      <c r="W42" s="8">
        <f t="shared" si="3"/>
        <v>0</v>
      </c>
      <c r="X42" s="7">
        <f>IF(C42="Baja Complejidad",M42,0)</f>
        <v>0</v>
      </c>
      <c r="Y42" s="8">
        <v>0</v>
      </c>
      <c r="Z42" s="7">
        <f>(X42)+(X42*Y42)</f>
        <v>0</v>
      </c>
      <c r="AA42" s="8">
        <f>IFERROR(((Z42-X42)/Z42),0)</f>
        <v>0</v>
      </c>
      <c r="AB42" s="8">
        <v>0.1</v>
      </c>
    </row>
    <row r="43" spans="1:28" x14ac:dyDescent="0.25">
      <c r="A43">
        <v>2026</v>
      </c>
      <c r="B43" t="s">
        <v>52</v>
      </c>
      <c r="C43" t="s">
        <v>60</v>
      </c>
      <c r="D43" t="s">
        <v>61</v>
      </c>
      <c r="E43" t="s">
        <v>94</v>
      </c>
      <c r="G43" t="s">
        <v>31</v>
      </c>
      <c r="H43" t="s">
        <v>31</v>
      </c>
      <c r="I43" t="s">
        <v>41</v>
      </c>
      <c r="J43">
        <v>1</v>
      </c>
      <c r="K43" t="s">
        <v>33</v>
      </c>
      <c r="L43">
        <v>337.3837894736842</v>
      </c>
      <c r="M43" s="7">
        <v>337.3837894736842</v>
      </c>
      <c r="O43" s="7">
        <f t="shared" si="0"/>
        <v>337.3837894736842</v>
      </c>
      <c r="P43" s="7">
        <f>IF(C43="Alta Complejidad",M43,0)</f>
        <v>0</v>
      </c>
      <c r="Q43" s="8">
        <v>0</v>
      </c>
      <c r="R43" s="7">
        <f>P43+(P43*Q43)</f>
        <v>0</v>
      </c>
      <c r="S43" s="9">
        <f>IFERROR(((R43-P43)/R43),0)</f>
        <v>0</v>
      </c>
      <c r="T43" s="7">
        <f t="shared" si="1"/>
        <v>337.3837894736842</v>
      </c>
      <c r="U43" s="8">
        <v>0</v>
      </c>
      <c r="V43" s="7">
        <f t="shared" si="2"/>
        <v>337.3837894736842</v>
      </c>
      <c r="W43" s="8">
        <f t="shared" si="3"/>
        <v>0</v>
      </c>
      <c r="X43" s="7">
        <f>IF(C43="Baja Complejidad",M43,0)</f>
        <v>0</v>
      </c>
      <c r="Y43" s="8">
        <v>0</v>
      </c>
      <c r="Z43" s="7">
        <f>(X43)+(X43*Y43)</f>
        <v>0</v>
      </c>
      <c r="AA43" s="8">
        <f>IFERROR(((Z43-X43)/Z43),0)</f>
        <v>0</v>
      </c>
      <c r="AB43" s="8">
        <v>0.1</v>
      </c>
    </row>
    <row r="44" spans="1:28" x14ac:dyDescent="0.25">
      <c r="A44">
        <v>2026</v>
      </c>
      <c r="B44" t="s">
        <v>52</v>
      </c>
      <c r="C44" t="s">
        <v>60</v>
      </c>
      <c r="D44" t="s">
        <v>61</v>
      </c>
      <c r="E44" t="s">
        <v>95</v>
      </c>
      <c r="G44" t="s">
        <v>31</v>
      </c>
      <c r="H44" t="s">
        <v>31</v>
      </c>
      <c r="I44" t="s">
        <v>83</v>
      </c>
      <c r="J44">
        <v>2</v>
      </c>
      <c r="K44" t="s">
        <v>33</v>
      </c>
      <c r="L44">
        <v>67900</v>
      </c>
      <c r="M44" s="7">
        <v>13580</v>
      </c>
      <c r="O44" s="7">
        <f t="shared" si="0"/>
        <v>13580</v>
      </c>
      <c r="P44" s="7">
        <f>IF(C44="Alta Complejidad",M44,0)</f>
        <v>0</v>
      </c>
      <c r="Q44" s="8">
        <v>0</v>
      </c>
      <c r="R44" s="7">
        <f>P44+(P44*Q44)</f>
        <v>0</v>
      </c>
      <c r="S44" s="9">
        <f>IFERROR(((R44-P44)/R44),0)</f>
        <v>0</v>
      </c>
      <c r="T44" s="7">
        <f t="shared" si="1"/>
        <v>13580</v>
      </c>
      <c r="U44" s="8">
        <v>0</v>
      </c>
      <c r="V44" s="7">
        <f t="shared" si="2"/>
        <v>13580</v>
      </c>
      <c r="W44" s="8">
        <f t="shared" si="3"/>
        <v>0</v>
      </c>
      <c r="X44" s="7">
        <f>IF(C44="Baja Complejidad",M44,0)</f>
        <v>0</v>
      </c>
      <c r="Y44" s="8">
        <v>0</v>
      </c>
      <c r="Z44" s="7">
        <f>(X44)+(X44*Y44)</f>
        <v>0</v>
      </c>
      <c r="AA44" s="8">
        <f>IFERROR(((Z44-X44)/Z44),0)</f>
        <v>0</v>
      </c>
      <c r="AB44" s="8">
        <v>0.1</v>
      </c>
    </row>
    <row r="45" spans="1:28" x14ac:dyDescent="0.25">
      <c r="A45">
        <v>2026</v>
      </c>
      <c r="B45" t="s">
        <v>52</v>
      </c>
      <c r="C45" t="s">
        <v>60</v>
      </c>
      <c r="D45" t="s">
        <v>61</v>
      </c>
      <c r="E45" t="s">
        <v>96</v>
      </c>
      <c r="G45" t="s">
        <v>31</v>
      </c>
      <c r="H45" t="s">
        <v>31</v>
      </c>
      <c r="I45" t="s">
        <v>84</v>
      </c>
      <c r="J45">
        <v>2</v>
      </c>
      <c r="K45" t="s">
        <v>33</v>
      </c>
      <c r="L45">
        <v>50300</v>
      </c>
      <c r="M45" s="7">
        <v>10060</v>
      </c>
      <c r="O45" s="7">
        <f t="shared" si="0"/>
        <v>10060</v>
      </c>
      <c r="P45" s="7">
        <f>IF(C45="Alta Complejidad",M45,0)</f>
        <v>0</v>
      </c>
      <c r="Q45" s="8">
        <v>0</v>
      </c>
      <c r="R45" s="7">
        <f>P45+(P45*Q45)</f>
        <v>0</v>
      </c>
      <c r="S45" s="9">
        <f>IFERROR(((R45-P45)/R45),0)</f>
        <v>0</v>
      </c>
      <c r="T45" s="7">
        <f t="shared" si="1"/>
        <v>10060</v>
      </c>
      <c r="U45" s="8">
        <v>0</v>
      </c>
      <c r="V45" s="7">
        <f t="shared" si="2"/>
        <v>10060</v>
      </c>
      <c r="W45" s="8">
        <f t="shared" si="3"/>
        <v>0</v>
      </c>
      <c r="X45" s="7">
        <f>IF(C45="Baja Complejidad",M45,0)</f>
        <v>0</v>
      </c>
      <c r="Y45" s="8">
        <v>0</v>
      </c>
      <c r="Z45" s="7">
        <f>(X45)+(X45*Y45)</f>
        <v>0</v>
      </c>
      <c r="AA45" s="8">
        <f>IFERROR(((Z45-X45)/Z45),0)</f>
        <v>0</v>
      </c>
      <c r="AB45" s="8">
        <v>0.1</v>
      </c>
    </row>
    <row r="46" spans="1:28" x14ac:dyDescent="0.25">
      <c r="A46">
        <v>2026</v>
      </c>
      <c r="B46" t="s">
        <v>52</v>
      </c>
      <c r="C46" t="s">
        <v>60</v>
      </c>
      <c r="D46" t="s">
        <v>61</v>
      </c>
      <c r="E46" t="s">
        <v>97</v>
      </c>
      <c r="G46" t="s">
        <v>31</v>
      </c>
      <c r="H46" t="s">
        <v>31</v>
      </c>
      <c r="I46" t="s">
        <v>82</v>
      </c>
      <c r="J46">
        <v>2</v>
      </c>
      <c r="K46" t="s">
        <v>33</v>
      </c>
      <c r="L46">
        <v>43500</v>
      </c>
      <c r="M46" s="7">
        <v>7250</v>
      </c>
      <c r="O46" s="7">
        <f t="shared" si="0"/>
        <v>7250</v>
      </c>
      <c r="P46" s="7">
        <f>IF(C46="Alta Complejidad",M46,0)</f>
        <v>0</v>
      </c>
      <c r="Q46" s="8">
        <v>0</v>
      </c>
      <c r="R46" s="7">
        <f>P46+(P46*Q46)</f>
        <v>0</v>
      </c>
      <c r="S46" s="9">
        <f>IFERROR(((R46-P46)/R46),0)</f>
        <v>0</v>
      </c>
      <c r="T46" s="7">
        <f t="shared" si="1"/>
        <v>7250</v>
      </c>
      <c r="U46" s="8">
        <v>0</v>
      </c>
      <c r="V46" s="7">
        <f t="shared" si="2"/>
        <v>7250</v>
      </c>
      <c r="W46" s="8">
        <f t="shared" si="3"/>
        <v>0</v>
      </c>
      <c r="X46" s="7">
        <f>IF(C46="Baja Complejidad",M46,0)</f>
        <v>0</v>
      </c>
      <c r="Y46" s="8">
        <v>0</v>
      </c>
      <c r="Z46" s="7">
        <f>(X46)+(X46*Y46)</f>
        <v>0</v>
      </c>
      <c r="AA46" s="8">
        <f>IFERROR(((Z46-X46)/Z46),0)</f>
        <v>0</v>
      </c>
      <c r="AB46" s="8">
        <v>0.1</v>
      </c>
    </row>
    <row r="47" spans="1:28" x14ac:dyDescent="0.25">
      <c r="A47">
        <v>2026</v>
      </c>
      <c r="B47" t="s">
        <v>52</v>
      </c>
      <c r="C47" t="s">
        <v>60</v>
      </c>
      <c r="D47" t="s">
        <v>61</v>
      </c>
      <c r="F47">
        <v>2400</v>
      </c>
      <c r="G47" t="s">
        <v>42</v>
      </c>
      <c r="H47" t="s">
        <v>42</v>
      </c>
      <c r="I47" t="s">
        <v>62</v>
      </c>
      <c r="J47">
        <v>30</v>
      </c>
      <c r="K47" t="s">
        <v>45</v>
      </c>
      <c r="L47" s="12">
        <v>348.24</v>
      </c>
      <c r="M47" s="7">
        <f>+L47*F47</f>
        <v>835776</v>
      </c>
      <c r="O47" s="7">
        <f t="shared" si="0"/>
        <v>835776</v>
      </c>
      <c r="P47" s="7">
        <f>IF(C47="Alta Complejidad",M47,0)</f>
        <v>0</v>
      </c>
      <c r="Q47" s="8">
        <v>0</v>
      </c>
      <c r="R47" s="7">
        <f>P47+(P47*Q47)</f>
        <v>0</v>
      </c>
      <c r="S47" s="9">
        <f>IFERROR(((R47-P47)/R47),0)</f>
        <v>0</v>
      </c>
      <c r="T47" s="7">
        <f t="shared" si="1"/>
        <v>835776</v>
      </c>
      <c r="U47" s="8">
        <v>0</v>
      </c>
      <c r="V47" s="7">
        <f t="shared" si="2"/>
        <v>835776</v>
      </c>
      <c r="W47" s="8">
        <f t="shared" si="3"/>
        <v>0</v>
      </c>
      <c r="X47" s="7">
        <f>IF(C47="Baja Complejidad",M47,0)</f>
        <v>0</v>
      </c>
      <c r="Y47" s="8">
        <v>0</v>
      </c>
      <c r="Z47" s="7">
        <f>(X47)+(X47*Y47)</f>
        <v>0</v>
      </c>
      <c r="AA47" s="8">
        <f>IFERROR(((Z47-X47)/Z47),0)</f>
        <v>0</v>
      </c>
      <c r="AB47" s="8">
        <v>0.1</v>
      </c>
    </row>
    <row r="48" spans="1:28" x14ac:dyDescent="0.25">
      <c r="A48">
        <v>2026</v>
      </c>
      <c r="B48" t="s">
        <v>52</v>
      </c>
      <c r="C48" t="s">
        <v>60</v>
      </c>
      <c r="D48" t="s">
        <v>61</v>
      </c>
      <c r="F48">
        <v>2400</v>
      </c>
      <c r="G48" t="s">
        <v>42</v>
      </c>
      <c r="H48" t="s">
        <v>42</v>
      </c>
      <c r="I48" t="s">
        <v>59</v>
      </c>
      <c r="J48">
        <v>30</v>
      </c>
      <c r="K48" t="s">
        <v>45</v>
      </c>
      <c r="L48" s="12">
        <v>201.61</v>
      </c>
      <c r="M48" s="7">
        <f t="shared" ref="M48:M49" si="6">+L48*F48</f>
        <v>483864.00000000006</v>
      </c>
      <c r="O48" s="7">
        <f t="shared" si="0"/>
        <v>483864.00000000006</v>
      </c>
      <c r="P48" s="7">
        <f>IF(C48="Alta Complejidad",M48,0)</f>
        <v>0</v>
      </c>
      <c r="Q48" s="8">
        <v>0</v>
      </c>
      <c r="R48" s="7">
        <f>P48+(P48*Q48)</f>
        <v>0</v>
      </c>
      <c r="S48" s="9">
        <f>IFERROR(((R48-P48)/R48),0)</f>
        <v>0</v>
      </c>
      <c r="T48" s="7">
        <f t="shared" si="1"/>
        <v>483864.00000000006</v>
      </c>
      <c r="U48" s="8">
        <v>0</v>
      </c>
      <c r="V48" s="7">
        <f t="shared" si="2"/>
        <v>483864.00000000006</v>
      </c>
      <c r="W48" s="8">
        <f t="shared" si="3"/>
        <v>0</v>
      </c>
      <c r="X48" s="7">
        <f>IF(C48="Baja Complejidad",M48,0)</f>
        <v>0</v>
      </c>
      <c r="Y48" s="8">
        <v>0</v>
      </c>
      <c r="Z48" s="7">
        <f>(X48)+(X48*Y48)</f>
        <v>0</v>
      </c>
      <c r="AA48" s="8">
        <f>IFERROR(((Z48-X48)/Z48),0)</f>
        <v>0</v>
      </c>
      <c r="AB48" s="8">
        <v>0.1</v>
      </c>
    </row>
    <row r="49" spans="1:28" x14ac:dyDescent="0.25">
      <c r="A49">
        <v>2026</v>
      </c>
      <c r="B49" t="s">
        <v>52</v>
      </c>
      <c r="C49" t="s">
        <v>60</v>
      </c>
      <c r="D49" t="s">
        <v>61</v>
      </c>
      <c r="F49">
        <v>1600</v>
      </c>
      <c r="G49" t="s">
        <v>42</v>
      </c>
      <c r="H49" t="s">
        <v>42</v>
      </c>
      <c r="I49" t="s">
        <v>50</v>
      </c>
      <c r="J49">
        <v>30</v>
      </c>
      <c r="K49" t="s">
        <v>45</v>
      </c>
      <c r="L49" s="12">
        <v>1000</v>
      </c>
      <c r="M49" s="7">
        <f t="shared" si="6"/>
        <v>1600000</v>
      </c>
      <c r="O49" s="7">
        <f t="shared" si="0"/>
        <v>1600000</v>
      </c>
      <c r="P49" s="7">
        <f>IF(C49="Alta Complejidad",M49,0)</f>
        <v>0</v>
      </c>
      <c r="Q49" s="8">
        <v>0</v>
      </c>
      <c r="R49" s="7">
        <f>P49+(P49*Q49)</f>
        <v>0</v>
      </c>
      <c r="S49" s="9">
        <f>IFERROR(((R49-P49)/R49),0)</f>
        <v>0</v>
      </c>
      <c r="T49" s="7">
        <f t="shared" si="1"/>
        <v>1600000</v>
      </c>
      <c r="U49" s="8">
        <v>0</v>
      </c>
      <c r="V49" s="7">
        <f t="shared" si="2"/>
        <v>1600000</v>
      </c>
      <c r="W49" s="8">
        <f t="shared" si="3"/>
        <v>0</v>
      </c>
      <c r="X49" s="7">
        <f>IF(C49="Baja Complejidad",M49,0)</f>
        <v>0</v>
      </c>
      <c r="Y49" s="8">
        <v>0</v>
      </c>
      <c r="Z49" s="7">
        <f>(X49)+(X49*Y49)</f>
        <v>0</v>
      </c>
      <c r="AA49" s="8">
        <f>IFERROR(((Z49-X49)/Z49),0)</f>
        <v>0</v>
      </c>
      <c r="AB49" s="8">
        <v>0.1</v>
      </c>
    </row>
    <row r="50" spans="1:28" x14ac:dyDescent="0.25">
      <c r="A50">
        <v>2026</v>
      </c>
      <c r="B50" t="s">
        <v>53</v>
      </c>
      <c r="C50" t="s">
        <v>60</v>
      </c>
      <c r="D50" t="s">
        <v>61</v>
      </c>
      <c r="E50" t="s">
        <v>85</v>
      </c>
      <c r="G50" t="s">
        <v>31</v>
      </c>
      <c r="H50" t="s">
        <v>31</v>
      </c>
      <c r="I50" t="s">
        <v>32</v>
      </c>
      <c r="J50">
        <v>4</v>
      </c>
      <c r="K50" t="s">
        <v>33</v>
      </c>
      <c r="L50">
        <v>266</v>
      </c>
      <c r="M50" s="7">
        <v>1064</v>
      </c>
      <c r="O50" s="7">
        <f t="shared" si="0"/>
        <v>1064</v>
      </c>
      <c r="P50" s="7">
        <f>IF(C50="Alta Complejidad",M50,0)</f>
        <v>0</v>
      </c>
      <c r="Q50" s="8">
        <v>0</v>
      </c>
      <c r="R50" s="7">
        <f>P50+(P50*Q50)</f>
        <v>0</v>
      </c>
      <c r="S50" s="9">
        <f>IFERROR(((R50-P50)/R50),0)</f>
        <v>0</v>
      </c>
      <c r="T50" s="7">
        <f t="shared" si="1"/>
        <v>1064</v>
      </c>
      <c r="U50" s="8">
        <v>0</v>
      </c>
      <c r="V50" s="7">
        <f t="shared" si="2"/>
        <v>1064</v>
      </c>
      <c r="W50" s="8">
        <f t="shared" si="3"/>
        <v>0</v>
      </c>
      <c r="X50" s="7">
        <f>IF(C50="Baja Complejidad",M50,0)</f>
        <v>0</v>
      </c>
      <c r="Y50" s="8">
        <v>0</v>
      </c>
      <c r="Z50" s="7">
        <f>(X50)+(X50*Y50)</f>
        <v>0</v>
      </c>
      <c r="AA50" s="8">
        <f>IFERROR(((Z50-X50)/Z50),0)</f>
        <v>0</v>
      </c>
      <c r="AB50" s="8">
        <v>0.1</v>
      </c>
    </row>
    <row r="51" spans="1:28" x14ac:dyDescent="0.25">
      <c r="A51">
        <v>2026</v>
      </c>
      <c r="B51" t="s">
        <v>53</v>
      </c>
      <c r="C51" t="s">
        <v>60</v>
      </c>
      <c r="D51" t="s">
        <v>61</v>
      </c>
      <c r="E51" t="s">
        <v>86</v>
      </c>
      <c r="G51" t="s">
        <v>31</v>
      </c>
      <c r="H51" t="s">
        <v>31</v>
      </c>
      <c r="I51" t="s">
        <v>34</v>
      </c>
      <c r="J51">
        <v>2</v>
      </c>
      <c r="K51" t="s">
        <v>33</v>
      </c>
      <c r="L51">
        <v>1086.232</v>
      </c>
      <c r="M51" s="7">
        <v>2172.4639999999999</v>
      </c>
      <c r="O51" s="7">
        <f t="shared" si="0"/>
        <v>2172.4639999999999</v>
      </c>
      <c r="P51" s="7">
        <f>IF(C51="Alta Complejidad",M51,0)</f>
        <v>0</v>
      </c>
      <c r="Q51" s="8">
        <v>0</v>
      </c>
      <c r="R51" s="7">
        <f>P51+(P51*Q51)</f>
        <v>0</v>
      </c>
      <c r="S51" s="9">
        <f>IFERROR(((R51-P51)/R51),0)</f>
        <v>0</v>
      </c>
      <c r="T51" s="7">
        <f t="shared" si="1"/>
        <v>2172.4639999999999</v>
      </c>
      <c r="U51" s="8">
        <v>0</v>
      </c>
      <c r="V51" s="7">
        <f t="shared" si="2"/>
        <v>2172.4639999999999</v>
      </c>
      <c r="W51" s="8">
        <f t="shared" si="3"/>
        <v>0</v>
      </c>
      <c r="X51" s="7">
        <f>IF(C51="Baja Complejidad",M51,0)</f>
        <v>0</v>
      </c>
      <c r="Y51" s="8">
        <v>0</v>
      </c>
      <c r="Z51" s="7">
        <f>(X51)+(X51*Y51)</f>
        <v>0</v>
      </c>
      <c r="AA51" s="8">
        <f>IFERROR(((Z51-X51)/Z51),0)</f>
        <v>0</v>
      </c>
      <c r="AB51" s="8">
        <v>0.1</v>
      </c>
    </row>
    <row r="52" spans="1:28" x14ac:dyDescent="0.25">
      <c r="A52">
        <v>2026</v>
      </c>
      <c r="B52" t="s">
        <v>53</v>
      </c>
      <c r="C52" t="s">
        <v>60</v>
      </c>
      <c r="D52" t="s">
        <v>61</v>
      </c>
      <c r="E52" t="s">
        <v>87</v>
      </c>
      <c r="G52" t="s">
        <v>31</v>
      </c>
      <c r="H52" t="s">
        <v>31</v>
      </c>
      <c r="I52" t="s">
        <v>35</v>
      </c>
      <c r="J52">
        <v>6</v>
      </c>
      <c r="K52" t="s">
        <v>33</v>
      </c>
      <c r="L52">
        <v>370</v>
      </c>
      <c r="M52" s="7">
        <v>2220</v>
      </c>
      <c r="O52" s="7">
        <f t="shared" si="0"/>
        <v>2220</v>
      </c>
      <c r="P52" s="7">
        <f>IF(C52="Alta Complejidad",M52,0)</f>
        <v>0</v>
      </c>
      <c r="Q52" s="8">
        <v>0</v>
      </c>
      <c r="R52" s="7">
        <f>P52+(P52*Q52)</f>
        <v>0</v>
      </c>
      <c r="S52" s="9">
        <f>IFERROR(((R52-P52)/R52),0)</f>
        <v>0</v>
      </c>
      <c r="T52" s="7">
        <f t="shared" si="1"/>
        <v>2220</v>
      </c>
      <c r="U52" s="8">
        <v>0</v>
      </c>
      <c r="V52" s="7">
        <f t="shared" si="2"/>
        <v>2220</v>
      </c>
      <c r="W52" s="8">
        <f t="shared" si="3"/>
        <v>0</v>
      </c>
      <c r="X52" s="7">
        <f>IF(C52="Baja Complejidad",M52,0)</f>
        <v>0</v>
      </c>
      <c r="Y52" s="8">
        <v>0</v>
      </c>
      <c r="Z52" s="7">
        <f>(X52)+(X52*Y52)</f>
        <v>0</v>
      </c>
      <c r="AA52" s="8">
        <f>IFERROR(((Z52-X52)/Z52),0)</f>
        <v>0</v>
      </c>
      <c r="AB52" s="8">
        <v>0.1</v>
      </c>
    </row>
    <row r="53" spans="1:28" x14ac:dyDescent="0.25">
      <c r="A53">
        <v>2026</v>
      </c>
      <c r="B53" t="s">
        <v>53</v>
      </c>
      <c r="C53" t="s">
        <v>60</v>
      </c>
      <c r="D53" t="s">
        <v>61</v>
      </c>
      <c r="E53" t="s">
        <v>88</v>
      </c>
      <c r="G53" t="s">
        <v>31</v>
      </c>
      <c r="H53" t="s">
        <v>31</v>
      </c>
      <c r="I53" t="s">
        <v>36</v>
      </c>
      <c r="J53">
        <v>2</v>
      </c>
      <c r="K53" t="s">
        <v>33</v>
      </c>
      <c r="L53">
        <v>2643</v>
      </c>
      <c r="M53" s="7">
        <v>5286</v>
      </c>
      <c r="O53" s="7">
        <f t="shared" si="0"/>
        <v>5286</v>
      </c>
      <c r="P53" s="7">
        <f>IF(C53="Alta Complejidad",M53,0)</f>
        <v>0</v>
      </c>
      <c r="Q53" s="8">
        <v>0</v>
      </c>
      <c r="R53" s="7">
        <f>P53+(P53*Q53)</f>
        <v>0</v>
      </c>
      <c r="S53" s="9">
        <f>IFERROR(((R53-P53)/R53),0)</f>
        <v>0</v>
      </c>
      <c r="T53" s="7">
        <f t="shared" si="1"/>
        <v>5286</v>
      </c>
      <c r="U53" s="8">
        <v>0</v>
      </c>
      <c r="V53" s="7">
        <f t="shared" si="2"/>
        <v>5286</v>
      </c>
      <c r="W53" s="8">
        <f t="shared" si="3"/>
        <v>0</v>
      </c>
      <c r="X53" s="7">
        <f>IF(C53="Baja Complejidad",M53,0)</f>
        <v>0</v>
      </c>
      <c r="Y53" s="8">
        <v>0</v>
      </c>
      <c r="Z53" s="7">
        <f>(X53)+(X53*Y53)</f>
        <v>0</v>
      </c>
      <c r="AA53" s="8">
        <f>IFERROR(((Z53-X53)/Z53),0)</f>
        <v>0</v>
      </c>
      <c r="AB53" s="8">
        <v>0.1</v>
      </c>
    </row>
    <row r="54" spans="1:28" x14ac:dyDescent="0.25">
      <c r="A54">
        <v>2026</v>
      </c>
      <c r="B54" t="s">
        <v>53</v>
      </c>
      <c r="C54" t="s">
        <v>60</v>
      </c>
      <c r="D54" t="s">
        <v>61</v>
      </c>
      <c r="E54" t="s">
        <v>89</v>
      </c>
      <c r="G54" t="s">
        <v>31</v>
      </c>
      <c r="H54" t="s">
        <v>31</v>
      </c>
      <c r="I54" t="s">
        <v>37</v>
      </c>
      <c r="J54">
        <v>3</v>
      </c>
      <c r="K54" t="s">
        <v>33</v>
      </c>
      <c r="L54">
        <v>135.66</v>
      </c>
      <c r="M54" s="7">
        <v>406.98</v>
      </c>
      <c r="O54" s="7">
        <f t="shared" si="0"/>
        <v>406.98</v>
      </c>
      <c r="P54" s="7">
        <f>IF(C54="Alta Complejidad",M54,0)</f>
        <v>0</v>
      </c>
      <c r="Q54" s="8">
        <v>0</v>
      </c>
      <c r="R54" s="7">
        <f>P54+(P54*Q54)</f>
        <v>0</v>
      </c>
      <c r="S54" s="9">
        <f>IFERROR(((R54-P54)/R54),0)</f>
        <v>0</v>
      </c>
      <c r="T54" s="7">
        <f t="shared" si="1"/>
        <v>406.98</v>
      </c>
      <c r="U54" s="8">
        <v>0</v>
      </c>
      <c r="V54" s="7">
        <f t="shared" si="2"/>
        <v>406.98</v>
      </c>
      <c r="W54" s="8">
        <f t="shared" si="3"/>
        <v>0</v>
      </c>
      <c r="X54" s="7">
        <f>IF(C54="Baja Complejidad",M54,0)</f>
        <v>0</v>
      </c>
      <c r="Y54" s="8">
        <v>0</v>
      </c>
      <c r="Z54" s="7">
        <f>(X54)+(X54*Y54)</f>
        <v>0</v>
      </c>
      <c r="AA54" s="8">
        <f>IFERROR(((Z54-X54)/Z54),0)</f>
        <v>0</v>
      </c>
      <c r="AB54" s="8">
        <v>0.1</v>
      </c>
    </row>
    <row r="55" spans="1:28" x14ac:dyDescent="0.25">
      <c r="A55">
        <v>2026</v>
      </c>
      <c r="B55" t="s">
        <v>53</v>
      </c>
      <c r="C55" t="s">
        <v>60</v>
      </c>
      <c r="D55" t="s">
        <v>61</v>
      </c>
      <c r="E55" t="s">
        <v>90</v>
      </c>
      <c r="G55" t="s">
        <v>31</v>
      </c>
      <c r="H55" t="s">
        <v>31</v>
      </c>
      <c r="I55" t="s">
        <v>38</v>
      </c>
      <c r="J55">
        <v>2</v>
      </c>
      <c r="K55" t="s">
        <v>33</v>
      </c>
      <c r="L55">
        <v>3808</v>
      </c>
      <c r="M55" s="7">
        <v>7616</v>
      </c>
      <c r="O55" s="7">
        <f t="shared" si="0"/>
        <v>7616</v>
      </c>
      <c r="P55" s="7">
        <f>IF(C55="Alta Complejidad",M55,0)</f>
        <v>0</v>
      </c>
      <c r="Q55" s="8">
        <v>0</v>
      </c>
      <c r="R55" s="7">
        <f>P55+(P55*Q55)</f>
        <v>0</v>
      </c>
      <c r="S55" s="9">
        <f>IFERROR(((R55-P55)/R55),0)</f>
        <v>0</v>
      </c>
      <c r="T55" s="7">
        <f t="shared" si="1"/>
        <v>7616</v>
      </c>
      <c r="U55" s="8">
        <v>0</v>
      </c>
      <c r="V55" s="7">
        <f t="shared" si="2"/>
        <v>7616</v>
      </c>
      <c r="W55" s="8">
        <f t="shared" si="3"/>
        <v>0</v>
      </c>
      <c r="X55" s="7">
        <f>IF(C55="Baja Complejidad",M55,0)</f>
        <v>0</v>
      </c>
      <c r="Y55" s="8">
        <v>0</v>
      </c>
      <c r="Z55" s="7">
        <f>(X55)+(X55*Y55)</f>
        <v>0</v>
      </c>
      <c r="AA55" s="8">
        <f>IFERROR(((Z55-X55)/Z55),0)</f>
        <v>0</v>
      </c>
      <c r="AB55" s="8">
        <v>0.1</v>
      </c>
    </row>
    <row r="56" spans="1:28" x14ac:dyDescent="0.25">
      <c r="A56">
        <v>2026</v>
      </c>
      <c r="B56" t="s">
        <v>53</v>
      </c>
      <c r="C56" t="s">
        <v>60</v>
      </c>
      <c r="D56" t="s">
        <v>61</v>
      </c>
      <c r="E56" t="s">
        <v>91</v>
      </c>
      <c r="G56" t="s">
        <v>31</v>
      </c>
      <c r="H56" t="s">
        <v>31</v>
      </c>
      <c r="I56" t="s">
        <v>39</v>
      </c>
      <c r="J56">
        <v>0.4</v>
      </c>
      <c r="K56" t="s">
        <v>33</v>
      </c>
      <c r="L56">
        <v>111.86</v>
      </c>
      <c r="M56" s="7">
        <v>44.744</v>
      </c>
      <c r="O56" s="7">
        <f t="shared" si="0"/>
        <v>44.744</v>
      </c>
      <c r="P56" s="7">
        <f>IF(C56="Alta Complejidad",M56,0)</f>
        <v>0</v>
      </c>
      <c r="Q56" s="8">
        <v>0</v>
      </c>
      <c r="R56" s="7">
        <f>P56+(P56*Q56)</f>
        <v>0</v>
      </c>
      <c r="S56" s="9">
        <f>IFERROR(((R56-P56)/R56),0)</f>
        <v>0</v>
      </c>
      <c r="T56" s="7">
        <f t="shared" si="1"/>
        <v>44.744</v>
      </c>
      <c r="U56" s="8">
        <v>0</v>
      </c>
      <c r="V56" s="7">
        <f t="shared" si="2"/>
        <v>44.744</v>
      </c>
      <c r="W56" s="8">
        <f t="shared" si="3"/>
        <v>0</v>
      </c>
      <c r="X56" s="7">
        <f>IF(C56="Baja Complejidad",M56,0)</f>
        <v>0</v>
      </c>
      <c r="Y56" s="8">
        <v>0</v>
      </c>
      <c r="Z56" s="7">
        <f>(X56)+(X56*Y56)</f>
        <v>0</v>
      </c>
      <c r="AA56" s="8">
        <f>IFERROR(((Z56-X56)/Z56),0)</f>
        <v>0</v>
      </c>
      <c r="AB56" s="8">
        <v>0.1</v>
      </c>
    </row>
    <row r="57" spans="1:28" x14ac:dyDescent="0.25">
      <c r="A57">
        <v>2026</v>
      </c>
      <c r="B57" t="s">
        <v>53</v>
      </c>
      <c r="C57" t="s">
        <v>60</v>
      </c>
      <c r="D57" t="s">
        <v>61</v>
      </c>
      <c r="E57" t="s">
        <v>92</v>
      </c>
      <c r="G57" t="s">
        <v>31</v>
      </c>
      <c r="H57" t="s">
        <v>31</v>
      </c>
      <c r="I57" t="s">
        <v>64</v>
      </c>
      <c r="J57">
        <v>4</v>
      </c>
      <c r="K57" t="s">
        <v>33</v>
      </c>
      <c r="L57">
        <v>80300</v>
      </c>
      <c r="M57" s="7">
        <v>1284.8</v>
      </c>
      <c r="O57" s="7">
        <f t="shared" si="0"/>
        <v>1284.8</v>
      </c>
      <c r="P57" s="7">
        <f>IF(C57="Alta Complejidad",M57,0)</f>
        <v>0</v>
      </c>
      <c r="Q57" s="8">
        <v>0</v>
      </c>
      <c r="R57" s="7">
        <f>P57+(P57*Q57)</f>
        <v>0</v>
      </c>
      <c r="S57" s="9">
        <f>IFERROR(((R57-P57)/R57),0)</f>
        <v>0</v>
      </c>
      <c r="T57" s="7">
        <f t="shared" si="1"/>
        <v>1284.8</v>
      </c>
      <c r="U57" s="8">
        <v>0</v>
      </c>
      <c r="V57" s="7">
        <f t="shared" si="2"/>
        <v>1284.8</v>
      </c>
      <c r="W57" s="8">
        <f t="shared" si="3"/>
        <v>0</v>
      </c>
      <c r="X57" s="7">
        <f>IF(C57="Baja Complejidad",M57,0)</f>
        <v>0</v>
      </c>
      <c r="Y57" s="8">
        <v>0</v>
      </c>
      <c r="Z57" s="7">
        <f>(X57)+(X57*Y57)</f>
        <v>0</v>
      </c>
      <c r="AA57" s="8">
        <f>IFERROR(((Z57-X57)/Z57),0)</f>
        <v>0</v>
      </c>
      <c r="AB57" s="8">
        <v>0.1</v>
      </c>
    </row>
    <row r="58" spans="1:28" x14ac:dyDescent="0.25">
      <c r="A58">
        <v>2026</v>
      </c>
      <c r="B58" t="s">
        <v>53</v>
      </c>
      <c r="C58" t="s">
        <v>60</v>
      </c>
      <c r="D58" t="s">
        <v>61</v>
      </c>
      <c r="E58" t="s">
        <v>93</v>
      </c>
      <c r="G58" t="s">
        <v>31</v>
      </c>
      <c r="H58" t="s">
        <v>31</v>
      </c>
      <c r="I58" t="s">
        <v>40</v>
      </c>
      <c r="J58">
        <v>3</v>
      </c>
      <c r="K58" t="s">
        <v>33</v>
      </c>
      <c r="L58">
        <v>17888.080000000002</v>
      </c>
      <c r="M58" s="7">
        <v>53664.240000000005</v>
      </c>
      <c r="O58" s="7">
        <f t="shared" si="0"/>
        <v>53664.240000000005</v>
      </c>
      <c r="P58" s="7">
        <f>IF(C58="Alta Complejidad",M58,0)</f>
        <v>0</v>
      </c>
      <c r="Q58" s="8">
        <v>0</v>
      </c>
      <c r="R58" s="7">
        <f>P58+(P58*Q58)</f>
        <v>0</v>
      </c>
      <c r="S58" s="9">
        <f>IFERROR(((R58-P58)/R58),0)</f>
        <v>0</v>
      </c>
      <c r="T58" s="7">
        <f t="shared" si="1"/>
        <v>53664.240000000005</v>
      </c>
      <c r="U58" s="8">
        <v>0</v>
      </c>
      <c r="V58" s="7">
        <f t="shared" si="2"/>
        <v>53664.240000000005</v>
      </c>
      <c r="W58" s="8">
        <f t="shared" si="3"/>
        <v>0</v>
      </c>
      <c r="X58" s="7">
        <f>IF(C58="Baja Complejidad",M58,0)</f>
        <v>0</v>
      </c>
      <c r="Y58" s="8">
        <v>0</v>
      </c>
      <c r="Z58" s="7">
        <f>(X58)+(X58*Y58)</f>
        <v>0</v>
      </c>
      <c r="AA58" s="8">
        <f>IFERROR(((Z58-X58)/Z58),0)</f>
        <v>0</v>
      </c>
      <c r="AB58" s="8">
        <v>0.1</v>
      </c>
    </row>
    <row r="59" spans="1:28" x14ac:dyDescent="0.25">
      <c r="A59">
        <v>2026</v>
      </c>
      <c r="B59" t="s">
        <v>53</v>
      </c>
      <c r="C59" t="s">
        <v>60</v>
      </c>
      <c r="D59" t="s">
        <v>61</v>
      </c>
      <c r="E59" t="s">
        <v>94</v>
      </c>
      <c r="G59" t="s">
        <v>31</v>
      </c>
      <c r="H59" t="s">
        <v>31</v>
      </c>
      <c r="I59" t="s">
        <v>41</v>
      </c>
      <c r="J59">
        <v>1</v>
      </c>
      <c r="K59" t="s">
        <v>33</v>
      </c>
      <c r="L59">
        <v>337.3837894736842</v>
      </c>
      <c r="M59" s="7">
        <v>337.3837894736842</v>
      </c>
      <c r="O59" s="7">
        <f t="shared" si="0"/>
        <v>337.3837894736842</v>
      </c>
      <c r="P59" s="7">
        <f>IF(C59="Alta Complejidad",M59,0)</f>
        <v>0</v>
      </c>
      <c r="Q59" s="8">
        <v>0</v>
      </c>
      <c r="R59" s="7">
        <f>P59+(P59*Q59)</f>
        <v>0</v>
      </c>
      <c r="S59" s="9">
        <f>IFERROR(((R59-P59)/R59),0)</f>
        <v>0</v>
      </c>
      <c r="T59" s="7">
        <f t="shared" si="1"/>
        <v>337.3837894736842</v>
      </c>
      <c r="U59" s="8">
        <v>0</v>
      </c>
      <c r="V59" s="7">
        <f t="shared" si="2"/>
        <v>337.3837894736842</v>
      </c>
      <c r="W59" s="8">
        <f t="shared" si="3"/>
        <v>0</v>
      </c>
      <c r="X59" s="7">
        <f>IF(C59="Baja Complejidad",M59,0)</f>
        <v>0</v>
      </c>
      <c r="Y59" s="8">
        <v>0</v>
      </c>
      <c r="Z59" s="7">
        <f>(X59)+(X59*Y59)</f>
        <v>0</v>
      </c>
      <c r="AA59" s="8">
        <f>IFERROR(((Z59-X59)/Z59),0)</f>
        <v>0</v>
      </c>
      <c r="AB59" s="8">
        <v>0.1</v>
      </c>
    </row>
    <row r="60" spans="1:28" x14ac:dyDescent="0.25">
      <c r="A60">
        <v>2026</v>
      </c>
      <c r="B60" t="s">
        <v>53</v>
      </c>
      <c r="C60" t="s">
        <v>60</v>
      </c>
      <c r="D60" t="s">
        <v>61</v>
      </c>
      <c r="E60" t="s">
        <v>95</v>
      </c>
      <c r="G60" t="s">
        <v>31</v>
      </c>
      <c r="H60" t="s">
        <v>31</v>
      </c>
      <c r="I60" t="s">
        <v>83</v>
      </c>
      <c r="J60">
        <v>2</v>
      </c>
      <c r="K60" t="s">
        <v>33</v>
      </c>
      <c r="L60">
        <v>67900</v>
      </c>
      <c r="M60" s="7">
        <v>13580</v>
      </c>
      <c r="O60" s="7">
        <f t="shared" si="0"/>
        <v>13580</v>
      </c>
      <c r="P60" s="7">
        <f>IF(C60="Alta Complejidad",M60,0)</f>
        <v>0</v>
      </c>
      <c r="Q60" s="8">
        <v>0</v>
      </c>
      <c r="R60" s="7">
        <f>P60+(P60*Q60)</f>
        <v>0</v>
      </c>
      <c r="S60" s="9">
        <f>IFERROR(((R60-P60)/R60),0)</f>
        <v>0</v>
      </c>
      <c r="T60" s="7">
        <f t="shared" si="1"/>
        <v>13580</v>
      </c>
      <c r="U60" s="8">
        <v>0</v>
      </c>
      <c r="V60" s="7">
        <f t="shared" si="2"/>
        <v>13580</v>
      </c>
      <c r="W60" s="8">
        <f t="shared" si="3"/>
        <v>0</v>
      </c>
      <c r="X60" s="7">
        <f>IF(C60="Baja Complejidad",M60,0)</f>
        <v>0</v>
      </c>
      <c r="Y60" s="8">
        <v>0</v>
      </c>
      <c r="Z60" s="7">
        <f>(X60)+(X60*Y60)</f>
        <v>0</v>
      </c>
      <c r="AA60" s="8">
        <f>IFERROR(((Z60-X60)/Z60),0)</f>
        <v>0</v>
      </c>
      <c r="AB60" s="8">
        <v>0.1</v>
      </c>
    </row>
    <row r="61" spans="1:28" x14ac:dyDescent="0.25">
      <c r="A61">
        <v>2026</v>
      </c>
      <c r="B61" t="s">
        <v>53</v>
      </c>
      <c r="C61" t="s">
        <v>60</v>
      </c>
      <c r="D61" t="s">
        <v>61</v>
      </c>
      <c r="E61" t="s">
        <v>96</v>
      </c>
      <c r="G61" t="s">
        <v>31</v>
      </c>
      <c r="H61" t="s">
        <v>31</v>
      </c>
      <c r="I61" t="s">
        <v>84</v>
      </c>
      <c r="J61">
        <v>2</v>
      </c>
      <c r="K61" t="s">
        <v>33</v>
      </c>
      <c r="L61">
        <v>50300</v>
      </c>
      <c r="M61" s="7">
        <v>10060</v>
      </c>
      <c r="O61" s="7">
        <f t="shared" si="0"/>
        <v>10060</v>
      </c>
      <c r="P61" s="7">
        <f>IF(C61="Alta Complejidad",M61,0)</f>
        <v>0</v>
      </c>
      <c r="Q61" s="8">
        <v>0</v>
      </c>
      <c r="R61" s="7">
        <f>P61+(P61*Q61)</f>
        <v>0</v>
      </c>
      <c r="S61" s="9">
        <f>IFERROR(((R61-P61)/R61),0)</f>
        <v>0</v>
      </c>
      <c r="T61" s="7">
        <f t="shared" si="1"/>
        <v>10060</v>
      </c>
      <c r="U61" s="8">
        <v>0</v>
      </c>
      <c r="V61" s="7">
        <f t="shared" si="2"/>
        <v>10060</v>
      </c>
      <c r="W61" s="8">
        <f t="shared" si="3"/>
        <v>0</v>
      </c>
      <c r="X61" s="7">
        <f>IF(C61="Baja Complejidad",M61,0)</f>
        <v>0</v>
      </c>
      <c r="Y61" s="8">
        <v>0</v>
      </c>
      <c r="Z61" s="7">
        <f>(X61)+(X61*Y61)</f>
        <v>0</v>
      </c>
      <c r="AA61" s="8">
        <f>IFERROR(((Z61-X61)/Z61),0)</f>
        <v>0</v>
      </c>
      <c r="AB61" s="8">
        <v>0.1</v>
      </c>
    </row>
    <row r="62" spans="1:28" x14ac:dyDescent="0.25">
      <c r="A62">
        <v>2026</v>
      </c>
      <c r="B62" t="s">
        <v>53</v>
      </c>
      <c r="C62" t="s">
        <v>60</v>
      </c>
      <c r="D62" t="s">
        <v>61</v>
      </c>
      <c r="E62" t="s">
        <v>97</v>
      </c>
      <c r="G62" t="s">
        <v>31</v>
      </c>
      <c r="H62" t="s">
        <v>31</v>
      </c>
      <c r="I62" t="s">
        <v>82</v>
      </c>
      <c r="J62">
        <v>2</v>
      </c>
      <c r="K62" t="s">
        <v>33</v>
      </c>
      <c r="L62">
        <v>43500</v>
      </c>
      <c r="M62" s="7">
        <v>7250</v>
      </c>
      <c r="O62" s="7">
        <f t="shared" si="0"/>
        <v>7250</v>
      </c>
      <c r="P62" s="7">
        <f>IF(C62="Alta Complejidad",M62,0)</f>
        <v>0</v>
      </c>
      <c r="Q62" s="8">
        <v>0</v>
      </c>
      <c r="R62" s="7">
        <f>P62+(P62*Q62)</f>
        <v>0</v>
      </c>
      <c r="S62" s="9">
        <f>IFERROR(((R62-P62)/R62),0)</f>
        <v>0</v>
      </c>
      <c r="T62" s="7">
        <f t="shared" si="1"/>
        <v>7250</v>
      </c>
      <c r="U62" s="8">
        <v>0</v>
      </c>
      <c r="V62" s="7">
        <f t="shared" si="2"/>
        <v>7250</v>
      </c>
      <c r="W62" s="8">
        <f t="shared" si="3"/>
        <v>0</v>
      </c>
      <c r="X62" s="7">
        <f>IF(C62="Baja Complejidad",M62,0)</f>
        <v>0</v>
      </c>
      <c r="Y62" s="8">
        <v>0</v>
      </c>
      <c r="Z62" s="7">
        <f>(X62)+(X62*Y62)</f>
        <v>0</v>
      </c>
      <c r="AA62" s="8">
        <f>IFERROR(((Z62-X62)/Z62),0)</f>
        <v>0</v>
      </c>
      <c r="AB62" s="8">
        <v>0.1</v>
      </c>
    </row>
    <row r="63" spans="1:28" x14ac:dyDescent="0.25">
      <c r="A63">
        <v>2026</v>
      </c>
      <c r="B63" t="s">
        <v>53</v>
      </c>
      <c r="C63" t="s">
        <v>60</v>
      </c>
      <c r="D63" t="s">
        <v>61</v>
      </c>
      <c r="F63">
        <v>2400</v>
      </c>
      <c r="G63" t="s">
        <v>42</v>
      </c>
      <c r="H63" t="s">
        <v>42</v>
      </c>
      <c r="I63" t="s">
        <v>62</v>
      </c>
      <c r="J63">
        <v>30</v>
      </c>
      <c r="K63" t="s">
        <v>45</v>
      </c>
      <c r="L63" s="12">
        <v>348.24</v>
      </c>
      <c r="M63" s="7">
        <f>+L63*F63</f>
        <v>835776</v>
      </c>
      <c r="O63" s="7">
        <f t="shared" si="0"/>
        <v>835776</v>
      </c>
      <c r="P63" s="7">
        <f>IF(C63="Alta Complejidad",M63,0)</f>
        <v>0</v>
      </c>
      <c r="Q63" s="8">
        <v>0</v>
      </c>
      <c r="R63" s="7">
        <f>P63+(P63*Q63)</f>
        <v>0</v>
      </c>
      <c r="S63" s="9">
        <f>IFERROR(((R63-P63)/R63),0)</f>
        <v>0</v>
      </c>
      <c r="T63" s="7">
        <f t="shared" si="1"/>
        <v>835776</v>
      </c>
      <c r="U63" s="8">
        <v>0</v>
      </c>
      <c r="V63" s="7">
        <f t="shared" si="2"/>
        <v>835776</v>
      </c>
      <c r="W63" s="8">
        <f t="shared" si="3"/>
        <v>0</v>
      </c>
      <c r="X63" s="7">
        <f>IF(C63="Baja Complejidad",M63,0)</f>
        <v>0</v>
      </c>
      <c r="Y63" s="8">
        <v>0</v>
      </c>
      <c r="Z63" s="7">
        <f>(X63)+(X63*Y63)</f>
        <v>0</v>
      </c>
      <c r="AA63" s="8">
        <f>IFERROR(((Z63-X63)/Z63),0)</f>
        <v>0</v>
      </c>
      <c r="AB63" s="8">
        <v>0.1</v>
      </c>
    </row>
    <row r="64" spans="1:28" x14ac:dyDescent="0.25">
      <c r="A64">
        <v>2026</v>
      </c>
      <c r="B64" t="s">
        <v>53</v>
      </c>
      <c r="C64" t="s">
        <v>60</v>
      </c>
      <c r="D64" t="s">
        <v>61</v>
      </c>
      <c r="F64">
        <v>2400</v>
      </c>
      <c r="G64" t="s">
        <v>42</v>
      </c>
      <c r="H64" t="s">
        <v>42</v>
      </c>
      <c r="I64" t="s">
        <v>59</v>
      </c>
      <c r="J64">
        <v>30</v>
      </c>
      <c r="K64" t="s">
        <v>45</v>
      </c>
      <c r="L64" s="12">
        <v>201.61</v>
      </c>
      <c r="M64" s="7">
        <f t="shared" ref="M64:M65" si="7">+L64*F64</f>
        <v>483864.00000000006</v>
      </c>
      <c r="O64" s="7">
        <f t="shared" si="0"/>
        <v>483864.00000000006</v>
      </c>
      <c r="P64" s="7">
        <f>IF(C64="Alta Complejidad",M64,0)</f>
        <v>0</v>
      </c>
      <c r="Q64" s="8">
        <v>0</v>
      </c>
      <c r="R64" s="7">
        <f>P64+(P64*Q64)</f>
        <v>0</v>
      </c>
      <c r="S64" s="9">
        <f>IFERROR(((R64-P64)/R64),0)</f>
        <v>0</v>
      </c>
      <c r="T64" s="7">
        <f t="shared" si="1"/>
        <v>483864.00000000006</v>
      </c>
      <c r="U64" s="8">
        <v>0</v>
      </c>
      <c r="V64" s="7">
        <f t="shared" si="2"/>
        <v>483864.00000000006</v>
      </c>
      <c r="W64" s="8">
        <f t="shared" si="3"/>
        <v>0</v>
      </c>
      <c r="X64" s="7">
        <f>IF(C64="Baja Complejidad",M64,0)</f>
        <v>0</v>
      </c>
      <c r="Y64" s="8">
        <v>0</v>
      </c>
      <c r="Z64" s="7">
        <f>(X64)+(X64*Y64)</f>
        <v>0</v>
      </c>
      <c r="AA64" s="8">
        <f>IFERROR(((Z64-X64)/Z64),0)</f>
        <v>0</v>
      </c>
      <c r="AB64" s="8">
        <v>0.1</v>
      </c>
    </row>
    <row r="65" spans="1:28" x14ac:dyDescent="0.25">
      <c r="A65">
        <v>2026</v>
      </c>
      <c r="B65" t="s">
        <v>53</v>
      </c>
      <c r="C65" t="s">
        <v>60</v>
      </c>
      <c r="D65" t="s">
        <v>61</v>
      </c>
      <c r="F65">
        <v>1600</v>
      </c>
      <c r="G65" t="s">
        <v>42</v>
      </c>
      <c r="H65" t="s">
        <v>42</v>
      </c>
      <c r="I65" t="s">
        <v>50</v>
      </c>
      <c r="J65">
        <v>30</v>
      </c>
      <c r="K65" t="s">
        <v>45</v>
      </c>
      <c r="L65" s="12">
        <v>1000</v>
      </c>
      <c r="M65" s="7">
        <f t="shared" si="7"/>
        <v>1600000</v>
      </c>
      <c r="O65" s="7">
        <f t="shared" si="0"/>
        <v>1600000</v>
      </c>
      <c r="P65" s="7">
        <f>IF(C65="Alta Complejidad",M65,0)</f>
        <v>0</v>
      </c>
      <c r="Q65" s="8">
        <v>0</v>
      </c>
      <c r="R65" s="7">
        <f>P65+(P65*Q65)</f>
        <v>0</v>
      </c>
      <c r="S65" s="9">
        <f>IFERROR(((R65-P65)/R65),0)</f>
        <v>0</v>
      </c>
      <c r="T65" s="7">
        <f t="shared" si="1"/>
        <v>1600000</v>
      </c>
      <c r="U65" s="8">
        <v>0</v>
      </c>
      <c r="V65" s="7">
        <f t="shared" si="2"/>
        <v>1600000</v>
      </c>
      <c r="W65" s="8">
        <f t="shared" si="3"/>
        <v>0</v>
      </c>
      <c r="X65" s="7">
        <f>IF(C65="Baja Complejidad",M65,0)</f>
        <v>0</v>
      </c>
      <c r="Y65" s="8">
        <v>0</v>
      </c>
      <c r="Z65" s="7">
        <f>(X65)+(X65*Y65)</f>
        <v>0</v>
      </c>
      <c r="AA65" s="8">
        <f>IFERROR(((Z65-X65)/Z65),0)</f>
        <v>0</v>
      </c>
      <c r="AB65" s="8">
        <v>0.1</v>
      </c>
    </row>
    <row r="66" spans="1:28" x14ac:dyDescent="0.25">
      <c r="A66">
        <v>2026</v>
      </c>
      <c r="B66" t="s">
        <v>54</v>
      </c>
      <c r="C66" t="s">
        <v>60</v>
      </c>
      <c r="D66" t="s">
        <v>61</v>
      </c>
      <c r="E66" t="s">
        <v>85</v>
      </c>
      <c r="G66" t="s">
        <v>31</v>
      </c>
      <c r="H66" t="s">
        <v>31</v>
      </c>
      <c r="I66" t="s">
        <v>32</v>
      </c>
      <c r="J66">
        <v>4</v>
      </c>
      <c r="K66" t="s">
        <v>33</v>
      </c>
      <c r="L66">
        <v>266</v>
      </c>
      <c r="M66" s="7">
        <v>1064</v>
      </c>
      <c r="O66" s="7">
        <f t="shared" si="0"/>
        <v>1064</v>
      </c>
      <c r="P66" s="7">
        <f>IF(C66="Alta Complejidad",M66,0)</f>
        <v>0</v>
      </c>
      <c r="Q66" s="8">
        <v>0</v>
      </c>
      <c r="R66" s="7">
        <f>P66+(P66*Q66)</f>
        <v>0</v>
      </c>
      <c r="S66" s="9">
        <f>IFERROR(((R66-P66)/R66),0)</f>
        <v>0</v>
      </c>
      <c r="T66" s="7">
        <f t="shared" si="1"/>
        <v>1064</v>
      </c>
      <c r="U66" s="8">
        <v>0</v>
      </c>
      <c r="V66" s="7">
        <f t="shared" si="2"/>
        <v>1064</v>
      </c>
      <c r="W66" s="8">
        <f t="shared" si="3"/>
        <v>0</v>
      </c>
      <c r="X66" s="7">
        <f>IF(C66="Baja Complejidad",M66,0)</f>
        <v>0</v>
      </c>
      <c r="Y66" s="8">
        <v>0</v>
      </c>
      <c r="Z66" s="7">
        <f>(X66)+(X66*Y66)</f>
        <v>0</v>
      </c>
      <c r="AA66" s="8">
        <f>IFERROR(((Z66-X66)/Z66),0)</f>
        <v>0</v>
      </c>
      <c r="AB66" s="8">
        <v>0.1</v>
      </c>
    </row>
    <row r="67" spans="1:28" x14ac:dyDescent="0.25">
      <c r="A67">
        <v>2026</v>
      </c>
      <c r="B67" t="s">
        <v>54</v>
      </c>
      <c r="C67" t="s">
        <v>60</v>
      </c>
      <c r="D67" t="s">
        <v>61</v>
      </c>
      <c r="E67" t="s">
        <v>86</v>
      </c>
      <c r="G67" t="s">
        <v>31</v>
      </c>
      <c r="H67" t="s">
        <v>31</v>
      </c>
      <c r="I67" t="s">
        <v>34</v>
      </c>
      <c r="J67">
        <v>2</v>
      </c>
      <c r="K67" t="s">
        <v>33</v>
      </c>
      <c r="L67">
        <v>1086.232</v>
      </c>
      <c r="M67" s="7">
        <v>2172.4639999999999</v>
      </c>
      <c r="O67" s="7">
        <f t="shared" ref="O67:O113" si="8">V67</f>
        <v>2172.4639999999999</v>
      </c>
      <c r="P67" s="7">
        <f>IF(C67="Alta Complejidad",M67,0)</f>
        <v>0</v>
      </c>
      <c r="Q67" s="8">
        <v>0</v>
      </c>
      <c r="R67" s="7">
        <f>P67+(P67*Q67)</f>
        <v>0</v>
      </c>
      <c r="S67" s="9">
        <f>IFERROR(((R67-P67)/R67),0)</f>
        <v>0</v>
      </c>
      <c r="T67" s="7">
        <f t="shared" ref="T67:T113" si="9">IF(C67="Mediana Complejidad",M67,0)</f>
        <v>2172.4639999999999</v>
      </c>
      <c r="U67" s="8">
        <v>0</v>
      </c>
      <c r="V67" s="7">
        <f t="shared" ref="V67:V113" si="10">T67+(T67*U67)</f>
        <v>2172.4639999999999</v>
      </c>
      <c r="W67" s="8">
        <f t="shared" ref="W67:W113" si="11">(V67-T67)/V67</f>
        <v>0</v>
      </c>
      <c r="X67" s="7">
        <f>IF(C67="Baja Complejidad",M67,0)</f>
        <v>0</v>
      </c>
      <c r="Y67" s="8">
        <v>0</v>
      </c>
      <c r="Z67" s="7">
        <f>(X67)+(X67*Y67)</f>
        <v>0</v>
      </c>
      <c r="AA67" s="8">
        <f>IFERROR(((Z67-X67)/Z67),0)</f>
        <v>0</v>
      </c>
      <c r="AB67" s="8">
        <v>0.1</v>
      </c>
    </row>
    <row r="68" spans="1:28" x14ac:dyDescent="0.25">
      <c r="A68">
        <v>2026</v>
      </c>
      <c r="B68" t="s">
        <v>54</v>
      </c>
      <c r="C68" t="s">
        <v>60</v>
      </c>
      <c r="D68" t="s">
        <v>61</v>
      </c>
      <c r="E68" t="s">
        <v>87</v>
      </c>
      <c r="G68" t="s">
        <v>31</v>
      </c>
      <c r="H68" t="s">
        <v>31</v>
      </c>
      <c r="I68" t="s">
        <v>35</v>
      </c>
      <c r="J68">
        <v>6</v>
      </c>
      <c r="K68" t="s">
        <v>33</v>
      </c>
      <c r="L68">
        <v>370</v>
      </c>
      <c r="M68" s="7">
        <v>2220</v>
      </c>
      <c r="O68" s="7">
        <f t="shared" si="8"/>
        <v>2220</v>
      </c>
      <c r="P68" s="7">
        <f>IF(C68="Alta Complejidad",M68,0)</f>
        <v>0</v>
      </c>
      <c r="Q68" s="8">
        <v>0</v>
      </c>
      <c r="R68" s="7">
        <f>P68+(P68*Q68)</f>
        <v>0</v>
      </c>
      <c r="S68" s="9">
        <f>IFERROR(((R68-P68)/R68),0)</f>
        <v>0</v>
      </c>
      <c r="T68" s="7">
        <f t="shared" si="9"/>
        <v>2220</v>
      </c>
      <c r="U68" s="8">
        <v>0</v>
      </c>
      <c r="V68" s="7">
        <f t="shared" si="10"/>
        <v>2220</v>
      </c>
      <c r="W68" s="8">
        <f t="shared" si="11"/>
        <v>0</v>
      </c>
      <c r="X68" s="7">
        <f>IF(C68="Baja Complejidad",M68,0)</f>
        <v>0</v>
      </c>
      <c r="Y68" s="8">
        <v>0</v>
      </c>
      <c r="Z68" s="7">
        <f>(X68)+(X68*Y68)</f>
        <v>0</v>
      </c>
      <c r="AA68" s="8">
        <f>IFERROR(((Z68-X68)/Z68),0)</f>
        <v>0</v>
      </c>
      <c r="AB68" s="8">
        <v>0.1</v>
      </c>
    </row>
    <row r="69" spans="1:28" x14ac:dyDescent="0.25">
      <c r="A69">
        <v>2026</v>
      </c>
      <c r="B69" t="s">
        <v>54</v>
      </c>
      <c r="C69" t="s">
        <v>60</v>
      </c>
      <c r="D69" t="s">
        <v>61</v>
      </c>
      <c r="E69" t="s">
        <v>88</v>
      </c>
      <c r="G69" t="s">
        <v>31</v>
      </c>
      <c r="H69" t="s">
        <v>31</v>
      </c>
      <c r="I69" t="s">
        <v>36</v>
      </c>
      <c r="J69">
        <v>2</v>
      </c>
      <c r="K69" t="s">
        <v>33</v>
      </c>
      <c r="L69">
        <v>2643</v>
      </c>
      <c r="M69" s="7">
        <v>5286</v>
      </c>
      <c r="O69" s="7">
        <f t="shared" si="8"/>
        <v>5286</v>
      </c>
      <c r="P69" s="7">
        <f>IF(C69="Alta Complejidad",M69,0)</f>
        <v>0</v>
      </c>
      <c r="Q69" s="8">
        <v>0</v>
      </c>
      <c r="R69" s="7">
        <f>P69+(P69*Q69)</f>
        <v>0</v>
      </c>
      <c r="S69" s="9">
        <f>IFERROR(((R69-P69)/R69),0)</f>
        <v>0</v>
      </c>
      <c r="T69" s="7">
        <f t="shared" si="9"/>
        <v>5286</v>
      </c>
      <c r="U69" s="8">
        <v>0</v>
      </c>
      <c r="V69" s="7">
        <f t="shared" si="10"/>
        <v>5286</v>
      </c>
      <c r="W69" s="8">
        <f t="shared" si="11"/>
        <v>0</v>
      </c>
      <c r="X69" s="7">
        <f>IF(C69="Baja Complejidad",M69,0)</f>
        <v>0</v>
      </c>
      <c r="Y69" s="8">
        <v>0</v>
      </c>
      <c r="Z69" s="7">
        <f>(X69)+(X69*Y69)</f>
        <v>0</v>
      </c>
      <c r="AA69" s="8">
        <f>IFERROR(((Z69-X69)/Z69),0)</f>
        <v>0</v>
      </c>
      <c r="AB69" s="8">
        <v>0.1</v>
      </c>
    </row>
    <row r="70" spans="1:28" x14ac:dyDescent="0.25">
      <c r="A70">
        <v>2026</v>
      </c>
      <c r="B70" t="s">
        <v>54</v>
      </c>
      <c r="C70" t="s">
        <v>60</v>
      </c>
      <c r="D70" t="s">
        <v>61</v>
      </c>
      <c r="E70" t="s">
        <v>89</v>
      </c>
      <c r="G70" t="s">
        <v>31</v>
      </c>
      <c r="H70" t="s">
        <v>31</v>
      </c>
      <c r="I70" t="s">
        <v>37</v>
      </c>
      <c r="J70">
        <v>3</v>
      </c>
      <c r="K70" t="s">
        <v>33</v>
      </c>
      <c r="L70">
        <v>135.66</v>
      </c>
      <c r="M70" s="7">
        <v>406.98</v>
      </c>
      <c r="O70" s="7">
        <f t="shared" si="8"/>
        <v>406.98</v>
      </c>
      <c r="P70" s="7">
        <f>IF(C70="Alta Complejidad",M70,0)</f>
        <v>0</v>
      </c>
      <c r="Q70" s="8">
        <v>0</v>
      </c>
      <c r="R70" s="7">
        <f>P70+(P70*Q70)</f>
        <v>0</v>
      </c>
      <c r="S70" s="9">
        <f>IFERROR(((R70-P70)/R70),0)</f>
        <v>0</v>
      </c>
      <c r="T70" s="7">
        <f t="shared" si="9"/>
        <v>406.98</v>
      </c>
      <c r="U70" s="8">
        <v>0</v>
      </c>
      <c r="V70" s="7">
        <f t="shared" si="10"/>
        <v>406.98</v>
      </c>
      <c r="W70" s="8">
        <f t="shared" si="11"/>
        <v>0</v>
      </c>
      <c r="X70" s="7">
        <f>IF(C70="Baja Complejidad",M70,0)</f>
        <v>0</v>
      </c>
      <c r="Y70" s="8">
        <v>0</v>
      </c>
      <c r="Z70" s="7">
        <f>(X70)+(X70*Y70)</f>
        <v>0</v>
      </c>
      <c r="AA70" s="8">
        <f>IFERROR(((Z70-X70)/Z70),0)</f>
        <v>0</v>
      </c>
      <c r="AB70" s="8">
        <v>0.1</v>
      </c>
    </row>
    <row r="71" spans="1:28" x14ac:dyDescent="0.25">
      <c r="A71">
        <v>2026</v>
      </c>
      <c r="B71" t="s">
        <v>54</v>
      </c>
      <c r="C71" t="s">
        <v>60</v>
      </c>
      <c r="D71" t="s">
        <v>61</v>
      </c>
      <c r="E71" t="s">
        <v>90</v>
      </c>
      <c r="G71" t="s">
        <v>31</v>
      </c>
      <c r="H71" t="s">
        <v>31</v>
      </c>
      <c r="I71" t="s">
        <v>38</v>
      </c>
      <c r="J71">
        <v>2</v>
      </c>
      <c r="K71" t="s">
        <v>33</v>
      </c>
      <c r="L71">
        <v>3808</v>
      </c>
      <c r="M71" s="7">
        <v>7616</v>
      </c>
      <c r="O71" s="7">
        <f t="shared" si="8"/>
        <v>7616</v>
      </c>
      <c r="P71" s="7">
        <f>IF(C71="Alta Complejidad",M71,0)</f>
        <v>0</v>
      </c>
      <c r="Q71" s="8">
        <v>0</v>
      </c>
      <c r="R71" s="7">
        <f>P71+(P71*Q71)</f>
        <v>0</v>
      </c>
      <c r="S71" s="9">
        <f>IFERROR(((R71-P71)/R71),0)</f>
        <v>0</v>
      </c>
      <c r="T71" s="7">
        <f t="shared" si="9"/>
        <v>7616</v>
      </c>
      <c r="U71" s="8">
        <v>0</v>
      </c>
      <c r="V71" s="7">
        <f t="shared" si="10"/>
        <v>7616</v>
      </c>
      <c r="W71" s="8">
        <f t="shared" si="11"/>
        <v>0</v>
      </c>
      <c r="X71" s="7">
        <f>IF(C71="Baja Complejidad",M71,0)</f>
        <v>0</v>
      </c>
      <c r="Y71" s="8">
        <v>0</v>
      </c>
      <c r="Z71" s="7">
        <f>(X71)+(X71*Y71)</f>
        <v>0</v>
      </c>
      <c r="AA71" s="8">
        <f>IFERROR(((Z71-X71)/Z71),0)</f>
        <v>0</v>
      </c>
      <c r="AB71" s="8">
        <v>0.1</v>
      </c>
    </row>
    <row r="72" spans="1:28" x14ac:dyDescent="0.25">
      <c r="A72">
        <v>2026</v>
      </c>
      <c r="B72" t="s">
        <v>54</v>
      </c>
      <c r="C72" t="s">
        <v>60</v>
      </c>
      <c r="D72" t="s">
        <v>61</v>
      </c>
      <c r="E72" t="s">
        <v>91</v>
      </c>
      <c r="G72" t="s">
        <v>31</v>
      </c>
      <c r="H72" t="s">
        <v>31</v>
      </c>
      <c r="I72" t="s">
        <v>39</v>
      </c>
      <c r="J72">
        <v>0.4</v>
      </c>
      <c r="K72" t="s">
        <v>33</v>
      </c>
      <c r="L72">
        <v>111.86</v>
      </c>
      <c r="M72" s="7">
        <v>44.744</v>
      </c>
      <c r="O72" s="7">
        <f t="shared" si="8"/>
        <v>44.744</v>
      </c>
      <c r="P72" s="7">
        <f>IF(C72="Alta Complejidad",M72,0)</f>
        <v>0</v>
      </c>
      <c r="Q72" s="8">
        <v>0</v>
      </c>
      <c r="R72" s="7">
        <f>P72+(P72*Q72)</f>
        <v>0</v>
      </c>
      <c r="S72" s="9">
        <f>IFERROR(((R72-P72)/R72),0)</f>
        <v>0</v>
      </c>
      <c r="T72" s="7">
        <f t="shared" si="9"/>
        <v>44.744</v>
      </c>
      <c r="U72" s="8">
        <v>0</v>
      </c>
      <c r="V72" s="7">
        <f t="shared" si="10"/>
        <v>44.744</v>
      </c>
      <c r="W72" s="8">
        <f t="shared" si="11"/>
        <v>0</v>
      </c>
      <c r="X72" s="7">
        <f>IF(C72="Baja Complejidad",M72,0)</f>
        <v>0</v>
      </c>
      <c r="Y72" s="8">
        <v>0</v>
      </c>
      <c r="Z72" s="7">
        <f>(X72)+(X72*Y72)</f>
        <v>0</v>
      </c>
      <c r="AA72" s="8">
        <f>IFERROR(((Z72-X72)/Z72),0)</f>
        <v>0</v>
      </c>
      <c r="AB72" s="8">
        <v>0.1</v>
      </c>
    </row>
    <row r="73" spans="1:28" x14ac:dyDescent="0.25">
      <c r="A73">
        <v>2026</v>
      </c>
      <c r="B73" t="s">
        <v>54</v>
      </c>
      <c r="C73" t="s">
        <v>60</v>
      </c>
      <c r="D73" t="s">
        <v>61</v>
      </c>
      <c r="E73" t="s">
        <v>92</v>
      </c>
      <c r="G73" t="s">
        <v>31</v>
      </c>
      <c r="H73" t="s">
        <v>31</v>
      </c>
      <c r="I73" t="s">
        <v>64</v>
      </c>
      <c r="J73">
        <v>4</v>
      </c>
      <c r="K73" t="s">
        <v>33</v>
      </c>
      <c r="L73">
        <v>80300</v>
      </c>
      <c r="M73" s="7">
        <v>1284.8</v>
      </c>
      <c r="O73" s="7">
        <f t="shared" si="8"/>
        <v>1284.8</v>
      </c>
      <c r="P73" s="7">
        <f>IF(C73="Alta Complejidad",M73,0)</f>
        <v>0</v>
      </c>
      <c r="Q73" s="8">
        <v>0</v>
      </c>
      <c r="R73" s="7">
        <f>P73+(P73*Q73)</f>
        <v>0</v>
      </c>
      <c r="S73" s="9">
        <f>IFERROR(((R73-P73)/R73),0)</f>
        <v>0</v>
      </c>
      <c r="T73" s="7">
        <f t="shared" si="9"/>
        <v>1284.8</v>
      </c>
      <c r="U73" s="8">
        <v>0</v>
      </c>
      <c r="V73" s="7">
        <f t="shared" si="10"/>
        <v>1284.8</v>
      </c>
      <c r="W73" s="8">
        <f t="shared" si="11"/>
        <v>0</v>
      </c>
      <c r="X73" s="7">
        <f>IF(C73="Baja Complejidad",M73,0)</f>
        <v>0</v>
      </c>
      <c r="Y73" s="8">
        <v>0</v>
      </c>
      <c r="Z73" s="7">
        <f>(X73)+(X73*Y73)</f>
        <v>0</v>
      </c>
      <c r="AA73" s="8">
        <f>IFERROR(((Z73-X73)/Z73),0)</f>
        <v>0</v>
      </c>
      <c r="AB73" s="8">
        <v>0.1</v>
      </c>
    </row>
    <row r="74" spans="1:28" x14ac:dyDescent="0.25">
      <c r="A74">
        <v>2026</v>
      </c>
      <c r="B74" t="s">
        <v>54</v>
      </c>
      <c r="C74" t="s">
        <v>60</v>
      </c>
      <c r="D74" t="s">
        <v>61</v>
      </c>
      <c r="E74" t="s">
        <v>93</v>
      </c>
      <c r="G74" t="s">
        <v>31</v>
      </c>
      <c r="H74" t="s">
        <v>31</v>
      </c>
      <c r="I74" t="s">
        <v>40</v>
      </c>
      <c r="J74">
        <v>3</v>
      </c>
      <c r="K74" t="s">
        <v>33</v>
      </c>
      <c r="L74">
        <v>17888.080000000002</v>
      </c>
      <c r="M74" s="7">
        <v>53664.240000000005</v>
      </c>
      <c r="O74" s="7">
        <f t="shared" si="8"/>
        <v>53664.240000000005</v>
      </c>
      <c r="P74" s="7">
        <f>IF(C74="Alta Complejidad",M74,0)</f>
        <v>0</v>
      </c>
      <c r="Q74" s="8">
        <v>0</v>
      </c>
      <c r="R74" s="7">
        <f>P74+(P74*Q74)</f>
        <v>0</v>
      </c>
      <c r="S74" s="9">
        <f>IFERROR(((R74-P74)/R74),0)</f>
        <v>0</v>
      </c>
      <c r="T74" s="7">
        <f t="shared" si="9"/>
        <v>53664.240000000005</v>
      </c>
      <c r="U74" s="8">
        <v>0</v>
      </c>
      <c r="V74" s="7">
        <f t="shared" si="10"/>
        <v>53664.240000000005</v>
      </c>
      <c r="W74" s="8">
        <f t="shared" si="11"/>
        <v>0</v>
      </c>
      <c r="X74" s="7">
        <f>IF(C74="Baja Complejidad",M74,0)</f>
        <v>0</v>
      </c>
      <c r="Y74" s="8">
        <v>0</v>
      </c>
      <c r="Z74" s="7">
        <f>(X74)+(X74*Y74)</f>
        <v>0</v>
      </c>
      <c r="AA74" s="8">
        <f>IFERROR(((Z74-X74)/Z74),0)</f>
        <v>0</v>
      </c>
      <c r="AB74" s="8">
        <v>0.1</v>
      </c>
    </row>
    <row r="75" spans="1:28" x14ac:dyDescent="0.25">
      <c r="A75">
        <v>2026</v>
      </c>
      <c r="B75" t="s">
        <v>54</v>
      </c>
      <c r="C75" t="s">
        <v>60</v>
      </c>
      <c r="D75" t="s">
        <v>61</v>
      </c>
      <c r="E75" t="s">
        <v>94</v>
      </c>
      <c r="G75" t="s">
        <v>31</v>
      </c>
      <c r="H75" t="s">
        <v>31</v>
      </c>
      <c r="I75" t="s">
        <v>41</v>
      </c>
      <c r="J75">
        <v>1</v>
      </c>
      <c r="K75" t="s">
        <v>33</v>
      </c>
      <c r="L75">
        <v>337.3837894736842</v>
      </c>
      <c r="M75" s="7">
        <v>337.3837894736842</v>
      </c>
      <c r="O75" s="7">
        <f t="shared" si="8"/>
        <v>337.3837894736842</v>
      </c>
      <c r="P75" s="7">
        <f>IF(C75="Alta Complejidad",M75,0)</f>
        <v>0</v>
      </c>
      <c r="Q75" s="8">
        <v>0</v>
      </c>
      <c r="R75" s="7">
        <f>P75+(P75*Q75)</f>
        <v>0</v>
      </c>
      <c r="S75" s="9">
        <f>IFERROR(((R75-P75)/R75),0)</f>
        <v>0</v>
      </c>
      <c r="T75" s="7">
        <f t="shared" si="9"/>
        <v>337.3837894736842</v>
      </c>
      <c r="U75" s="8">
        <v>0</v>
      </c>
      <c r="V75" s="7">
        <f t="shared" si="10"/>
        <v>337.3837894736842</v>
      </c>
      <c r="W75" s="8">
        <f t="shared" si="11"/>
        <v>0</v>
      </c>
      <c r="X75" s="7">
        <f>IF(C75="Baja Complejidad",M75,0)</f>
        <v>0</v>
      </c>
      <c r="Y75" s="8">
        <v>0</v>
      </c>
      <c r="Z75" s="7">
        <f>(X75)+(X75*Y75)</f>
        <v>0</v>
      </c>
      <c r="AA75" s="8">
        <f>IFERROR(((Z75-X75)/Z75),0)</f>
        <v>0</v>
      </c>
      <c r="AB75" s="8">
        <v>0.1</v>
      </c>
    </row>
    <row r="76" spans="1:28" x14ac:dyDescent="0.25">
      <c r="A76">
        <v>2026</v>
      </c>
      <c r="B76" t="s">
        <v>54</v>
      </c>
      <c r="C76" t="s">
        <v>60</v>
      </c>
      <c r="D76" t="s">
        <v>61</v>
      </c>
      <c r="E76" t="s">
        <v>95</v>
      </c>
      <c r="G76" t="s">
        <v>31</v>
      </c>
      <c r="H76" t="s">
        <v>31</v>
      </c>
      <c r="I76" t="s">
        <v>83</v>
      </c>
      <c r="J76">
        <v>2</v>
      </c>
      <c r="K76" t="s">
        <v>33</v>
      </c>
      <c r="L76">
        <v>67900</v>
      </c>
      <c r="M76" s="7">
        <v>13580</v>
      </c>
      <c r="O76" s="7">
        <f t="shared" si="8"/>
        <v>13580</v>
      </c>
      <c r="P76" s="7">
        <f>IF(C76="Alta Complejidad",M76,0)</f>
        <v>0</v>
      </c>
      <c r="Q76" s="8">
        <v>0</v>
      </c>
      <c r="R76" s="7">
        <f>P76+(P76*Q76)</f>
        <v>0</v>
      </c>
      <c r="S76" s="9">
        <f>IFERROR(((R76-P76)/R76),0)</f>
        <v>0</v>
      </c>
      <c r="T76" s="7">
        <f t="shared" si="9"/>
        <v>13580</v>
      </c>
      <c r="U76" s="8">
        <v>0</v>
      </c>
      <c r="V76" s="7">
        <f t="shared" si="10"/>
        <v>13580</v>
      </c>
      <c r="W76" s="8">
        <f t="shared" si="11"/>
        <v>0</v>
      </c>
      <c r="X76" s="7">
        <f>IF(C76="Baja Complejidad",M76,0)</f>
        <v>0</v>
      </c>
      <c r="Y76" s="8">
        <v>0</v>
      </c>
      <c r="Z76" s="7">
        <f>(X76)+(X76*Y76)</f>
        <v>0</v>
      </c>
      <c r="AA76" s="8">
        <f>IFERROR(((Z76-X76)/Z76),0)</f>
        <v>0</v>
      </c>
      <c r="AB76" s="8">
        <v>0.1</v>
      </c>
    </row>
    <row r="77" spans="1:28" x14ac:dyDescent="0.25">
      <c r="A77">
        <v>2026</v>
      </c>
      <c r="B77" t="s">
        <v>54</v>
      </c>
      <c r="C77" t="s">
        <v>60</v>
      </c>
      <c r="D77" t="s">
        <v>61</v>
      </c>
      <c r="E77" t="s">
        <v>96</v>
      </c>
      <c r="G77" t="s">
        <v>31</v>
      </c>
      <c r="H77" t="s">
        <v>31</v>
      </c>
      <c r="I77" t="s">
        <v>84</v>
      </c>
      <c r="J77">
        <v>2</v>
      </c>
      <c r="K77" t="s">
        <v>33</v>
      </c>
      <c r="L77">
        <v>50300</v>
      </c>
      <c r="M77" s="7">
        <v>10060</v>
      </c>
      <c r="O77" s="7">
        <f t="shared" si="8"/>
        <v>10060</v>
      </c>
      <c r="P77" s="7">
        <f>IF(C77="Alta Complejidad",M77,0)</f>
        <v>0</v>
      </c>
      <c r="Q77" s="8">
        <v>0</v>
      </c>
      <c r="R77" s="7">
        <f>P77+(P77*Q77)</f>
        <v>0</v>
      </c>
      <c r="S77" s="9">
        <f>IFERROR(((R77-P77)/R77),0)</f>
        <v>0</v>
      </c>
      <c r="T77" s="7">
        <f t="shared" si="9"/>
        <v>10060</v>
      </c>
      <c r="U77" s="8">
        <v>0</v>
      </c>
      <c r="V77" s="7">
        <f t="shared" si="10"/>
        <v>10060</v>
      </c>
      <c r="W77" s="8">
        <f t="shared" si="11"/>
        <v>0</v>
      </c>
      <c r="X77" s="7">
        <f>IF(C77="Baja Complejidad",M77,0)</f>
        <v>0</v>
      </c>
      <c r="Y77" s="8">
        <v>0</v>
      </c>
      <c r="Z77" s="7">
        <f>(X77)+(X77*Y77)</f>
        <v>0</v>
      </c>
      <c r="AA77" s="8">
        <f>IFERROR(((Z77-X77)/Z77),0)</f>
        <v>0</v>
      </c>
      <c r="AB77" s="8">
        <v>0.1</v>
      </c>
    </row>
    <row r="78" spans="1:28" x14ac:dyDescent="0.25">
      <c r="A78">
        <v>2026</v>
      </c>
      <c r="B78" t="s">
        <v>54</v>
      </c>
      <c r="C78" t="s">
        <v>60</v>
      </c>
      <c r="D78" t="s">
        <v>61</v>
      </c>
      <c r="E78" t="s">
        <v>97</v>
      </c>
      <c r="G78" t="s">
        <v>31</v>
      </c>
      <c r="H78" t="s">
        <v>31</v>
      </c>
      <c r="I78" t="s">
        <v>82</v>
      </c>
      <c r="J78">
        <v>2</v>
      </c>
      <c r="K78" t="s">
        <v>33</v>
      </c>
      <c r="L78">
        <v>43500</v>
      </c>
      <c r="M78" s="7">
        <v>7250</v>
      </c>
      <c r="O78" s="7">
        <f t="shared" si="8"/>
        <v>7250</v>
      </c>
      <c r="P78" s="7">
        <f>IF(C78="Alta Complejidad",M78,0)</f>
        <v>0</v>
      </c>
      <c r="Q78" s="8">
        <v>0</v>
      </c>
      <c r="R78" s="7">
        <f>P78+(P78*Q78)</f>
        <v>0</v>
      </c>
      <c r="S78" s="9">
        <f>IFERROR(((R78-P78)/R78),0)</f>
        <v>0</v>
      </c>
      <c r="T78" s="7">
        <f t="shared" si="9"/>
        <v>7250</v>
      </c>
      <c r="U78" s="8">
        <v>0</v>
      </c>
      <c r="V78" s="7">
        <f t="shared" si="10"/>
        <v>7250</v>
      </c>
      <c r="W78" s="8">
        <f t="shared" si="11"/>
        <v>0</v>
      </c>
      <c r="X78" s="7">
        <f>IF(C78="Baja Complejidad",M78,0)</f>
        <v>0</v>
      </c>
      <c r="Y78" s="8">
        <v>0</v>
      </c>
      <c r="Z78" s="7">
        <f>(X78)+(X78*Y78)</f>
        <v>0</v>
      </c>
      <c r="AA78" s="8">
        <f>IFERROR(((Z78-X78)/Z78),0)</f>
        <v>0</v>
      </c>
      <c r="AB78" s="8">
        <v>0.1</v>
      </c>
    </row>
    <row r="79" spans="1:28" x14ac:dyDescent="0.25">
      <c r="A79">
        <v>2026</v>
      </c>
      <c r="B79" t="s">
        <v>54</v>
      </c>
      <c r="C79" t="s">
        <v>60</v>
      </c>
      <c r="D79" t="s">
        <v>61</v>
      </c>
      <c r="F79">
        <v>2400</v>
      </c>
      <c r="G79" t="s">
        <v>42</v>
      </c>
      <c r="H79" t="s">
        <v>42</v>
      </c>
      <c r="I79" t="s">
        <v>62</v>
      </c>
      <c r="J79">
        <v>30</v>
      </c>
      <c r="K79" t="s">
        <v>45</v>
      </c>
      <c r="L79" s="12">
        <v>348.24</v>
      </c>
      <c r="M79" s="7">
        <f>+L79*F79</f>
        <v>835776</v>
      </c>
      <c r="O79" s="7">
        <f t="shared" si="8"/>
        <v>835776</v>
      </c>
      <c r="P79" s="7">
        <f>IF(C79="Alta Complejidad",M79,0)</f>
        <v>0</v>
      </c>
      <c r="Q79" s="8">
        <v>0</v>
      </c>
      <c r="R79" s="7">
        <f>P79+(P79*Q79)</f>
        <v>0</v>
      </c>
      <c r="S79" s="9">
        <f>IFERROR(((R79-P79)/R79),0)</f>
        <v>0</v>
      </c>
      <c r="T79" s="7">
        <f t="shared" si="9"/>
        <v>835776</v>
      </c>
      <c r="U79" s="8">
        <v>0</v>
      </c>
      <c r="V79" s="7">
        <f t="shared" si="10"/>
        <v>835776</v>
      </c>
      <c r="W79" s="8">
        <f t="shared" si="11"/>
        <v>0</v>
      </c>
      <c r="X79" s="7">
        <f>IF(C79="Baja Complejidad",M79,0)</f>
        <v>0</v>
      </c>
      <c r="Y79" s="8">
        <v>0</v>
      </c>
      <c r="Z79" s="7">
        <f>(X79)+(X79*Y79)</f>
        <v>0</v>
      </c>
      <c r="AA79" s="8">
        <f>IFERROR(((Z79-X79)/Z79),0)</f>
        <v>0</v>
      </c>
      <c r="AB79" s="8">
        <v>0.1</v>
      </c>
    </row>
    <row r="80" spans="1:28" x14ac:dyDescent="0.25">
      <c r="A80">
        <v>2026</v>
      </c>
      <c r="B80" t="s">
        <v>54</v>
      </c>
      <c r="C80" t="s">
        <v>60</v>
      </c>
      <c r="D80" t="s">
        <v>61</v>
      </c>
      <c r="F80">
        <v>2400</v>
      </c>
      <c r="G80" t="s">
        <v>42</v>
      </c>
      <c r="H80" t="s">
        <v>42</v>
      </c>
      <c r="I80" t="s">
        <v>59</v>
      </c>
      <c r="J80">
        <v>30</v>
      </c>
      <c r="K80" t="s">
        <v>45</v>
      </c>
      <c r="L80" s="12">
        <v>201.61</v>
      </c>
      <c r="M80" s="7">
        <f t="shared" ref="M80:M81" si="12">+L80*F80</f>
        <v>483864.00000000006</v>
      </c>
      <c r="O80" s="7">
        <f t="shared" si="8"/>
        <v>483864.00000000006</v>
      </c>
      <c r="P80" s="7">
        <f>IF(C80="Alta Complejidad",M80,0)</f>
        <v>0</v>
      </c>
      <c r="Q80" s="8">
        <v>0</v>
      </c>
      <c r="R80" s="7">
        <f>P80+(P80*Q80)</f>
        <v>0</v>
      </c>
      <c r="S80" s="9">
        <f>IFERROR(((R80-P80)/R80),0)</f>
        <v>0</v>
      </c>
      <c r="T80" s="7">
        <f t="shared" si="9"/>
        <v>483864.00000000006</v>
      </c>
      <c r="U80" s="8">
        <v>0</v>
      </c>
      <c r="V80" s="7">
        <f t="shared" si="10"/>
        <v>483864.00000000006</v>
      </c>
      <c r="W80" s="8">
        <f t="shared" si="11"/>
        <v>0</v>
      </c>
      <c r="X80" s="7">
        <f>IF(C80="Baja Complejidad",M80,0)</f>
        <v>0</v>
      </c>
      <c r="Y80" s="8">
        <v>0</v>
      </c>
      <c r="Z80" s="7">
        <f>(X80)+(X80*Y80)</f>
        <v>0</v>
      </c>
      <c r="AA80" s="8">
        <f>IFERROR(((Z80-X80)/Z80),0)</f>
        <v>0</v>
      </c>
      <c r="AB80" s="8">
        <v>0.1</v>
      </c>
    </row>
    <row r="81" spans="1:28" x14ac:dyDescent="0.25">
      <c r="A81">
        <v>2026</v>
      </c>
      <c r="B81" t="s">
        <v>54</v>
      </c>
      <c r="C81" t="s">
        <v>60</v>
      </c>
      <c r="D81" t="s">
        <v>61</v>
      </c>
      <c r="F81">
        <v>1600</v>
      </c>
      <c r="G81" t="s">
        <v>42</v>
      </c>
      <c r="H81" t="s">
        <v>42</v>
      </c>
      <c r="I81" t="s">
        <v>50</v>
      </c>
      <c r="J81">
        <v>30</v>
      </c>
      <c r="K81" t="s">
        <v>45</v>
      </c>
      <c r="L81" s="12">
        <v>1000</v>
      </c>
      <c r="M81" s="7">
        <f t="shared" si="12"/>
        <v>1600000</v>
      </c>
      <c r="O81" s="7">
        <f t="shared" si="8"/>
        <v>1600000</v>
      </c>
      <c r="P81" s="7">
        <f>IF(C81="Alta Complejidad",M81,0)</f>
        <v>0</v>
      </c>
      <c r="Q81" s="8">
        <v>0</v>
      </c>
      <c r="R81" s="7">
        <f>P81+(P81*Q81)</f>
        <v>0</v>
      </c>
      <c r="S81" s="9">
        <f>IFERROR(((R81-P81)/R81),0)</f>
        <v>0</v>
      </c>
      <c r="T81" s="7">
        <f t="shared" si="9"/>
        <v>1600000</v>
      </c>
      <c r="U81" s="8">
        <v>0</v>
      </c>
      <c r="V81" s="7">
        <f t="shared" si="10"/>
        <v>1600000</v>
      </c>
      <c r="W81" s="8">
        <f t="shared" si="11"/>
        <v>0</v>
      </c>
      <c r="X81" s="7">
        <f>IF(C81="Baja Complejidad",M81,0)</f>
        <v>0</v>
      </c>
      <c r="Y81" s="8">
        <v>0</v>
      </c>
      <c r="Z81" s="7">
        <f>(X81)+(X81*Y81)</f>
        <v>0</v>
      </c>
      <c r="AA81" s="8">
        <f>IFERROR(((Z81-X81)/Z81),0)</f>
        <v>0</v>
      </c>
      <c r="AB81" s="8">
        <v>0.1</v>
      </c>
    </row>
    <row r="82" spans="1:28" x14ac:dyDescent="0.25">
      <c r="A82">
        <v>2026</v>
      </c>
      <c r="B82" t="s">
        <v>55</v>
      </c>
      <c r="C82" t="s">
        <v>60</v>
      </c>
      <c r="D82" t="s">
        <v>61</v>
      </c>
      <c r="E82" t="s">
        <v>85</v>
      </c>
      <c r="G82" t="s">
        <v>31</v>
      </c>
      <c r="H82" t="s">
        <v>31</v>
      </c>
      <c r="I82" t="s">
        <v>32</v>
      </c>
      <c r="J82">
        <v>4</v>
      </c>
      <c r="K82" t="s">
        <v>33</v>
      </c>
      <c r="L82">
        <v>266</v>
      </c>
      <c r="M82" s="7">
        <v>1064</v>
      </c>
      <c r="O82" s="7">
        <f t="shared" si="8"/>
        <v>1064</v>
      </c>
      <c r="P82" s="7">
        <f>IF(C82="Alta Complejidad",M82,0)</f>
        <v>0</v>
      </c>
      <c r="Q82" s="8">
        <v>0</v>
      </c>
      <c r="R82" s="7">
        <f>P82+(P82*Q82)</f>
        <v>0</v>
      </c>
      <c r="S82" s="9">
        <f>IFERROR(((R82-P82)/R82),0)</f>
        <v>0</v>
      </c>
      <c r="T82" s="7">
        <f t="shared" si="9"/>
        <v>1064</v>
      </c>
      <c r="U82" s="8">
        <v>0</v>
      </c>
      <c r="V82" s="7">
        <f t="shared" si="10"/>
        <v>1064</v>
      </c>
      <c r="W82" s="8">
        <f t="shared" si="11"/>
        <v>0</v>
      </c>
      <c r="X82" s="7">
        <f>IF(C82="Baja Complejidad",M82,0)</f>
        <v>0</v>
      </c>
      <c r="Y82" s="8">
        <v>0</v>
      </c>
      <c r="Z82" s="7">
        <f>(X82)+(X82*Y82)</f>
        <v>0</v>
      </c>
      <c r="AA82" s="8">
        <f>IFERROR(((Z82-X82)/Z82),0)</f>
        <v>0</v>
      </c>
      <c r="AB82" s="8">
        <v>0.1</v>
      </c>
    </row>
    <row r="83" spans="1:28" x14ac:dyDescent="0.25">
      <c r="A83">
        <v>2026</v>
      </c>
      <c r="B83" t="s">
        <v>55</v>
      </c>
      <c r="C83" t="s">
        <v>60</v>
      </c>
      <c r="D83" t="s">
        <v>61</v>
      </c>
      <c r="E83" t="s">
        <v>86</v>
      </c>
      <c r="G83" t="s">
        <v>31</v>
      </c>
      <c r="H83" t="s">
        <v>31</v>
      </c>
      <c r="I83" t="s">
        <v>34</v>
      </c>
      <c r="J83">
        <v>2</v>
      </c>
      <c r="K83" t="s">
        <v>33</v>
      </c>
      <c r="L83">
        <v>1086.232</v>
      </c>
      <c r="M83" s="7">
        <v>2172.4639999999999</v>
      </c>
      <c r="O83" s="7">
        <f t="shared" si="8"/>
        <v>2172.4639999999999</v>
      </c>
      <c r="P83" s="7">
        <f>IF(C83="Alta Complejidad",M83,0)</f>
        <v>0</v>
      </c>
      <c r="Q83" s="8">
        <v>0</v>
      </c>
      <c r="R83" s="7">
        <f>P83+(P83*Q83)</f>
        <v>0</v>
      </c>
      <c r="S83" s="9">
        <f>IFERROR(((R83-P83)/R83),0)</f>
        <v>0</v>
      </c>
      <c r="T83" s="7">
        <f t="shared" si="9"/>
        <v>2172.4639999999999</v>
      </c>
      <c r="U83" s="8">
        <v>0</v>
      </c>
      <c r="V83" s="7">
        <f t="shared" si="10"/>
        <v>2172.4639999999999</v>
      </c>
      <c r="W83" s="8">
        <f t="shared" si="11"/>
        <v>0</v>
      </c>
      <c r="X83" s="7">
        <f>IF(C83="Baja Complejidad",M83,0)</f>
        <v>0</v>
      </c>
      <c r="Y83" s="8">
        <v>0</v>
      </c>
      <c r="Z83" s="7">
        <f>(X83)+(X83*Y83)</f>
        <v>0</v>
      </c>
      <c r="AA83" s="8">
        <f>IFERROR(((Z83-X83)/Z83),0)</f>
        <v>0</v>
      </c>
      <c r="AB83" s="8">
        <v>0.1</v>
      </c>
    </row>
    <row r="84" spans="1:28" x14ac:dyDescent="0.25">
      <c r="A84">
        <v>2026</v>
      </c>
      <c r="B84" t="s">
        <v>55</v>
      </c>
      <c r="C84" t="s">
        <v>60</v>
      </c>
      <c r="D84" t="s">
        <v>61</v>
      </c>
      <c r="E84" t="s">
        <v>87</v>
      </c>
      <c r="G84" t="s">
        <v>31</v>
      </c>
      <c r="H84" t="s">
        <v>31</v>
      </c>
      <c r="I84" t="s">
        <v>35</v>
      </c>
      <c r="J84">
        <v>6</v>
      </c>
      <c r="K84" t="s">
        <v>33</v>
      </c>
      <c r="L84">
        <v>370</v>
      </c>
      <c r="M84" s="7">
        <v>2220</v>
      </c>
      <c r="O84" s="7">
        <f t="shared" si="8"/>
        <v>2220</v>
      </c>
      <c r="P84" s="7">
        <f>IF(C84="Alta Complejidad",M84,0)</f>
        <v>0</v>
      </c>
      <c r="Q84" s="8">
        <v>0</v>
      </c>
      <c r="R84" s="7">
        <f>P84+(P84*Q84)</f>
        <v>0</v>
      </c>
      <c r="S84" s="9">
        <f>IFERROR(((R84-P84)/R84),0)</f>
        <v>0</v>
      </c>
      <c r="T84" s="7">
        <f t="shared" si="9"/>
        <v>2220</v>
      </c>
      <c r="U84" s="8">
        <v>0</v>
      </c>
      <c r="V84" s="7">
        <f t="shared" si="10"/>
        <v>2220</v>
      </c>
      <c r="W84" s="8">
        <f t="shared" si="11"/>
        <v>0</v>
      </c>
      <c r="X84" s="7">
        <f>IF(C84="Baja Complejidad",M84,0)</f>
        <v>0</v>
      </c>
      <c r="Y84" s="8">
        <v>0</v>
      </c>
      <c r="Z84" s="7">
        <f>(X84)+(X84*Y84)</f>
        <v>0</v>
      </c>
      <c r="AA84" s="8">
        <f>IFERROR(((Z84-X84)/Z84),0)</f>
        <v>0</v>
      </c>
      <c r="AB84" s="8">
        <v>0.1</v>
      </c>
    </row>
    <row r="85" spans="1:28" x14ac:dyDescent="0.25">
      <c r="A85">
        <v>2026</v>
      </c>
      <c r="B85" t="s">
        <v>55</v>
      </c>
      <c r="C85" t="s">
        <v>60</v>
      </c>
      <c r="D85" t="s">
        <v>61</v>
      </c>
      <c r="E85" t="s">
        <v>88</v>
      </c>
      <c r="G85" t="s">
        <v>31</v>
      </c>
      <c r="H85" t="s">
        <v>31</v>
      </c>
      <c r="I85" t="s">
        <v>36</v>
      </c>
      <c r="J85">
        <v>2</v>
      </c>
      <c r="K85" t="s">
        <v>33</v>
      </c>
      <c r="L85">
        <v>2643</v>
      </c>
      <c r="M85" s="7">
        <v>5286</v>
      </c>
      <c r="O85" s="7">
        <f t="shared" si="8"/>
        <v>5286</v>
      </c>
      <c r="P85" s="7">
        <f>IF(C85="Alta Complejidad",M85,0)</f>
        <v>0</v>
      </c>
      <c r="Q85" s="8">
        <v>0</v>
      </c>
      <c r="R85" s="7">
        <f>P85+(P85*Q85)</f>
        <v>0</v>
      </c>
      <c r="S85" s="9">
        <f>IFERROR(((R85-P85)/R85),0)</f>
        <v>0</v>
      </c>
      <c r="T85" s="7">
        <f t="shared" si="9"/>
        <v>5286</v>
      </c>
      <c r="U85" s="8">
        <v>0</v>
      </c>
      <c r="V85" s="7">
        <f t="shared" si="10"/>
        <v>5286</v>
      </c>
      <c r="W85" s="8">
        <f t="shared" si="11"/>
        <v>0</v>
      </c>
      <c r="X85" s="7">
        <f>IF(C85="Baja Complejidad",M85,0)</f>
        <v>0</v>
      </c>
      <c r="Y85" s="8">
        <v>0</v>
      </c>
      <c r="Z85" s="7">
        <f>(X85)+(X85*Y85)</f>
        <v>0</v>
      </c>
      <c r="AA85" s="8">
        <f>IFERROR(((Z85-X85)/Z85),0)</f>
        <v>0</v>
      </c>
      <c r="AB85" s="8">
        <v>0.1</v>
      </c>
    </row>
    <row r="86" spans="1:28" x14ac:dyDescent="0.25">
      <c r="A86">
        <v>2026</v>
      </c>
      <c r="B86" t="s">
        <v>55</v>
      </c>
      <c r="C86" t="s">
        <v>60</v>
      </c>
      <c r="D86" t="s">
        <v>61</v>
      </c>
      <c r="E86" t="s">
        <v>89</v>
      </c>
      <c r="G86" t="s">
        <v>31</v>
      </c>
      <c r="H86" t="s">
        <v>31</v>
      </c>
      <c r="I86" t="s">
        <v>37</v>
      </c>
      <c r="J86">
        <v>3</v>
      </c>
      <c r="K86" t="s">
        <v>33</v>
      </c>
      <c r="L86">
        <v>135.66</v>
      </c>
      <c r="M86" s="7">
        <v>406.98</v>
      </c>
      <c r="O86" s="7">
        <f t="shared" si="8"/>
        <v>406.98</v>
      </c>
      <c r="P86" s="7">
        <f>IF(C86="Alta Complejidad",M86,0)</f>
        <v>0</v>
      </c>
      <c r="Q86" s="8">
        <v>0</v>
      </c>
      <c r="R86" s="7">
        <f>P86+(P86*Q86)</f>
        <v>0</v>
      </c>
      <c r="S86" s="9">
        <f>IFERROR(((R86-P86)/R86),0)</f>
        <v>0</v>
      </c>
      <c r="T86" s="7">
        <f t="shared" si="9"/>
        <v>406.98</v>
      </c>
      <c r="U86" s="8">
        <v>0</v>
      </c>
      <c r="V86" s="7">
        <f t="shared" si="10"/>
        <v>406.98</v>
      </c>
      <c r="W86" s="8">
        <f t="shared" si="11"/>
        <v>0</v>
      </c>
      <c r="X86" s="7">
        <f>IF(C86="Baja Complejidad",M86,0)</f>
        <v>0</v>
      </c>
      <c r="Y86" s="8">
        <v>0</v>
      </c>
      <c r="Z86" s="7">
        <f>(X86)+(X86*Y86)</f>
        <v>0</v>
      </c>
      <c r="AA86" s="8">
        <f>IFERROR(((Z86-X86)/Z86),0)</f>
        <v>0</v>
      </c>
      <c r="AB86" s="8">
        <v>0.1</v>
      </c>
    </row>
    <row r="87" spans="1:28" x14ac:dyDescent="0.25">
      <c r="A87">
        <v>2026</v>
      </c>
      <c r="B87" t="s">
        <v>55</v>
      </c>
      <c r="C87" t="s">
        <v>60</v>
      </c>
      <c r="D87" t="s">
        <v>61</v>
      </c>
      <c r="E87" t="s">
        <v>90</v>
      </c>
      <c r="G87" t="s">
        <v>31</v>
      </c>
      <c r="H87" t="s">
        <v>31</v>
      </c>
      <c r="I87" t="s">
        <v>38</v>
      </c>
      <c r="J87">
        <v>2</v>
      </c>
      <c r="K87" t="s">
        <v>33</v>
      </c>
      <c r="L87">
        <v>3808</v>
      </c>
      <c r="M87" s="7">
        <v>7616</v>
      </c>
      <c r="O87" s="7">
        <f t="shared" si="8"/>
        <v>7616</v>
      </c>
      <c r="P87" s="7">
        <f>IF(C87="Alta Complejidad",M87,0)</f>
        <v>0</v>
      </c>
      <c r="Q87" s="8">
        <v>0</v>
      </c>
      <c r="R87" s="7">
        <f>P87+(P87*Q87)</f>
        <v>0</v>
      </c>
      <c r="S87" s="9">
        <f>IFERROR(((R87-P87)/R87),0)</f>
        <v>0</v>
      </c>
      <c r="T87" s="7">
        <f t="shared" si="9"/>
        <v>7616</v>
      </c>
      <c r="U87" s="8">
        <v>0</v>
      </c>
      <c r="V87" s="7">
        <f t="shared" si="10"/>
        <v>7616</v>
      </c>
      <c r="W87" s="8">
        <f t="shared" si="11"/>
        <v>0</v>
      </c>
      <c r="X87" s="7">
        <f>IF(C87="Baja Complejidad",M87,0)</f>
        <v>0</v>
      </c>
      <c r="Y87" s="8">
        <v>0</v>
      </c>
      <c r="Z87" s="7">
        <f>(X87)+(X87*Y87)</f>
        <v>0</v>
      </c>
      <c r="AA87" s="8">
        <f>IFERROR(((Z87-X87)/Z87),0)</f>
        <v>0</v>
      </c>
      <c r="AB87" s="8">
        <v>0.1</v>
      </c>
    </row>
    <row r="88" spans="1:28" x14ac:dyDescent="0.25">
      <c r="A88">
        <v>2026</v>
      </c>
      <c r="B88" t="s">
        <v>55</v>
      </c>
      <c r="C88" t="s">
        <v>60</v>
      </c>
      <c r="D88" t="s">
        <v>61</v>
      </c>
      <c r="E88" t="s">
        <v>91</v>
      </c>
      <c r="G88" t="s">
        <v>31</v>
      </c>
      <c r="H88" t="s">
        <v>31</v>
      </c>
      <c r="I88" t="s">
        <v>39</v>
      </c>
      <c r="J88">
        <v>0.4</v>
      </c>
      <c r="K88" t="s">
        <v>33</v>
      </c>
      <c r="L88">
        <v>111.86</v>
      </c>
      <c r="M88" s="7">
        <v>44.744</v>
      </c>
      <c r="O88" s="7">
        <f t="shared" si="8"/>
        <v>44.744</v>
      </c>
      <c r="P88" s="7">
        <f>IF(C88="Alta Complejidad",M88,0)</f>
        <v>0</v>
      </c>
      <c r="Q88" s="8">
        <v>0</v>
      </c>
      <c r="R88" s="7">
        <f>P88+(P88*Q88)</f>
        <v>0</v>
      </c>
      <c r="S88" s="9">
        <f>IFERROR(((R88-P88)/R88),0)</f>
        <v>0</v>
      </c>
      <c r="T88" s="7">
        <f t="shared" si="9"/>
        <v>44.744</v>
      </c>
      <c r="U88" s="8">
        <v>0</v>
      </c>
      <c r="V88" s="7">
        <f t="shared" si="10"/>
        <v>44.744</v>
      </c>
      <c r="W88" s="8">
        <f t="shared" si="11"/>
        <v>0</v>
      </c>
      <c r="X88" s="7">
        <f>IF(C88="Baja Complejidad",M88,0)</f>
        <v>0</v>
      </c>
      <c r="Y88" s="8">
        <v>0</v>
      </c>
      <c r="Z88" s="7">
        <f>(X88)+(X88*Y88)</f>
        <v>0</v>
      </c>
      <c r="AA88" s="8">
        <f>IFERROR(((Z88-X88)/Z88),0)</f>
        <v>0</v>
      </c>
      <c r="AB88" s="8">
        <v>0.1</v>
      </c>
    </row>
    <row r="89" spans="1:28" x14ac:dyDescent="0.25">
      <c r="A89">
        <v>2026</v>
      </c>
      <c r="B89" t="s">
        <v>55</v>
      </c>
      <c r="C89" t="s">
        <v>60</v>
      </c>
      <c r="D89" t="s">
        <v>61</v>
      </c>
      <c r="E89" t="s">
        <v>92</v>
      </c>
      <c r="G89" t="s">
        <v>31</v>
      </c>
      <c r="H89" t="s">
        <v>31</v>
      </c>
      <c r="I89" t="s">
        <v>64</v>
      </c>
      <c r="J89">
        <v>4</v>
      </c>
      <c r="K89" t="s">
        <v>33</v>
      </c>
      <c r="L89">
        <v>80300</v>
      </c>
      <c r="M89" s="7">
        <v>1284.8</v>
      </c>
      <c r="O89" s="7">
        <f t="shared" si="8"/>
        <v>1284.8</v>
      </c>
      <c r="P89" s="7">
        <f>IF(C89="Alta Complejidad",M89,0)</f>
        <v>0</v>
      </c>
      <c r="Q89" s="8">
        <v>0</v>
      </c>
      <c r="R89" s="7">
        <f>P89+(P89*Q89)</f>
        <v>0</v>
      </c>
      <c r="S89" s="9">
        <f>IFERROR(((R89-P89)/R89),0)</f>
        <v>0</v>
      </c>
      <c r="T89" s="7">
        <f t="shared" si="9"/>
        <v>1284.8</v>
      </c>
      <c r="U89" s="8">
        <v>0</v>
      </c>
      <c r="V89" s="7">
        <f t="shared" si="10"/>
        <v>1284.8</v>
      </c>
      <c r="W89" s="8">
        <f t="shared" si="11"/>
        <v>0</v>
      </c>
      <c r="X89" s="7">
        <f>IF(C89="Baja Complejidad",M89,0)</f>
        <v>0</v>
      </c>
      <c r="Y89" s="8">
        <v>0</v>
      </c>
      <c r="Z89" s="7">
        <f>(X89)+(X89*Y89)</f>
        <v>0</v>
      </c>
      <c r="AA89" s="8">
        <f>IFERROR(((Z89-X89)/Z89),0)</f>
        <v>0</v>
      </c>
      <c r="AB89" s="8">
        <v>0.1</v>
      </c>
    </row>
    <row r="90" spans="1:28" x14ac:dyDescent="0.25">
      <c r="A90">
        <v>2026</v>
      </c>
      <c r="B90" t="s">
        <v>55</v>
      </c>
      <c r="C90" t="s">
        <v>60</v>
      </c>
      <c r="D90" t="s">
        <v>61</v>
      </c>
      <c r="E90" t="s">
        <v>93</v>
      </c>
      <c r="G90" t="s">
        <v>31</v>
      </c>
      <c r="H90" t="s">
        <v>31</v>
      </c>
      <c r="I90" t="s">
        <v>40</v>
      </c>
      <c r="J90">
        <v>3</v>
      </c>
      <c r="K90" t="s">
        <v>33</v>
      </c>
      <c r="L90">
        <v>17888.080000000002</v>
      </c>
      <c r="M90" s="7">
        <v>53664.240000000005</v>
      </c>
      <c r="O90" s="7">
        <f t="shared" si="8"/>
        <v>53664.240000000005</v>
      </c>
      <c r="P90" s="7">
        <f>IF(C90="Alta Complejidad",M90,0)</f>
        <v>0</v>
      </c>
      <c r="Q90" s="8">
        <v>0</v>
      </c>
      <c r="R90" s="7">
        <f>P90+(P90*Q90)</f>
        <v>0</v>
      </c>
      <c r="S90" s="9">
        <f>IFERROR(((R90-P90)/R90),0)</f>
        <v>0</v>
      </c>
      <c r="T90" s="7">
        <f t="shared" si="9"/>
        <v>53664.240000000005</v>
      </c>
      <c r="U90" s="8">
        <v>0</v>
      </c>
      <c r="V90" s="7">
        <f t="shared" si="10"/>
        <v>53664.240000000005</v>
      </c>
      <c r="W90" s="8">
        <f t="shared" si="11"/>
        <v>0</v>
      </c>
      <c r="X90" s="7">
        <f>IF(C90="Baja Complejidad",M90,0)</f>
        <v>0</v>
      </c>
      <c r="Y90" s="8">
        <v>0</v>
      </c>
      <c r="Z90" s="7">
        <f>(X90)+(X90*Y90)</f>
        <v>0</v>
      </c>
      <c r="AA90" s="8">
        <f>IFERROR(((Z90-X90)/Z90),0)</f>
        <v>0</v>
      </c>
      <c r="AB90" s="8">
        <v>0.1</v>
      </c>
    </row>
    <row r="91" spans="1:28" x14ac:dyDescent="0.25">
      <c r="A91">
        <v>2026</v>
      </c>
      <c r="B91" t="s">
        <v>55</v>
      </c>
      <c r="C91" t="s">
        <v>60</v>
      </c>
      <c r="D91" t="s">
        <v>61</v>
      </c>
      <c r="E91" t="s">
        <v>94</v>
      </c>
      <c r="G91" t="s">
        <v>31</v>
      </c>
      <c r="H91" t="s">
        <v>31</v>
      </c>
      <c r="I91" t="s">
        <v>41</v>
      </c>
      <c r="J91">
        <v>1</v>
      </c>
      <c r="K91" t="s">
        <v>33</v>
      </c>
      <c r="L91">
        <v>337.3837894736842</v>
      </c>
      <c r="M91" s="7">
        <v>337.3837894736842</v>
      </c>
      <c r="O91" s="7">
        <f t="shared" si="8"/>
        <v>337.3837894736842</v>
      </c>
      <c r="P91" s="7">
        <f>IF(C91="Alta Complejidad",M91,0)</f>
        <v>0</v>
      </c>
      <c r="Q91" s="8">
        <v>0</v>
      </c>
      <c r="R91" s="7">
        <f>P91+(P91*Q91)</f>
        <v>0</v>
      </c>
      <c r="S91" s="9">
        <f>IFERROR(((R91-P91)/R91),0)</f>
        <v>0</v>
      </c>
      <c r="T91" s="7">
        <f t="shared" si="9"/>
        <v>337.3837894736842</v>
      </c>
      <c r="U91" s="8">
        <v>0</v>
      </c>
      <c r="V91" s="7">
        <f t="shared" si="10"/>
        <v>337.3837894736842</v>
      </c>
      <c r="W91" s="8">
        <f t="shared" si="11"/>
        <v>0</v>
      </c>
      <c r="X91" s="7">
        <f>IF(C91="Baja Complejidad",M91,0)</f>
        <v>0</v>
      </c>
      <c r="Y91" s="8">
        <v>0</v>
      </c>
      <c r="Z91" s="7">
        <f>(X91)+(X91*Y91)</f>
        <v>0</v>
      </c>
      <c r="AA91" s="8">
        <f>IFERROR(((Z91-X91)/Z91),0)</f>
        <v>0</v>
      </c>
      <c r="AB91" s="8">
        <v>0.1</v>
      </c>
    </row>
    <row r="92" spans="1:28" x14ac:dyDescent="0.25">
      <c r="A92">
        <v>2026</v>
      </c>
      <c r="B92" t="s">
        <v>55</v>
      </c>
      <c r="C92" t="s">
        <v>60</v>
      </c>
      <c r="D92" t="s">
        <v>61</v>
      </c>
      <c r="E92" t="s">
        <v>95</v>
      </c>
      <c r="G92" t="s">
        <v>31</v>
      </c>
      <c r="H92" t="s">
        <v>31</v>
      </c>
      <c r="I92" t="s">
        <v>83</v>
      </c>
      <c r="J92">
        <v>2</v>
      </c>
      <c r="K92" t="s">
        <v>33</v>
      </c>
      <c r="L92">
        <v>67900</v>
      </c>
      <c r="M92" s="7">
        <v>13580</v>
      </c>
      <c r="O92" s="7">
        <f t="shared" si="8"/>
        <v>13580</v>
      </c>
      <c r="P92" s="7">
        <f>IF(C92="Alta Complejidad",M92,0)</f>
        <v>0</v>
      </c>
      <c r="Q92" s="8">
        <v>0</v>
      </c>
      <c r="R92" s="7">
        <f>P92+(P92*Q92)</f>
        <v>0</v>
      </c>
      <c r="S92" s="9">
        <f>IFERROR(((R92-P92)/R92),0)</f>
        <v>0</v>
      </c>
      <c r="T92" s="7">
        <f t="shared" si="9"/>
        <v>13580</v>
      </c>
      <c r="U92" s="8">
        <v>0</v>
      </c>
      <c r="V92" s="7">
        <f t="shared" si="10"/>
        <v>13580</v>
      </c>
      <c r="W92" s="8">
        <f t="shared" si="11"/>
        <v>0</v>
      </c>
      <c r="X92" s="7">
        <f>IF(C92="Baja Complejidad",M92,0)</f>
        <v>0</v>
      </c>
      <c r="Y92" s="8">
        <v>0</v>
      </c>
      <c r="Z92" s="7">
        <f>(X92)+(X92*Y92)</f>
        <v>0</v>
      </c>
      <c r="AA92" s="8">
        <f>IFERROR(((Z92-X92)/Z92),0)</f>
        <v>0</v>
      </c>
      <c r="AB92" s="8">
        <v>0.1</v>
      </c>
    </row>
    <row r="93" spans="1:28" x14ac:dyDescent="0.25">
      <c r="A93">
        <v>2026</v>
      </c>
      <c r="B93" t="s">
        <v>55</v>
      </c>
      <c r="C93" t="s">
        <v>60</v>
      </c>
      <c r="D93" t="s">
        <v>61</v>
      </c>
      <c r="E93" t="s">
        <v>96</v>
      </c>
      <c r="G93" t="s">
        <v>31</v>
      </c>
      <c r="H93" t="s">
        <v>31</v>
      </c>
      <c r="I93" t="s">
        <v>84</v>
      </c>
      <c r="J93">
        <v>2</v>
      </c>
      <c r="K93" t="s">
        <v>33</v>
      </c>
      <c r="L93">
        <v>50300</v>
      </c>
      <c r="M93" s="7">
        <v>10060</v>
      </c>
      <c r="O93" s="7">
        <f t="shared" si="8"/>
        <v>10060</v>
      </c>
      <c r="P93" s="7">
        <f>IF(C93="Alta Complejidad",M93,0)</f>
        <v>0</v>
      </c>
      <c r="Q93" s="8">
        <v>0</v>
      </c>
      <c r="R93" s="7">
        <f>P93+(P93*Q93)</f>
        <v>0</v>
      </c>
      <c r="S93" s="9">
        <f>IFERROR(((R93-P93)/R93),0)</f>
        <v>0</v>
      </c>
      <c r="T93" s="7">
        <f t="shared" si="9"/>
        <v>10060</v>
      </c>
      <c r="U93" s="8">
        <v>0</v>
      </c>
      <c r="V93" s="7">
        <f t="shared" si="10"/>
        <v>10060</v>
      </c>
      <c r="W93" s="8">
        <f t="shared" si="11"/>
        <v>0</v>
      </c>
      <c r="X93" s="7">
        <f>IF(C93="Baja Complejidad",M93,0)</f>
        <v>0</v>
      </c>
      <c r="Y93" s="8">
        <v>0</v>
      </c>
      <c r="Z93" s="7">
        <f>(X93)+(X93*Y93)</f>
        <v>0</v>
      </c>
      <c r="AA93" s="8">
        <f>IFERROR(((Z93-X93)/Z93),0)</f>
        <v>0</v>
      </c>
      <c r="AB93" s="8">
        <v>0.1</v>
      </c>
    </row>
    <row r="94" spans="1:28" x14ac:dyDescent="0.25">
      <c r="A94">
        <v>2026</v>
      </c>
      <c r="B94" t="s">
        <v>55</v>
      </c>
      <c r="C94" t="s">
        <v>60</v>
      </c>
      <c r="D94" t="s">
        <v>61</v>
      </c>
      <c r="E94" t="s">
        <v>97</v>
      </c>
      <c r="G94" t="s">
        <v>31</v>
      </c>
      <c r="H94" t="s">
        <v>31</v>
      </c>
      <c r="I94" t="s">
        <v>82</v>
      </c>
      <c r="J94">
        <v>2</v>
      </c>
      <c r="K94" t="s">
        <v>33</v>
      </c>
      <c r="L94">
        <v>43500</v>
      </c>
      <c r="M94" s="7">
        <v>7250</v>
      </c>
      <c r="O94" s="7">
        <f t="shared" si="8"/>
        <v>7250</v>
      </c>
      <c r="P94" s="7">
        <f>IF(C94="Alta Complejidad",M94,0)</f>
        <v>0</v>
      </c>
      <c r="Q94" s="8">
        <v>0</v>
      </c>
      <c r="R94" s="7">
        <f>P94+(P94*Q94)</f>
        <v>0</v>
      </c>
      <c r="S94" s="9">
        <f>IFERROR(((R94-P94)/R94),0)</f>
        <v>0</v>
      </c>
      <c r="T94" s="7">
        <f t="shared" si="9"/>
        <v>7250</v>
      </c>
      <c r="U94" s="8">
        <v>0</v>
      </c>
      <c r="V94" s="7">
        <f t="shared" si="10"/>
        <v>7250</v>
      </c>
      <c r="W94" s="8">
        <f t="shared" si="11"/>
        <v>0</v>
      </c>
      <c r="X94" s="7">
        <f>IF(C94="Baja Complejidad",M94,0)</f>
        <v>0</v>
      </c>
      <c r="Y94" s="8">
        <v>0</v>
      </c>
      <c r="Z94" s="7">
        <f>(X94)+(X94*Y94)</f>
        <v>0</v>
      </c>
      <c r="AA94" s="8">
        <f>IFERROR(((Z94-X94)/Z94),0)</f>
        <v>0</v>
      </c>
      <c r="AB94" s="8">
        <v>0.1</v>
      </c>
    </row>
    <row r="95" spans="1:28" x14ac:dyDescent="0.25">
      <c r="A95">
        <v>2026</v>
      </c>
      <c r="B95" t="s">
        <v>55</v>
      </c>
      <c r="C95" t="s">
        <v>60</v>
      </c>
      <c r="D95" t="s">
        <v>61</v>
      </c>
      <c r="F95">
        <v>2400</v>
      </c>
      <c r="G95" t="s">
        <v>42</v>
      </c>
      <c r="H95" t="s">
        <v>42</v>
      </c>
      <c r="I95" t="s">
        <v>62</v>
      </c>
      <c r="J95">
        <v>30</v>
      </c>
      <c r="K95" t="s">
        <v>45</v>
      </c>
      <c r="L95" s="12">
        <v>348.24</v>
      </c>
      <c r="M95" s="7">
        <f>+L95*F95</f>
        <v>835776</v>
      </c>
      <c r="O95" s="7">
        <f t="shared" si="8"/>
        <v>835776</v>
      </c>
      <c r="P95" s="7">
        <f>IF(C95="Alta Complejidad",M95,0)</f>
        <v>0</v>
      </c>
      <c r="Q95" s="8">
        <v>0</v>
      </c>
      <c r="R95" s="7">
        <f>P95+(P95*Q95)</f>
        <v>0</v>
      </c>
      <c r="S95" s="9">
        <f>IFERROR(((R95-P95)/R95),0)</f>
        <v>0</v>
      </c>
      <c r="T95" s="7">
        <f t="shared" si="9"/>
        <v>835776</v>
      </c>
      <c r="U95" s="8">
        <v>0</v>
      </c>
      <c r="V95" s="7">
        <f t="shared" si="10"/>
        <v>835776</v>
      </c>
      <c r="W95" s="8">
        <f t="shared" si="11"/>
        <v>0</v>
      </c>
      <c r="X95" s="7">
        <f>IF(C95="Baja Complejidad",M95,0)</f>
        <v>0</v>
      </c>
      <c r="Y95" s="8">
        <v>0</v>
      </c>
      <c r="Z95" s="7">
        <f>(X95)+(X95*Y95)</f>
        <v>0</v>
      </c>
      <c r="AA95" s="8">
        <f>IFERROR(((Z95-X95)/Z95),0)</f>
        <v>0</v>
      </c>
      <c r="AB95" s="8">
        <v>0.1</v>
      </c>
    </row>
    <row r="96" spans="1:28" x14ac:dyDescent="0.25">
      <c r="A96">
        <v>2026</v>
      </c>
      <c r="B96" t="s">
        <v>55</v>
      </c>
      <c r="C96" t="s">
        <v>60</v>
      </c>
      <c r="D96" t="s">
        <v>61</v>
      </c>
      <c r="F96">
        <v>2400</v>
      </c>
      <c r="G96" t="s">
        <v>42</v>
      </c>
      <c r="H96" t="s">
        <v>42</v>
      </c>
      <c r="I96" t="s">
        <v>59</v>
      </c>
      <c r="J96">
        <v>30</v>
      </c>
      <c r="K96" t="s">
        <v>45</v>
      </c>
      <c r="L96" s="12">
        <v>201.61</v>
      </c>
      <c r="M96" s="7">
        <f t="shared" ref="M96:M97" si="13">+L96*F96</f>
        <v>483864.00000000006</v>
      </c>
      <c r="O96" s="7">
        <f t="shared" si="8"/>
        <v>483864.00000000006</v>
      </c>
      <c r="P96" s="7">
        <f>IF(C96="Alta Complejidad",M96,0)</f>
        <v>0</v>
      </c>
      <c r="Q96" s="8">
        <v>0</v>
      </c>
      <c r="R96" s="7">
        <f>P96+(P96*Q96)</f>
        <v>0</v>
      </c>
      <c r="S96" s="9">
        <f>IFERROR(((R96-P96)/R96),0)</f>
        <v>0</v>
      </c>
      <c r="T96" s="7">
        <f t="shared" si="9"/>
        <v>483864.00000000006</v>
      </c>
      <c r="U96" s="8">
        <v>0</v>
      </c>
      <c r="V96" s="7">
        <f t="shared" si="10"/>
        <v>483864.00000000006</v>
      </c>
      <c r="W96" s="8">
        <f t="shared" si="11"/>
        <v>0</v>
      </c>
      <c r="X96" s="7">
        <f>IF(C96="Baja Complejidad",M96,0)</f>
        <v>0</v>
      </c>
      <c r="Y96" s="8">
        <v>0</v>
      </c>
      <c r="Z96" s="7">
        <f>(X96)+(X96*Y96)</f>
        <v>0</v>
      </c>
      <c r="AA96" s="8">
        <f>IFERROR(((Z96-X96)/Z96),0)</f>
        <v>0</v>
      </c>
      <c r="AB96" s="8">
        <v>0.1</v>
      </c>
    </row>
    <row r="97" spans="1:28" x14ac:dyDescent="0.25">
      <c r="A97">
        <v>2026</v>
      </c>
      <c r="B97" t="s">
        <v>55</v>
      </c>
      <c r="C97" t="s">
        <v>60</v>
      </c>
      <c r="D97" t="s">
        <v>61</v>
      </c>
      <c r="F97">
        <v>1600</v>
      </c>
      <c r="G97" t="s">
        <v>42</v>
      </c>
      <c r="H97" t="s">
        <v>42</v>
      </c>
      <c r="I97" t="s">
        <v>50</v>
      </c>
      <c r="J97">
        <v>30</v>
      </c>
      <c r="K97" t="s">
        <v>45</v>
      </c>
      <c r="L97" s="12">
        <v>1000</v>
      </c>
      <c r="M97" s="7">
        <f t="shared" si="13"/>
        <v>1600000</v>
      </c>
      <c r="O97" s="7">
        <f t="shared" si="8"/>
        <v>1600000</v>
      </c>
      <c r="P97" s="7">
        <f>IF(C97="Alta Complejidad",M97,0)</f>
        <v>0</v>
      </c>
      <c r="Q97" s="8">
        <v>0</v>
      </c>
      <c r="R97" s="7">
        <f>P97+(P97*Q97)</f>
        <v>0</v>
      </c>
      <c r="S97" s="9">
        <f>IFERROR(((R97-P97)/R97),0)</f>
        <v>0</v>
      </c>
      <c r="T97" s="7">
        <f t="shared" si="9"/>
        <v>1600000</v>
      </c>
      <c r="U97" s="8">
        <v>0</v>
      </c>
      <c r="V97" s="7">
        <f t="shared" si="10"/>
        <v>1600000</v>
      </c>
      <c r="W97" s="8">
        <f t="shared" si="11"/>
        <v>0</v>
      </c>
      <c r="X97" s="7">
        <f>IF(C97="Baja Complejidad",M97,0)</f>
        <v>0</v>
      </c>
      <c r="Y97" s="8">
        <v>0</v>
      </c>
      <c r="Z97" s="7">
        <f>(X97)+(X97*Y97)</f>
        <v>0</v>
      </c>
      <c r="AA97" s="8">
        <f>IFERROR(((Z97-X97)/Z97),0)</f>
        <v>0</v>
      </c>
      <c r="AB97" s="8">
        <v>0.1</v>
      </c>
    </row>
    <row r="98" spans="1:28" x14ac:dyDescent="0.25">
      <c r="A98">
        <v>2026</v>
      </c>
      <c r="B98" t="s">
        <v>56</v>
      </c>
      <c r="C98" t="s">
        <v>60</v>
      </c>
      <c r="D98" t="s">
        <v>61</v>
      </c>
      <c r="E98" t="s">
        <v>85</v>
      </c>
      <c r="G98" t="s">
        <v>31</v>
      </c>
      <c r="H98" t="s">
        <v>31</v>
      </c>
      <c r="I98" t="s">
        <v>32</v>
      </c>
      <c r="J98">
        <v>4</v>
      </c>
      <c r="K98" t="s">
        <v>33</v>
      </c>
      <c r="L98">
        <v>266</v>
      </c>
      <c r="M98" s="7">
        <v>1064</v>
      </c>
      <c r="O98" s="7">
        <f t="shared" si="8"/>
        <v>1064</v>
      </c>
      <c r="P98" s="7">
        <f>IF(C98="Alta Complejidad",M98,0)</f>
        <v>0</v>
      </c>
      <c r="Q98" s="8">
        <v>0</v>
      </c>
      <c r="R98" s="7">
        <f>P98+(P98*Q98)</f>
        <v>0</v>
      </c>
      <c r="S98" s="9">
        <f>IFERROR(((R98-P98)/R98),0)</f>
        <v>0</v>
      </c>
      <c r="T98" s="7">
        <f t="shared" si="9"/>
        <v>1064</v>
      </c>
      <c r="U98" s="8">
        <v>0</v>
      </c>
      <c r="V98" s="7">
        <f t="shared" si="10"/>
        <v>1064</v>
      </c>
      <c r="W98" s="8">
        <f t="shared" si="11"/>
        <v>0</v>
      </c>
      <c r="X98" s="7">
        <f>IF(C98="Baja Complejidad",M98,0)</f>
        <v>0</v>
      </c>
      <c r="Y98" s="8">
        <v>0</v>
      </c>
      <c r="Z98" s="7">
        <f>(X98)+(X98*Y98)</f>
        <v>0</v>
      </c>
      <c r="AA98" s="8">
        <f>IFERROR(((Z98-X98)/Z98),0)</f>
        <v>0</v>
      </c>
      <c r="AB98" s="8">
        <v>0.1</v>
      </c>
    </row>
    <row r="99" spans="1:28" x14ac:dyDescent="0.25">
      <c r="A99">
        <v>2026</v>
      </c>
      <c r="B99" t="s">
        <v>56</v>
      </c>
      <c r="C99" t="s">
        <v>60</v>
      </c>
      <c r="D99" t="s">
        <v>61</v>
      </c>
      <c r="E99" t="s">
        <v>86</v>
      </c>
      <c r="G99" t="s">
        <v>31</v>
      </c>
      <c r="H99" t="s">
        <v>31</v>
      </c>
      <c r="I99" t="s">
        <v>34</v>
      </c>
      <c r="J99">
        <v>2</v>
      </c>
      <c r="K99" t="s">
        <v>33</v>
      </c>
      <c r="L99">
        <v>1086.232</v>
      </c>
      <c r="M99" s="7">
        <v>2172.4639999999999</v>
      </c>
      <c r="O99" s="7">
        <f t="shared" si="8"/>
        <v>2172.4639999999999</v>
      </c>
      <c r="P99" s="7">
        <f>IF(C99="Alta Complejidad",M99,0)</f>
        <v>0</v>
      </c>
      <c r="Q99" s="8">
        <v>0</v>
      </c>
      <c r="R99" s="7">
        <f>P99+(P99*Q99)</f>
        <v>0</v>
      </c>
      <c r="S99" s="9">
        <f>IFERROR(((R99-P99)/R99),0)</f>
        <v>0</v>
      </c>
      <c r="T99" s="7">
        <f t="shared" si="9"/>
        <v>2172.4639999999999</v>
      </c>
      <c r="U99" s="8">
        <v>0</v>
      </c>
      <c r="V99" s="7">
        <f t="shared" si="10"/>
        <v>2172.4639999999999</v>
      </c>
      <c r="W99" s="8">
        <f t="shared" si="11"/>
        <v>0</v>
      </c>
      <c r="X99" s="7">
        <f>IF(C99="Baja Complejidad",M99,0)</f>
        <v>0</v>
      </c>
      <c r="Y99" s="8">
        <v>0</v>
      </c>
      <c r="Z99" s="7">
        <f>(X99)+(X99*Y99)</f>
        <v>0</v>
      </c>
      <c r="AA99" s="8">
        <f>IFERROR(((Z99-X99)/Z99),0)</f>
        <v>0</v>
      </c>
      <c r="AB99" s="8">
        <v>0.1</v>
      </c>
    </row>
    <row r="100" spans="1:28" x14ac:dyDescent="0.25">
      <c r="A100">
        <v>2026</v>
      </c>
      <c r="B100" t="s">
        <v>56</v>
      </c>
      <c r="C100" t="s">
        <v>60</v>
      </c>
      <c r="D100" t="s">
        <v>61</v>
      </c>
      <c r="E100" t="s">
        <v>87</v>
      </c>
      <c r="G100" t="s">
        <v>31</v>
      </c>
      <c r="H100" t="s">
        <v>31</v>
      </c>
      <c r="I100" t="s">
        <v>35</v>
      </c>
      <c r="J100">
        <v>6</v>
      </c>
      <c r="K100" t="s">
        <v>33</v>
      </c>
      <c r="L100">
        <v>370</v>
      </c>
      <c r="M100" s="7">
        <v>2220</v>
      </c>
      <c r="O100" s="7">
        <f t="shared" si="8"/>
        <v>2220</v>
      </c>
      <c r="P100" s="7">
        <f>IF(C100="Alta Complejidad",M100,0)</f>
        <v>0</v>
      </c>
      <c r="Q100" s="8">
        <v>0</v>
      </c>
      <c r="R100" s="7">
        <f>P100+(P100*Q100)</f>
        <v>0</v>
      </c>
      <c r="S100" s="9">
        <f>IFERROR(((R100-P100)/R100),0)</f>
        <v>0</v>
      </c>
      <c r="T100" s="7">
        <f t="shared" si="9"/>
        <v>2220</v>
      </c>
      <c r="U100" s="8">
        <v>0</v>
      </c>
      <c r="V100" s="7">
        <f t="shared" si="10"/>
        <v>2220</v>
      </c>
      <c r="W100" s="8">
        <f t="shared" si="11"/>
        <v>0</v>
      </c>
      <c r="X100" s="7">
        <f>IF(C100="Baja Complejidad",M100,0)</f>
        <v>0</v>
      </c>
      <c r="Y100" s="8">
        <v>0</v>
      </c>
      <c r="Z100" s="7">
        <f>(X100)+(X100*Y100)</f>
        <v>0</v>
      </c>
      <c r="AA100" s="8">
        <f>IFERROR(((Z100-X100)/Z100),0)</f>
        <v>0</v>
      </c>
      <c r="AB100" s="8">
        <v>0.1</v>
      </c>
    </row>
    <row r="101" spans="1:28" x14ac:dyDescent="0.25">
      <c r="A101">
        <v>2026</v>
      </c>
      <c r="B101" t="s">
        <v>56</v>
      </c>
      <c r="C101" t="s">
        <v>60</v>
      </c>
      <c r="D101" t="s">
        <v>61</v>
      </c>
      <c r="E101" t="s">
        <v>88</v>
      </c>
      <c r="G101" t="s">
        <v>31</v>
      </c>
      <c r="H101" t="s">
        <v>31</v>
      </c>
      <c r="I101" t="s">
        <v>36</v>
      </c>
      <c r="J101">
        <v>2</v>
      </c>
      <c r="K101" t="s">
        <v>33</v>
      </c>
      <c r="L101">
        <v>2643</v>
      </c>
      <c r="M101" s="7">
        <v>5286</v>
      </c>
      <c r="O101" s="7">
        <f t="shared" si="8"/>
        <v>5286</v>
      </c>
      <c r="P101" s="7">
        <f>IF(C101="Alta Complejidad",M101,0)</f>
        <v>0</v>
      </c>
      <c r="Q101" s="8">
        <v>0</v>
      </c>
      <c r="R101" s="7">
        <f>P101+(P101*Q101)</f>
        <v>0</v>
      </c>
      <c r="S101" s="9">
        <f>IFERROR(((R101-P101)/R101),0)</f>
        <v>0</v>
      </c>
      <c r="T101" s="7">
        <f t="shared" si="9"/>
        <v>5286</v>
      </c>
      <c r="U101" s="8">
        <v>0</v>
      </c>
      <c r="V101" s="7">
        <f t="shared" si="10"/>
        <v>5286</v>
      </c>
      <c r="W101" s="8">
        <f t="shared" si="11"/>
        <v>0</v>
      </c>
      <c r="X101" s="7">
        <f>IF(C101="Baja Complejidad",M101,0)</f>
        <v>0</v>
      </c>
      <c r="Y101" s="8">
        <v>0</v>
      </c>
      <c r="Z101" s="7">
        <f>(X101)+(X101*Y101)</f>
        <v>0</v>
      </c>
      <c r="AA101" s="8">
        <f>IFERROR(((Z101-X101)/Z101),0)</f>
        <v>0</v>
      </c>
      <c r="AB101" s="8">
        <v>0.1</v>
      </c>
    </row>
    <row r="102" spans="1:28" x14ac:dyDescent="0.25">
      <c r="A102">
        <v>2026</v>
      </c>
      <c r="B102" t="s">
        <v>56</v>
      </c>
      <c r="C102" t="s">
        <v>60</v>
      </c>
      <c r="D102" t="s">
        <v>61</v>
      </c>
      <c r="E102" t="s">
        <v>89</v>
      </c>
      <c r="G102" t="s">
        <v>31</v>
      </c>
      <c r="H102" t="s">
        <v>31</v>
      </c>
      <c r="I102" t="s">
        <v>37</v>
      </c>
      <c r="J102">
        <v>3</v>
      </c>
      <c r="K102" t="s">
        <v>33</v>
      </c>
      <c r="L102">
        <v>135.66</v>
      </c>
      <c r="M102" s="7">
        <v>406.98</v>
      </c>
      <c r="O102" s="7">
        <f t="shared" si="8"/>
        <v>406.98</v>
      </c>
      <c r="P102" s="7">
        <f>IF(C102="Alta Complejidad",M102,0)</f>
        <v>0</v>
      </c>
      <c r="Q102" s="8">
        <v>0</v>
      </c>
      <c r="R102" s="7">
        <f>P102+(P102*Q102)</f>
        <v>0</v>
      </c>
      <c r="S102" s="9">
        <f>IFERROR(((R102-P102)/R102),0)</f>
        <v>0</v>
      </c>
      <c r="T102" s="7">
        <f t="shared" si="9"/>
        <v>406.98</v>
      </c>
      <c r="U102" s="8">
        <v>0</v>
      </c>
      <c r="V102" s="7">
        <f t="shared" si="10"/>
        <v>406.98</v>
      </c>
      <c r="W102" s="8">
        <f t="shared" si="11"/>
        <v>0</v>
      </c>
      <c r="X102" s="7">
        <f>IF(C102="Baja Complejidad",M102,0)</f>
        <v>0</v>
      </c>
      <c r="Y102" s="8">
        <v>0</v>
      </c>
      <c r="Z102" s="7">
        <f>(X102)+(X102*Y102)</f>
        <v>0</v>
      </c>
      <c r="AA102" s="8">
        <f>IFERROR(((Z102-X102)/Z102),0)</f>
        <v>0</v>
      </c>
      <c r="AB102" s="8">
        <v>0.1</v>
      </c>
    </row>
    <row r="103" spans="1:28" x14ac:dyDescent="0.25">
      <c r="A103">
        <v>2026</v>
      </c>
      <c r="B103" t="s">
        <v>56</v>
      </c>
      <c r="C103" t="s">
        <v>60</v>
      </c>
      <c r="D103" t="s">
        <v>61</v>
      </c>
      <c r="E103" t="s">
        <v>90</v>
      </c>
      <c r="G103" t="s">
        <v>31</v>
      </c>
      <c r="H103" t="s">
        <v>31</v>
      </c>
      <c r="I103" t="s">
        <v>38</v>
      </c>
      <c r="J103">
        <v>2</v>
      </c>
      <c r="K103" t="s">
        <v>33</v>
      </c>
      <c r="L103">
        <v>3808</v>
      </c>
      <c r="M103" s="7">
        <v>7616</v>
      </c>
      <c r="O103" s="7">
        <f t="shared" si="8"/>
        <v>7616</v>
      </c>
      <c r="P103" s="7">
        <f>IF(C103="Alta Complejidad",M103,0)</f>
        <v>0</v>
      </c>
      <c r="Q103" s="8">
        <v>0</v>
      </c>
      <c r="R103" s="7">
        <f>P103+(P103*Q103)</f>
        <v>0</v>
      </c>
      <c r="S103" s="9">
        <f>IFERROR(((R103-P103)/R103),0)</f>
        <v>0</v>
      </c>
      <c r="T103" s="7">
        <f t="shared" si="9"/>
        <v>7616</v>
      </c>
      <c r="U103" s="8">
        <v>0</v>
      </c>
      <c r="V103" s="7">
        <f t="shared" si="10"/>
        <v>7616</v>
      </c>
      <c r="W103" s="8">
        <f t="shared" si="11"/>
        <v>0</v>
      </c>
      <c r="X103" s="7">
        <f>IF(C103="Baja Complejidad",M103,0)</f>
        <v>0</v>
      </c>
      <c r="Y103" s="8">
        <v>0</v>
      </c>
      <c r="Z103" s="7">
        <f>(X103)+(X103*Y103)</f>
        <v>0</v>
      </c>
      <c r="AA103" s="8">
        <f>IFERROR(((Z103-X103)/Z103),0)</f>
        <v>0</v>
      </c>
      <c r="AB103" s="8">
        <v>0.1</v>
      </c>
    </row>
    <row r="104" spans="1:28" x14ac:dyDescent="0.25">
      <c r="A104">
        <v>2026</v>
      </c>
      <c r="B104" t="s">
        <v>56</v>
      </c>
      <c r="C104" t="s">
        <v>60</v>
      </c>
      <c r="D104" t="s">
        <v>61</v>
      </c>
      <c r="E104" t="s">
        <v>91</v>
      </c>
      <c r="G104" t="s">
        <v>31</v>
      </c>
      <c r="H104" t="s">
        <v>31</v>
      </c>
      <c r="I104" t="s">
        <v>39</v>
      </c>
      <c r="J104">
        <v>0.4</v>
      </c>
      <c r="K104" t="s">
        <v>33</v>
      </c>
      <c r="L104">
        <v>111.86</v>
      </c>
      <c r="M104" s="7">
        <v>44.744</v>
      </c>
      <c r="O104" s="7">
        <f t="shared" si="8"/>
        <v>44.744</v>
      </c>
      <c r="P104" s="7">
        <f>IF(C104="Alta Complejidad",M104,0)</f>
        <v>0</v>
      </c>
      <c r="Q104" s="8">
        <v>0</v>
      </c>
      <c r="R104" s="7">
        <f>P104+(P104*Q104)</f>
        <v>0</v>
      </c>
      <c r="S104" s="9">
        <f>IFERROR(((R104-P104)/R104),0)</f>
        <v>0</v>
      </c>
      <c r="T104" s="7">
        <f t="shared" si="9"/>
        <v>44.744</v>
      </c>
      <c r="U104" s="8">
        <v>0</v>
      </c>
      <c r="V104" s="7">
        <f t="shared" si="10"/>
        <v>44.744</v>
      </c>
      <c r="W104" s="8">
        <f t="shared" si="11"/>
        <v>0</v>
      </c>
      <c r="X104" s="7">
        <f>IF(C104="Baja Complejidad",M104,0)</f>
        <v>0</v>
      </c>
      <c r="Y104" s="8">
        <v>0</v>
      </c>
      <c r="Z104" s="7">
        <f>(X104)+(X104*Y104)</f>
        <v>0</v>
      </c>
      <c r="AA104" s="8">
        <f>IFERROR(((Z104-X104)/Z104),0)</f>
        <v>0</v>
      </c>
      <c r="AB104" s="8">
        <v>0.1</v>
      </c>
    </row>
    <row r="105" spans="1:28" x14ac:dyDescent="0.25">
      <c r="A105">
        <v>2026</v>
      </c>
      <c r="B105" t="s">
        <v>56</v>
      </c>
      <c r="C105" t="s">
        <v>60</v>
      </c>
      <c r="D105" t="s">
        <v>61</v>
      </c>
      <c r="E105" t="s">
        <v>92</v>
      </c>
      <c r="G105" t="s">
        <v>31</v>
      </c>
      <c r="H105" t="s">
        <v>31</v>
      </c>
      <c r="I105" t="s">
        <v>64</v>
      </c>
      <c r="J105">
        <v>4</v>
      </c>
      <c r="K105" t="s">
        <v>33</v>
      </c>
      <c r="L105">
        <v>80300</v>
      </c>
      <c r="M105" s="7">
        <v>1284.8</v>
      </c>
      <c r="O105" s="7">
        <f t="shared" si="8"/>
        <v>1284.8</v>
      </c>
      <c r="P105" s="7">
        <f>IF(C105="Alta Complejidad",M105,0)</f>
        <v>0</v>
      </c>
      <c r="Q105" s="8">
        <v>0</v>
      </c>
      <c r="R105" s="7">
        <f>P105+(P105*Q105)</f>
        <v>0</v>
      </c>
      <c r="S105" s="9">
        <f>IFERROR(((R105-P105)/R105),0)</f>
        <v>0</v>
      </c>
      <c r="T105" s="7">
        <f t="shared" si="9"/>
        <v>1284.8</v>
      </c>
      <c r="U105" s="8">
        <v>0</v>
      </c>
      <c r="V105" s="7">
        <f t="shared" si="10"/>
        <v>1284.8</v>
      </c>
      <c r="W105" s="8">
        <f t="shared" si="11"/>
        <v>0</v>
      </c>
      <c r="X105" s="7">
        <f>IF(C105="Baja Complejidad",M105,0)</f>
        <v>0</v>
      </c>
      <c r="Y105" s="8">
        <v>0</v>
      </c>
      <c r="Z105" s="7">
        <f>(X105)+(X105*Y105)</f>
        <v>0</v>
      </c>
      <c r="AA105" s="8">
        <f>IFERROR(((Z105-X105)/Z105),0)</f>
        <v>0</v>
      </c>
      <c r="AB105" s="8">
        <v>0.1</v>
      </c>
    </row>
    <row r="106" spans="1:28" x14ac:dyDescent="0.25">
      <c r="A106">
        <v>2026</v>
      </c>
      <c r="B106" t="s">
        <v>56</v>
      </c>
      <c r="C106" t="s">
        <v>60</v>
      </c>
      <c r="D106" t="s">
        <v>61</v>
      </c>
      <c r="E106" t="s">
        <v>93</v>
      </c>
      <c r="G106" t="s">
        <v>31</v>
      </c>
      <c r="H106" t="s">
        <v>31</v>
      </c>
      <c r="I106" t="s">
        <v>40</v>
      </c>
      <c r="J106">
        <v>3</v>
      </c>
      <c r="K106" t="s">
        <v>33</v>
      </c>
      <c r="L106">
        <v>17888.080000000002</v>
      </c>
      <c r="M106" s="7">
        <v>53664.240000000005</v>
      </c>
      <c r="O106" s="7">
        <f t="shared" si="8"/>
        <v>53664.240000000005</v>
      </c>
      <c r="P106" s="7">
        <f>IF(C106="Alta Complejidad",M106,0)</f>
        <v>0</v>
      </c>
      <c r="Q106" s="8">
        <v>0</v>
      </c>
      <c r="R106" s="7">
        <f>P106+(P106*Q106)</f>
        <v>0</v>
      </c>
      <c r="S106" s="9">
        <f>IFERROR(((R106-P106)/R106),0)</f>
        <v>0</v>
      </c>
      <c r="T106" s="7">
        <f t="shared" si="9"/>
        <v>53664.240000000005</v>
      </c>
      <c r="U106" s="8">
        <v>0</v>
      </c>
      <c r="V106" s="7">
        <f t="shared" si="10"/>
        <v>53664.240000000005</v>
      </c>
      <c r="W106" s="8">
        <f t="shared" si="11"/>
        <v>0</v>
      </c>
      <c r="X106" s="7">
        <f>IF(C106="Baja Complejidad",M106,0)</f>
        <v>0</v>
      </c>
      <c r="Y106" s="8">
        <v>0</v>
      </c>
      <c r="Z106" s="7">
        <f>(X106)+(X106*Y106)</f>
        <v>0</v>
      </c>
      <c r="AA106" s="8">
        <f>IFERROR(((Z106-X106)/Z106),0)</f>
        <v>0</v>
      </c>
      <c r="AB106" s="8">
        <v>0.1</v>
      </c>
    </row>
    <row r="107" spans="1:28" x14ac:dyDescent="0.25">
      <c r="A107">
        <v>2026</v>
      </c>
      <c r="B107" t="s">
        <v>56</v>
      </c>
      <c r="C107" t="s">
        <v>60</v>
      </c>
      <c r="D107" t="s">
        <v>61</v>
      </c>
      <c r="E107" t="s">
        <v>94</v>
      </c>
      <c r="G107" t="s">
        <v>31</v>
      </c>
      <c r="H107" t="s">
        <v>31</v>
      </c>
      <c r="I107" t="s">
        <v>41</v>
      </c>
      <c r="J107">
        <v>1</v>
      </c>
      <c r="K107" t="s">
        <v>33</v>
      </c>
      <c r="L107">
        <v>337.3837894736842</v>
      </c>
      <c r="M107" s="7">
        <v>337.3837894736842</v>
      </c>
      <c r="O107" s="7">
        <f t="shared" si="8"/>
        <v>337.3837894736842</v>
      </c>
      <c r="P107" s="7">
        <f>IF(C107="Alta Complejidad",M107,0)</f>
        <v>0</v>
      </c>
      <c r="Q107" s="8">
        <v>0</v>
      </c>
      <c r="R107" s="7">
        <f>P107+(P107*Q107)</f>
        <v>0</v>
      </c>
      <c r="S107" s="9">
        <f>IFERROR(((R107-P107)/R107),0)</f>
        <v>0</v>
      </c>
      <c r="T107" s="7">
        <f t="shared" si="9"/>
        <v>337.3837894736842</v>
      </c>
      <c r="U107" s="8">
        <v>0</v>
      </c>
      <c r="V107" s="7">
        <f t="shared" si="10"/>
        <v>337.3837894736842</v>
      </c>
      <c r="W107" s="8">
        <f t="shared" si="11"/>
        <v>0</v>
      </c>
      <c r="X107" s="7">
        <f>IF(C107="Baja Complejidad",M107,0)</f>
        <v>0</v>
      </c>
      <c r="Y107" s="8">
        <v>0</v>
      </c>
      <c r="Z107" s="7">
        <f>(X107)+(X107*Y107)</f>
        <v>0</v>
      </c>
      <c r="AA107" s="8">
        <f>IFERROR(((Z107-X107)/Z107),0)</f>
        <v>0</v>
      </c>
      <c r="AB107" s="8">
        <v>0.1</v>
      </c>
    </row>
    <row r="108" spans="1:28" x14ac:dyDescent="0.25">
      <c r="A108">
        <v>2026</v>
      </c>
      <c r="B108" t="s">
        <v>56</v>
      </c>
      <c r="C108" t="s">
        <v>60</v>
      </c>
      <c r="D108" t="s">
        <v>61</v>
      </c>
      <c r="E108" t="s">
        <v>95</v>
      </c>
      <c r="G108" t="s">
        <v>31</v>
      </c>
      <c r="H108" t="s">
        <v>31</v>
      </c>
      <c r="I108" t="s">
        <v>83</v>
      </c>
      <c r="J108">
        <v>2</v>
      </c>
      <c r="K108" t="s">
        <v>33</v>
      </c>
      <c r="L108">
        <v>67900</v>
      </c>
      <c r="M108" s="7">
        <v>13580</v>
      </c>
      <c r="O108" s="7">
        <f t="shared" si="8"/>
        <v>13580</v>
      </c>
      <c r="P108" s="7">
        <f>IF(C108="Alta Complejidad",M108,0)</f>
        <v>0</v>
      </c>
      <c r="Q108" s="8">
        <v>0</v>
      </c>
      <c r="R108" s="7">
        <f>P108+(P108*Q108)</f>
        <v>0</v>
      </c>
      <c r="S108" s="9">
        <f>IFERROR(((R108-P108)/R108),0)</f>
        <v>0</v>
      </c>
      <c r="T108" s="7">
        <f t="shared" si="9"/>
        <v>13580</v>
      </c>
      <c r="U108" s="8">
        <v>0</v>
      </c>
      <c r="V108" s="7">
        <f t="shared" si="10"/>
        <v>13580</v>
      </c>
      <c r="W108" s="8">
        <f t="shared" si="11"/>
        <v>0</v>
      </c>
      <c r="X108" s="7">
        <f>IF(C108="Baja Complejidad",M108,0)</f>
        <v>0</v>
      </c>
      <c r="Y108" s="8">
        <v>0</v>
      </c>
      <c r="Z108" s="7">
        <f>(X108)+(X108*Y108)</f>
        <v>0</v>
      </c>
      <c r="AA108" s="8">
        <f>IFERROR(((Z108-X108)/Z108),0)</f>
        <v>0</v>
      </c>
      <c r="AB108" s="8">
        <v>0.1</v>
      </c>
    </row>
    <row r="109" spans="1:28" x14ac:dyDescent="0.25">
      <c r="A109">
        <v>2026</v>
      </c>
      <c r="B109" t="s">
        <v>56</v>
      </c>
      <c r="C109" t="s">
        <v>60</v>
      </c>
      <c r="D109" t="s">
        <v>61</v>
      </c>
      <c r="E109" t="s">
        <v>96</v>
      </c>
      <c r="G109" t="s">
        <v>31</v>
      </c>
      <c r="H109" t="s">
        <v>31</v>
      </c>
      <c r="I109" t="s">
        <v>84</v>
      </c>
      <c r="J109">
        <v>2</v>
      </c>
      <c r="K109" t="s">
        <v>33</v>
      </c>
      <c r="L109">
        <v>50300</v>
      </c>
      <c r="M109" s="7">
        <v>10060</v>
      </c>
      <c r="O109" s="7">
        <f t="shared" si="8"/>
        <v>10060</v>
      </c>
      <c r="P109" s="7">
        <f>IF(C109="Alta Complejidad",M109,0)</f>
        <v>0</v>
      </c>
      <c r="Q109" s="8">
        <v>0</v>
      </c>
      <c r="R109" s="7">
        <f>P109+(P109*Q109)</f>
        <v>0</v>
      </c>
      <c r="S109" s="9">
        <f>IFERROR(((R109-P109)/R109),0)</f>
        <v>0</v>
      </c>
      <c r="T109" s="7">
        <f t="shared" si="9"/>
        <v>10060</v>
      </c>
      <c r="U109" s="8">
        <v>0</v>
      </c>
      <c r="V109" s="7">
        <f t="shared" si="10"/>
        <v>10060</v>
      </c>
      <c r="W109" s="8">
        <f t="shared" si="11"/>
        <v>0</v>
      </c>
      <c r="X109" s="7">
        <f>IF(C109="Baja Complejidad",M109,0)</f>
        <v>0</v>
      </c>
      <c r="Y109" s="8">
        <v>0</v>
      </c>
      <c r="Z109" s="7">
        <f>(X109)+(X109*Y109)</f>
        <v>0</v>
      </c>
      <c r="AA109" s="8">
        <f>IFERROR(((Z109-X109)/Z109),0)</f>
        <v>0</v>
      </c>
      <c r="AB109" s="8">
        <v>0.1</v>
      </c>
    </row>
    <row r="110" spans="1:28" x14ac:dyDescent="0.25">
      <c r="A110">
        <v>2026</v>
      </c>
      <c r="B110" t="s">
        <v>56</v>
      </c>
      <c r="C110" t="s">
        <v>60</v>
      </c>
      <c r="D110" t="s">
        <v>61</v>
      </c>
      <c r="E110" t="s">
        <v>97</v>
      </c>
      <c r="G110" t="s">
        <v>31</v>
      </c>
      <c r="H110" t="s">
        <v>31</v>
      </c>
      <c r="I110" t="s">
        <v>82</v>
      </c>
      <c r="J110">
        <v>2</v>
      </c>
      <c r="K110" t="s">
        <v>33</v>
      </c>
      <c r="L110">
        <v>43500</v>
      </c>
      <c r="M110" s="7">
        <v>7250</v>
      </c>
      <c r="O110" s="7">
        <f t="shared" si="8"/>
        <v>7250</v>
      </c>
      <c r="P110" s="7">
        <f>IF(C110="Alta Complejidad",M110,0)</f>
        <v>0</v>
      </c>
      <c r="Q110" s="8">
        <v>0</v>
      </c>
      <c r="R110" s="7">
        <f>P110+(P110*Q110)</f>
        <v>0</v>
      </c>
      <c r="S110" s="9">
        <f>IFERROR(((R110-P110)/R110),0)</f>
        <v>0</v>
      </c>
      <c r="T110" s="7">
        <f t="shared" si="9"/>
        <v>7250</v>
      </c>
      <c r="U110" s="8">
        <v>0</v>
      </c>
      <c r="V110" s="7">
        <f t="shared" si="10"/>
        <v>7250</v>
      </c>
      <c r="W110" s="8">
        <f t="shared" si="11"/>
        <v>0</v>
      </c>
      <c r="X110" s="7">
        <f>IF(C110="Baja Complejidad",M110,0)</f>
        <v>0</v>
      </c>
      <c r="Y110" s="8">
        <v>0</v>
      </c>
      <c r="Z110" s="7">
        <f>(X110)+(X110*Y110)</f>
        <v>0</v>
      </c>
      <c r="AA110" s="8">
        <f>IFERROR(((Z110-X110)/Z110),0)</f>
        <v>0</v>
      </c>
      <c r="AB110" s="8">
        <v>0.1</v>
      </c>
    </row>
    <row r="111" spans="1:28" x14ac:dyDescent="0.25">
      <c r="A111">
        <v>2026</v>
      </c>
      <c r="B111" t="s">
        <v>56</v>
      </c>
      <c r="C111" t="s">
        <v>60</v>
      </c>
      <c r="D111" t="s">
        <v>61</v>
      </c>
      <c r="F111">
        <v>2400</v>
      </c>
      <c r="G111" t="s">
        <v>42</v>
      </c>
      <c r="H111" t="s">
        <v>42</v>
      </c>
      <c r="I111" t="s">
        <v>62</v>
      </c>
      <c r="J111">
        <v>30</v>
      </c>
      <c r="K111" t="s">
        <v>45</v>
      </c>
      <c r="L111" s="12">
        <v>348.24</v>
      </c>
      <c r="M111" s="7">
        <f>+L111*F111</f>
        <v>835776</v>
      </c>
      <c r="O111" s="7">
        <f t="shared" si="8"/>
        <v>835776</v>
      </c>
      <c r="P111" s="7">
        <f>IF(C111="Alta Complejidad",M111,0)</f>
        <v>0</v>
      </c>
      <c r="Q111" s="8">
        <v>0</v>
      </c>
      <c r="R111" s="7">
        <f>P111+(P111*Q111)</f>
        <v>0</v>
      </c>
      <c r="S111" s="9">
        <f>IFERROR(((R111-P111)/R111),0)</f>
        <v>0</v>
      </c>
      <c r="T111" s="7">
        <f t="shared" si="9"/>
        <v>835776</v>
      </c>
      <c r="U111" s="8">
        <v>0</v>
      </c>
      <c r="V111" s="7">
        <f t="shared" si="10"/>
        <v>835776</v>
      </c>
      <c r="W111" s="8">
        <f t="shared" si="11"/>
        <v>0</v>
      </c>
      <c r="X111" s="7">
        <f>IF(C111="Baja Complejidad",M111,0)</f>
        <v>0</v>
      </c>
      <c r="Y111" s="8">
        <v>0</v>
      </c>
      <c r="Z111" s="7">
        <f>(X111)+(X111*Y111)</f>
        <v>0</v>
      </c>
      <c r="AA111" s="8">
        <f>IFERROR(((Z111-X111)/Z111),0)</f>
        <v>0</v>
      </c>
      <c r="AB111" s="8">
        <v>0.1</v>
      </c>
    </row>
    <row r="112" spans="1:28" x14ac:dyDescent="0.25">
      <c r="A112">
        <v>2026</v>
      </c>
      <c r="B112" t="s">
        <v>56</v>
      </c>
      <c r="C112" t="s">
        <v>60</v>
      </c>
      <c r="D112" t="s">
        <v>61</v>
      </c>
      <c r="F112">
        <v>2400</v>
      </c>
      <c r="G112" t="s">
        <v>42</v>
      </c>
      <c r="H112" t="s">
        <v>42</v>
      </c>
      <c r="I112" t="s">
        <v>59</v>
      </c>
      <c r="J112">
        <v>30</v>
      </c>
      <c r="K112" t="s">
        <v>45</v>
      </c>
      <c r="L112" s="12">
        <v>201.61</v>
      </c>
      <c r="M112" s="7">
        <f t="shared" ref="M112:M113" si="14">+L112*F112</f>
        <v>483864.00000000006</v>
      </c>
      <c r="O112" s="7">
        <f t="shared" si="8"/>
        <v>483864.00000000006</v>
      </c>
      <c r="P112" s="7">
        <f>IF(C112="Alta Complejidad",M112,0)</f>
        <v>0</v>
      </c>
      <c r="Q112" s="8">
        <v>0</v>
      </c>
      <c r="R112" s="7">
        <f>P112+(P112*Q112)</f>
        <v>0</v>
      </c>
      <c r="S112" s="9">
        <f>IFERROR(((R112-P112)/R112),0)</f>
        <v>0</v>
      </c>
      <c r="T112" s="7">
        <f t="shared" si="9"/>
        <v>483864.00000000006</v>
      </c>
      <c r="U112" s="8">
        <v>0</v>
      </c>
      <c r="V112" s="7">
        <f t="shared" si="10"/>
        <v>483864.00000000006</v>
      </c>
      <c r="W112" s="8">
        <f t="shared" si="11"/>
        <v>0</v>
      </c>
      <c r="X112" s="7">
        <f>IF(C112="Baja Complejidad",M112,0)</f>
        <v>0</v>
      </c>
      <c r="Y112" s="8">
        <v>0</v>
      </c>
      <c r="Z112" s="7">
        <f>(X112)+(X112*Y112)</f>
        <v>0</v>
      </c>
      <c r="AA112" s="8">
        <f>IFERROR(((Z112-X112)/Z112),0)</f>
        <v>0</v>
      </c>
      <c r="AB112" s="8">
        <v>0.1</v>
      </c>
    </row>
    <row r="113" spans="1:28" x14ac:dyDescent="0.25">
      <c r="A113">
        <v>2026</v>
      </c>
      <c r="B113" t="s">
        <v>56</v>
      </c>
      <c r="C113" t="s">
        <v>60</v>
      </c>
      <c r="D113" t="s">
        <v>61</v>
      </c>
      <c r="F113">
        <v>1600</v>
      </c>
      <c r="G113" t="s">
        <v>42</v>
      </c>
      <c r="H113" t="s">
        <v>42</v>
      </c>
      <c r="I113" t="s">
        <v>50</v>
      </c>
      <c r="J113">
        <v>30</v>
      </c>
      <c r="K113" t="s">
        <v>45</v>
      </c>
      <c r="L113" s="12">
        <v>1000</v>
      </c>
      <c r="M113" s="7">
        <f t="shared" si="14"/>
        <v>1600000</v>
      </c>
      <c r="O113" s="7">
        <f t="shared" si="8"/>
        <v>1600000</v>
      </c>
      <c r="P113" s="7">
        <f>IF(C113="Alta Complejidad",M113,0)</f>
        <v>0</v>
      </c>
      <c r="Q113" s="8">
        <v>0</v>
      </c>
      <c r="R113" s="7">
        <f>P113+(P113*Q113)</f>
        <v>0</v>
      </c>
      <c r="S113" s="9">
        <f>IFERROR(((R113-P113)/R113),0)</f>
        <v>0</v>
      </c>
      <c r="T113" s="7">
        <f t="shared" si="9"/>
        <v>1600000</v>
      </c>
      <c r="U113" s="8">
        <v>0</v>
      </c>
      <c r="V113" s="7">
        <f t="shared" si="10"/>
        <v>1600000</v>
      </c>
      <c r="W113" s="8">
        <f t="shared" si="11"/>
        <v>0</v>
      </c>
      <c r="X113" s="7">
        <f>IF(C113="Baja Complejidad",M113,0)</f>
        <v>0</v>
      </c>
      <c r="Y113" s="8">
        <v>0</v>
      </c>
      <c r="Z113" s="7">
        <f>(X113)+(X113*Y113)</f>
        <v>0</v>
      </c>
      <c r="AA113" s="8">
        <f>IFERROR(((Z113-X113)/Z113),0)</f>
        <v>0</v>
      </c>
      <c r="AB113" s="8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DDB6-6DF0-4E6F-9CB9-D84F969122A4}">
  <dimension ref="A1:AB106"/>
  <sheetViews>
    <sheetView topLeftCell="Y82" workbookViewId="0">
      <selection activeCell="A2" sqref="A2:AB106"/>
    </sheetView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3" t="s">
        <v>26</v>
      </c>
      <c r="AB1" s="4" t="s">
        <v>27</v>
      </c>
    </row>
    <row r="2" spans="1:28" x14ac:dyDescent="0.25">
      <c r="A2">
        <v>2026</v>
      </c>
      <c r="B2" t="s">
        <v>28</v>
      </c>
      <c r="C2" t="s">
        <v>57</v>
      </c>
      <c r="D2" t="s">
        <v>58</v>
      </c>
      <c r="E2" t="s">
        <v>85</v>
      </c>
      <c r="G2" t="s">
        <v>31</v>
      </c>
      <c r="H2" t="s">
        <v>31</v>
      </c>
      <c r="I2" t="s">
        <v>32</v>
      </c>
      <c r="J2">
        <v>4</v>
      </c>
      <c r="K2" t="s">
        <v>33</v>
      </c>
      <c r="L2">
        <v>266</v>
      </c>
      <c r="M2" s="7">
        <v>1064</v>
      </c>
      <c r="O2" s="7">
        <f>Z2</f>
        <v>1064</v>
      </c>
      <c r="P2" s="7">
        <f>IF(C2="Alta Complejidad",M2,0)</f>
        <v>0</v>
      </c>
      <c r="Q2" s="8">
        <v>0</v>
      </c>
      <c r="R2" s="7">
        <f>P2+(P2*Q2)</f>
        <v>0</v>
      </c>
      <c r="S2" s="9">
        <f>IFERROR(((R2-P2)/R2),0)</f>
        <v>0</v>
      </c>
      <c r="T2" s="7">
        <f>IF(C2="Mediana Complejidad",M2,0)</f>
        <v>0</v>
      </c>
      <c r="U2" s="8">
        <v>0</v>
      </c>
      <c r="V2" s="7">
        <f>(T2)+(T2*U2)</f>
        <v>0</v>
      </c>
      <c r="W2" s="8">
        <f>IFERROR(((V2-T2)/V2),0)</f>
        <v>0</v>
      </c>
      <c r="X2" s="7">
        <f>IF(C2="Baja Complejidad",M2,0)</f>
        <v>1064</v>
      </c>
      <c r="Y2" s="8">
        <v>0</v>
      </c>
      <c r="Z2" s="7">
        <f>X2+(X2*Y2)</f>
        <v>1064</v>
      </c>
      <c r="AA2" s="8">
        <f>IFERROR(((Z2-X2)/Z2),0)</f>
        <v>0</v>
      </c>
      <c r="AB2" s="8">
        <v>0.1</v>
      </c>
    </row>
    <row r="3" spans="1:28" x14ac:dyDescent="0.25">
      <c r="A3">
        <v>2026</v>
      </c>
      <c r="B3" t="s">
        <v>28</v>
      </c>
      <c r="C3" t="s">
        <v>57</v>
      </c>
      <c r="D3" t="s">
        <v>58</v>
      </c>
      <c r="E3" t="s">
        <v>86</v>
      </c>
      <c r="G3" t="s">
        <v>31</v>
      </c>
      <c r="H3" t="s">
        <v>31</v>
      </c>
      <c r="I3" t="s">
        <v>34</v>
      </c>
      <c r="J3">
        <v>1</v>
      </c>
      <c r="K3" t="s">
        <v>33</v>
      </c>
      <c r="L3">
        <v>1086.232</v>
      </c>
      <c r="M3" s="7">
        <v>1086.232</v>
      </c>
      <c r="O3" s="7">
        <f t="shared" ref="O3:O16" si="0">Z3</f>
        <v>1086.232</v>
      </c>
      <c r="P3" s="7">
        <f>IF(C3="Alta Complejidad",M3,0)</f>
        <v>0</v>
      </c>
      <c r="Q3" s="8">
        <v>0</v>
      </c>
      <c r="R3" s="7">
        <f>P3+(P3*Q3)</f>
        <v>0</v>
      </c>
      <c r="S3" s="9">
        <f>IFERROR(((R3-P3)/R3),0)</f>
        <v>0</v>
      </c>
      <c r="T3" s="7">
        <f>IF(C3="Mediana Complejidad",M3,0)</f>
        <v>0</v>
      </c>
      <c r="U3" s="8">
        <v>0</v>
      </c>
      <c r="V3" s="7">
        <f>(T3)+(T3*U3)</f>
        <v>0</v>
      </c>
      <c r="W3" s="8">
        <f>IFERROR(((V3-T3)/V3),0)</f>
        <v>0</v>
      </c>
      <c r="X3" s="7">
        <f>IF(C3="Baja Complejidad",M3,0)</f>
        <v>1086.232</v>
      </c>
      <c r="Y3" s="8">
        <v>0</v>
      </c>
      <c r="Z3" s="7">
        <f t="shared" ref="Z3:Z16" si="1">X3+(X3*Y3)</f>
        <v>1086.232</v>
      </c>
      <c r="AA3" s="8">
        <f>IFERROR(((Z3-X3)/Z3),0)</f>
        <v>0</v>
      </c>
      <c r="AB3" s="8">
        <v>0.1</v>
      </c>
    </row>
    <row r="4" spans="1:28" x14ac:dyDescent="0.25">
      <c r="A4">
        <v>2026</v>
      </c>
      <c r="B4" t="s">
        <v>28</v>
      </c>
      <c r="C4" t="s">
        <v>57</v>
      </c>
      <c r="D4" t="s">
        <v>58</v>
      </c>
      <c r="E4" t="s">
        <v>87</v>
      </c>
      <c r="G4" t="s">
        <v>31</v>
      </c>
      <c r="H4" t="s">
        <v>31</v>
      </c>
      <c r="I4" t="s">
        <v>35</v>
      </c>
      <c r="J4">
        <v>4</v>
      </c>
      <c r="K4" t="s">
        <v>33</v>
      </c>
      <c r="L4">
        <v>370</v>
      </c>
      <c r="M4" s="7">
        <v>1480</v>
      </c>
      <c r="O4" s="7">
        <f t="shared" si="0"/>
        <v>1480</v>
      </c>
      <c r="P4" s="7">
        <f>IF(C4="Alta Complejidad",M4,0)</f>
        <v>0</v>
      </c>
      <c r="Q4" s="8">
        <v>0</v>
      </c>
      <c r="R4" s="7">
        <f>P4+(P4*Q4)</f>
        <v>0</v>
      </c>
      <c r="S4" s="9">
        <f>IFERROR(((R4-P4)/R4),0)</f>
        <v>0</v>
      </c>
      <c r="T4" s="7">
        <f>IF(C4="Mediana Complejidad",M4,0)</f>
        <v>0</v>
      </c>
      <c r="U4" s="8">
        <v>0</v>
      </c>
      <c r="V4" s="7">
        <f>(T4)+(T4*U4)</f>
        <v>0</v>
      </c>
      <c r="W4" s="8">
        <f>IFERROR(((V4-T4)/V4),0)</f>
        <v>0</v>
      </c>
      <c r="X4" s="7">
        <f>IF(C4="Baja Complejidad",M4,0)</f>
        <v>1480</v>
      </c>
      <c r="Y4" s="8">
        <v>0</v>
      </c>
      <c r="Z4" s="7">
        <f t="shared" si="1"/>
        <v>1480</v>
      </c>
      <c r="AA4" s="8">
        <f>IFERROR(((Z4-X4)/Z4),0)</f>
        <v>0</v>
      </c>
      <c r="AB4" s="8">
        <v>0.1</v>
      </c>
    </row>
    <row r="5" spans="1:28" x14ac:dyDescent="0.25">
      <c r="A5">
        <v>2026</v>
      </c>
      <c r="B5" t="s">
        <v>28</v>
      </c>
      <c r="C5" t="s">
        <v>57</v>
      </c>
      <c r="D5" t="s">
        <v>58</v>
      </c>
      <c r="E5" t="s">
        <v>88</v>
      </c>
      <c r="G5" t="s">
        <v>31</v>
      </c>
      <c r="H5" t="s">
        <v>31</v>
      </c>
      <c r="I5" t="s">
        <v>36</v>
      </c>
      <c r="J5">
        <v>1</v>
      </c>
      <c r="K5" t="s">
        <v>33</v>
      </c>
      <c r="L5">
        <v>2643</v>
      </c>
      <c r="M5" s="7">
        <v>2643</v>
      </c>
      <c r="O5" s="7">
        <f t="shared" si="0"/>
        <v>2643</v>
      </c>
      <c r="P5" s="7">
        <f>IF(C5="Alta Complejidad",M5,0)</f>
        <v>0</v>
      </c>
      <c r="Q5" s="8">
        <v>0</v>
      </c>
      <c r="R5" s="7">
        <f>P5+(P5*Q5)</f>
        <v>0</v>
      </c>
      <c r="S5" s="9">
        <f>IFERROR(((R5-P5)/R5),0)</f>
        <v>0</v>
      </c>
      <c r="T5" s="7">
        <f>IF(C5="Mediana Complejidad",M5,0)</f>
        <v>0</v>
      </c>
      <c r="U5" s="8">
        <v>0</v>
      </c>
      <c r="V5" s="7">
        <f>(T5)+(T5*U5)</f>
        <v>0</v>
      </c>
      <c r="W5" s="8">
        <f>IFERROR(((V5-T5)/V5),0)</f>
        <v>0</v>
      </c>
      <c r="X5" s="7">
        <f>IF(C5="Baja Complejidad",M5,0)</f>
        <v>2643</v>
      </c>
      <c r="Y5" s="8">
        <v>0</v>
      </c>
      <c r="Z5" s="7">
        <f t="shared" si="1"/>
        <v>2643</v>
      </c>
      <c r="AA5" s="8">
        <f>IFERROR(((Z5-X5)/Z5),0)</f>
        <v>0</v>
      </c>
      <c r="AB5" s="8">
        <v>0.1</v>
      </c>
    </row>
    <row r="6" spans="1:28" x14ac:dyDescent="0.25">
      <c r="A6">
        <v>2026</v>
      </c>
      <c r="B6" t="s">
        <v>28</v>
      </c>
      <c r="C6" t="s">
        <v>57</v>
      </c>
      <c r="D6" t="s">
        <v>58</v>
      </c>
      <c r="E6" t="s">
        <v>89</v>
      </c>
      <c r="G6" t="s">
        <v>31</v>
      </c>
      <c r="H6" t="s">
        <v>31</v>
      </c>
      <c r="I6" t="s">
        <v>37</v>
      </c>
      <c r="J6">
        <v>1</v>
      </c>
      <c r="K6" t="s">
        <v>33</v>
      </c>
      <c r="L6">
        <v>135.66</v>
      </c>
      <c r="M6" s="7">
        <v>135.66</v>
      </c>
      <c r="O6" s="7">
        <f t="shared" si="0"/>
        <v>135.66</v>
      </c>
      <c r="P6" s="7">
        <f>IF(C6="Alta Complejidad",M6,0)</f>
        <v>0</v>
      </c>
      <c r="Q6" s="8">
        <v>0</v>
      </c>
      <c r="R6" s="7">
        <f>P6+(P6*Q6)</f>
        <v>0</v>
      </c>
      <c r="S6" s="9">
        <f>IFERROR(((R6-P6)/R6),0)</f>
        <v>0</v>
      </c>
      <c r="T6" s="7">
        <f>IF(C6="Mediana Complejidad",M6,0)</f>
        <v>0</v>
      </c>
      <c r="U6" s="8">
        <v>0</v>
      </c>
      <c r="V6" s="7">
        <f>(T6)+(T6*U6)</f>
        <v>0</v>
      </c>
      <c r="W6" s="8">
        <f>IFERROR(((V6-T6)/V6),0)</f>
        <v>0</v>
      </c>
      <c r="X6" s="7">
        <f>IF(C6="Baja Complejidad",M6,0)</f>
        <v>135.66</v>
      </c>
      <c r="Y6" s="8">
        <v>0</v>
      </c>
      <c r="Z6" s="7">
        <f t="shared" si="1"/>
        <v>135.66</v>
      </c>
      <c r="AA6" s="8">
        <f>IFERROR(((Z6-X6)/Z6),0)</f>
        <v>0</v>
      </c>
      <c r="AB6" s="8">
        <v>0.1</v>
      </c>
    </row>
    <row r="7" spans="1:28" x14ac:dyDescent="0.25">
      <c r="A7">
        <v>2026</v>
      </c>
      <c r="B7" t="s">
        <v>28</v>
      </c>
      <c r="C7" t="s">
        <v>57</v>
      </c>
      <c r="D7" t="s">
        <v>58</v>
      </c>
      <c r="E7" t="s">
        <v>90</v>
      </c>
      <c r="G7" t="s">
        <v>31</v>
      </c>
      <c r="H7" t="s">
        <v>31</v>
      </c>
      <c r="I7" t="s">
        <v>38</v>
      </c>
      <c r="J7">
        <v>1</v>
      </c>
      <c r="K7" t="s">
        <v>33</v>
      </c>
      <c r="L7">
        <v>3808</v>
      </c>
      <c r="M7" s="7">
        <v>3808</v>
      </c>
      <c r="O7" s="7">
        <f t="shared" si="0"/>
        <v>3808</v>
      </c>
      <c r="P7" s="7">
        <f>IF(C7="Alta Complejidad",M7,0)</f>
        <v>0</v>
      </c>
      <c r="Q7" s="8">
        <v>0</v>
      </c>
      <c r="R7" s="7">
        <f>P7+(P7*Q7)</f>
        <v>0</v>
      </c>
      <c r="S7" s="9">
        <f>IFERROR(((R7-P7)/R7),0)</f>
        <v>0</v>
      </c>
      <c r="T7" s="7">
        <f>IF(C7="Mediana Complejidad",M7,0)</f>
        <v>0</v>
      </c>
      <c r="U7" s="8">
        <v>0</v>
      </c>
      <c r="V7" s="7">
        <f>(T7)+(T7*U7)</f>
        <v>0</v>
      </c>
      <c r="W7" s="8">
        <f>IFERROR(((V7-T7)/V7),0)</f>
        <v>0</v>
      </c>
      <c r="X7" s="7">
        <f>IF(C7="Baja Complejidad",M7,0)</f>
        <v>3808</v>
      </c>
      <c r="Y7" s="8">
        <v>0</v>
      </c>
      <c r="Z7" s="7">
        <f t="shared" si="1"/>
        <v>3808</v>
      </c>
      <c r="AA7" s="8">
        <f>IFERROR(((Z7-X7)/Z7),0)</f>
        <v>0</v>
      </c>
      <c r="AB7" s="8">
        <v>0.1</v>
      </c>
    </row>
    <row r="8" spans="1:28" x14ac:dyDescent="0.25">
      <c r="A8">
        <v>2026</v>
      </c>
      <c r="B8" t="s">
        <v>28</v>
      </c>
      <c r="C8" t="s">
        <v>57</v>
      </c>
      <c r="D8" t="s">
        <v>58</v>
      </c>
      <c r="E8" t="s">
        <v>91</v>
      </c>
      <c r="G8" t="s">
        <v>31</v>
      </c>
      <c r="H8" t="s">
        <v>31</v>
      </c>
      <c r="I8" t="s">
        <v>39</v>
      </c>
      <c r="J8">
        <v>1</v>
      </c>
      <c r="K8" t="s">
        <v>33</v>
      </c>
      <c r="L8">
        <v>111.86</v>
      </c>
      <c r="M8" s="7">
        <v>111.86</v>
      </c>
      <c r="O8" s="7">
        <f t="shared" si="0"/>
        <v>111.86</v>
      </c>
      <c r="P8" s="7">
        <f>IF(C8="Alta Complejidad",M8,0)</f>
        <v>0</v>
      </c>
      <c r="Q8" s="8">
        <v>0</v>
      </c>
      <c r="R8" s="7">
        <f>P8+(P8*Q8)</f>
        <v>0</v>
      </c>
      <c r="S8" s="9">
        <f>IFERROR(((R8-P8)/R8),0)</f>
        <v>0</v>
      </c>
      <c r="T8" s="7">
        <f>IF(C8="Mediana Complejidad",M8,0)</f>
        <v>0</v>
      </c>
      <c r="U8" s="8">
        <v>0</v>
      </c>
      <c r="V8" s="7">
        <f>(T8)+(T8*U8)</f>
        <v>0</v>
      </c>
      <c r="W8" s="8">
        <f>IFERROR(((V8-T8)/V8),0)</f>
        <v>0</v>
      </c>
      <c r="X8" s="7">
        <f>IF(C8="Baja Complejidad",M8,0)</f>
        <v>111.86</v>
      </c>
      <c r="Y8" s="8">
        <v>0</v>
      </c>
      <c r="Z8" s="7">
        <f t="shared" si="1"/>
        <v>111.86</v>
      </c>
      <c r="AA8" s="8">
        <f>IFERROR(((Z8-X8)/Z8),0)</f>
        <v>0</v>
      </c>
      <c r="AB8" s="8">
        <v>0.1</v>
      </c>
    </row>
    <row r="9" spans="1:28" x14ac:dyDescent="0.25">
      <c r="A9">
        <v>2026</v>
      </c>
      <c r="B9" t="s">
        <v>28</v>
      </c>
      <c r="C9" t="s">
        <v>57</v>
      </c>
      <c r="D9" t="s">
        <v>58</v>
      </c>
      <c r="E9" t="s">
        <v>92</v>
      </c>
      <c r="G9" t="s">
        <v>31</v>
      </c>
      <c r="H9" t="s">
        <v>31</v>
      </c>
      <c r="I9" t="s">
        <v>64</v>
      </c>
      <c r="J9">
        <v>2</v>
      </c>
      <c r="K9" t="s">
        <v>33</v>
      </c>
      <c r="L9">
        <v>80300</v>
      </c>
      <c r="M9" s="7">
        <v>642.4</v>
      </c>
      <c r="O9" s="7">
        <f t="shared" si="0"/>
        <v>642.4</v>
      </c>
      <c r="P9" s="7">
        <f>IF(C9="Alta Complejidad",M9,0)</f>
        <v>0</v>
      </c>
      <c r="Q9" s="8">
        <v>0</v>
      </c>
      <c r="R9" s="7">
        <f>P9+(P9*Q9)</f>
        <v>0</v>
      </c>
      <c r="S9" s="9">
        <f>IFERROR(((R9-P9)/R9),0)</f>
        <v>0</v>
      </c>
      <c r="T9" s="7">
        <f>IF(C9="Mediana Complejidad",M9,0)</f>
        <v>0</v>
      </c>
      <c r="U9" s="8">
        <v>0</v>
      </c>
      <c r="V9" s="7">
        <f>(T9)+(T9*U9)</f>
        <v>0</v>
      </c>
      <c r="W9" s="8">
        <f>IFERROR(((V9-T9)/V9),0)</f>
        <v>0</v>
      </c>
      <c r="X9" s="7">
        <f>IF(C9="Baja Complejidad",M9,0)</f>
        <v>642.4</v>
      </c>
      <c r="Y9" s="8">
        <v>0</v>
      </c>
      <c r="Z9" s="7">
        <f t="shared" si="1"/>
        <v>642.4</v>
      </c>
      <c r="AA9" s="8">
        <f>IFERROR(((Z9-X9)/Z9),0)</f>
        <v>0</v>
      </c>
      <c r="AB9" s="8">
        <v>0.1</v>
      </c>
    </row>
    <row r="10" spans="1:28" x14ac:dyDescent="0.25">
      <c r="A10">
        <v>2026</v>
      </c>
      <c r="B10" t="s">
        <v>28</v>
      </c>
      <c r="C10" t="s">
        <v>57</v>
      </c>
      <c r="D10" t="s">
        <v>58</v>
      </c>
      <c r="E10" t="s">
        <v>93</v>
      </c>
      <c r="G10" t="s">
        <v>31</v>
      </c>
      <c r="H10" t="s">
        <v>31</v>
      </c>
      <c r="I10" t="s">
        <v>40</v>
      </c>
      <c r="J10">
        <v>2</v>
      </c>
      <c r="K10" t="s">
        <v>33</v>
      </c>
      <c r="L10">
        <v>17888.080000000002</v>
      </c>
      <c r="M10" s="7">
        <v>35776.160000000003</v>
      </c>
      <c r="O10" s="7">
        <f t="shared" si="0"/>
        <v>35776.160000000003</v>
      </c>
      <c r="P10" s="7">
        <f>IF(C10="Alta Complejidad",M10,0)</f>
        <v>0</v>
      </c>
      <c r="Q10" s="8">
        <v>0</v>
      </c>
      <c r="R10" s="7">
        <f>P10+(P10*Q10)</f>
        <v>0</v>
      </c>
      <c r="S10" s="9">
        <f>IFERROR(((R10-P10)/R10),0)</f>
        <v>0</v>
      </c>
      <c r="T10" s="7">
        <f>IF(C10="Mediana Complejidad",M10,0)</f>
        <v>0</v>
      </c>
      <c r="U10" s="8">
        <v>0</v>
      </c>
      <c r="V10" s="7">
        <f>(T10)+(T10*U10)</f>
        <v>0</v>
      </c>
      <c r="W10" s="8">
        <f>IFERROR(((V10-T10)/V10),0)</f>
        <v>0</v>
      </c>
      <c r="X10" s="7">
        <f>IF(C10="Baja Complejidad",M10,0)</f>
        <v>35776.160000000003</v>
      </c>
      <c r="Y10" s="8">
        <v>0</v>
      </c>
      <c r="Z10" s="7">
        <f t="shared" si="1"/>
        <v>35776.160000000003</v>
      </c>
      <c r="AA10" s="8">
        <f>IFERROR(((Z10-X10)/Z10),0)</f>
        <v>0</v>
      </c>
      <c r="AB10" s="8">
        <v>0.1</v>
      </c>
    </row>
    <row r="11" spans="1:28" x14ac:dyDescent="0.25">
      <c r="A11">
        <v>2026</v>
      </c>
      <c r="B11" t="s">
        <v>28</v>
      </c>
      <c r="C11" t="s">
        <v>57</v>
      </c>
      <c r="D11" t="s">
        <v>58</v>
      </c>
      <c r="E11" t="s">
        <v>94</v>
      </c>
      <c r="G11" t="s">
        <v>31</v>
      </c>
      <c r="H11" t="s">
        <v>31</v>
      </c>
      <c r="I11" t="s">
        <v>41</v>
      </c>
      <c r="J11">
        <v>2</v>
      </c>
      <c r="K11" t="s">
        <v>33</v>
      </c>
      <c r="L11">
        <v>337.3837894736842</v>
      </c>
      <c r="M11" s="7">
        <v>674.76757894736841</v>
      </c>
      <c r="O11" s="7">
        <f t="shared" si="0"/>
        <v>674.76757894736841</v>
      </c>
      <c r="P11" s="7">
        <f>IF(C11="Alta Complejidad",M11,0)</f>
        <v>0</v>
      </c>
      <c r="Q11" s="8">
        <v>0</v>
      </c>
      <c r="R11" s="7">
        <f>P11+(P11*Q11)</f>
        <v>0</v>
      </c>
      <c r="S11" s="9">
        <f>IFERROR(((R11-P11)/R11),0)</f>
        <v>0</v>
      </c>
      <c r="T11" s="7">
        <f>IF(C11="Mediana Complejidad",M11,0)</f>
        <v>0</v>
      </c>
      <c r="U11" s="8">
        <v>0</v>
      </c>
      <c r="V11" s="7">
        <f>(T11)+(T11*U11)</f>
        <v>0</v>
      </c>
      <c r="W11" s="8">
        <f>IFERROR(((V11-T11)/V11),0)</f>
        <v>0</v>
      </c>
      <c r="X11" s="7">
        <f>IF(C11="Baja Complejidad",M11,0)</f>
        <v>674.76757894736841</v>
      </c>
      <c r="Y11" s="8">
        <v>0</v>
      </c>
      <c r="Z11" s="7">
        <f t="shared" si="1"/>
        <v>674.76757894736841</v>
      </c>
      <c r="AA11" s="8">
        <f>IFERROR(((Z11-X11)/Z11),0)</f>
        <v>0</v>
      </c>
      <c r="AB11" s="8">
        <v>0.1</v>
      </c>
    </row>
    <row r="12" spans="1:28" x14ac:dyDescent="0.25">
      <c r="A12">
        <v>2026</v>
      </c>
      <c r="B12" t="s">
        <v>28</v>
      </c>
      <c r="C12" t="s">
        <v>57</v>
      </c>
      <c r="D12" t="s">
        <v>58</v>
      </c>
      <c r="E12" t="s">
        <v>95</v>
      </c>
      <c r="G12" t="s">
        <v>31</v>
      </c>
      <c r="H12" t="s">
        <v>31</v>
      </c>
      <c r="I12" t="s">
        <v>83</v>
      </c>
      <c r="J12">
        <v>1</v>
      </c>
      <c r="K12" t="s">
        <v>33</v>
      </c>
      <c r="L12">
        <v>67900</v>
      </c>
      <c r="M12" s="7">
        <v>6790</v>
      </c>
      <c r="O12" s="7">
        <f t="shared" si="0"/>
        <v>6790</v>
      </c>
      <c r="P12" s="7">
        <f>IF(C12="Alta Complejidad",M12,0)</f>
        <v>0</v>
      </c>
      <c r="Q12" s="8">
        <v>0</v>
      </c>
      <c r="R12" s="7">
        <f>P12+(P12*Q12)</f>
        <v>0</v>
      </c>
      <c r="S12" s="9">
        <f>IFERROR(((R12-P12)/R12),0)</f>
        <v>0</v>
      </c>
      <c r="T12" s="7">
        <f>IF(C12="Mediana Complejidad",M12,0)</f>
        <v>0</v>
      </c>
      <c r="U12" s="8">
        <v>0</v>
      </c>
      <c r="V12" s="7">
        <f>(T12)+(T12*U12)</f>
        <v>0</v>
      </c>
      <c r="W12" s="8">
        <f>IFERROR(((V12-T12)/V12),0)</f>
        <v>0</v>
      </c>
      <c r="X12" s="7">
        <f>IF(C12="Baja Complejidad",M12,0)</f>
        <v>6790</v>
      </c>
      <c r="Y12" s="8">
        <v>0</v>
      </c>
      <c r="Z12" s="7">
        <f t="shared" si="1"/>
        <v>6790</v>
      </c>
      <c r="AA12" s="8">
        <f>IFERROR(((Z12-X12)/Z12),0)</f>
        <v>0</v>
      </c>
      <c r="AB12" s="8">
        <v>0.1</v>
      </c>
    </row>
    <row r="13" spans="1:28" x14ac:dyDescent="0.25">
      <c r="A13">
        <v>2026</v>
      </c>
      <c r="B13" t="s">
        <v>28</v>
      </c>
      <c r="C13" t="s">
        <v>57</v>
      </c>
      <c r="D13" t="s">
        <v>58</v>
      </c>
      <c r="E13" t="s">
        <v>96</v>
      </c>
      <c r="G13" t="s">
        <v>31</v>
      </c>
      <c r="H13" t="s">
        <v>31</v>
      </c>
      <c r="I13" t="s">
        <v>84</v>
      </c>
      <c r="J13">
        <v>1</v>
      </c>
      <c r="K13" t="s">
        <v>33</v>
      </c>
      <c r="L13">
        <v>50300</v>
      </c>
      <c r="M13" s="7">
        <v>5030</v>
      </c>
      <c r="O13" s="7">
        <f t="shared" si="0"/>
        <v>5030</v>
      </c>
      <c r="P13" s="7">
        <f>IF(C13="Alta Complejidad",M13,0)</f>
        <v>0</v>
      </c>
      <c r="Q13" s="8">
        <v>0</v>
      </c>
      <c r="R13" s="7">
        <f>P13+(P13*Q13)</f>
        <v>0</v>
      </c>
      <c r="S13" s="9">
        <f>IFERROR(((R13-P13)/R13),0)</f>
        <v>0</v>
      </c>
      <c r="T13" s="7">
        <f>IF(C13="Mediana Complejidad",M13,0)</f>
        <v>0</v>
      </c>
      <c r="U13" s="8">
        <v>0</v>
      </c>
      <c r="V13" s="7">
        <f>(T13)+(T13*U13)</f>
        <v>0</v>
      </c>
      <c r="W13" s="8">
        <f>IFERROR(((V13-T13)/V13),0)</f>
        <v>0</v>
      </c>
      <c r="X13" s="7">
        <f>IF(C13="Baja Complejidad",M13,0)</f>
        <v>5030</v>
      </c>
      <c r="Y13" s="8">
        <v>0</v>
      </c>
      <c r="Z13" s="7">
        <f t="shared" si="1"/>
        <v>5030</v>
      </c>
      <c r="AA13" s="8">
        <f>IFERROR(((Z13-X13)/Z13),0)</f>
        <v>0</v>
      </c>
      <c r="AB13" s="8">
        <v>0.1</v>
      </c>
    </row>
    <row r="14" spans="1:28" x14ac:dyDescent="0.25">
      <c r="A14">
        <v>2026</v>
      </c>
      <c r="B14" t="s">
        <v>28</v>
      </c>
      <c r="C14" t="s">
        <v>57</v>
      </c>
      <c r="D14" t="s">
        <v>58</v>
      </c>
      <c r="E14" t="s">
        <v>97</v>
      </c>
      <c r="G14" t="s">
        <v>31</v>
      </c>
      <c r="H14" t="s">
        <v>31</v>
      </c>
      <c r="I14" t="s">
        <v>82</v>
      </c>
      <c r="J14">
        <v>1</v>
      </c>
      <c r="K14" t="s">
        <v>33</v>
      </c>
      <c r="L14">
        <v>43500</v>
      </c>
      <c r="M14" s="7">
        <v>3625</v>
      </c>
      <c r="O14" s="7">
        <f t="shared" si="0"/>
        <v>3625</v>
      </c>
      <c r="P14" s="7">
        <f>IF(C14="Alta Complejidad",M14,0)</f>
        <v>0</v>
      </c>
      <c r="Q14" s="8">
        <v>0</v>
      </c>
      <c r="R14" s="7">
        <f>P14+(P14*Q14)</f>
        <v>0</v>
      </c>
      <c r="S14" s="9">
        <f>IFERROR(((R14-P14)/R14),0)</f>
        <v>0</v>
      </c>
      <c r="T14" s="7">
        <f>IF(C14="Mediana Complejidad",M14,0)</f>
        <v>0</v>
      </c>
      <c r="U14" s="8">
        <v>0</v>
      </c>
      <c r="V14" s="7">
        <f>(T14)+(T14*U14)</f>
        <v>0</v>
      </c>
      <c r="W14" s="8">
        <f>IFERROR(((V14-T14)/V14),0)</f>
        <v>0</v>
      </c>
      <c r="X14" s="7">
        <f>IF(C14="Baja Complejidad",M14,0)</f>
        <v>3625</v>
      </c>
      <c r="Y14" s="8">
        <v>0</v>
      </c>
      <c r="Z14" s="7">
        <f t="shared" si="1"/>
        <v>3625</v>
      </c>
      <c r="AA14" s="8">
        <f>IFERROR(((Z14-X14)/Z14),0)</f>
        <v>0</v>
      </c>
      <c r="AB14" s="8">
        <v>0.1</v>
      </c>
    </row>
    <row r="15" spans="1:28" x14ac:dyDescent="0.25">
      <c r="A15">
        <v>2026</v>
      </c>
      <c r="B15" t="s">
        <v>28</v>
      </c>
      <c r="C15" t="s">
        <v>57</v>
      </c>
      <c r="D15" t="s">
        <v>58</v>
      </c>
      <c r="E15">
        <v>1965</v>
      </c>
      <c r="F15">
        <v>1600</v>
      </c>
      <c r="G15" t="s">
        <v>42</v>
      </c>
      <c r="H15" t="s">
        <v>42</v>
      </c>
      <c r="I15" t="s">
        <v>59</v>
      </c>
      <c r="J15">
        <v>80</v>
      </c>
      <c r="K15" t="s">
        <v>45</v>
      </c>
      <c r="L15">
        <v>201.61</v>
      </c>
      <c r="M15" s="7">
        <f>+L15*F15</f>
        <v>322576</v>
      </c>
      <c r="O15" s="7">
        <f t="shared" si="0"/>
        <v>322576</v>
      </c>
      <c r="P15" s="7">
        <f>IF(C15="Alta Complejidad",M15,0)</f>
        <v>0</v>
      </c>
      <c r="Q15" s="8">
        <v>0</v>
      </c>
      <c r="R15" s="7">
        <f>P15+(P15*Q15)</f>
        <v>0</v>
      </c>
      <c r="S15" s="9">
        <f>IFERROR(((R15-P15)/R15),0)</f>
        <v>0</v>
      </c>
      <c r="T15" s="7">
        <f>IF(C15="Mediana Complejidad",M15,0)</f>
        <v>0</v>
      </c>
      <c r="U15" s="8">
        <v>0</v>
      </c>
      <c r="V15" s="7">
        <f>(T15)+(T15*U15)</f>
        <v>0</v>
      </c>
      <c r="W15" s="8">
        <f>IFERROR(((V15-T15)/V15),0)</f>
        <v>0</v>
      </c>
      <c r="X15" s="7">
        <f>IF(C15="Baja Complejidad",M15,0)</f>
        <v>322576</v>
      </c>
      <c r="Y15" s="8">
        <v>0</v>
      </c>
      <c r="Z15" s="7">
        <f t="shared" si="1"/>
        <v>322576</v>
      </c>
      <c r="AA15" s="8">
        <f>IFERROR(((Z15-X15)/Z15),0)</f>
        <v>0</v>
      </c>
      <c r="AB15" s="8">
        <v>0.1</v>
      </c>
    </row>
    <row r="16" spans="1:28" x14ac:dyDescent="0.25">
      <c r="A16">
        <v>2026</v>
      </c>
      <c r="B16" t="s">
        <v>28</v>
      </c>
      <c r="C16" t="s">
        <v>57</v>
      </c>
      <c r="D16" t="s">
        <v>58</v>
      </c>
      <c r="E16">
        <v>1965</v>
      </c>
      <c r="G16" t="s">
        <v>43</v>
      </c>
      <c r="H16" t="s">
        <v>43</v>
      </c>
      <c r="I16" t="s">
        <v>44</v>
      </c>
      <c r="J16">
        <v>3</v>
      </c>
      <c r="K16" t="s">
        <v>33</v>
      </c>
      <c r="L16">
        <v>3000</v>
      </c>
      <c r="M16" s="7">
        <v>12657</v>
      </c>
      <c r="O16" s="7">
        <f t="shared" si="0"/>
        <v>12657</v>
      </c>
      <c r="P16" s="7">
        <f>IF(C16="Alta Complejidad",M16,0)</f>
        <v>0</v>
      </c>
      <c r="Q16" s="8">
        <v>0</v>
      </c>
      <c r="R16" s="7">
        <f>P16+(P16*Q16)</f>
        <v>0</v>
      </c>
      <c r="S16" s="9">
        <f>IFERROR(((R16-P16)/R16),0)</f>
        <v>0</v>
      </c>
      <c r="T16" s="7">
        <f>IF(C16="Mediana Complejidad",M16,0)</f>
        <v>0</v>
      </c>
      <c r="U16" s="8">
        <v>0</v>
      </c>
      <c r="V16" s="7">
        <f>(T16)+(T16*U16)</f>
        <v>0</v>
      </c>
      <c r="W16" s="8">
        <f>IFERROR(((V16-T16)/V16),0)</f>
        <v>0</v>
      </c>
      <c r="X16" s="7">
        <f>IF(C16="Baja Complejidad",M16,0)</f>
        <v>12657</v>
      </c>
      <c r="Y16" s="8">
        <v>0</v>
      </c>
      <c r="Z16" s="7">
        <f t="shared" si="1"/>
        <v>12657</v>
      </c>
      <c r="AA16" s="8">
        <f>IFERROR(((Z16-X16)/Z16),0)</f>
        <v>0</v>
      </c>
      <c r="AB16" s="8">
        <v>0.1</v>
      </c>
    </row>
    <row r="17" spans="1:28" x14ac:dyDescent="0.25">
      <c r="A17">
        <v>2026</v>
      </c>
      <c r="B17" t="s">
        <v>51</v>
      </c>
      <c r="C17" t="s">
        <v>57</v>
      </c>
      <c r="D17" t="s">
        <v>58</v>
      </c>
      <c r="E17" t="s">
        <v>85</v>
      </c>
      <c r="G17" t="s">
        <v>31</v>
      </c>
      <c r="H17" t="s">
        <v>31</v>
      </c>
      <c r="I17" t="s">
        <v>32</v>
      </c>
      <c r="J17">
        <v>4</v>
      </c>
      <c r="K17" t="s">
        <v>33</v>
      </c>
      <c r="L17">
        <v>266</v>
      </c>
      <c r="M17" s="7">
        <v>1064</v>
      </c>
      <c r="O17" s="7">
        <f>Z17</f>
        <v>1064</v>
      </c>
      <c r="P17" s="7">
        <f>IF(C17="Alta Complejidad",M17,0)</f>
        <v>0</v>
      </c>
      <c r="Q17" s="8">
        <v>0</v>
      </c>
      <c r="R17" s="7">
        <f>P17+(P17*Q17)</f>
        <v>0</v>
      </c>
      <c r="S17" s="9">
        <f>IFERROR(((R17-P17)/R17),0)</f>
        <v>0</v>
      </c>
      <c r="T17" s="7">
        <f>IF(C17="Mediana Complejidad",M17,0)</f>
        <v>0</v>
      </c>
      <c r="U17" s="8">
        <v>0</v>
      </c>
      <c r="V17" s="7">
        <f>(T17)+(T17*U17)</f>
        <v>0</v>
      </c>
      <c r="W17" s="8">
        <f>IFERROR(((V17-T17)/V17),0)</f>
        <v>0</v>
      </c>
      <c r="X17" s="7">
        <f>IF(C17="Baja Complejidad",M17,0)</f>
        <v>1064</v>
      </c>
      <c r="Y17" s="8">
        <v>0</v>
      </c>
      <c r="Z17" s="7">
        <f>X17+(X17*Y17)</f>
        <v>1064</v>
      </c>
      <c r="AA17" s="8">
        <f>IFERROR(((Z17-X17)/Z17),0)</f>
        <v>0</v>
      </c>
      <c r="AB17" s="8">
        <v>0.1</v>
      </c>
    </row>
    <row r="18" spans="1:28" x14ac:dyDescent="0.25">
      <c r="A18">
        <v>2026</v>
      </c>
      <c r="B18" t="s">
        <v>51</v>
      </c>
      <c r="C18" t="s">
        <v>57</v>
      </c>
      <c r="D18" t="s">
        <v>58</v>
      </c>
      <c r="E18" t="s">
        <v>86</v>
      </c>
      <c r="G18" t="s">
        <v>31</v>
      </c>
      <c r="H18" t="s">
        <v>31</v>
      </c>
      <c r="I18" t="s">
        <v>34</v>
      </c>
      <c r="J18">
        <v>1</v>
      </c>
      <c r="K18" t="s">
        <v>33</v>
      </c>
      <c r="L18">
        <v>1086.232</v>
      </c>
      <c r="M18" s="7">
        <v>1086.232</v>
      </c>
      <c r="O18" s="7">
        <f t="shared" ref="O18:O31" si="2">Z18</f>
        <v>1086.232</v>
      </c>
      <c r="P18" s="7">
        <f>IF(C18="Alta Complejidad",M18,0)</f>
        <v>0</v>
      </c>
      <c r="Q18" s="8">
        <v>0</v>
      </c>
      <c r="R18" s="7">
        <f>P18+(P18*Q18)</f>
        <v>0</v>
      </c>
      <c r="S18" s="9">
        <f>IFERROR(((R18-P18)/R18),0)</f>
        <v>0</v>
      </c>
      <c r="T18" s="7">
        <f>IF(C18="Mediana Complejidad",M18,0)</f>
        <v>0</v>
      </c>
      <c r="U18" s="8">
        <v>0</v>
      </c>
      <c r="V18" s="7">
        <f>(T18)+(T18*U18)</f>
        <v>0</v>
      </c>
      <c r="W18" s="8">
        <f>IFERROR(((V18-T18)/V18),0)</f>
        <v>0</v>
      </c>
      <c r="X18" s="7">
        <f>IF(C18="Baja Complejidad",M18,0)</f>
        <v>1086.232</v>
      </c>
      <c r="Y18" s="8">
        <v>0</v>
      </c>
      <c r="Z18" s="7">
        <f t="shared" ref="Z18:Z31" si="3">X18+(X18*Y18)</f>
        <v>1086.232</v>
      </c>
      <c r="AA18" s="8">
        <f>IFERROR(((Z18-X18)/Z18),0)</f>
        <v>0</v>
      </c>
      <c r="AB18" s="8">
        <v>0.1</v>
      </c>
    </row>
    <row r="19" spans="1:28" x14ac:dyDescent="0.25">
      <c r="A19">
        <v>2026</v>
      </c>
      <c r="B19" t="s">
        <v>51</v>
      </c>
      <c r="C19" t="s">
        <v>57</v>
      </c>
      <c r="D19" t="s">
        <v>58</v>
      </c>
      <c r="E19" t="s">
        <v>87</v>
      </c>
      <c r="G19" t="s">
        <v>31</v>
      </c>
      <c r="H19" t="s">
        <v>31</v>
      </c>
      <c r="I19" t="s">
        <v>35</v>
      </c>
      <c r="J19">
        <v>4</v>
      </c>
      <c r="K19" t="s">
        <v>33</v>
      </c>
      <c r="L19">
        <v>370</v>
      </c>
      <c r="M19" s="7">
        <v>1480</v>
      </c>
      <c r="O19" s="7">
        <f t="shared" si="2"/>
        <v>1480</v>
      </c>
      <c r="P19" s="7">
        <f>IF(C19="Alta Complejidad",M19,0)</f>
        <v>0</v>
      </c>
      <c r="Q19" s="8">
        <v>0</v>
      </c>
      <c r="R19" s="7">
        <f>P19+(P19*Q19)</f>
        <v>0</v>
      </c>
      <c r="S19" s="9">
        <f>IFERROR(((R19-P19)/R19),0)</f>
        <v>0</v>
      </c>
      <c r="T19" s="7">
        <f>IF(C19="Mediana Complejidad",M19,0)</f>
        <v>0</v>
      </c>
      <c r="U19" s="8">
        <v>0</v>
      </c>
      <c r="V19" s="7">
        <f>(T19)+(T19*U19)</f>
        <v>0</v>
      </c>
      <c r="W19" s="8">
        <f>IFERROR(((V19-T19)/V19),0)</f>
        <v>0</v>
      </c>
      <c r="X19" s="7">
        <f>IF(C19="Baja Complejidad",M19,0)</f>
        <v>1480</v>
      </c>
      <c r="Y19" s="8">
        <v>0</v>
      </c>
      <c r="Z19" s="7">
        <f t="shared" si="3"/>
        <v>1480</v>
      </c>
      <c r="AA19" s="8">
        <f>IFERROR(((Z19-X19)/Z19),0)</f>
        <v>0</v>
      </c>
      <c r="AB19" s="8">
        <v>0.1</v>
      </c>
    </row>
    <row r="20" spans="1:28" x14ac:dyDescent="0.25">
      <c r="A20">
        <v>2026</v>
      </c>
      <c r="B20" t="s">
        <v>51</v>
      </c>
      <c r="C20" t="s">
        <v>57</v>
      </c>
      <c r="D20" t="s">
        <v>58</v>
      </c>
      <c r="E20" t="s">
        <v>88</v>
      </c>
      <c r="G20" t="s">
        <v>31</v>
      </c>
      <c r="H20" t="s">
        <v>31</v>
      </c>
      <c r="I20" t="s">
        <v>36</v>
      </c>
      <c r="J20">
        <v>1</v>
      </c>
      <c r="K20" t="s">
        <v>33</v>
      </c>
      <c r="L20">
        <v>2643</v>
      </c>
      <c r="M20" s="7">
        <v>2643</v>
      </c>
      <c r="O20" s="7">
        <f t="shared" si="2"/>
        <v>2643</v>
      </c>
      <c r="P20" s="7">
        <f>IF(C20="Alta Complejidad",M20,0)</f>
        <v>0</v>
      </c>
      <c r="Q20" s="8">
        <v>0</v>
      </c>
      <c r="R20" s="7">
        <f>P20+(P20*Q20)</f>
        <v>0</v>
      </c>
      <c r="S20" s="9">
        <f>IFERROR(((R20-P20)/R20),0)</f>
        <v>0</v>
      </c>
      <c r="T20" s="7">
        <f>IF(C20="Mediana Complejidad",M20,0)</f>
        <v>0</v>
      </c>
      <c r="U20" s="8">
        <v>0</v>
      </c>
      <c r="V20" s="7">
        <f>(T20)+(T20*U20)</f>
        <v>0</v>
      </c>
      <c r="W20" s="8">
        <f>IFERROR(((V20-T20)/V20),0)</f>
        <v>0</v>
      </c>
      <c r="X20" s="7">
        <f>IF(C20="Baja Complejidad",M20,0)</f>
        <v>2643</v>
      </c>
      <c r="Y20" s="8">
        <v>0</v>
      </c>
      <c r="Z20" s="7">
        <f t="shared" si="3"/>
        <v>2643</v>
      </c>
      <c r="AA20" s="8">
        <f>IFERROR(((Z20-X20)/Z20),0)</f>
        <v>0</v>
      </c>
      <c r="AB20" s="8">
        <v>0.1</v>
      </c>
    </row>
    <row r="21" spans="1:28" x14ac:dyDescent="0.25">
      <c r="A21">
        <v>2026</v>
      </c>
      <c r="B21" t="s">
        <v>51</v>
      </c>
      <c r="C21" t="s">
        <v>57</v>
      </c>
      <c r="D21" t="s">
        <v>58</v>
      </c>
      <c r="E21" t="s">
        <v>89</v>
      </c>
      <c r="G21" t="s">
        <v>31</v>
      </c>
      <c r="H21" t="s">
        <v>31</v>
      </c>
      <c r="I21" t="s">
        <v>37</v>
      </c>
      <c r="J21">
        <v>1</v>
      </c>
      <c r="K21" t="s">
        <v>33</v>
      </c>
      <c r="L21">
        <v>135.66</v>
      </c>
      <c r="M21" s="7">
        <v>135.66</v>
      </c>
      <c r="O21" s="7">
        <f t="shared" si="2"/>
        <v>135.66</v>
      </c>
      <c r="P21" s="7">
        <f>IF(C21="Alta Complejidad",M21,0)</f>
        <v>0</v>
      </c>
      <c r="Q21" s="8">
        <v>0</v>
      </c>
      <c r="R21" s="7">
        <f>P21+(P21*Q21)</f>
        <v>0</v>
      </c>
      <c r="S21" s="9">
        <f>IFERROR(((R21-P21)/R21),0)</f>
        <v>0</v>
      </c>
      <c r="T21" s="7">
        <f>IF(C21="Mediana Complejidad",M21,0)</f>
        <v>0</v>
      </c>
      <c r="U21" s="8">
        <v>0</v>
      </c>
      <c r="V21" s="7">
        <f>(T21)+(T21*U21)</f>
        <v>0</v>
      </c>
      <c r="W21" s="8">
        <f>IFERROR(((V21-T21)/V21),0)</f>
        <v>0</v>
      </c>
      <c r="X21" s="7">
        <f>IF(C21="Baja Complejidad",M21,0)</f>
        <v>135.66</v>
      </c>
      <c r="Y21" s="8">
        <v>0</v>
      </c>
      <c r="Z21" s="7">
        <f t="shared" si="3"/>
        <v>135.66</v>
      </c>
      <c r="AA21" s="8">
        <f>IFERROR(((Z21-X21)/Z21),0)</f>
        <v>0</v>
      </c>
      <c r="AB21" s="8">
        <v>0.1</v>
      </c>
    </row>
    <row r="22" spans="1:28" x14ac:dyDescent="0.25">
      <c r="A22">
        <v>2026</v>
      </c>
      <c r="B22" t="s">
        <v>51</v>
      </c>
      <c r="C22" t="s">
        <v>57</v>
      </c>
      <c r="D22" t="s">
        <v>58</v>
      </c>
      <c r="E22" t="s">
        <v>90</v>
      </c>
      <c r="G22" t="s">
        <v>31</v>
      </c>
      <c r="H22" t="s">
        <v>31</v>
      </c>
      <c r="I22" t="s">
        <v>38</v>
      </c>
      <c r="J22">
        <v>1</v>
      </c>
      <c r="K22" t="s">
        <v>33</v>
      </c>
      <c r="L22">
        <v>3808</v>
      </c>
      <c r="M22" s="7">
        <v>3808</v>
      </c>
      <c r="O22" s="7">
        <f t="shared" si="2"/>
        <v>3808</v>
      </c>
      <c r="P22" s="7">
        <f>IF(C22="Alta Complejidad",M22,0)</f>
        <v>0</v>
      </c>
      <c r="Q22" s="8">
        <v>0</v>
      </c>
      <c r="R22" s="7">
        <f>P22+(P22*Q22)</f>
        <v>0</v>
      </c>
      <c r="S22" s="9">
        <f>IFERROR(((R22-P22)/R22),0)</f>
        <v>0</v>
      </c>
      <c r="T22" s="7">
        <f>IF(C22="Mediana Complejidad",M22,0)</f>
        <v>0</v>
      </c>
      <c r="U22" s="8">
        <v>0</v>
      </c>
      <c r="V22" s="7">
        <f>(T22)+(T22*U22)</f>
        <v>0</v>
      </c>
      <c r="W22" s="8">
        <f>IFERROR(((V22-T22)/V22),0)</f>
        <v>0</v>
      </c>
      <c r="X22" s="7">
        <f>IF(C22="Baja Complejidad",M22,0)</f>
        <v>3808</v>
      </c>
      <c r="Y22" s="8">
        <v>0</v>
      </c>
      <c r="Z22" s="7">
        <f t="shared" si="3"/>
        <v>3808</v>
      </c>
      <c r="AA22" s="8">
        <f>IFERROR(((Z22-X22)/Z22),0)</f>
        <v>0</v>
      </c>
      <c r="AB22" s="8">
        <v>0.1</v>
      </c>
    </row>
    <row r="23" spans="1:28" x14ac:dyDescent="0.25">
      <c r="A23">
        <v>2026</v>
      </c>
      <c r="B23" t="s">
        <v>51</v>
      </c>
      <c r="C23" t="s">
        <v>57</v>
      </c>
      <c r="D23" t="s">
        <v>58</v>
      </c>
      <c r="E23" t="s">
        <v>91</v>
      </c>
      <c r="G23" t="s">
        <v>31</v>
      </c>
      <c r="H23" t="s">
        <v>31</v>
      </c>
      <c r="I23" t="s">
        <v>39</v>
      </c>
      <c r="J23">
        <v>1</v>
      </c>
      <c r="K23" t="s">
        <v>33</v>
      </c>
      <c r="L23">
        <v>111.86</v>
      </c>
      <c r="M23" s="7">
        <v>111.86</v>
      </c>
      <c r="O23" s="7">
        <f t="shared" si="2"/>
        <v>111.86</v>
      </c>
      <c r="P23" s="7">
        <f>IF(C23="Alta Complejidad",M23,0)</f>
        <v>0</v>
      </c>
      <c r="Q23" s="8">
        <v>0</v>
      </c>
      <c r="R23" s="7">
        <f>P23+(P23*Q23)</f>
        <v>0</v>
      </c>
      <c r="S23" s="9">
        <f>IFERROR(((R23-P23)/R23),0)</f>
        <v>0</v>
      </c>
      <c r="T23" s="7">
        <f>IF(C23="Mediana Complejidad",M23,0)</f>
        <v>0</v>
      </c>
      <c r="U23" s="8">
        <v>0</v>
      </c>
      <c r="V23" s="7">
        <f>(T23)+(T23*U23)</f>
        <v>0</v>
      </c>
      <c r="W23" s="8">
        <f>IFERROR(((V23-T23)/V23),0)</f>
        <v>0</v>
      </c>
      <c r="X23" s="7">
        <f>IF(C23="Baja Complejidad",M23,0)</f>
        <v>111.86</v>
      </c>
      <c r="Y23" s="8">
        <v>0</v>
      </c>
      <c r="Z23" s="7">
        <f t="shared" si="3"/>
        <v>111.86</v>
      </c>
      <c r="AA23" s="8">
        <f>IFERROR(((Z23-X23)/Z23),0)</f>
        <v>0</v>
      </c>
      <c r="AB23" s="8">
        <v>0.1</v>
      </c>
    </row>
    <row r="24" spans="1:28" x14ac:dyDescent="0.25">
      <c r="A24">
        <v>2026</v>
      </c>
      <c r="B24" t="s">
        <v>51</v>
      </c>
      <c r="C24" t="s">
        <v>57</v>
      </c>
      <c r="D24" t="s">
        <v>58</v>
      </c>
      <c r="E24" t="s">
        <v>92</v>
      </c>
      <c r="G24" t="s">
        <v>31</v>
      </c>
      <c r="H24" t="s">
        <v>31</v>
      </c>
      <c r="I24" t="s">
        <v>64</v>
      </c>
      <c r="J24">
        <v>2</v>
      </c>
      <c r="K24" t="s">
        <v>33</v>
      </c>
      <c r="L24">
        <v>80300</v>
      </c>
      <c r="M24" s="7">
        <v>642.4</v>
      </c>
      <c r="O24" s="7">
        <f t="shared" si="2"/>
        <v>642.4</v>
      </c>
      <c r="P24" s="7">
        <f>IF(C24="Alta Complejidad",M24,0)</f>
        <v>0</v>
      </c>
      <c r="Q24" s="8">
        <v>0</v>
      </c>
      <c r="R24" s="7">
        <f>P24+(P24*Q24)</f>
        <v>0</v>
      </c>
      <c r="S24" s="9">
        <f>IFERROR(((R24-P24)/R24),0)</f>
        <v>0</v>
      </c>
      <c r="T24" s="7">
        <f>IF(C24="Mediana Complejidad",M24,0)</f>
        <v>0</v>
      </c>
      <c r="U24" s="8">
        <v>0</v>
      </c>
      <c r="V24" s="7">
        <f>(T24)+(T24*U24)</f>
        <v>0</v>
      </c>
      <c r="W24" s="8">
        <f>IFERROR(((V24-T24)/V24),0)</f>
        <v>0</v>
      </c>
      <c r="X24" s="7">
        <f>IF(C24="Baja Complejidad",M24,0)</f>
        <v>642.4</v>
      </c>
      <c r="Y24" s="8">
        <v>0</v>
      </c>
      <c r="Z24" s="7">
        <f t="shared" si="3"/>
        <v>642.4</v>
      </c>
      <c r="AA24" s="8">
        <f>IFERROR(((Z24-X24)/Z24),0)</f>
        <v>0</v>
      </c>
      <c r="AB24" s="8">
        <v>0.1</v>
      </c>
    </row>
    <row r="25" spans="1:28" x14ac:dyDescent="0.25">
      <c r="A25">
        <v>2026</v>
      </c>
      <c r="B25" t="s">
        <v>51</v>
      </c>
      <c r="C25" t="s">
        <v>57</v>
      </c>
      <c r="D25" t="s">
        <v>58</v>
      </c>
      <c r="E25" t="s">
        <v>93</v>
      </c>
      <c r="G25" t="s">
        <v>31</v>
      </c>
      <c r="H25" t="s">
        <v>31</v>
      </c>
      <c r="I25" t="s">
        <v>40</v>
      </c>
      <c r="J25">
        <v>2</v>
      </c>
      <c r="K25" t="s">
        <v>33</v>
      </c>
      <c r="L25">
        <v>17888.080000000002</v>
      </c>
      <c r="M25" s="7">
        <v>35776.160000000003</v>
      </c>
      <c r="O25" s="7">
        <f t="shared" si="2"/>
        <v>35776.160000000003</v>
      </c>
      <c r="P25" s="7">
        <f>IF(C25="Alta Complejidad",M25,0)</f>
        <v>0</v>
      </c>
      <c r="Q25" s="8">
        <v>0</v>
      </c>
      <c r="R25" s="7">
        <f>P25+(P25*Q25)</f>
        <v>0</v>
      </c>
      <c r="S25" s="9">
        <f>IFERROR(((R25-P25)/R25),0)</f>
        <v>0</v>
      </c>
      <c r="T25" s="7">
        <f>IF(C25="Mediana Complejidad",M25,0)</f>
        <v>0</v>
      </c>
      <c r="U25" s="8">
        <v>0</v>
      </c>
      <c r="V25" s="7">
        <f>(T25)+(T25*U25)</f>
        <v>0</v>
      </c>
      <c r="W25" s="8">
        <f>IFERROR(((V25-T25)/V25),0)</f>
        <v>0</v>
      </c>
      <c r="X25" s="7">
        <f>IF(C25="Baja Complejidad",M25,0)</f>
        <v>35776.160000000003</v>
      </c>
      <c r="Y25" s="8">
        <v>0</v>
      </c>
      <c r="Z25" s="7">
        <f t="shared" si="3"/>
        <v>35776.160000000003</v>
      </c>
      <c r="AA25" s="8">
        <f>IFERROR(((Z25-X25)/Z25),0)</f>
        <v>0</v>
      </c>
      <c r="AB25" s="8">
        <v>0.1</v>
      </c>
    </row>
    <row r="26" spans="1:28" x14ac:dyDescent="0.25">
      <c r="A26">
        <v>2026</v>
      </c>
      <c r="B26" t="s">
        <v>51</v>
      </c>
      <c r="C26" t="s">
        <v>57</v>
      </c>
      <c r="D26" t="s">
        <v>58</v>
      </c>
      <c r="E26" t="s">
        <v>94</v>
      </c>
      <c r="G26" t="s">
        <v>31</v>
      </c>
      <c r="H26" t="s">
        <v>31</v>
      </c>
      <c r="I26" t="s">
        <v>41</v>
      </c>
      <c r="J26">
        <v>2</v>
      </c>
      <c r="K26" t="s">
        <v>33</v>
      </c>
      <c r="L26">
        <v>337.3837894736842</v>
      </c>
      <c r="M26" s="7">
        <v>674.76757894736841</v>
      </c>
      <c r="O26" s="7">
        <f t="shared" si="2"/>
        <v>674.76757894736841</v>
      </c>
      <c r="P26" s="7">
        <f>IF(C26="Alta Complejidad",M26,0)</f>
        <v>0</v>
      </c>
      <c r="Q26" s="8">
        <v>0</v>
      </c>
      <c r="R26" s="7">
        <f>P26+(P26*Q26)</f>
        <v>0</v>
      </c>
      <c r="S26" s="9">
        <f>IFERROR(((R26-P26)/R26),0)</f>
        <v>0</v>
      </c>
      <c r="T26" s="7">
        <f>IF(C26="Mediana Complejidad",M26,0)</f>
        <v>0</v>
      </c>
      <c r="U26" s="8">
        <v>0</v>
      </c>
      <c r="V26" s="7">
        <f>(T26)+(T26*U26)</f>
        <v>0</v>
      </c>
      <c r="W26" s="8">
        <f>IFERROR(((V26-T26)/V26),0)</f>
        <v>0</v>
      </c>
      <c r="X26" s="7">
        <f>IF(C26="Baja Complejidad",M26,0)</f>
        <v>674.76757894736841</v>
      </c>
      <c r="Y26" s="8">
        <v>0</v>
      </c>
      <c r="Z26" s="7">
        <f t="shared" si="3"/>
        <v>674.76757894736841</v>
      </c>
      <c r="AA26" s="8">
        <f>IFERROR(((Z26-X26)/Z26),0)</f>
        <v>0</v>
      </c>
      <c r="AB26" s="8">
        <v>0.1</v>
      </c>
    </row>
    <row r="27" spans="1:28" x14ac:dyDescent="0.25">
      <c r="A27">
        <v>2026</v>
      </c>
      <c r="B27" t="s">
        <v>51</v>
      </c>
      <c r="C27" t="s">
        <v>57</v>
      </c>
      <c r="D27" t="s">
        <v>58</v>
      </c>
      <c r="E27" t="s">
        <v>95</v>
      </c>
      <c r="G27" t="s">
        <v>31</v>
      </c>
      <c r="H27" t="s">
        <v>31</v>
      </c>
      <c r="I27" t="s">
        <v>83</v>
      </c>
      <c r="J27">
        <v>1</v>
      </c>
      <c r="K27" t="s">
        <v>33</v>
      </c>
      <c r="L27">
        <v>67900</v>
      </c>
      <c r="M27" s="7">
        <v>6790</v>
      </c>
      <c r="O27" s="7">
        <f t="shared" si="2"/>
        <v>6790</v>
      </c>
      <c r="P27" s="7">
        <f>IF(C27="Alta Complejidad",M27,0)</f>
        <v>0</v>
      </c>
      <c r="Q27" s="8">
        <v>0</v>
      </c>
      <c r="R27" s="7">
        <f>P27+(P27*Q27)</f>
        <v>0</v>
      </c>
      <c r="S27" s="9">
        <f>IFERROR(((R27-P27)/R27),0)</f>
        <v>0</v>
      </c>
      <c r="T27" s="7">
        <f>IF(C27="Mediana Complejidad",M27,0)</f>
        <v>0</v>
      </c>
      <c r="U27" s="8">
        <v>0</v>
      </c>
      <c r="V27" s="7">
        <f>(T27)+(T27*U27)</f>
        <v>0</v>
      </c>
      <c r="W27" s="8">
        <f>IFERROR(((V27-T27)/V27),0)</f>
        <v>0</v>
      </c>
      <c r="X27" s="7">
        <f>IF(C27="Baja Complejidad",M27,0)</f>
        <v>6790</v>
      </c>
      <c r="Y27" s="8">
        <v>0</v>
      </c>
      <c r="Z27" s="7">
        <f t="shared" si="3"/>
        <v>6790</v>
      </c>
      <c r="AA27" s="8">
        <f>IFERROR(((Z27-X27)/Z27),0)</f>
        <v>0</v>
      </c>
      <c r="AB27" s="8">
        <v>0.1</v>
      </c>
    </row>
    <row r="28" spans="1:28" x14ac:dyDescent="0.25">
      <c r="A28">
        <v>2026</v>
      </c>
      <c r="B28" t="s">
        <v>51</v>
      </c>
      <c r="C28" t="s">
        <v>57</v>
      </c>
      <c r="D28" t="s">
        <v>58</v>
      </c>
      <c r="E28" t="s">
        <v>96</v>
      </c>
      <c r="G28" t="s">
        <v>31</v>
      </c>
      <c r="H28" t="s">
        <v>31</v>
      </c>
      <c r="I28" t="s">
        <v>84</v>
      </c>
      <c r="J28">
        <v>1</v>
      </c>
      <c r="K28" t="s">
        <v>33</v>
      </c>
      <c r="L28">
        <v>50300</v>
      </c>
      <c r="M28" s="7">
        <v>5030</v>
      </c>
      <c r="O28" s="7">
        <f t="shared" si="2"/>
        <v>5030</v>
      </c>
      <c r="P28" s="7">
        <f>IF(C28="Alta Complejidad",M28,0)</f>
        <v>0</v>
      </c>
      <c r="Q28" s="8">
        <v>0</v>
      </c>
      <c r="R28" s="7">
        <f>P28+(P28*Q28)</f>
        <v>0</v>
      </c>
      <c r="S28" s="9">
        <f>IFERROR(((R28-P28)/R28),0)</f>
        <v>0</v>
      </c>
      <c r="T28" s="7">
        <f>IF(C28="Mediana Complejidad",M28,0)</f>
        <v>0</v>
      </c>
      <c r="U28" s="8">
        <v>0</v>
      </c>
      <c r="V28" s="7">
        <f>(T28)+(T28*U28)</f>
        <v>0</v>
      </c>
      <c r="W28" s="8">
        <f>IFERROR(((V28-T28)/V28),0)</f>
        <v>0</v>
      </c>
      <c r="X28" s="7">
        <f>IF(C28="Baja Complejidad",M28,0)</f>
        <v>5030</v>
      </c>
      <c r="Y28" s="8">
        <v>0</v>
      </c>
      <c r="Z28" s="7">
        <f t="shared" si="3"/>
        <v>5030</v>
      </c>
      <c r="AA28" s="8">
        <f>IFERROR(((Z28-X28)/Z28),0)</f>
        <v>0</v>
      </c>
      <c r="AB28" s="8">
        <v>0.1</v>
      </c>
    </row>
    <row r="29" spans="1:28" x14ac:dyDescent="0.25">
      <c r="A29">
        <v>2026</v>
      </c>
      <c r="B29" t="s">
        <v>51</v>
      </c>
      <c r="C29" t="s">
        <v>57</v>
      </c>
      <c r="D29" t="s">
        <v>58</v>
      </c>
      <c r="E29" t="s">
        <v>97</v>
      </c>
      <c r="G29" t="s">
        <v>31</v>
      </c>
      <c r="H29" t="s">
        <v>31</v>
      </c>
      <c r="I29" t="s">
        <v>82</v>
      </c>
      <c r="J29">
        <v>1</v>
      </c>
      <c r="K29" t="s">
        <v>33</v>
      </c>
      <c r="L29">
        <v>43500</v>
      </c>
      <c r="M29" s="7">
        <v>3625</v>
      </c>
      <c r="O29" s="7">
        <f t="shared" si="2"/>
        <v>3625</v>
      </c>
      <c r="P29" s="7">
        <f>IF(C29="Alta Complejidad",M29,0)</f>
        <v>0</v>
      </c>
      <c r="Q29" s="8">
        <v>0</v>
      </c>
      <c r="R29" s="7">
        <f>P29+(P29*Q29)</f>
        <v>0</v>
      </c>
      <c r="S29" s="9">
        <f>IFERROR(((R29-P29)/R29),0)</f>
        <v>0</v>
      </c>
      <c r="T29" s="7">
        <f>IF(C29="Mediana Complejidad",M29,0)</f>
        <v>0</v>
      </c>
      <c r="U29" s="8">
        <v>0</v>
      </c>
      <c r="V29" s="7">
        <f>(T29)+(T29*U29)</f>
        <v>0</v>
      </c>
      <c r="W29" s="8">
        <f>IFERROR(((V29-T29)/V29),0)</f>
        <v>0</v>
      </c>
      <c r="X29" s="7">
        <f>IF(C29="Baja Complejidad",M29,0)</f>
        <v>3625</v>
      </c>
      <c r="Y29" s="8">
        <v>0</v>
      </c>
      <c r="Z29" s="7">
        <f t="shared" si="3"/>
        <v>3625</v>
      </c>
      <c r="AA29" s="8">
        <f>IFERROR(((Z29-X29)/Z29),0)</f>
        <v>0</v>
      </c>
      <c r="AB29" s="8">
        <v>0.1</v>
      </c>
    </row>
    <row r="30" spans="1:28" x14ac:dyDescent="0.25">
      <c r="A30">
        <v>2026</v>
      </c>
      <c r="B30" t="s">
        <v>51</v>
      </c>
      <c r="C30" t="s">
        <v>57</v>
      </c>
      <c r="D30" t="s">
        <v>58</v>
      </c>
      <c r="E30">
        <v>1965</v>
      </c>
      <c r="F30">
        <v>1600</v>
      </c>
      <c r="G30" t="s">
        <v>42</v>
      </c>
      <c r="H30" t="s">
        <v>42</v>
      </c>
      <c r="I30" t="s">
        <v>59</v>
      </c>
      <c r="J30">
        <v>80</v>
      </c>
      <c r="K30" t="s">
        <v>45</v>
      </c>
      <c r="L30">
        <v>201.61</v>
      </c>
      <c r="M30" s="7">
        <f>+L30*F30</f>
        <v>322576</v>
      </c>
      <c r="O30" s="7">
        <f t="shared" si="2"/>
        <v>322576</v>
      </c>
      <c r="P30" s="7">
        <f>IF(C30="Alta Complejidad",M30,0)</f>
        <v>0</v>
      </c>
      <c r="Q30" s="8">
        <v>0</v>
      </c>
      <c r="R30" s="7">
        <f>P30+(P30*Q30)</f>
        <v>0</v>
      </c>
      <c r="S30" s="9">
        <f>IFERROR(((R30-P30)/R30),0)</f>
        <v>0</v>
      </c>
      <c r="T30" s="7">
        <f>IF(C30="Mediana Complejidad",M30,0)</f>
        <v>0</v>
      </c>
      <c r="U30" s="8">
        <v>0</v>
      </c>
      <c r="V30" s="7">
        <f>(T30)+(T30*U30)</f>
        <v>0</v>
      </c>
      <c r="W30" s="8">
        <f>IFERROR(((V30-T30)/V30),0)</f>
        <v>0</v>
      </c>
      <c r="X30" s="7">
        <f>IF(C30="Baja Complejidad",M30,0)</f>
        <v>322576</v>
      </c>
      <c r="Y30" s="8">
        <v>0</v>
      </c>
      <c r="Z30" s="7">
        <f t="shared" si="3"/>
        <v>322576</v>
      </c>
      <c r="AA30" s="8">
        <f>IFERROR(((Z30-X30)/Z30),0)</f>
        <v>0</v>
      </c>
      <c r="AB30" s="8">
        <v>0.1</v>
      </c>
    </row>
    <row r="31" spans="1:28" x14ac:dyDescent="0.25">
      <c r="A31">
        <v>2026</v>
      </c>
      <c r="B31" t="s">
        <v>51</v>
      </c>
      <c r="C31" t="s">
        <v>57</v>
      </c>
      <c r="D31" t="s">
        <v>58</v>
      </c>
      <c r="E31">
        <v>1965</v>
      </c>
      <c r="G31" t="s">
        <v>43</v>
      </c>
      <c r="H31" t="s">
        <v>43</v>
      </c>
      <c r="I31" t="s">
        <v>44</v>
      </c>
      <c r="J31">
        <v>3</v>
      </c>
      <c r="K31" t="s">
        <v>33</v>
      </c>
      <c r="L31">
        <v>3000</v>
      </c>
      <c r="M31" s="7">
        <v>12657</v>
      </c>
      <c r="O31" s="7">
        <f t="shared" si="2"/>
        <v>12657</v>
      </c>
      <c r="P31" s="7">
        <f>IF(C31="Alta Complejidad",M31,0)</f>
        <v>0</v>
      </c>
      <c r="Q31" s="8">
        <v>0</v>
      </c>
      <c r="R31" s="7">
        <f>P31+(P31*Q31)</f>
        <v>0</v>
      </c>
      <c r="S31" s="9">
        <f>IFERROR(((R31-P31)/R31),0)</f>
        <v>0</v>
      </c>
      <c r="T31" s="7">
        <f>IF(C31="Mediana Complejidad",M31,0)</f>
        <v>0</v>
      </c>
      <c r="U31" s="8">
        <v>0</v>
      </c>
      <c r="V31" s="7">
        <f>(T31)+(T31*U31)</f>
        <v>0</v>
      </c>
      <c r="W31" s="8">
        <f>IFERROR(((V31-T31)/V31),0)</f>
        <v>0</v>
      </c>
      <c r="X31" s="7">
        <f>IF(C31="Baja Complejidad",M31,0)</f>
        <v>12657</v>
      </c>
      <c r="Y31" s="8">
        <v>0</v>
      </c>
      <c r="Z31" s="7">
        <f t="shared" si="3"/>
        <v>12657</v>
      </c>
      <c r="AA31" s="8">
        <f>IFERROR(((Z31-X31)/Z31),0)</f>
        <v>0</v>
      </c>
      <c r="AB31" s="8">
        <v>0.1</v>
      </c>
    </row>
    <row r="32" spans="1:28" x14ac:dyDescent="0.25">
      <c r="A32">
        <v>2026</v>
      </c>
      <c r="B32" t="s">
        <v>52</v>
      </c>
      <c r="C32" t="s">
        <v>57</v>
      </c>
      <c r="D32" t="s">
        <v>58</v>
      </c>
      <c r="E32" t="s">
        <v>85</v>
      </c>
      <c r="G32" t="s">
        <v>31</v>
      </c>
      <c r="H32" t="s">
        <v>31</v>
      </c>
      <c r="I32" t="s">
        <v>32</v>
      </c>
      <c r="J32">
        <v>4</v>
      </c>
      <c r="K32" t="s">
        <v>33</v>
      </c>
      <c r="L32">
        <v>266</v>
      </c>
      <c r="M32" s="7">
        <v>1064</v>
      </c>
      <c r="O32" s="7">
        <f>Z32</f>
        <v>1064</v>
      </c>
      <c r="P32" s="7">
        <f>IF(C32="Alta Complejidad",M32,0)</f>
        <v>0</v>
      </c>
      <c r="Q32" s="8">
        <v>0</v>
      </c>
      <c r="R32" s="7">
        <f>P32+(P32*Q32)</f>
        <v>0</v>
      </c>
      <c r="S32" s="9">
        <f>IFERROR(((R32-P32)/R32),0)</f>
        <v>0</v>
      </c>
      <c r="T32" s="7">
        <f>IF(C32="Mediana Complejidad",M32,0)</f>
        <v>0</v>
      </c>
      <c r="U32" s="8">
        <v>0</v>
      </c>
      <c r="V32" s="7">
        <f>(T32)+(T32*U32)</f>
        <v>0</v>
      </c>
      <c r="W32" s="8">
        <f>IFERROR(((V32-T32)/V32),0)</f>
        <v>0</v>
      </c>
      <c r="X32" s="7">
        <f>IF(C32="Baja Complejidad",M32,0)</f>
        <v>1064</v>
      </c>
      <c r="Y32" s="8">
        <v>0</v>
      </c>
      <c r="Z32" s="7">
        <f>X32+(X32*Y32)</f>
        <v>1064</v>
      </c>
      <c r="AA32" s="8">
        <f>IFERROR(((Z32-X32)/Z32),0)</f>
        <v>0</v>
      </c>
      <c r="AB32" s="8">
        <v>0.1</v>
      </c>
    </row>
    <row r="33" spans="1:28" x14ac:dyDescent="0.25">
      <c r="A33">
        <v>2026</v>
      </c>
      <c r="B33" t="s">
        <v>52</v>
      </c>
      <c r="C33" t="s">
        <v>57</v>
      </c>
      <c r="D33" t="s">
        <v>58</v>
      </c>
      <c r="E33" t="s">
        <v>86</v>
      </c>
      <c r="G33" t="s">
        <v>31</v>
      </c>
      <c r="H33" t="s">
        <v>31</v>
      </c>
      <c r="I33" t="s">
        <v>34</v>
      </c>
      <c r="J33">
        <v>1</v>
      </c>
      <c r="K33" t="s">
        <v>33</v>
      </c>
      <c r="L33">
        <v>1086.232</v>
      </c>
      <c r="M33" s="7">
        <v>1086.232</v>
      </c>
      <c r="O33" s="7">
        <f t="shared" ref="O33:O46" si="4">Z33</f>
        <v>1086.232</v>
      </c>
      <c r="P33" s="7">
        <f>IF(C33="Alta Complejidad",M33,0)</f>
        <v>0</v>
      </c>
      <c r="Q33" s="8">
        <v>0</v>
      </c>
      <c r="R33" s="7">
        <f>P33+(P33*Q33)</f>
        <v>0</v>
      </c>
      <c r="S33" s="9">
        <f>IFERROR(((R33-P33)/R33),0)</f>
        <v>0</v>
      </c>
      <c r="T33" s="7">
        <f>IF(C33="Mediana Complejidad",M33,0)</f>
        <v>0</v>
      </c>
      <c r="U33" s="8">
        <v>0</v>
      </c>
      <c r="V33" s="7">
        <f>(T33)+(T33*U33)</f>
        <v>0</v>
      </c>
      <c r="W33" s="8">
        <f>IFERROR(((V33-T33)/V33),0)</f>
        <v>0</v>
      </c>
      <c r="X33" s="7">
        <f>IF(C33="Baja Complejidad",M33,0)</f>
        <v>1086.232</v>
      </c>
      <c r="Y33" s="8">
        <v>0</v>
      </c>
      <c r="Z33" s="7">
        <f t="shared" ref="Z33:Z46" si="5">X33+(X33*Y33)</f>
        <v>1086.232</v>
      </c>
      <c r="AA33" s="8">
        <f>IFERROR(((Z33-X33)/Z33),0)</f>
        <v>0</v>
      </c>
      <c r="AB33" s="8">
        <v>0.1</v>
      </c>
    </row>
    <row r="34" spans="1:28" x14ac:dyDescent="0.25">
      <c r="A34">
        <v>2026</v>
      </c>
      <c r="B34" t="s">
        <v>52</v>
      </c>
      <c r="C34" t="s">
        <v>57</v>
      </c>
      <c r="D34" t="s">
        <v>58</v>
      </c>
      <c r="E34" t="s">
        <v>87</v>
      </c>
      <c r="G34" t="s">
        <v>31</v>
      </c>
      <c r="H34" t="s">
        <v>31</v>
      </c>
      <c r="I34" t="s">
        <v>35</v>
      </c>
      <c r="J34">
        <v>4</v>
      </c>
      <c r="K34" t="s">
        <v>33</v>
      </c>
      <c r="L34">
        <v>370</v>
      </c>
      <c r="M34" s="7">
        <v>1480</v>
      </c>
      <c r="O34" s="7">
        <f t="shared" si="4"/>
        <v>1480</v>
      </c>
      <c r="P34" s="7">
        <f>IF(C34="Alta Complejidad",M34,0)</f>
        <v>0</v>
      </c>
      <c r="Q34" s="8">
        <v>0</v>
      </c>
      <c r="R34" s="7">
        <f>P34+(P34*Q34)</f>
        <v>0</v>
      </c>
      <c r="S34" s="9">
        <f>IFERROR(((R34-P34)/R34),0)</f>
        <v>0</v>
      </c>
      <c r="T34" s="7">
        <f>IF(C34="Mediana Complejidad",M34,0)</f>
        <v>0</v>
      </c>
      <c r="U34" s="8">
        <v>0</v>
      </c>
      <c r="V34" s="7">
        <f>(T34)+(T34*U34)</f>
        <v>0</v>
      </c>
      <c r="W34" s="8">
        <f>IFERROR(((V34-T34)/V34),0)</f>
        <v>0</v>
      </c>
      <c r="X34" s="7">
        <f>IF(C34="Baja Complejidad",M34,0)</f>
        <v>1480</v>
      </c>
      <c r="Y34" s="8">
        <v>0</v>
      </c>
      <c r="Z34" s="7">
        <f t="shared" si="5"/>
        <v>1480</v>
      </c>
      <c r="AA34" s="8">
        <f>IFERROR(((Z34-X34)/Z34),0)</f>
        <v>0</v>
      </c>
      <c r="AB34" s="8">
        <v>0.1</v>
      </c>
    </row>
    <row r="35" spans="1:28" x14ac:dyDescent="0.25">
      <c r="A35">
        <v>2026</v>
      </c>
      <c r="B35" t="s">
        <v>52</v>
      </c>
      <c r="C35" t="s">
        <v>57</v>
      </c>
      <c r="D35" t="s">
        <v>58</v>
      </c>
      <c r="E35" t="s">
        <v>88</v>
      </c>
      <c r="G35" t="s">
        <v>31</v>
      </c>
      <c r="H35" t="s">
        <v>31</v>
      </c>
      <c r="I35" t="s">
        <v>36</v>
      </c>
      <c r="J35">
        <v>1</v>
      </c>
      <c r="K35" t="s">
        <v>33</v>
      </c>
      <c r="L35">
        <v>2643</v>
      </c>
      <c r="M35" s="7">
        <v>2643</v>
      </c>
      <c r="O35" s="7">
        <f t="shared" si="4"/>
        <v>2643</v>
      </c>
      <c r="P35" s="7">
        <f>IF(C35="Alta Complejidad",M35,0)</f>
        <v>0</v>
      </c>
      <c r="Q35" s="8">
        <v>0</v>
      </c>
      <c r="R35" s="7">
        <f>P35+(P35*Q35)</f>
        <v>0</v>
      </c>
      <c r="S35" s="9">
        <f>IFERROR(((R35-P35)/R35),0)</f>
        <v>0</v>
      </c>
      <c r="T35" s="7">
        <f>IF(C35="Mediana Complejidad",M35,0)</f>
        <v>0</v>
      </c>
      <c r="U35" s="8">
        <v>0</v>
      </c>
      <c r="V35" s="7">
        <f>(T35)+(T35*U35)</f>
        <v>0</v>
      </c>
      <c r="W35" s="8">
        <f>IFERROR(((V35-T35)/V35),0)</f>
        <v>0</v>
      </c>
      <c r="X35" s="7">
        <f>IF(C35="Baja Complejidad",M35,0)</f>
        <v>2643</v>
      </c>
      <c r="Y35" s="8">
        <v>0</v>
      </c>
      <c r="Z35" s="7">
        <f t="shared" si="5"/>
        <v>2643</v>
      </c>
      <c r="AA35" s="8">
        <f>IFERROR(((Z35-X35)/Z35),0)</f>
        <v>0</v>
      </c>
      <c r="AB35" s="8">
        <v>0.1</v>
      </c>
    </row>
    <row r="36" spans="1:28" x14ac:dyDescent="0.25">
      <c r="A36">
        <v>2026</v>
      </c>
      <c r="B36" t="s">
        <v>52</v>
      </c>
      <c r="C36" t="s">
        <v>57</v>
      </c>
      <c r="D36" t="s">
        <v>58</v>
      </c>
      <c r="E36" t="s">
        <v>89</v>
      </c>
      <c r="G36" t="s">
        <v>31</v>
      </c>
      <c r="H36" t="s">
        <v>31</v>
      </c>
      <c r="I36" t="s">
        <v>37</v>
      </c>
      <c r="J36">
        <v>1</v>
      </c>
      <c r="K36" t="s">
        <v>33</v>
      </c>
      <c r="L36">
        <v>135.66</v>
      </c>
      <c r="M36" s="7">
        <v>135.66</v>
      </c>
      <c r="O36" s="7">
        <f t="shared" si="4"/>
        <v>135.66</v>
      </c>
      <c r="P36" s="7">
        <f>IF(C36="Alta Complejidad",M36,0)</f>
        <v>0</v>
      </c>
      <c r="Q36" s="8">
        <v>0</v>
      </c>
      <c r="R36" s="7">
        <f>P36+(P36*Q36)</f>
        <v>0</v>
      </c>
      <c r="S36" s="9">
        <f>IFERROR(((R36-P36)/R36),0)</f>
        <v>0</v>
      </c>
      <c r="T36" s="7">
        <f>IF(C36="Mediana Complejidad",M36,0)</f>
        <v>0</v>
      </c>
      <c r="U36" s="8">
        <v>0</v>
      </c>
      <c r="V36" s="7">
        <f>(T36)+(T36*U36)</f>
        <v>0</v>
      </c>
      <c r="W36" s="8">
        <f>IFERROR(((V36-T36)/V36),0)</f>
        <v>0</v>
      </c>
      <c r="X36" s="7">
        <f>IF(C36="Baja Complejidad",M36,0)</f>
        <v>135.66</v>
      </c>
      <c r="Y36" s="8">
        <v>0</v>
      </c>
      <c r="Z36" s="7">
        <f t="shared" si="5"/>
        <v>135.66</v>
      </c>
      <c r="AA36" s="8">
        <f>IFERROR(((Z36-X36)/Z36),0)</f>
        <v>0</v>
      </c>
      <c r="AB36" s="8">
        <v>0.1</v>
      </c>
    </row>
    <row r="37" spans="1:28" x14ac:dyDescent="0.25">
      <c r="A37">
        <v>2026</v>
      </c>
      <c r="B37" t="s">
        <v>52</v>
      </c>
      <c r="C37" t="s">
        <v>57</v>
      </c>
      <c r="D37" t="s">
        <v>58</v>
      </c>
      <c r="E37" t="s">
        <v>90</v>
      </c>
      <c r="G37" t="s">
        <v>31</v>
      </c>
      <c r="H37" t="s">
        <v>31</v>
      </c>
      <c r="I37" t="s">
        <v>38</v>
      </c>
      <c r="J37">
        <v>1</v>
      </c>
      <c r="K37" t="s">
        <v>33</v>
      </c>
      <c r="L37">
        <v>3808</v>
      </c>
      <c r="M37" s="7">
        <v>3808</v>
      </c>
      <c r="O37" s="7">
        <f t="shared" si="4"/>
        <v>3808</v>
      </c>
      <c r="P37" s="7">
        <f>IF(C37="Alta Complejidad",M37,0)</f>
        <v>0</v>
      </c>
      <c r="Q37" s="8">
        <v>0</v>
      </c>
      <c r="R37" s="7">
        <f>P37+(P37*Q37)</f>
        <v>0</v>
      </c>
      <c r="S37" s="9">
        <f>IFERROR(((R37-P37)/R37),0)</f>
        <v>0</v>
      </c>
      <c r="T37" s="7">
        <f>IF(C37="Mediana Complejidad",M37,0)</f>
        <v>0</v>
      </c>
      <c r="U37" s="8">
        <v>0</v>
      </c>
      <c r="V37" s="7">
        <f>(T37)+(T37*U37)</f>
        <v>0</v>
      </c>
      <c r="W37" s="8">
        <f>IFERROR(((V37-T37)/V37),0)</f>
        <v>0</v>
      </c>
      <c r="X37" s="7">
        <f>IF(C37="Baja Complejidad",M37,0)</f>
        <v>3808</v>
      </c>
      <c r="Y37" s="8">
        <v>0</v>
      </c>
      <c r="Z37" s="7">
        <f t="shared" si="5"/>
        <v>3808</v>
      </c>
      <c r="AA37" s="8">
        <f>IFERROR(((Z37-X37)/Z37),0)</f>
        <v>0</v>
      </c>
      <c r="AB37" s="8">
        <v>0.1</v>
      </c>
    </row>
    <row r="38" spans="1:28" x14ac:dyDescent="0.25">
      <c r="A38">
        <v>2026</v>
      </c>
      <c r="B38" t="s">
        <v>52</v>
      </c>
      <c r="C38" t="s">
        <v>57</v>
      </c>
      <c r="D38" t="s">
        <v>58</v>
      </c>
      <c r="E38" t="s">
        <v>91</v>
      </c>
      <c r="G38" t="s">
        <v>31</v>
      </c>
      <c r="H38" t="s">
        <v>31</v>
      </c>
      <c r="I38" t="s">
        <v>39</v>
      </c>
      <c r="J38">
        <v>1</v>
      </c>
      <c r="K38" t="s">
        <v>33</v>
      </c>
      <c r="L38">
        <v>111.86</v>
      </c>
      <c r="M38" s="7">
        <v>111.86</v>
      </c>
      <c r="O38" s="7">
        <f t="shared" si="4"/>
        <v>111.86</v>
      </c>
      <c r="P38" s="7">
        <f>IF(C38="Alta Complejidad",M38,0)</f>
        <v>0</v>
      </c>
      <c r="Q38" s="8">
        <v>0</v>
      </c>
      <c r="R38" s="7">
        <f>P38+(P38*Q38)</f>
        <v>0</v>
      </c>
      <c r="S38" s="9">
        <f>IFERROR(((R38-P38)/R38),0)</f>
        <v>0</v>
      </c>
      <c r="T38" s="7">
        <f>IF(C38="Mediana Complejidad",M38,0)</f>
        <v>0</v>
      </c>
      <c r="U38" s="8">
        <v>0</v>
      </c>
      <c r="V38" s="7">
        <f>(T38)+(T38*U38)</f>
        <v>0</v>
      </c>
      <c r="W38" s="8">
        <f>IFERROR(((V38-T38)/V38),0)</f>
        <v>0</v>
      </c>
      <c r="X38" s="7">
        <f>IF(C38="Baja Complejidad",M38,0)</f>
        <v>111.86</v>
      </c>
      <c r="Y38" s="8">
        <v>0</v>
      </c>
      <c r="Z38" s="7">
        <f t="shared" si="5"/>
        <v>111.86</v>
      </c>
      <c r="AA38" s="8">
        <f>IFERROR(((Z38-X38)/Z38),0)</f>
        <v>0</v>
      </c>
      <c r="AB38" s="8">
        <v>0.1</v>
      </c>
    </row>
    <row r="39" spans="1:28" x14ac:dyDescent="0.25">
      <c r="A39">
        <v>2026</v>
      </c>
      <c r="B39" t="s">
        <v>52</v>
      </c>
      <c r="C39" t="s">
        <v>57</v>
      </c>
      <c r="D39" t="s">
        <v>58</v>
      </c>
      <c r="E39" t="s">
        <v>92</v>
      </c>
      <c r="G39" t="s">
        <v>31</v>
      </c>
      <c r="H39" t="s">
        <v>31</v>
      </c>
      <c r="I39" t="s">
        <v>64</v>
      </c>
      <c r="J39">
        <v>2</v>
      </c>
      <c r="K39" t="s">
        <v>33</v>
      </c>
      <c r="L39">
        <v>80300</v>
      </c>
      <c r="M39" s="7">
        <v>642.4</v>
      </c>
      <c r="O39" s="7">
        <f t="shared" si="4"/>
        <v>642.4</v>
      </c>
      <c r="P39" s="7">
        <f>IF(C39="Alta Complejidad",M39,0)</f>
        <v>0</v>
      </c>
      <c r="Q39" s="8">
        <v>0</v>
      </c>
      <c r="R39" s="7">
        <f>P39+(P39*Q39)</f>
        <v>0</v>
      </c>
      <c r="S39" s="9">
        <f>IFERROR(((R39-P39)/R39),0)</f>
        <v>0</v>
      </c>
      <c r="T39" s="7">
        <f>IF(C39="Mediana Complejidad",M39,0)</f>
        <v>0</v>
      </c>
      <c r="U39" s="8">
        <v>0</v>
      </c>
      <c r="V39" s="7">
        <f>(T39)+(T39*U39)</f>
        <v>0</v>
      </c>
      <c r="W39" s="8">
        <f>IFERROR(((V39-T39)/V39),0)</f>
        <v>0</v>
      </c>
      <c r="X39" s="7">
        <f>IF(C39="Baja Complejidad",M39,0)</f>
        <v>642.4</v>
      </c>
      <c r="Y39" s="8">
        <v>0</v>
      </c>
      <c r="Z39" s="7">
        <f t="shared" si="5"/>
        <v>642.4</v>
      </c>
      <c r="AA39" s="8">
        <f>IFERROR(((Z39-X39)/Z39),0)</f>
        <v>0</v>
      </c>
      <c r="AB39" s="8">
        <v>0.1</v>
      </c>
    </row>
    <row r="40" spans="1:28" x14ac:dyDescent="0.25">
      <c r="A40">
        <v>2026</v>
      </c>
      <c r="B40" t="s">
        <v>52</v>
      </c>
      <c r="C40" t="s">
        <v>57</v>
      </c>
      <c r="D40" t="s">
        <v>58</v>
      </c>
      <c r="E40" t="s">
        <v>93</v>
      </c>
      <c r="G40" t="s">
        <v>31</v>
      </c>
      <c r="H40" t="s">
        <v>31</v>
      </c>
      <c r="I40" t="s">
        <v>40</v>
      </c>
      <c r="J40">
        <v>2</v>
      </c>
      <c r="K40" t="s">
        <v>33</v>
      </c>
      <c r="L40">
        <v>17888.080000000002</v>
      </c>
      <c r="M40" s="7">
        <v>35776.160000000003</v>
      </c>
      <c r="O40" s="7">
        <f t="shared" si="4"/>
        <v>35776.160000000003</v>
      </c>
      <c r="P40" s="7">
        <f>IF(C40="Alta Complejidad",M40,0)</f>
        <v>0</v>
      </c>
      <c r="Q40" s="8">
        <v>0</v>
      </c>
      <c r="R40" s="7">
        <f>P40+(P40*Q40)</f>
        <v>0</v>
      </c>
      <c r="S40" s="9">
        <f>IFERROR(((R40-P40)/R40),0)</f>
        <v>0</v>
      </c>
      <c r="T40" s="7">
        <f>IF(C40="Mediana Complejidad",M40,0)</f>
        <v>0</v>
      </c>
      <c r="U40" s="8">
        <v>0</v>
      </c>
      <c r="V40" s="7">
        <f>(T40)+(T40*U40)</f>
        <v>0</v>
      </c>
      <c r="W40" s="8">
        <f>IFERROR(((V40-T40)/V40),0)</f>
        <v>0</v>
      </c>
      <c r="X40" s="7">
        <f>IF(C40="Baja Complejidad",M40,0)</f>
        <v>35776.160000000003</v>
      </c>
      <c r="Y40" s="8">
        <v>0</v>
      </c>
      <c r="Z40" s="7">
        <f t="shared" si="5"/>
        <v>35776.160000000003</v>
      </c>
      <c r="AA40" s="8">
        <f>IFERROR(((Z40-X40)/Z40),0)</f>
        <v>0</v>
      </c>
      <c r="AB40" s="8">
        <v>0.1</v>
      </c>
    </row>
    <row r="41" spans="1:28" x14ac:dyDescent="0.25">
      <c r="A41">
        <v>2026</v>
      </c>
      <c r="B41" t="s">
        <v>52</v>
      </c>
      <c r="C41" t="s">
        <v>57</v>
      </c>
      <c r="D41" t="s">
        <v>58</v>
      </c>
      <c r="E41" t="s">
        <v>94</v>
      </c>
      <c r="G41" t="s">
        <v>31</v>
      </c>
      <c r="H41" t="s">
        <v>31</v>
      </c>
      <c r="I41" t="s">
        <v>41</v>
      </c>
      <c r="J41">
        <v>2</v>
      </c>
      <c r="K41" t="s">
        <v>33</v>
      </c>
      <c r="L41">
        <v>337.3837894736842</v>
      </c>
      <c r="M41" s="7">
        <v>674.76757894736841</v>
      </c>
      <c r="O41" s="7">
        <f t="shared" si="4"/>
        <v>674.76757894736841</v>
      </c>
      <c r="P41" s="7">
        <f>IF(C41="Alta Complejidad",M41,0)</f>
        <v>0</v>
      </c>
      <c r="Q41" s="8">
        <v>0</v>
      </c>
      <c r="R41" s="7">
        <f>P41+(P41*Q41)</f>
        <v>0</v>
      </c>
      <c r="S41" s="9">
        <f>IFERROR(((R41-P41)/R41),0)</f>
        <v>0</v>
      </c>
      <c r="T41" s="7">
        <f>IF(C41="Mediana Complejidad",M41,0)</f>
        <v>0</v>
      </c>
      <c r="U41" s="8">
        <v>0</v>
      </c>
      <c r="V41" s="7">
        <f>(T41)+(T41*U41)</f>
        <v>0</v>
      </c>
      <c r="W41" s="8">
        <f>IFERROR(((V41-T41)/V41),0)</f>
        <v>0</v>
      </c>
      <c r="X41" s="7">
        <f>IF(C41="Baja Complejidad",M41,0)</f>
        <v>674.76757894736841</v>
      </c>
      <c r="Y41" s="8">
        <v>0</v>
      </c>
      <c r="Z41" s="7">
        <f t="shared" si="5"/>
        <v>674.76757894736841</v>
      </c>
      <c r="AA41" s="8">
        <f>IFERROR(((Z41-X41)/Z41),0)</f>
        <v>0</v>
      </c>
      <c r="AB41" s="8">
        <v>0.1</v>
      </c>
    </row>
    <row r="42" spans="1:28" x14ac:dyDescent="0.25">
      <c r="A42">
        <v>2026</v>
      </c>
      <c r="B42" t="s">
        <v>52</v>
      </c>
      <c r="C42" t="s">
        <v>57</v>
      </c>
      <c r="D42" t="s">
        <v>58</v>
      </c>
      <c r="E42" t="s">
        <v>95</v>
      </c>
      <c r="G42" t="s">
        <v>31</v>
      </c>
      <c r="H42" t="s">
        <v>31</v>
      </c>
      <c r="I42" t="s">
        <v>83</v>
      </c>
      <c r="J42">
        <v>1</v>
      </c>
      <c r="K42" t="s">
        <v>33</v>
      </c>
      <c r="L42">
        <v>67900</v>
      </c>
      <c r="M42" s="7">
        <v>6790</v>
      </c>
      <c r="O42" s="7">
        <f t="shared" si="4"/>
        <v>6790</v>
      </c>
      <c r="P42" s="7">
        <f>IF(C42="Alta Complejidad",M42,0)</f>
        <v>0</v>
      </c>
      <c r="Q42" s="8">
        <v>0</v>
      </c>
      <c r="R42" s="7">
        <f>P42+(P42*Q42)</f>
        <v>0</v>
      </c>
      <c r="S42" s="9">
        <f>IFERROR(((R42-P42)/R42),0)</f>
        <v>0</v>
      </c>
      <c r="T42" s="7">
        <f>IF(C42="Mediana Complejidad",M42,0)</f>
        <v>0</v>
      </c>
      <c r="U42" s="8">
        <v>0</v>
      </c>
      <c r="V42" s="7">
        <f>(T42)+(T42*U42)</f>
        <v>0</v>
      </c>
      <c r="W42" s="8">
        <f>IFERROR(((V42-T42)/V42),0)</f>
        <v>0</v>
      </c>
      <c r="X42" s="7">
        <f>IF(C42="Baja Complejidad",M42,0)</f>
        <v>6790</v>
      </c>
      <c r="Y42" s="8">
        <v>0</v>
      </c>
      <c r="Z42" s="7">
        <f t="shared" si="5"/>
        <v>6790</v>
      </c>
      <c r="AA42" s="8">
        <f>IFERROR(((Z42-X42)/Z42),0)</f>
        <v>0</v>
      </c>
      <c r="AB42" s="8">
        <v>0.1</v>
      </c>
    </row>
    <row r="43" spans="1:28" x14ac:dyDescent="0.25">
      <c r="A43">
        <v>2026</v>
      </c>
      <c r="B43" t="s">
        <v>52</v>
      </c>
      <c r="C43" t="s">
        <v>57</v>
      </c>
      <c r="D43" t="s">
        <v>58</v>
      </c>
      <c r="E43" t="s">
        <v>96</v>
      </c>
      <c r="G43" t="s">
        <v>31</v>
      </c>
      <c r="H43" t="s">
        <v>31</v>
      </c>
      <c r="I43" t="s">
        <v>84</v>
      </c>
      <c r="J43">
        <v>1</v>
      </c>
      <c r="K43" t="s">
        <v>33</v>
      </c>
      <c r="L43">
        <v>50300</v>
      </c>
      <c r="M43" s="7">
        <v>5030</v>
      </c>
      <c r="O43" s="7">
        <f t="shared" si="4"/>
        <v>5030</v>
      </c>
      <c r="P43" s="7">
        <f>IF(C43="Alta Complejidad",M43,0)</f>
        <v>0</v>
      </c>
      <c r="Q43" s="8">
        <v>0</v>
      </c>
      <c r="R43" s="7">
        <f>P43+(P43*Q43)</f>
        <v>0</v>
      </c>
      <c r="S43" s="9">
        <f>IFERROR(((R43-P43)/R43),0)</f>
        <v>0</v>
      </c>
      <c r="T43" s="7">
        <f>IF(C43="Mediana Complejidad",M43,0)</f>
        <v>0</v>
      </c>
      <c r="U43" s="8">
        <v>0</v>
      </c>
      <c r="V43" s="7">
        <f>(T43)+(T43*U43)</f>
        <v>0</v>
      </c>
      <c r="W43" s="8">
        <f>IFERROR(((V43-T43)/V43),0)</f>
        <v>0</v>
      </c>
      <c r="X43" s="7">
        <f>IF(C43="Baja Complejidad",M43,0)</f>
        <v>5030</v>
      </c>
      <c r="Y43" s="8">
        <v>0</v>
      </c>
      <c r="Z43" s="7">
        <f t="shared" si="5"/>
        <v>5030</v>
      </c>
      <c r="AA43" s="8">
        <f>IFERROR(((Z43-X43)/Z43),0)</f>
        <v>0</v>
      </c>
      <c r="AB43" s="8">
        <v>0.1</v>
      </c>
    </row>
    <row r="44" spans="1:28" x14ac:dyDescent="0.25">
      <c r="A44">
        <v>2026</v>
      </c>
      <c r="B44" t="s">
        <v>52</v>
      </c>
      <c r="C44" t="s">
        <v>57</v>
      </c>
      <c r="D44" t="s">
        <v>58</v>
      </c>
      <c r="E44" t="s">
        <v>97</v>
      </c>
      <c r="G44" t="s">
        <v>31</v>
      </c>
      <c r="H44" t="s">
        <v>31</v>
      </c>
      <c r="I44" t="s">
        <v>82</v>
      </c>
      <c r="J44">
        <v>1</v>
      </c>
      <c r="K44" t="s">
        <v>33</v>
      </c>
      <c r="L44">
        <v>43500</v>
      </c>
      <c r="M44" s="7">
        <v>3625</v>
      </c>
      <c r="O44" s="7">
        <f t="shared" si="4"/>
        <v>3625</v>
      </c>
      <c r="P44" s="7">
        <f>IF(C44="Alta Complejidad",M44,0)</f>
        <v>0</v>
      </c>
      <c r="Q44" s="8">
        <v>0</v>
      </c>
      <c r="R44" s="7">
        <f>P44+(P44*Q44)</f>
        <v>0</v>
      </c>
      <c r="S44" s="9">
        <f>IFERROR(((R44-P44)/R44),0)</f>
        <v>0</v>
      </c>
      <c r="T44" s="7">
        <f>IF(C44="Mediana Complejidad",M44,0)</f>
        <v>0</v>
      </c>
      <c r="U44" s="8">
        <v>0</v>
      </c>
      <c r="V44" s="7">
        <f>(T44)+(T44*U44)</f>
        <v>0</v>
      </c>
      <c r="W44" s="8">
        <f>IFERROR(((V44-T44)/V44),0)</f>
        <v>0</v>
      </c>
      <c r="X44" s="7">
        <f>IF(C44="Baja Complejidad",M44,0)</f>
        <v>3625</v>
      </c>
      <c r="Y44" s="8">
        <v>0</v>
      </c>
      <c r="Z44" s="7">
        <f t="shared" si="5"/>
        <v>3625</v>
      </c>
      <c r="AA44" s="8">
        <f>IFERROR(((Z44-X44)/Z44),0)</f>
        <v>0</v>
      </c>
      <c r="AB44" s="8">
        <v>0.1</v>
      </c>
    </row>
    <row r="45" spans="1:28" x14ac:dyDescent="0.25">
      <c r="A45">
        <v>2026</v>
      </c>
      <c r="B45" t="s">
        <v>52</v>
      </c>
      <c r="C45" t="s">
        <v>57</v>
      </c>
      <c r="D45" t="s">
        <v>58</v>
      </c>
      <c r="E45">
        <v>1965</v>
      </c>
      <c r="F45">
        <v>1600</v>
      </c>
      <c r="G45" t="s">
        <v>42</v>
      </c>
      <c r="H45" t="s">
        <v>42</v>
      </c>
      <c r="I45" t="s">
        <v>59</v>
      </c>
      <c r="J45">
        <v>80</v>
      </c>
      <c r="K45" t="s">
        <v>45</v>
      </c>
      <c r="L45">
        <v>201.61</v>
      </c>
      <c r="M45" s="7">
        <f>+L45*F45</f>
        <v>322576</v>
      </c>
      <c r="O45" s="7">
        <f t="shared" si="4"/>
        <v>322576</v>
      </c>
      <c r="P45" s="7">
        <f>IF(C45="Alta Complejidad",M45,0)</f>
        <v>0</v>
      </c>
      <c r="Q45" s="8">
        <v>0</v>
      </c>
      <c r="R45" s="7">
        <f>P45+(P45*Q45)</f>
        <v>0</v>
      </c>
      <c r="S45" s="9">
        <f>IFERROR(((R45-P45)/R45),0)</f>
        <v>0</v>
      </c>
      <c r="T45" s="7">
        <f>IF(C45="Mediana Complejidad",M45,0)</f>
        <v>0</v>
      </c>
      <c r="U45" s="8">
        <v>0</v>
      </c>
      <c r="V45" s="7">
        <f>(T45)+(T45*U45)</f>
        <v>0</v>
      </c>
      <c r="W45" s="8">
        <f>IFERROR(((V45-T45)/V45),0)</f>
        <v>0</v>
      </c>
      <c r="X45" s="7">
        <f>IF(C45="Baja Complejidad",M45,0)</f>
        <v>322576</v>
      </c>
      <c r="Y45" s="8">
        <v>0</v>
      </c>
      <c r="Z45" s="7">
        <f t="shared" si="5"/>
        <v>322576</v>
      </c>
      <c r="AA45" s="8">
        <f>IFERROR(((Z45-X45)/Z45),0)</f>
        <v>0</v>
      </c>
      <c r="AB45" s="8">
        <v>0.1</v>
      </c>
    </row>
    <row r="46" spans="1:28" x14ac:dyDescent="0.25">
      <c r="A46">
        <v>2026</v>
      </c>
      <c r="B46" t="s">
        <v>52</v>
      </c>
      <c r="C46" t="s">
        <v>57</v>
      </c>
      <c r="D46" t="s">
        <v>58</v>
      </c>
      <c r="E46">
        <v>1965</v>
      </c>
      <c r="G46" t="s">
        <v>43</v>
      </c>
      <c r="H46" t="s">
        <v>43</v>
      </c>
      <c r="I46" t="s">
        <v>44</v>
      </c>
      <c r="J46">
        <v>3</v>
      </c>
      <c r="K46" t="s">
        <v>33</v>
      </c>
      <c r="L46">
        <v>3000</v>
      </c>
      <c r="M46" s="7">
        <v>12657</v>
      </c>
      <c r="O46" s="7">
        <f t="shared" si="4"/>
        <v>12657</v>
      </c>
      <c r="P46" s="7">
        <f>IF(C46="Alta Complejidad",M46,0)</f>
        <v>0</v>
      </c>
      <c r="Q46" s="8">
        <v>0</v>
      </c>
      <c r="R46" s="7">
        <f>P46+(P46*Q46)</f>
        <v>0</v>
      </c>
      <c r="S46" s="9">
        <f>IFERROR(((R46-P46)/R46),0)</f>
        <v>0</v>
      </c>
      <c r="T46" s="7">
        <f>IF(C46="Mediana Complejidad",M46,0)</f>
        <v>0</v>
      </c>
      <c r="U46" s="8">
        <v>0</v>
      </c>
      <c r="V46" s="7">
        <f>(T46)+(T46*U46)</f>
        <v>0</v>
      </c>
      <c r="W46" s="8">
        <f>IFERROR(((V46-T46)/V46),0)</f>
        <v>0</v>
      </c>
      <c r="X46" s="7">
        <f>IF(C46="Baja Complejidad",M46,0)</f>
        <v>12657</v>
      </c>
      <c r="Y46" s="8">
        <v>0</v>
      </c>
      <c r="Z46" s="7">
        <f t="shared" si="5"/>
        <v>12657</v>
      </c>
      <c r="AA46" s="8">
        <f>IFERROR(((Z46-X46)/Z46),0)</f>
        <v>0</v>
      </c>
      <c r="AB46" s="8">
        <v>0.1</v>
      </c>
    </row>
    <row r="47" spans="1:28" x14ac:dyDescent="0.25">
      <c r="A47">
        <v>2026</v>
      </c>
      <c r="B47" t="s">
        <v>53</v>
      </c>
      <c r="C47" t="s">
        <v>57</v>
      </c>
      <c r="D47" t="s">
        <v>58</v>
      </c>
      <c r="E47" t="s">
        <v>85</v>
      </c>
      <c r="G47" t="s">
        <v>31</v>
      </c>
      <c r="H47" t="s">
        <v>31</v>
      </c>
      <c r="I47" t="s">
        <v>32</v>
      </c>
      <c r="J47">
        <v>4</v>
      </c>
      <c r="K47" t="s">
        <v>33</v>
      </c>
      <c r="L47">
        <v>266</v>
      </c>
      <c r="M47" s="7">
        <v>1064</v>
      </c>
      <c r="O47" s="7">
        <f>Z47</f>
        <v>1064</v>
      </c>
      <c r="P47" s="7">
        <f>IF(C47="Alta Complejidad",M47,0)</f>
        <v>0</v>
      </c>
      <c r="Q47" s="8">
        <v>0</v>
      </c>
      <c r="R47" s="7">
        <f>P47+(P47*Q47)</f>
        <v>0</v>
      </c>
      <c r="S47" s="9">
        <f>IFERROR(((R47-P47)/R47),0)</f>
        <v>0</v>
      </c>
      <c r="T47" s="7">
        <f>IF(C47="Mediana Complejidad",M47,0)</f>
        <v>0</v>
      </c>
      <c r="U47" s="8">
        <v>0</v>
      </c>
      <c r="V47" s="7">
        <f>(T47)+(T47*U47)</f>
        <v>0</v>
      </c>
      <c r="W47" s="8">
        <f>IFERROR(((V47-T47)/V47),0)</f>
        <v>0</v>
      </c>
      <c r="X47" s="7">
        <f>IF(C47="Baja Complejidad",M47,0)</f>
        <v>1064</v>
      </c>
      <c r="Y47" s="8">
        <v>0</v>
      </c>
      <c r="Z47" s="7">
        <f>X47+(X47*Y47)</f>
        <v>1064</v>
      </c>
      <c r="AA47" s="8">
        <f>IFERROR(((Z47-X47)/Z47),0)</f>
        <v>0</v>
      </c>
      <c r="AB47" s="8">
        <v>0.1</v>
      </c>
    </row>
    <row r="48" spans="1:28" x14ac:dyDescent="0.25">
      <c r="A48">
        <v>2026</v>
      </c>
      <c r="B48" t="s">
        <v>53</v>
      </c>
      <c r="C48" t="s">
        <v>57</v>
      </c>
      <c r="D48" t="s">
        <v>58</v>
      </c>
      <c r="E48" t="s">
        <v>86</v>
      </c>
      <c r="G48" t="s">
        <v>31</v>
      </c>
      <c r="H48" t="s">
        <v>31</v>
      </c>
      <c r="I48" t="s">
        <v>34</v>
      </c>
      <c r="J48">
        <v>1</v>
      </c>
      <c r="K48" t="s">
        <v>33</v>
      </c>
      <c r="L48">
        <v>1086.232</v>
      </c>
      <c r="M48" s="7">
        <v>1086.232</v>
      </c>
      <c r="O48" s="7">
        <f t="shared" ref="O48:O61" si="6">Z48</f>
        <v>1086.232</v>
      </c>
      <c r="P48" s="7">
        <f>IF(C48="Alta Complejidad",M48,0)</f>
        <v>0</v>
      </c>
      <c r="Q48" s="8">
        <v>0</v>
      </c>
      <c r="R48" s="7">
        <f>P48+(P48*Q48)</f>
        <v>0</v>
      </c>
      <c r="S48" s="9">
        <f>IFERROR(((R48-P48)/R48),0)</f>
        <v>0</v>
      </c>
      <c r="T48" s="7">
        <f>IF(C48="Mediana Complejidad",M48,0)</f>
        <v>0</v>
      </c>
      <c r="U48" s="8">
        <v>0</v>
      </c>
      <c r="V48" s="7">
        <f>(T48)+(T48*U48)</f>
        <v>0</v>
      </c>
      <c r="W48" s="8">
        <f>IFERROR(((V48-T48)/V48),0)</f>
        <v>0</v>
      </c>
      <c r="X48" s="7">
        <f>IF(C48="Baja Complejidad",M48,0)</f>
        <v>1086.232</v>
      </c>
      <c r="Y48" s="8">
        <v>0</v>
      </c>
      <c r="Z48" s="7">
        <f t="shared" ref="Z48:Z61" si="7">X48+(X48*Y48)</f>
        <v>1086.232</v>
      </c>
      <c r="AA48" s="8">
        <f>IFERROR(((Z48-X48)/Z48),0)</f>
        <v>0</v>
      </c>
      <c r="AB48" s="8">
        <v>0.1</v>
      </c>
    </row>
    <row r="49" spans="1:28" x14ac:dyDescent="0.25">
      <c r="A49">
        <v>2026</v>
      </c>
      <c r="B49" t="s">
        <v>53</v>
      </c>
      <c r="C49" t="s">
        <v>57</v>
      </c>
      <c r="D49" t="s">
        <v>58</v>
      </c>
      <c r="E49" t="s">
        <v>87</v>
      </c>
      <c r="G49" t="s">
        <v>31</v>
      </c>
      <c r="H49" t="s">
        <v>31</v>
      </c>
      <c r="I49" t="s">
        <v>35</v>
      </c>
      <c r="J49">
        <v>4</v>
      </c>
      <c r="K49" t="s">
        <v>33</v>
      </c>
      <c r="L49">
        <v>370</v>
      </c>
      <c r="M49" s="7">
        <v>1480</v>
      </c>
      <c r="O49" s="7">
        <f t="shared" si="6"/>
        <v>1480</v>
      </c>
      <c r="P49" s="7">
        <f>IF(C49="Alta Complejidad",M49,0)</f>
        <v>0</v>
      </c>
      <c r="Q49" s="8">
        <v>0</v>
      </c>
      <c r="R49" s="7">
        <f>P49+(P49*Q49)</f>
        <v>0</v>
      </c>
      <c r="S49" s="9">
        <f>IFERROR(((R49-P49)/R49),0)</f>
        <v>0</v>
      </c>
      <c r="T49" s="7">
        <f>IF(C49="Mediana Complejidad",M49,0)</f>
        <v>0</v>
      </c>
      <c r="U49" s="8">
        <v>0</v>
      </c>
      <c r="V49" s="7">
        <f>(T49)+(T49*U49)</f>
        <v>0</v>
      </c>
      <c r="W49" s="8">
        <f>IFERROR(((V49-T49)/V49),0)</f>
        <v>0</v>
      </c>
      <c r="X49" s="7">
        <f>IF(C49="Baja Complejidad",M49,0)</f>
        <v>1480</v>
      </c>
      <c r="Y49" s="8">
        <v>0</v>
      </c>
      <c r="Z49" s="7">
        <f t="shared" si="7"/>
        <v>1480</v>
      </c>
      <c r="AA49" s="8">
        <f>IFERROR(((Z49-X49)/Z49),0)</f>
        <v>0</v>
      </c>
      <c r="AB49" s="8">
        <v>0.1</v>
      </c>
    </row>
    <row r="50" spans="1:28" x14ac:dyDescent="0.25">
      <c r="A50">
        <v>2026</v>
      </c>
      <c r="B50" t="s">
        <v>53</v>
      </c>
      <c r="C50" t="s">
        <v>57</v>
      </c>
      <c r="D50" t="s">
        <v>58</v>
      </c>
      <c r="E50" t="s">
        <v>88</v>
      </c>
      <c r="G50" t="s">
        <v>31</v>
      </c>
      <c r="H50" t="s">
        <v>31</v>
      </c>
      <c r="I50" t="s">
        <v>36</v>
      </c>
      <c r="J50">
        <v>1</v>
      </c>
      <c r="K50" t="s">
        <v>33</v>
      </c>
      <c r="L50">
        <v>2643</v>
      </c>
      <c r="M50" s="7">
        <v>2643</v>
      </c>
      <c r="O50" s="7">
        <f t="shared" si="6"/>
        <v>2643</v>
      </c>
      <c r="P50" s="7">
        <f>IF(C50="Alta Complejidad",M50,0)</f>
        <v>0</v>
      </c>
      <c r="Q50" s="8">
        <v>0</v>
      </c>
      <c r="R50" s="7">
        <f>P50+(P50*Q50)</f>
        <v>0</v>
      </c>
      <c r="S50" s="9">
        <f>IFERROR(((R50-P50)/R50),0)</f>
        <v>0</v>
      </c>
      <c r="T50" s="7">
        <f>IF(C50="Mediana Complejidad",M50,0)</f>
        <v>0</v>
      </c>
      <c r="U50" s="8">
        <v>0</v>
      </c>
      <c r="V50" s="7">
        <f>(T50)+(T50*U50)</f>
        <v>0</v>
      </c>
      <c r="W50" s="8">
        <f>IFERROR(((V50-T50)/V50),0)</f>
        <v>0</v>
      </c>
      <c r="X50" s="7">
        <f>IF(C50="Baja Complejidad",M50,0)</f>
        <v>2643</v>
      </c>
      <c r="Y50" s="8">
        <v>0</v>
      </c>
      <c r="Z50" s="7">
        <f t="shared" si="7"/>
        <v>2643</v>
      </c>
      <c r="AA50" s="8">
        <f>IFERROR(((Z50-X50)/Z50),0)</f>
        <v>0</v>
      </c>
      <c r="AB50" s="8">
        <v>0.1</v>
      </c>
    </row>
    <row r="51" spans="1:28" x14ac:dyDescent="0.25">
      <c r="A51">
        <v>2026</v>
      </c>
      <c r="B51" t="s">
        <v>53</v>
      </c>
      <c r="C51" t="s">
        <v>57</v>
      </c>
      <c r="D51" t="s">
        <v>58</v>
      </c>
      <c r="E51" t="s">
        <v>89</v>
      </c>
      <c r="G51" t="s">
        <v>31</v>
      </c>
      <c r="H51" t="s">
        <v>31</v>
      </c>
      <c r="I51" t="s">
        <v>37</v>
      </c>
      <c r="J51">
        <v>1</v>
      </c>
      <c r="K51" t="s">
        <v>33</v>
      </c>
      <c r="L51">
        <v>135.66</v>
      </c>
      <c r="M51" s="7">
        <v>135.66</v>
      </c>
      <c r="O51" s="7">
        <f t="shared" si="6"/>
        <v>135.66</v>
      </c>
      <c r="P51" s="7">
        <f>IF(C51="Alta Complejidad",M51,0)</f>
        <v>0</v>
      </c>
      <c r="Q51" s="8">
        <v>0</v>
      </c>
      <c r="R51" s="7">
        <f>P51+(P51*Q51)</f>
        <v>0</v>
      </c>
      <c r="S51" s="9">
        <f>IFERROR(((R51-P51)/R51),0)</f>
        <v>0</v>
      </c>
      <c r="T51" s="7">
        <f>IF(C51="Mediana Complejidad",M51,0)</f>
        <v>0</v>
      </c>
      <c r="U51" s="8">
        <v>0</v>
      </c>
      <c r="V51" s="7">
        <f>(T51)+(T51*U51)</f>
        <v>0</v>
      </c>
      <c r="W51" s="8">
        <f>IFERROR(((V51-T51)/V51),0)</f>
        <v>0</v>
      </c>
      <c r="X51" s="7">
        <f>IF(C51="Baja Complejidad",M51,0)</f>
        <v>135.66</v>
      </c>
      <c r="Y51" s="8">
        <v>0</v>
      </c>
      <c r="Z51" s="7">
        <f t="shared" si="7"/>
        <v>135.66</v>
      </c>
      <c r="AA51" s="8">
        <f>IFERROR(((Z51-X51)/Z51),0)</f>
        <v>0</v>
      </c>
      <c r="AB51" s="8">
        <v>0.1</v>
      </c>
    </row>
    <row r="52" spans="1:28" x14ac:dyDescent="0.25">
      <c r="A52">
        <v>2026</v>
      </c>
      <c r="B52" t="s">
        <v>53</v>
      </c>
      <c r="C52" t="s">
        <v>57</v>
      </c>
      <c r="D52" t="s">
        <v>58</v>
      </c>
      <c r="E52" t="s">
        <v>90</v>
      </c>
      <c r="G52" t="s">
        <v>31</v>
      </c>
      <c r="H52" t="s">
        <v>31</v>
      </c>
      <c r="I52" t="s">
        <v>38</v>
      </c>
      <c r="J52">
        <v>1</v>
      </c>
      <c r="K52" t="s">
        <v>33</v>
      </c>
      <c r="L52">
        <v>3808</v>
      </c>
      <c r="M52" s="7">
        <v>3808</v>
      </c>
      <c r="O52" s="7">
        <f t="shared" si="6"/>
        <v>3808</v>
      </c>
      <c r="P52" s="7">
        <f>IF(C52="Alta Complejidad",M52,0)</f>
        <v>0</v>
      </c>
      <c r="Q52" s="8">
        <v>0</v>
      </c>
      <c r="R52" s="7">
        <f>P52+(P52*Q52)</f>
        <v>0</v>
      </c>
      <c r="S52" s="9">
        <f>IFERROR(((R52-P52)/R52),0)</f>
        <v>0</v>
      </c>
      <c r="T52" s="7">
        <f>IF(C52="Mediana Complejidad",M52,0)</f>
        <v>0</v>
      </c>
      <c r="U52" s="8">
        <v>0</v>
      </c>
      <c r="V52" s="7">
        <f>(T52)+(T52*U52)</f>
        <v>0</v>
      </c>
      <c r="W52" s="8">
        <f>IFERROR(((V52-T52)/V52),0)</f>
        <v>0</v>
      </c>
      <c r="X52" s="7">
        <f>IF(C52="Baja Complejidad",M52,0)</f>
        <v>3808</v>
      </c>
      <c r="Y52" s="8">
        <v>0</v>
      </c>
      <c r="Z52" s="7">
        <f t="shared" si="7"/>
        <v>3808</v>
      </c>
      <c r="AA52" s="8">
        <f>IFERROR(((Z52-X52)/Z52),0)</f>
        <v>0</v>
      </c>
      <c r="AB52" s="8">
        <v>0.1</v>
      </c>
    </row>
    <row r="53" spans="1:28" x14ac:dyDescent="0.25">
      <c r="A53">
        <v>2026</v>
      </c>
      <c r="B53" t="s">
        <v>53</v>
      </c>
      <c r="C53" t="s">
        <v>57</v>
      </c>
      <c r="D53" t="s">
        <v>58</v>
      </c>
      <c r="E53" t="s">
        <v>91</v>
      </c>
      <c r="G53" t="s">
        <v>31</v>
      </c>
      <c r="H53" t="s">
        <v>31</v>
      </c>
      <c r="I53" t="s">
        <v>39</v>
      </c>
      <c r="J53">
        <v>1</v>
      </c>
      <c r="K53" t="s">
        <v>33</v>
      </c>
      <c r="L53">
        <v>111.86</v>
      </c>
      <c r="M53" s="7">
        <v>111.86</v>
      </c>
      <c r="O53" s="7">
        <f t="shared" si="6"/>
        <v>111.86</v>
      </c>
      <c r="P53" s="7">
        <f>IF(C53="Alta Complejidad",M53,0)</f>
        <v>0</v>
      </c>
      <c r="Q53" s="8">
        <v>0</v>
      </c>
      <c r="R53" s="7">
        <f>P53+(P53*Q53)</f>
        <v>0</v>
      </c>
      <c r="S53" s="9">
        <f>IFERROR(((R53-P53)/R53),0)</f>
        <v>0</v>
      </c>
      <c r="T53" s="7">
        <f>IF(C53="Mediana Complejidad",M53,0)</f>
        <v>0</v>
      </c>
      <c r="U53" s="8">
        <v>0</v>
      </c>
      <c r="V53" s="7">
        <f>(T53)+(T53*U53)</f>
        <v>0</v>
      </c>
      <c r="W53" s="8">
        <f>IFERROR(((V53-T53)/V53),0)</f>
        <v>0</v>
      </c>
      <c r="X53" s="7">
        <f>IF(C53="Baja Complejidad",M53,0)</f>
        <v>111.86</v>
      </c>
      <c r="Y53" s="8">
        <v>0</v>
      </c>
      <c r="Z53" s="7">
        <f t="shared" si="7"/>
        <v>111.86</v>
      </c>
      <c r="AA53" s="8">
        <f>IFERROR(((Z53-X53)/Z53),0)</f>
        <v>0</v>
      </c>
      <c r="AB53" s="8">
        <v>0.1</v>
      </c>
    </row>
    <row r="54" spans="1:28" x14ac:dyDescent="0.25">
      <c r="A54">
        <v>2026</v>
      </c>
      <c r="B54" t="s">
        <v>53</v>
      </c>
      <c r="C54" t="s">
        <v>57</v>
      </c>
      <c r="D54" t="s">
        <v>58</v>
      </c>
      <c r="E54" t="s">
        <v>92</v>
      </c>
      <c r="G54" t="s">
        <v>31</v>
      </c>
      <c r="H54" t="s">
        <v>31</v>
      </c>
      <c r="I54" t="s">
        <v>64</v>
      </c>
      <c r="J54">
        <v>2</v>
      </c>
      <c r="K54" t="s">
        <v>33</v>
      </c>
      <c r="L54">
        <v>80300</v>
      </c>
      <c r="M54" s="7">
        <v>642.4</v>
      </c>
      <c r="O54" s="7">
        <f t="shared" si="6"/>
        <v>642.4</v>
      </c>
      <c r="P54" s="7">
        <f>IF(C54="Alta Complejidad",M54,0)</f>
        <v>0</v>
      </c>
      <c r="Q54" s="8">
        <v>0</v>
      </c>
      <c r="R54" s="7">
        <f>P54+(P54*Q54)</f>
        <v>0</v>
      </c>
      <c r="S54" s="9">
        <f>IFERROR(((R54-P54)/R54),0)</f>
        <v>0</v>
      </c>
      <c r="T54" s="7">
        <f>IF(C54="Mediana Complejidad",M54,0)</f>
        <v>0</v>
      </c>
      <c r="U54" s="8">
        <v>0</v>
      </c>
      <c r="V54" s="7">
        <f>(T54)+(T54*U54)</f>
        <v>0</v>
      </c>
      <c r="W54" s="8">
        <f>IFERROR(((V54-T54)/V54),0)</f>
        <v>0</v>
      </c>
      <c r="X54" s="7">
        <f>IF(C54="Baja Complejidad",M54,0)</f>
        <v>642.4</v>
      </c>
      <c r="Y54" s="8">
        <v>0</v>
      </c>
      <c r="Z54" s="7">
        <f t="shared" si="7"/>
        <v>642.4</v>
      </c>
      <c r="AA54" s="8">
        <f>IFERROR(((Z54-X54)/Z54),0)</f>
        <v>0</v>
      </c>
      <c r="AB54" s="8">
        <v>0.1</v>
      </c>
    </row>
    <row r="55" spans="1:28" x14ac:dyDescent="0.25">
      <c r="A55">
        <v>2026</v>
      </c>
      <c r="B55" t="s">
        <v>53</v>
      </c>
      <c r="C55" t="s">
        <v>57</v>
      </c>
      <c r="D55" t="s">
        <v>58</v>
      </c>
      <c r="E55" t="s">
        <v>93</v>
      </c>
      <c r="G55" t="s">
        <v>31</v>
      </c>
      <c r="H55" t="s">
        <v>31</v>
      </c>
      <c r="I55" t="s">
        <v>40</v>
      </c>
      <c r="J55">
        <v>2</v>
      </c>
      <c r="K55" t="s">
        <v>33</v>
      </c>
      <c r="L55">
        <v>17888.080000000002</v>
      </c>
      <c r="M55" s="7">
        <v>35776.160000000003</v>
      </c>
      <c r="O55" s="7">
        <f t="shared" si="6"/>
        <v>35776.160000000003</v>
      </c>
      <c r="P55" s="7">
        <f>IF(C55="Alta Complejidad",M55,0)</f>
        <v>0</v>
      </c>
      <c r="Q55" s="8">
        <v>0</v>
      </c>
      <c r="R55" s="7">
        <f>P55+(P55*Q55)</f>
        <v>0</v>
      </c>
      <c r="S55" s="9">
        <f>IFERROR(((R55-P55)/R55),0)</f>
        <v>0</v>
      </c>
      <c r="T55" s="7">
        <f>IF(C55="Mediana Complejidad",M55,0)</f>
        <v>0</v>
      </c>
      <c r="U55" s="8">
        <v>0</v>
      </c>
      <c r="V55" s="7">
        <f>(T55)+(T55*U55)</f>
        <v>0</v>
      </c>
      <c r="W55" s="8">
        <f>IFERROR(((V55-T55)/V55),0)</f>
        <v>0</v>
      </c>
      <c r="X55" s="7">
        <f>IF(C55="Baja Complejidad",M55,0)</f>
        <v>35776.160000000003</v>
      </c>
      <c r="Y55" s="8">
        <v>0</v>
      </c>
      <c r="Z55" s="7">
        <f t="shared" si="7"/>
        <v>35776.160000000003</v>
      </c>
      <c r="AA55" s="8">
        <f>IFERROR(((Z55-X55)/Z55),0)</f>
        <v>0</v>
      </c>
      <c r="AB55" s="8">
        <v>0.1</v>
      </c>
    </row>
    <row r="56" spans="1:28" x14ac:dyDescent="0.25">
      <c r="A56">
        <v>2026</v>
      </c>
      <c r="B56" t="s">
        <v>53</v>
      </c>
      <c r="C56" t="s">
        <v>57</v>
      </c>
      <c r="D56" t="s">
        <v>58</v>
      </c>
      <c r="E56" t="s">
        <v>94</v>
      </c>
      <c r="G56" t="s">
        <v>31</v>
      </c>
      <c r="H56" t="s">
        <v>31</v>
      </c>
      <c r="I56" t="s">
        <v>41</v>
      </c>
      <c r="J56">
        <v>2</v>
      </c>
      <c r="K56" t="s">
        <v>33</v>
      </c>
      <c r="L56">
        <v>337.3837894736842</v>
      </c>
      <c r="M56" s="7">
        <v>674.76757894736841</v>
      </c>
      <c r="O56" s="7">
        <f t="shared" si="6"/>
        <v>674.76757894736841</v>
      </c>
      <c r="P56" s="7">
        <f>IF(C56="Alta Complejidad",M56,0)</f>
        <v>0</v>
      </c>
      <c r="Q56" s="8">
        <v>0</v>
      </c>
      <c r="R56" s="7">
        <f>P56+(P56*Q56)</f>
        <v>0</v>
      </c>
      <c r="S56" s="9">
        <f>IFERROR(((R56-P56)/R56),0)</f>
        <v>0</v>
      </c>
      <c r="T56" s="7">
        <f>IF(C56="Mediana Complejidad",M56,0)</f>
        <v>0</v>
      </c>
      <c r="U56" s="8">
        <v>0</v>
      </c>
      <c r="V56" s="7">
        <f>(T56)+(T56*U56)</f>
        <v>0</v>
      </c>
      <c r="W56" s="8">
        <f>IFERROR(((V56-T56)/V56),0)</f>
        <v>0</v>
      </c>
      <c r="X56" s="7">
        <f>IF(C56="Baja Complejidad",M56,0)</f>
        <v>674.76757894736841</v>
      </c>
      <c r="Y56" s="8">
        <v>0</v>
      </c>
      <c r="Z56" s="7">
        <f t="shared" si="7"/>
        <v>674.76757894736841</v>
      </c>
      <c r="AA56" s="8">
        <f>IFERROR(((Z56-X56)/Z56),0)</f>
        <v>0</v>
      </c>
      <c r="AB56" s="8">
        <v>0.1</v>
      </c>
    </row>
    <row r="57" spans="1:28" x14ac:dyDescent="0.25">
      <c r="A57">
        <v>2026</v>
      </c>
      <c r="B57" t="s">
        <v>53</v>
      </c>
      <c r="C57" t="s">
        <v>57</v>
      </c>
      <c r="D57" t="s">
        <v>58</v>
      </c>
      <c r="E57" t="s">
        <v>95</v>
      </c>
      <c r="G57" t="s">
        <v>31</v>
      </c>
      <c r="H57" t="s">
        <v>31</v>
      </c>
      <c r="I57" t="s">
        <v>83</v>
      </c>
      <c r="J57">
        <v>1</v>
      </c>
      <c r="K57" t="s">
        <v>33</v>
      </c>
      <c r="L57">
        <v>67900</v>
      </c>
      <c r="M57" s="7">
        <v>6790</v>
      </c>
      <c r="O57" s="7">
        <f t="shared" si="6"/>
        <v>6790</v>
      </c>
      <c r="P57" s="7">
        <f>IF(C57="Alta Complejidad",M57,0)</f>
        <v>0</v>
      </c>
      <c r="Q57" s="8">
        <v>0</v>
      </c>
      <c r="R57" s="7">
        <f>P57+(P57*Q57)</f>
        <v>0</v>
      </c>
      <c r="S57" s="9">
        <f>IFERROR(((R57-P57)/R57),0)</f>
        <v>0</v>
      </c>
      <c r="T57" s="7">
        <f>IF(C57="Mediana Complejidad",M57,0)</f>
        <v>0</v>
      </c>
      <c r="U57" s="8">
        <v>0</v>
      </c>
      <c r="V57" s="7">
        <f>(T57)+(T57*U57)</f>
        <v>0</v>
      </c>
      <c r="W57" s="8">
        <f>IFERROR(((V57-T57)/V57),0)</f>
        <v>0</v>
      </c>
      <c r="X57" s="7">
        <f>IF(C57="Baja Complejidad",M57,0)</f>
        <v>6790</v>
      </c>
      <c r="Y57" s="8">
        <v>0</v>
      </c>
      <c r="Z57" s="7">
        <f t="shared" si="7"/>
        <v>6790</v>
      </c>
      <c r="AA57" s="8">
        <f>IFERROR(((Z57-X57)/Z57),0)</f>
        <v>0</v>
      </c>
      <c r="AB57" s="8">
        <v>0.1</v>
      </c>
    </row>
    <row r="58" spans="1:28" x14ac:dyDescent="0.25">
      <c r="A58">
        <v>2026</v>
      </c>
      <c r="B58" t="s">
        <v>53</v>
      </c>
      <c r="C58" t="s">
        <v>57</v>
      </c>
      <c r="D58" t="s">
        <v>58</v>
      </c>
      <c r="E58" t="s">
        <v>96</v>
      </c>
      <c r="G58" t="s">
        <v>31</v>
      </c>
      <c r="H58" t="s">
        <v>31</v>
      </c>
      <c r="I58" t="s">
        <v>84</v>
      </c>
      <c r="J58">
        <v>1</v>
      </c>
      <c r="K58" t="s">
        <v>33</v>
      </c>
      <c r="L58">
        <v>50300</v>
      </c>
      <c r="M58" s="7">
        <v>5030</v>
      </c>
      <c r="O58" s="7">
        <f t="shared" si="6"/>
        <v>5030</v>
      </c>
      <c r="P58" s="7">
        <f>IF(C58="Alta Complejidad",M58,0)</f>
        <v>0</v>
      </c>
      <c r="Q58" s="8">
        <v>0</v>
      </c>
      <c r="R58" s="7">
        <f>P58+(P58*Q58)</f>
        <v>0</v>
      </c>
      <c r="S58" s="9">
        <f>IFERROR(((R58-P58)/R58),0)</f>
        <v>0</v>
      </c>
      <c r="T58" s="7">
        <f>IF(C58="Mediana Complejidad",M58,0)</f>
        <v>0</v>
      </c>
      <c r="U58" s="8">
        <v>0</v>
      </c>
      <c r="V58" s="7">
        <f>(T58)+(T58*U58)</f>
        <v>0</v>
      </c>
      <c r="W58" s="8">
        <f>IFERROR(((V58-T58)/V58),0)</f>
        <v>0</v>
      </c>
      <c r="X58" s="7">
        <f>IF(C58="Baja Complejidad",M58,0)</f>
        <v>5030</v>
      </c>
      <c r="Y58" s="8">
        <v>0</v>
      </c>
      <c r="Z58" s="7">
        <f t="shared" si="7"/>
        <v>5030</v>
      </c>
      <c r="AA58" s="8">
        <f>IFERROR(((Z58-X58)/Z58),0)</f>
        <v>0</v>
      </c>
      <c r="AB58" s="8">
        <v>0.1</v>
      </c>
    </row>
    <row r="59" spans="1:28" x14ac:dyDescent="0.25">
      <c r="A59">
        <v>2026</v>
      </c>
      <c r="B59" t="s">
        <v>53</v>
      </c>
      <c r="C59" t="s">
        <v>57</v>
      </c>
      <c r="D59" t="s">
        <v>58</v>
      </c>
      <c r="E59" t="s">
        <v>97</v>
      </c>
      <c r="G59" t="s">
        <v>31</v>
      </c>
      <c r="H59" t="s">
        <v>31</v>
      </c>
      <c r="I59" t="s">
        <v>82</v>
      </c>
      <c r="J59">
        <v>1</v>
      </c>
      <c r="K59" t="s">
        <v>33</v>
      </c>
      <c r="L59">
        <v>43500</v>
      </c>
      <c r="M59" s="7">
        <v>3625</v>
      </c>
      <c r="O59" s="7">
        <f t="shared" si="6"/>
        <v>3625</v>
      </c>
      <c r="P59" s="7">
        <f>IF(C59="Alta Complejidad",M59,0)</f>
        <v>0</v>
      </c>
      <c r="Q59" s="8">
        <v>0</v>
      </c>
      <c r="R59" s="7">
        <f>P59+(P59*Q59)</f>
        <v>0</v>
      </c>
      <c r="S59" s="9">
        <f>IFERROR(((R59-P59)/R59),0)</f>
        <v>0</v>
      </c>
      <c r="T59" s="7">
        <f>IF(C59="Mediana Complejidad",M59,0)</f>
        <v>0</v>
      </c>
      <c r="U59" s="8">
        <v>0</v>
      </c>
      <c r="V59" s="7">
        <f>(T59)+(T59*U59)</f>
        <v>0</v>
      </c>
      <c r="W59" s="8">
        <f>IFERROR(((V59-T59)/V59),0)</f>
        <v>0</v>
      </c>
      <c r="X59" s="7">
        <f>IF(C59="Baja Complejidad",M59,0)</f>
        <v>3625</v>
      </c>
      <c r="Y59" s="8">
        <v>0</v>
      </c>
      <c r="Z59" s="7">
        <f t="shared" si="7"/>
        <v>3625</v>
      </c>
      <c r="AA59" s="8">
        <f>IFERROR(((Z59-X59)/Z59),0)</f>
        <v>0</v>
      </c>
      <c r="AB59" s="8">
        <v>0.1</v>
      </c>
    </row>
    <row r="60" spans="1:28" x14ac:dyDescent="0.25">
      <c r="A60">
        <v>2026</v>
      </c>
      <c r="B60" t="s">
        <v>53</v>
      </c>
      <c r="C60" t="s">
        <v>57</v>
      </c>
      <c r="D60" t="s">
        <v>58</v>
      </c>
      <c r="E60">
        <v>1965</v>
      </c>
      <c r="F60">
        <v>1600</v>
      </c>
      <c r="G60" t="s">
        <v>42</v>
      </c>
      <c r="H60" t="s">
        <v>42</v>
      </c>
      <c r="I60" t="s">
        <v>59</v>
      </c>
      <c r="J60">
        <v>80</v>
      </c>
      <c r="K60" t="s">
        <v>45</v>
      </c>
      <c r="L60">
        <v>201.61</v>
      </c>
      <c r="M60" s="7">
        <f>+L60*F60</f>
        <v>322576</v>
      </c>
      <c r="O60" s="7">
        <f t="shared" si="6"/>
        <v>322576</v>
      </c>
      <c r="P60" s="7">
        <f>IF(C60="Alta Complejidad",M60,0)</f>
        <v>0</v>
      </c>
      <c r="Q60" s="8">
        <v>0</v>
      </c>
      <c r="R60" s="7">
        <f>P60+(P60*Q60)</f>
        <v>0</v>
      </c>
      <c r="S60" s="9">
        <f>IFERROR(((R60-P60)/R60),0)</f>
        <v>0</v>
      </c>
      <c r="T60" s="7">
        <f>IF(C60="Mediana Complejidad",M60,0)</f>
        <v>0</v>
      </c>
      <c r="U60" s="8">
        <v>0</v>
      </c>
      <c r="V60" s="7">
        <f>(T60)+(T60*U60)</f>
        <v>0</v>
      </c>
      <c r="W60" s="8">
        <f>IFERROR(((V60-T60)/V60),0)</f>
        <v>0</v>
      </c>
      <c r="X60" s="7">
        <f>IF(C60="Baja Complejidad",M60,0)</f>
        <v>322576</v>
      </c>
      <c r="Y60" s="8">
        <v>0</v>
      </c>
      <c r="Z60" s="7">
        <f t="shared" si="7"/>
        <v>322576</v>
      </c>
      <c r="AA60" s="8">
        <f>IFERROR(((Z60-X60)/Z60),0)</f>
        <v>0</v>
      </c>
      <c r="AB60" s="8">
        <v>0.1</v>
      </c>
    </row>
    <row r="61" spans="1:28" x14ac:dyDescent="0.25">
      <c r="A61">
        <v>2026</v>
      </c>
      <c r="B61" t="s">
        <v>53</v>
      </c>
      <c r="C61" t="s">
        <v>57</v>
      </c>
      <c r="D61" t="s">
        <v>58</v>
      </c>
      <c r="E61">
        <v>1965</v>
      </c>
      <c r="G61" t="s">
        <v>43</v>
      </c>
      <c r="H61" t="s">
        <v>43</v>
      </c>
      <c r="I61" t="s">
        <v>44</v>
      </c>
      <c r="J61">
        <v>3</v>
      </c>
      <c r="K61" t="s">
        <v>33</v>
      </c>
      <c r="L61">
        <v>3000</v>
      </c>
      <c r="M61" s="7">
        <v>12657</v>
      </c>
      <c r="O61" s="7">
        <f t="shared" si="6"/>
        <v>12657</v>
      </c>
      <c r="P61" s="7">
        <f>IF(C61="Alta Complejidad",M61,0)</f>
        <v>0</v>
      </c>
      <c r="Q61" s="8">
        <v>0</v>
      </c>
      <c r="R61" s="7">
        <f>P61+(P61*Q61)</f>
        <v>0</v>
      </c>
      <c r="S61" s="9">
        <f>IFERROR(((R61-P61)/R61),0)</f>
        <v>0</v>
      </c>
      <c r="T61" s="7">
        <f>IF(C61="Mediana Complejidad",M61,0)</f>
        <v>0</v>
      </c>
      <c r="U61" s="8">
        <v>0</v>
      </c>
      <c r="V61" s="7">
        <f>(T61)+(T61*U61)</f>
        <v>0</v>
      </c>
      <c r="W61" s="8">
        <f>IFERROR(((V61-T61)/V61),0)</f>
        <v>0</v>
      </c>
      <c r="X61" s="7">
        <f>IF(C61="Baja Complejidad",M61,0)</f>
        <v>12657</v>
      </c>
      <c r="Y61" s="8">
        <v>0</v>
      </c>
      <c r="Z61" s="7">
        <f t="shared" si="7"/>
        <v>12657</v>
      </c>
      <c r="AA61" s="8">
        <f>IFERROR(((Z61-X61)/Z61),0)</f>
        <v>0</v>
      </c>
      <c r="AB61" s="8">
        <v>0.1</v>
      </c>
    </row>
    <row r="62" spans="1:28" x14ac:dyDescent="0.25">
      <c r="A62">
        <v>2026</v>
      </c>
      <c r="B62" t="s">
        <v>54</v>
      </c>
      <c r="C62" t="s">
        <v>57</v>
      </c>
      <c r="D62" t="s">
        <v>58</v>
      </c>
      <c r="E62" t="s">
        <v>85</v>
      </c>
      <c r="G62" t="s">
        <v>31</v>
      </c>
      <c r="H62" t="s">
        <v>31</v>
      </c>
      <c r="I62" t="s">
        <v>32</v>
      </c>
      <c r="J62">
        <v>4</v>
      </c>
      <c r="K62" t="s">
        <v>33</v>
      </c>
      <c r="L62">
        <v>266</v>
      </c>
      <c r="M62" s="7">
        <v>1064</v>
      </c>
      <c r="O62" s="7">
        <f>Z62</f>
        <v>1064</v>
      </c>
      <c r="P62" s="7">
        <f>IF(C62="Alta Complejidad",M62,0)</f>
        <v>0</v>
      </c>
      <c r="Q62" s="8">
        <v>0</v>
      </c>
      <c r="R62" s="7">
        <f>P62+(P62*Q62)</f>
        <v>0</v>
      </c>
      <c r="S62" s="9">
        <f>IFERROR(((R62-P62)/R62),0)</f>
        <v>0</v>
      </c>
      <c r="T62" s="7">
        <f>IF(C62="Mediana Complejidad",M62,0)</f>
        <v>0</v>
      </c>
      <c r="U62" s="8">
        <v>0</v>
      </c>
      <c r="V62" s="7">
        <f>(T62)+(T62*U62)</f>
        <v>0</v>
      </c>
      <c r="W62" s="8">
        <f>IFERROR(((V62-T62)/V62),0)</f>
        <v>0</v>
      </c>
      <c r="X62" s="7">
        <f>IF(C62="Baja Complejidad",M62,0)</f>
        <v>1064</v>
      </c>
      <c r="Y62" s="8">
        <v>0</v>
      </c>
      <c r="Z62" s="7">
        <f>X62+(X62*Y62)</f>
        <v>1064</v>
      </c>
      <c r="AA62" s="8">
        <f>IFERROR(((Z62-X62)/Z62),0)</f>
        <v>0</v>
      </c>
      <c r="AB62" s="8">
        <v>0.1</v>
      </c>
    </row>
    <row r="63" spans="1:28" x14ac:dyDescent="0.25">
      <c r="A63">
        <v>2026</v>
      </c>
      <c r="B63" t="s">
        <v>54</v>
      </c>
      <c r="C63" t="s">
        <v>57</v>
      </c>
      <c r="D63" t="s">
        <v>58</v>
      </c>
      <c r="E63" t="s">
        <v>86</v>
      </c>
      <c r="G63" t="s">
        <v>31</v>
      </c>
      <c r="H63" t="s">
        <v>31</v>
      </c>
      <c r="I63" t="s">
        <v>34</v>
      </c>
      <c r="J63">
        <v>1</v>
      </c>
      <c r="K63" t="s">
        <v>33</v>
      </c>
      <c r="L63">
        <v>1086.232</v>
      </c>
      <c r="M63" s="7">
        <v>1086.232</v>
      </c>
      <c r="O63" s="7">
        <f t="shared" ref="O63:O76" si="8">Z63</f>
        <v>1086.232</v>
      </c>
      <c r="P63" s="7">
        <f>IF(C63="Alta Complejidad",M63,0)</f>
        <v>0</v>
      </c>
      <c r="Q63" s="8">
        <v>0</v>
      </c>
      <c r="R63" s="7">
        <f>P63+(P63*Q63)</f>
        <v>0</v>
      </c>
      <c r="S63" s="9">
        <f>IFERROR(((R63-P63)/R63),0)</f>
        <v>0</v>
      </c>
      <c r="T63" s="7">
        <f>IF(C63="Mediana Complejidad",M63,0)</f>
        <v>0</v>
      </c>
      <c r="U63" s="8">
        <v>0</v>
      </c>
      <c r="V63" s="7">
        <f>(T63)+(T63*U63)</f>
        <v>0</v>
      </c>
      <c r="W63" s="8">
        <f>IFERROR(((V63-T63)/V63),0)</f>
        <v>0</v>
      </c>
      <c r="X63" s="7">
        <f>IF(C63="Baja Complejidad",M63,0)</f>
        <v>1086.232</v>
      </c>
      <c r="Y63" s="8">
        <v>0</v>
      </c>
      <c r="Z63" s="7">
        <f t="shared" ref="Z63:Z76" si="9">X63+(X63*Y63)</f>
        <v>1086.232</v>
      </c>
      <c r="AA63" s="8">
        <f>IFERROR(((Z63-X63)/Z63),0)</f>
        <v>0</v>
      </c>
      <c r="AB63" s="8">
        <v>0.1</v>
      </c>
    </row>
    <row r="64" spans="1:28" x14ac:dyDescent="0.25">
      <c r="A64">
        <v>2026</v>
      </c>
      <c r="B64" t="s">
        <v>54</v>
      </c>
      <c r="C64" t="s">
        <v>57</v>
      </c>
      <c r="D64" t="s">
        <v>58</v>
      </c>
      <c r="E64" t="s">
        <v>87</v>
      </c>
      <c r="G64" t="s">
        <v>31</v>
      </c>
      <c r="H64" t="s">
        <v>31</v>
      </c>
      <c r="I64" t="s">
        <v>35</v>
      </c>
      <c r="J64">
        <v>4</v>
      </c>
      <c r="K64" t="s">
        <v>33</v>
      </c>
      <c r="L64">
        <v>370</v>
      </c>
      <c r="M64" s="7">
        <v>1480</v>
      </c>
      <c r="O64" s="7">
        <f t="shared" si="8"/>
        <v>1480</v>
      </c>
      <c r="P64" s="7">
        <f>IF(C64="Alta Complejidad",M64,0)</f>
        <v>0</v>
      </c>
      <c r="Q64" s="8">
        <v>0</v>
      </c>
      <c r="R64" s="7">
        <f>P64+(P64*Q64)</f>
        <v>0</v>
      </c>
      <c r="S64" s="9">
        <f>IFERROR(((R64-P64)/R64),0)</f>
        <v>0</v>
      </c>
      <c r="T64" s="7">
        <f>IF(C64="Mediana Complejidad",M64,0)</f>
        <v>0</v>
      </c>
      <c r="U64" s="8">
        <v>0</v>
      </c>
      <c r="V64" s="7">
        <f>(T64)+(T64*U64)</f>
        <v>0</v>
      </c>
      <c r="W64" s="8">
        <f>IFERROR(((V64-T64)/V64),0)</f>
        <v>0</v>
      </c>
      <c r="X64" s="7">
        <f>IF(C64="Baja Complejidad",M64,0)</f>
        <v>1480</v>
      </c>
      <c r="Y64" s="8">
        <v>0</v>
      </c>
      <c r="Z64" s="7">
        <f t="shared" si="9"/>
        <v>1480</v>
      </c>
      <c r="AA64" s="8">
        <f>IFERROR(((Z64-X64)/Z64),0)</f>
        <v>0</v>
      </c>
      <c r="AB64" s="8">
        <v>0.1</v>
      </c>
    </row>
    <row r="65" spans="1:28" x14ac:dyDescent="0.25">
      <c r="A65">
        <v>2026</v>
      </c>
      <c r="B65" t="s">
        <v>54</v>
      </c>
      <c r="C65" t="s">
        <v>57</v>
      </c>
      <c r="D65" t="s">
        <v>58</v>
      </c>
      <c r="E65" t="s">
        <v>88</v>
      </c>
      <c r="G65" t="s">
        <v>31</v>
      </c>
      <c r="H65" t="s">
        <v>31</v>
      </c>
      <c r="I65" t="s">
        <v>36</v>
      </c>
      <c r="J65">
        <v>1</v>
      </c>
      <c r="K65" t="s">
        <v>33</v>
      </c>
      <c r="L65">
        <v>2643</v>
      </c>
      <c r="M65" s="7">
        <v>2643</v>
      </c>
      <c r="O65" s="7">
        <f t="shared" si="8"/>
        <v>2643</v>
      </c>
      <c r="P65" s="7">
        <f>IF(C65="Alta Complejidad",M65,0)</f>
        <v>0</v>
      </c>
      <c r="Q65" s="8">
        <v>0</v>
      </c>
      <c r="R65" s="7">
        <f>P65+(P65*Q65)</f>
        <v>0</v>
      </c>
      <c r="S65" s="9">
        <f>IFERROR(((R65-P65)/R65),0)</f>
        <v>0</v>
      </c>
      <c r="T65" s="7">
        <f>IF(C65="Mediana Complejidad",M65,0)</f>
        <v>0</v>
      </c>
      <c r="U65" s="8">
        <v>0</v>
      </c>
      <c r="V65" s="7">
        <f>(T65)+(T65*U65)</f>
        <v>0</v>
      </c>
      <c r="W65" s="8">
        <f>IFERROR(((V65-T65)/V65),0)</f>
        <v>0</v>
      </c>
      <c r="X65" s="7">
        <f>IF(C65="Baja Complejidad",M65,0)</f>
        <v>2643</v>
      </c>
      <c r="Y65" s="8">
        <v>0</v>
      </c>
      <c r="Z65" s="7">
        <f t="shared" si="9"/>
        <v>2643</v>
      </c>
      <c r="AA65" s="8">
        <f>IFERROR(((Z65-X65)/Z65),0)</f>
        <v>0</v>
      </c>
      <c r="AB65" s="8">
        <v>0.1</v>
      </c>
    </row>
    <row r="66" spans="1:28" x14ac:dyDescent="0.25">
      <c r="A66">
        <v>2026</v>
      </c>
      <c r="B66" t="s">
        <v>54</v>
      </c>
      <c r="C66" t="s">
        <v>57</v>
      </c>
      <c r="D66" t="s">
        <v>58</v>
      </c>
      <c r="E66" t="s">
        <v>89</v>
      </c>
      <c r="G66" t="s">
        <v>31</v>
      </c>
      <c r="H66" t="s">
        <v>31</v>
      </c>
      <c r="I66" t="s">
        <v>37</v>
      </c>
      <c r="J66">
        <v>1</v>
      </c>
      <c r="K66" t="s">
        <v>33</v>
      </c>
      <c r="L66">
        <v>135.66</v>
      </c>
      <c r="M66" s="7">
        <v>135.66</v>
      </c>
      <c r="O66" s="7">
        <f t="shared" si="8"/>
        <v>135.66</v>
      </c>
      <c r="P66" s="7">
        <f>IF(C66="Alta Complejidad",M66,0)</f>
        <v>0</v>
      </c>
      <c r="Q66" s="8">
        <v>0</v>
      </c>
      <c r="R66" s="7">
        <f>P66+(P66*Q66)</f>
        <v>0</v>
      </c>
      <c r="S66" s="9">
        <f>IFERROR(((R66-P66)/R66),0)</f>
        <v>0</v>
      </c>
      <c r="T66" s="7">
        <f>IF(C66="Mediana Complejidad",M66,0)</f>
        <v>0</v>
      </c>
      <c r="U66" s="8">
        <v>0</v>
      </c>
      <c r="V66" s="7">
        <f>(T66)+(T66*U66)</f>
        <v>0</v>
      </c>
      <c r="W66" s="8">
        <f>IFERROR(((V66-T66)/V66),0)</f>
        <v>0</v>
      </c>
      <c r="X66" s="7">
        <f>IF(C66="Baja Complejidad",M66,0)</f>
        <v>135.66</v>
      </c>
      <c r="Y66" s="8">
        <v>0</v>
      </c>
      <c r="Z66" s="7">
        <f t="shared" si="9"/>
        <v>135.66</v>
      </c>
      <c r="AA66" s="8">
        <f>IFERROR(((Z66-X66)/Z66),0)</f>
        <v>0</v>
      </c>
      <c r="AB66" s="8">
        <v>0.1</v>
      </c>
    </row>
    <row r="67" spans="1:28" x14ac:dyDescent="0.25">
      <c r="A67">
        <v>2026</v>
      </c>
      <c r="B67" t="s">
        <v>54</v>
      </c>
      <c r="C67" t="s">
        <v>57</v>
      </c>
      <c r="D67" t="s">
        <v>58</v>
      </c>
      <c r="E67" t="s">
        <v>90</v>
      </c>
      <c r="G67" t="s">
        <v>31</v>
      </c>
      <c r="H67" t="s">
        <v>31</v>
      </c>
      <c r="I67" t="s">
        <v>38</v>
      </c>
      <c r="J67">
        <v>1</v>
      </c>
      <c r="K67" t="s">
        <v>33</v>
      </c>
      <c r="L67">
        <v>3808</v>
      </c>
      <c r="M67" s="7">
        <v>3808</v>
      </c>
      <c r="O67" s="7">
        <f t="shared" si="8"/>
        <v>3808</v>
      </c>
      <c r="P67" s="7">
        <f>IF(C67="Alta Complejidad",M67,0)</f>
        <v>0</v>
      </c>
      <c r="Q67" s="8">
        <v>0</v>
      </c>
      <c r="R67" s="7">
        <f>P67+(P67*Q67)</f>
        <v>0</v>
      </c>
      <c r="S67" s="9">
        <f>IFERROR(((R67-P67)/R67),0)</f>
        <v>0</v>
      </c>
      <c r="T67" s="7">
        <f>IF(C67="Mediana Complejidad",M67,0)</f>
        <v>0</v>
      </c>
      <c r="U67" s="8">
        <v>0</v>
      </c>
      <c r="V67" s="7">
        <f>(T67)+(T67*U67)</f>
        <v>0</v>
      </c>
      <c r="W67" s="8">
        <f>IFERROR(((V67-T67)/V67),0)</f>
        <v>0</v>
      </c>
      <c r="X67" s="7">
        <f>IF(C67="Baja Complejidad",M67,0)</f>
        <v>3808</v>
      </c>
      <c r="Y67" s="8">
        <v>0</v>
      </c>
      <c r="Z67" s="7">
        <f t="shared" si="9"/>
        <v>3808</v>
      </c>
      <c r="AA67" s="8">
        <f>IFERROR(((Z67-X67)/Z67),0)</f>
        <v>0</v>
      </c>
      <c r="AB67" s="8">
        <v>0.1</v>
      </c>
    </row>
    <row r="68" spans="1:28" x14ac:dyDescent="0.25">
      <c r="A68">
        <v>2026</v>
      </c>
      <c r="B68" t="s">
        <v>54</v>
      </c>
      <c r="C68" t="s">
        <v>57</v>
      </c>
      <c r="D68" t="s">
        <v>58</v>
      </c>
      <c r="E68" t="s">
        <v>91</v>
      </c>
      <c r="G68" t="s">
        <v>31</v>
      </c>
      <c r="H68" t="s">
        <v>31</v>
      </c>
      <c r="I68" t="s">
        <v>39</v>
      </c>
      <c r="J68">
        <v>1</v>
      </c>
      <c r="K68" t="s">
        <v>33</v>
      </c>
      <c r="L68">
        <v>111.86</v>
      </c>
      <c r="M68" s="7">
        <v>111.86</v>
      </c>
      <c r="O68" s="7">
        <f t="shared" si="8"/>
        <v>111.86</v>
      </c>
      <c r="P68" s="7">
        <f>IF(C68="Alta Complejidad",M68,0)</f>
        <v>0</v>
      </c>
      <c r="Q68" s="8">
        <v>0</v>
      </c>
      <c r="R68" s="7">
        <f>P68+(P68*Q68)</f>
        <v>0</v>
      </c>
      <c r="S68" s="9">
        <f>IFERROR(((R68-P68)/R68),0)</f>
        <v>0</v>
      </c>
      <c r="T68" s="7">
        <f>IF(C68="Mediana Complejidad",M68,0)</f>
        <v>0</v>
      </c>
      <c r="U68" s="8">
        <v>0</v>
      </c>
      <c r="V68" s="7">
        <f>(T68)+(T68*U68)</f>
        <v>0</v>
      </c>
      <c r="W68" s="8">
        <f>IFERROR(((V68-T68)/V68),0)</f>
        <v>0</v>
      </c>
      <c r="X68" s="7">
        <f>IF(C68="Baja Complejidad",M68,0)</f>
        <v>111.86</v>
      </c>
      <c r="Y68" s="8">
        <v>0</v>
      </c>
      <c r="Z68" s="7">
        <f t="shared" si="9"/>
        <v>111.86</v>
      </c>
      <c r="AA68" s="8">
        <f>IFERROR(((Z68-X68)/Z68),0)</f>
        <v>0</v>
      </c>
      <c r="AB68" s="8">
        <v>0.1</v>
      </c>
    </row>
    <row r="69" spans="1:28" x14ac:dyDescent="0.25">
      <c r="A69">
        <v>2026</v>
      </c>
      <c r="B69" t="s">
        <v>54</v>
      </c>
      <c r="C69" t="s">
        <v>57</v>
      </c>
      <c r="D69" t="s">
        <v>58</v>
      </c>
      <c r="E69" t="s">
        <v>92</v>
      </c>
      <c r="G69" t="s">
        <v>31</v>
      </c>
      <c r="H69" t="s">
        <v>31</v>
      </c>
      <c r="I69" t="s">
        <v>64</v>
      </c>
      <c r="J69">
        <v>2</v>
      </c>
      <c r="K69" t="s">
        <v>33</v>
      </c>
      <c r="L69">
        <v>80300</v>
      </c>
      <c r="M69" s="7">
        <v>642.4</v>
      </c>
      <c r="O69" s="7">
        <f t="shared" si="8"/>
        <v>642.4</v>
      </c>
      <c r="P69" s="7">
        <f>IF(C69="Alta Complejidad",M69,0)</f>
        <v>0</v>
      </c>
      <c r="Q69" s="8">
        <v>0</v>
      </c>
      <c r="R69" s="7">
        <f>P69+(P69*Q69)</f>
        <v>0</v>
      </c>
      <c r="S69" s="9">
        <f>IFERROR(((R69-P69)/R69),0)</f>
        <v>0</v>
      </c>
      <c r="T69" s="7">
        <f>IF(C69="Mediana Complejidad",M69,0)</f>
        <v>0</v>
      </c>
      <c r="U69" s="8">
        <v>0</v>
      </c>
      <c r="V69" s="7">
        <f>(T69)+(T69*U69)</f>
        <v>0</v>
      </c>
      <c r="W69" s="8">
        <f>IFERROR(((V69-T69)/V69),0)</f>
        <v>0</v>
      </c>
      <c r="X69" s="7">
        <f>IF(C69="Baja Complejidad",M69,0)</f>
        <v>642.4</v>
      </c>
      <c r="Y69" s="8">
        <v>0</v>
      </c>
      <c r="Z69" s="7">
        <f t="shared" si="9"/>
        <v>642.4</v>
      </c>
      <c r="AA69" s="8">
        <f>IFERROR(((Z69-X69)/Z69),0)</f>
        <v>0</v>
      </c>
      <c r="AB69" s="8">
        <v>0.1</v>
      </c>
    </row>
    <row r="70" spans="1:28" x14ac:dyDescent="0.25">
      <c r="A70">
        <v>2026</v>
      </c>
      <c r="B70" t="s">
        <v>54</v>
      </c>
      <c r="C70" t="s">
        <v>57</v>
      </c>
      <c r="D70" t="s">
        <v>58</v>
      </c>
      <c r="E70" t="s">
        <v>93</v>
      </c>
      <c r="G70" t="s">
        <v>31</v>
      </c>
      <c r="H70" t="s">
        <v>31</v>
      </c>
      <c r="I70" t="s">
        <v>40</v>
      </c>
      <c r="J70">
        <v>2</v>
      </c>
      <c r="K70" t="s">
        <v>33</v>
      </c>
      <c r="L70">
        <v>17888.080000000002</v>
      </c>
      <c r="M70" s="7">
        <v>35776.160000000003</v>
      </c>
      <c r="O70" s="7">
        <f t="shared" si="8"/>
        <v>35776.160000000003</v>
      </c>
      <c r="P70" s="7">
        <f>IF(C70="Alta Complejidad",M70,0)</f>
        <v>0</v>
      </c>
      <c r="Q70" s="8">
        <v>0</v>
      </c>
      <c r="R70" s="7">
        <f>P70+(P70*Q70)</f>
        <v>0</v>
      </c>
      <c r="S70" s="9">
        <f>IFERROR(((R70-P70)/R70),0)</f>
        <v>0</v>
      </c>
      <c r="T70" s="7">
        <f>IF(C70="Mediana Complejidad",M70,0)</f>
        <v>0</v>
      </c>
      <c r="U70" s="8">
        <v>0</v>
      </c>
      <c r="V70" s="7">
        <f>(T70)+(T70*U70)</f>
        <v>0</v>
      </c>
      <c r="W70" s="8">
        <f>IFERROR(((V70-T70)/V70),0)</f>
        <v>0</v>
      </c>
      <c r="X70" s="7">
        <f>IF(C70="Baja Complejidad",M70,0)</f>
        <v>35776.160000000003</v>
      </c>
      <c r="Y70" s="8">
        <v>0</v>
      </c>
      <c r="Z70" s="7">
        <f t="shared" si="9"/>
        <v>35776.160000000003</v>
      </c>
      <c r="AA70" s="8">
        <f>IFERROR(((Z70-X70)/Z70),0)</f>
        <v>0</v>
      </c>
      <c r="AB70" s="8">
        <v>0.1</v>
      </c>
    </row>
    <row r="71" spans="1:28" x14ac:dyDescent="0.25">
      <c r="A71">
        <v>2026</v>
      </c>
      <c r="B71" t="s">
        <v>54</v>
      </c>
      <c r="C71" t="s">
        <v>57</v>
      </c>
      <c r="D71" t="s">
        <v>58</v>
      </c>
      <c r="E71" t="s">
        <v>94</v>
      </c>
      <c r="G71" t="s">
        <v>31</v>
      </c>
      <c r="H71" t="s">
        <v>31</v>
      </c>
      <c r="I71" t="s">
        <v>41</v>
      </c>
      <c r="J71">
        <v>2</v>
      </c>
      <c r="K71" t="s">
        <v>33</v>
      </c>
      <c r="L71">
        <v>337.3837894736842</v>
      </c>
      <c r="M71" s="7">
        <v>674.76757894736841</v>
      </c>
      <c r="O71" s="7">
        <f t="shared" si="8"/>
        <v>674.76757894736841</v>
      </c>
      <c r="P71" s="7">
        <f>IF(C71="Alta Complejidad",M71,0)</f>
        <v>0</v>
      </c>
      <c r="Q71" s="8">
        <v>0</v>
      </c>
      <c r="R71" s="7">
        <f>P71+(P71*Q71)</f>
        <v>0</v>
      </c>
      <c r="S71" s="9">
        <f>IFERROR(((R71-P71)/R71),0)</f>
        <v>0</v>
      </c>
      <c r="T71" s="7">
        <f>IF(C71="Mediana Complejidad",M71,0)</f>
        <v>0</v>
      </c>
      <c r="U71" s="8">
        <v>0</v>
      </c>
      <c r="V71" s="7">
        <f>(T71)+(T71*U71)</f>
        <v>0</v>
      </c>
      <c r="W71" s="8">
        <f>IFERROR(((V71-T71)/V71),0)</f>
        <v>0</v>
      </c>
      <c r="X71" s="7">
        <f>IF(C71="Baja Complejidad",M71,0)</f>
        <v>674.76757894736841</v>
      </c>
      <c r="Y71" s="8">
        <v>0</v>
      </c>
      <c r="Z71" s="7">
        <f t="shared" si="9"/>
        <v>674.76757894736841</v>
      </c>
      <c r="AA71" s="8">
        <f>IFERROR(((Z71-X71)/Z71),0)</f>
        <v>0</v>
      </c>
      <c r="AB71" s="8">
        <v>0.1</v>
      </c>
    </row>
    <row r="72" spans="1:28" x14ac:dyDescent="0.25">
      <c r="A72">
        <v>2026</v>
      </c>
      <c r="B72" t="s">
        <v>54</v>
      </c>
      <c r="C72" t="s">
        <v>57</v>
      </c>
      <c r="D72" t="s">
        <v>58</v>
      </c>
      <c r="E72" t="s">
        <v>95</v>
      </c>
      <c r="G72" t="s">
        <v>31</v>
      </c>
      <c r="H72" t="s">
        <v>31</v>
      </c>
      <c r="I72" t="s">
        <v>83</v>
      </c>
      <c r="J72">
        <v>1</v>
      </c>
      <c r="K72" t="s">
        <v>33</v>
      </c>
      <c r="L72">
        <v>67900</v>
      </c>
      <c r="M72" s="7">
        <v>6790</v>
      </c>
      <c r="O72" s="7">
        <f t="shared" si="8"/>
        <v>6790</v>
      </c>
      <c r="P72" s="7">
        <f>IF(C72="Alta Complejidad",M72,0)</f>
        <v>0</v>
      </c>
      <c r="Q72" s="8">
        <v>0</v>
      </c>
      <c r="R72" s="7">
        <f>P72+(P72*Q72)</f>
        <v>0</v>
      </c>
      <c r="S72" s="9">
        <f>IFERROR(((R72-P72)/R72),0)</f>
        <v>0</v>
      </c>
      <c r="T72" s="7">
        <f>IF(C72="Mediana Complejidad",M72,0)</f>
        <v>0</v>
      </c>
      <c r="U72" s="8">
        <v>0</v>
      </c>
      <c r="V72" s="7">
        <f>(T72)+(T72*U72)</f>
        <v>0</v>
      </c>
      <c r="W72" s="8">
        <f>IFERROR(((V72-T72)/V72),0)</f>
        <v>0</v>
      </c>
      <c r="X72" s="7">
        <f>IF(C72="Baja Complejidad",M72,0)</f>
        <v>6790</v>
      </c>
      <c r="Y72" s="8">
        <v>0</v>
      </c>
      <c r="Z72" s="7">
        <f t="shared" si="9"/>
        <v>6790</v>
      </c>
      <c r="AA72" s="8">
        <f>IFERROR(((Z72-X72)/Z72),0)</f>
        <v>0</v>
      </c>
      <c r="AB72" s="8">
        <v>0.1</v>
      </c>
    </row>
    <row r="73" spans="1:28" x14ac:dyDescent="0.25">
      <c r="A73">
        <v>2026</v>
      </c>
      <c r="B73" t="s">
        <v>54</v>
      </c>
      <c r="C73" t="s">
        <v>57</v>
      </c>
      <c r="D73" t="s">
        <v>58</v>
      </c>
      <c r="E73" t="s">
        <v>96</v>
      </c>
      <c r="G73" t="s">
        <v>31</v>
      </c>
      <c r="H73" t="s">
        <v>31</v>
      </c>
      <c r="I73" t="s">
        <v>84</v>
      </c>
      <c r="J73">
        <v>1</v>
      </c>
      <c r="K73" t="s">
        <v>33</v>
      </c>
      <c r="L73">
        <v>50300</v>
      </c>
      <c r="M73" s="7">
        <v>5030</v>
      </c>
      <c r="O73" s="7">
        <f t="shared" si="8"/>
        <v>5030</v>
      </c>
      <c r="P73" s="7">
        <f>IF(C73="Alta Complejidad",M73,0)</f>
        <v>0</v>
      </c>
      <c r="Q73" s="8">
        <v>0</v>
      </c>
      <c r="R73" s="7">
        <f>P73+(P73*Q73)</f>
        <v>0</v>
      </c>
      <c r="S73" s="9">
        <f>IFERROR(((R73-P73)/R73),0)</f>
        <v>0</v>
      </c>
      <c r="T73" s="7">
        <f>IF(C73="Mediana Complejidad",M73,0)</f>
        <v>0</v>
      </c>
      <c r="U73" s="8">
        <v>0</v>
      </c>
      <c r="V73" s="7">
        <f>(T73)+(T73*U73)</f>
        <v>0</v>
      </c>
      <c r="W73" s="8">
        <f>IFERROR(((V73-T73)/V73),0)</f>
        <v>0</v>
      </c>
      <c r="X73" s="7">
        <f>IF(C73="Baja Complejidad",M73,0)</f>
        <v>5030</v>
      </c>
      <c r="Y73" s="8">
        <v>0</v>
      </c>
      <c r="Z73" s="7">
        <f t="shared" si="9"/>
        <v>5030</v>
      </c>
      <c r="AA73" s="8">
        <f>IFERROR(((Z73-X73)/Z73),0)</f>
        <v>0</v>
      </c>
      <c r="AB73" s="8">
        <v>0.1</v>
      </c>
    </row>
    <row r="74" spans="1:28" x14ac:dyDescent="0.25">
      <c r="A74">
        <v>2026</v>
      </c>
      <c r="B74" t="s">
        <v>54</v>
      </c>
      <c r="C74" t="s">
        <v>57</v>
      </c>
      <c r="D74" t="s">
        <v>58</v>
      </c>
      <c r="E74" t="s">
        <v>97</v>
      </c>
      <c r="G74" t="s">
        <v>31</v>
      </c>
      <c r="H74" t="s">
        <v>31</v>
      </c>
      <c r="I74" t="s">
        <v>82</v>
      </c>
      <c r="J74">
        <v>1</v>
      </c>
      <c r="K74" t="s">
        <v>33</v>
      </c>
      <c r="L74">
        <v>43500</v>
      </c>
      <c r="M74" s="7">
        <v>3625</v>
      </c>
      <c r="O74" s="7">
        <f t="shared" si="8"/>
        <v>3625</v>
      </c>
      <c r="P74" s="7">
        <f>IF(C74="Alta Complejidad",M74,0)</f>
        <v>0</v>
      </c>
      <c r="Q74" s="8">
        <v>0</v>
      </c>
      <c r="R74" s="7">
        <f>P74+(P74*Q74)</f>
        <v>0</v>
      </c>
      <c r="S74" s="9">
        <f>IFERROR(((R74-P74)/R74),0)</f>
        <v>0</v>
      </c>
      <c r="T74" s="7">
        <f>IF(C74="Mediana Complejidad",M74,0)</f>
        <v>0</v>
      </c>
      <c r="U74" s="8">
        <v>0</v>
      </c>
      <c r="V74" s="7">
        <f>(T74)+(T74*U74)</f>
        <v>0</v>
      </c>
      <c r="W74" s="8">
        <f>IFERROR(((V74-T74)/V74),0)</f>
        <v>0</v>
      </c>
      <c r="X74" s="7">
        <f>IF(C74="Baja Complejidad",M74,0)</f>
        <v>3625</v>
      </c>
      <c r="Y74" s="8">
        <v>0</v>
      </c>
      <c r="Z74" s="7">
        <f t="shared" si="9"/>
        <v>3625</v>
      </c>
      <c r="AA74" s="8">
        <f>IFERROR(((Z74-X74)/Z74),0)</f>
        <v>0</v>
      </c>
      <c r="AB74" s="8">
        <v>0.1</v>
      </c>
    </row>
    <row r="75" spans="1:28" x14ac:dyDescent="0.25">
      <c r="A75">
        <v>2026</v>
      </c>
      <c r="B75" t="s">
        <v>54</v>
      </c>
      <c r="C75" t="s">
        <v>57</v>
      </c>
      <c r="D75" t="s">
        <v>58</v>
      </c>
      <c r="E75">
        <v>1965</v>
      </c>
      <c r="F75">
        <v>1600</v>
      </c>
      <c r="G75" t="s">
        <v>42</v>
      </c>
      <c r="H75" t="s">
        <v>42</v>
      </c>
      <c r="I75" t="s">
        <v>59</v>
      </c>
      <c r="J75">
        <v>80</v>
      </c>
      <c r="K75" t="s">
        <v>45</v>
      </c>
      <c r="L75">
        <v>201.61</v>
      </c>
      <c r="M75" s="7">
        <f>+L75*F75</f>
        <v>322576</v>
      </c>
      <c r="O75" s="7">
        <f t="shared" si="8"/>
        <v>322576</v>
      </c>
      <c r="P75" s="7">
        <f>IF(C75="Alta Complejidad",M75,0)</f>
        <v>0</v>
      </c>
      <c r="Q75" s="8">
        <v>0</v>
      </c>
      <c r="R75" s="7">
        <f>P75+(P75*Q75)</f>
        <v>0</v>
      </c>
      <c r="S75" s="9">
        <f>IFERROR(((R75-P75)/R75),0)</f>
        <v>0</v>
      </c>
      <c r="T75" s="7">
        <f>IF(C75="Mediana Complejidad",M75,0)</f>
        <v>0</v>
      </c>
      <c r="U75" s="8">
        <v>0</v>
      </c>
      <c r="V75" s="7">
        <f>(T75)+(T75*U75)</f>
        <v>0</v>
      </c>
      <c r="W75" s="8">
        <f>IFERROR(((V75-T75)/V75),0)</f>
        <v>0</v>
      </c>
      <c r="X75" s="7">
        <f>IF(C75="Baja Complejidad",M75,0)</f>
        <v>322576</v>
      </c>
      <c r="Y75" s="8">
        <v>0</v>
      </c>
      <c r="Z75" s="7">
        <f t="shared" si="9"/>
        <v>322576</v>
      </c>
      <c r="AA75" s="8">
        <f>IFERROR(((Z75-X75)/Z75),0)</f>
        <v>0</v>
      </c>
      <c r="AB75" s="8">
        <v>0.1</v>
      </c>
    </row>
    <row r="76" spans="1:28" x14ac:dyDescent="0.25">
      <c r="A76">
        <v>2026</v>
      </c>
      <c r="B76" t="s">
        <v>54</v>
      </c>
      <c r="C76" t="s">
        <v>57</v>
      </c>
      <c r="D76" t="s">
        <v>58</v>
      </c>
      <c r="E76">
        <v>1965</v>
      </c>
      <c r="G76" t="s">
        <v>43</v>
      </c>
      <c r="H76" t="s">
        <v>43</v>
      </c>
      <c r="I76" t="s">
        <v>44</v>
      </c>
      <c r="J76">
        <v>3</v>
      </c>
      <c r="K76" t="s">
        <v>33</v>
      </c>
      <c r="L76">
        <v>3000</v>
      </c>
      <c r="M76" s="7">
        <v>12657</v>
      </c>
      <c r="O76" s="7">
        <f t="shared" si="8"/>
        <v>12657</v>
      </c>
      <c r="P76" s="7">
        <f>IF(C76="Alta Complejidad",M76,0)</f>
        <v>0</v>
      </c>
      <c r="Q76" s="8">
        <v>0</v>
      </c>
      <c r="R76" s="7">
        <f>P76+(P76*Q76)</f>
        <v>0</v>
      </c>
      <c r="S76" s="9">
        <f>IFERROR(((R76-P76)/R76),0)</f>
        <v>0</v>
      </c>
      <c r="T76" s="7">
        <f>IF(C76="Mediana Complejidad",M76,0)</f>
        <v>0</v>
      </c>
      <c r="U76" s="8">
        <v>0</v>
      </c>
      <c r="V76" s="7">
        <f>(T76)+(T76*U76)</f>
        <v>0</v>
      </c>
      <c r="W76" s="8">
        <f>IFERROR(((V76-T76)/V76),0)</f>
        <v>0</v>
      </c>
      <c r="X76" s="7">
        <f>IF(C76="Baja Complejidad",M76,0)</f>
        <v>12657</v>
      </c>
      <c r="Y76" s="8">
        <v>0</v>
      </c>
      <c r="Z76" s="7">
        <f t="shared" si="9"/>
        <v>12657</v>
      </c>
      <c r="AA76" s="8">
        <f>IFERROR(((Z76-X76)/Z76),0)</f>
        <v>0</v>
      </c>
      <c r="AB76" s="8">
        <v>0.1</v>
      </c>
    </row>
    <row r="77" spans="1:28" x14ac:dyDescent="0.25">
      <c r="A77">
        <v>2026</v>
      </c>
      <c r="B77" t="s">
        <v>55</v>
      </c>
      <c r="C77" t="s">
        <v>57</v>
      </c>
      <c r="D77" t="s">
        <v>58</v>
      </c>
      <c r="E77" t="s">
        <v>85</v>
      </c>
      <c r="G77" t="s">
        <v>31</v>
      </c>
      <c r="H77" t="s">
        <v>31</v>
      </c>
      <c r="I77" t="s">
        <v>32</v>
      </c>
      <c r="J77">
        <v>4</v>
      </c>
      <c r="K77" t="s">
        <v>33</v>
      </c>
      <c r="L77">
        <v>266</v>
      </c>
      <c r="M77" s="7">
        <v>1064</v>
      </c>
      <c r="O77" s="7">
        <f>Z77</f>
        <v>1064</v>
      </c>
      <c r="P77" s="7">
        <f>IF(C77="Alta Complejidad",M77,0)</f>
        <v>0</v>
      </c>
      <c r="Q77" s="8">
        <v>0</v>
      </c>
      <c r="R77" s="7">
        <f>P77+(P77*Q77)</f>
        <v>0</v>
      </c>
      <c r="S77" s="9">
        <f>IFERROR(((R77-P77)/R77),0)</f>
        <v>0</v>
      </c>
      <c r="T77" s="7">
        <f>IF(C77="Mediana Complejidad",M77,0)</f>
        <v>0</v>
      </c>
      <c r="U77" s="8">
        <v>0</v>
      </c>
      <c r="V77" s="7">
        <f>(T77)+(T77*U77)</f>
        <v>0</v>
      </c>
      <c r="W77" s="8">
        <f>IFERROR(((V77-T77)/V77),0)</f>
        <v>0</v>
      </c>
      <c r="X77" s="7">
        <f>IF(C77="Baja Complejidad",M77,0)</f>
        <v>1064</v>
      </c>
      <c r="Y77" s="8">
        <v>0</v>
      </c>
      <c r="Z77" s="7">
        <f>X77+(X77*Y77)</f>
        <v>1064</v>
      </c>
      <c r="AA77" s="8">
        <f>IFERROR(((Z77-X77)/Z77),0)</f>
        <v>0</v>
      </c>
      <c r="AB77" s="8">
        <v>0.1</v>
      </c>
    </row>
    <row r="78" spans="1:28" x14ac:dyDescent="0.25">
      <c r="A78">
        <v>2026</v>
      </c>
      <c r="B78" t="s">
        <v>55</v>
      </c>
      <c r="C78" t="s">
        <v>57</v>
      </c>
      <c r="D78" t="s">
        <v>58</v>
      </c>
      <c r="E78" t="s">
        <v>86</v>
      </c>
      <c r="G78" t="s">
        <v>31</v>
      </c>
      <c r="H78" t="s">
        <v>31</v>
      </c>
      <c r="I78" t="s">
        <v>34</v>
      </c>
      <c r="J78">
        <v>1</v>
      </c>
      <c r="K78" t="s">
        <v>33</v>
      </c>
      <c r="L78">
        <v>1086.232</v>
      </c>
      <c r="M78" s="7">
        <v>1086.232</v>
      </c>
      <c r="O78" s="7">
        <f t="shared" ref="O78:O91" si="10">Z78</f>
        <v>1086.232</v>
      </c>
      <c r="P78" s="7">
        <f>IF(C78="Alta Complejidad",M78,0)</f>
        <v>0</v>
      </c>
      <c r="Q78" s="8">
        <v>0</v>
      </c>
      <c r="R78" s="7">
        <f>P78+(P78*Q78)</f>
        <v>0</v>
      </c>
      <c r="S78" s="9">
        <f>IFERROR(((R78-P78)/R78),0)</f>
        <v>0</v>
      </c>
      <c r="T78" s="7">
        <f>IF(C78="Mediana Complejidad",M78,0)</f>
        <v>0</v>
      </c>
      <c r="U78" s="8">
        <v>0</v>
      </c>
      <c r="V78" s="7">
        <f>(T78)+(T78*U78)</f>
        <v>0</v>
      </c>
      <c r="W78" s="8">
        <f>IFERROR(((V78-T78)/V78),0)</f>
        <v>0</v>
      </c>
      <c r="X78" s="7">
        <f>IF(C78="Baja Complejidad",M78,0)</f>
        <v>1086.232</v>
      </c>
      <c r="Y78" s="8">
        <v>0</v>
      </c>
      <c r="Z78" s="7">
        <f t="shared" ref="Z78:Z91" si="11">X78+(X78*Y78)</f>
        <v>1086.232</v>
      </c>
      <c r="AA78" s="8">
        <f>IFERROR(((Z78-X78)/Z78),0)</f>
        <v>0</v>
      </c>
      <c r="AB78" s="8">
        <v>0.1</v>
      </c>
    </row>
    <row r="79" spans="1:28" x14ac:dyDescent="0.25">
      <c r="A79">
        <v>2026</v>
      </c>
      <c r="B79" t="s">
        <v>55</v>
      </c>
      <c r="C79" t="s">
        <v>57</v>
      </c>
      <c r="D79" t="s">
        <v>58</v>
      </c>
      <c r="E79" t="s">
        <v>87</v>
      </c>
      <c r="G79" t="s">
        <v>31</v>
      </c>
      <c r="H79" t="s">
        <v>31</v>
      </c>
      <c r="I79" t="s">
        <v>35</v>
      </c>
      <c r="J79">
        <v>4</v>
      </c>
      <c r="K79" t="s">
        <v>33</v>
      </c>
      <c r="L79">
        <v>370</v>
      </c>
      <c r="M79" s="7">
        <v>1480</v>
      </c>
      <c r="O79" s="7">
        <f t="shared" si="10"/>
        <v>1480</v>
      </c>
      <c r="P79" s="7">
        <f>IF(C79="Alta Complejidad",M79,0)</f>
        <v>0</v>
      </c>
      <c r="Q79" s="8">
        <v>0</v>
      </c>
      <c r="R79" s="7">
        <f>P79+(P79*Q79)</f>
        <v>0</v>
      </c>
      <c r="S79" s="9">
        <f>IFERROR(((R79-P79)/R79),0)</f>
        <v>0</v>
      </c>
      <c r="T79" s="7">
        <f>IF(C79="Mediana Complejidad",M79,0)</f>
        <v>0</v>
      </c>
      <c r="U79" s="8">
        <v>0</v>
      </c>
      <c r="V79" s="7">
        <f>(T79)+(T79*U79)</f>
        <v>0</v>
      </c>
      <c r="W79" s="8">
        <f>IFERROR(((V79-T79)/V79),0)</f>
        <v>0</v>
      </c>
      <c r="X79" s="7">
        <f>IF(C79="Baja Complejidad",M79,0)</f>
        <v>1480</v>
      </c>
      <c r="Y79" s="8">
        <v>0</v>
      </c>
      <c r="Z79" s="7">
        <f t="shared" si="11"/>
        <v>1480</v>
      </c>
      <c r="AA79" s="8">
        <f>IFERROR(((Z79-X79)/Z79),0)</f>
        <v>0</v>
      </c>
      <c r="AB79" s="8">
        <v>0.1</v>
      </c>
    </row>
    <row r="80" spans="1:28" x14ac:dyDescent="0.25">
      <c r="A80">
        <v>2026</v>
      </c>
      <c r="B80" t="s">
        <v>55</v>
      </c>
      <c r="C80" t="s">
        <v>57</v>
      </c>
      <c r="D80" t="s">
        <v>58</v>
      </c>
      <c r="E80" t="s">
        <v>88</v>
      </c>
      <c r="G80" t="s">
        <v>31</v>
      </c>
      <c r="H80" t="s">
        <v>31</v>
      </c>
      <c r="I80" t="s">
        <v>36</v>
      </c>
      <c r="J80">
        <v>1</v>
      </c>
      <c r="K80" t="s">
        <v>33</v>
      </c>
      <c r="L80">
        <v>2643</v>
      </c>
      <c r="M80" s="7">
        <v>2643</v>
      </c>
      <c r="O80" s="7">
        <f t="shared" si="10"/>
        <v>2643</v>
      </c>
      <c r="P80" s="7">
        <f>IF(C80="Alta Complejidad",M80,0)</f>
        <v>0</v>
      </c>
      <c r="Q80" s="8">
        <v>0</v>
      </c>
      <c r="R80" s="7">
        <f>P80+(P80*Q80)</f>
        <v>0</v>
      </c>
      <c r="S80" s="9">
        <f>IFERROR(((R80-P80)/R80),0)</f>
        <v>0</v>
      </c>
      <c r="T80" s="7">
        <f>IF(C80="Mediana Complejidad",M80,0)</f>
        <v>0</v>
      </c>
      <c r="U80" s="8">
        <v>0</v>
      </c>
      <c r="V80" s="7">
        <f>(T80)+(T80*U80)</f>
        <v>0</v>
      </c>
      <c r="W80" s="8">
        <f>IFERROR(((V80-T80)/V80),0)</f>
        <v>0</v>
      </c>
      <c r="X80" s="7">
        <f>IF(C80="Baja Complejidad",M80,0)</f>
        <v>2643</v>
      </c>
      <c r="Y80" s="8">
        <v>0</v>
      </c>
      <c r="Z80" s="7">
        <f t="shared" si="11"/>
        <v>2643</v>
      </c>
      <c r="AA80" s="8">
        <f>IFERROR(((Z80-X80)/Z80),0)</f>
        <v>0</v>
      </c>
      <c r="AB80" s="8">
        <v>0.1</v>
      </c>
    </row>
    <row r="81" spans="1:28" x14ac:dyDescent="0.25">
      <c r="A81">
        <v>2026</v>
      </c>
      <c r="B81" t="s">
        <v>55</v>
      </c>
      <c r="C81" t="s">
        <v>57</v>
      </c>
      <c r="D81" t="s">
        <v>58</v>
      </c>
      <c r="E81" t="s">
        <v>89</v>
      </c>
      <c r="G81" t="s">
        <v>31</v>
      </c>
      <c r="H81" t="s">
        <v>31</v>
      </c>
      <c r="I81" t="s">
        <v>37</v>
      </c>
      <c r="J81">
        <v>1</v>
      </c>
      <c r="K81" t="s">
        <v>33</v>
      </c>
      <c r="L81">
        <v>135.66</v>
      </c>
      <c r="M81" s="7">
        <v>135.66</v>
      </c>
      <c r="O81" s="7">
        <f t="shared" si="10"/>
        <v>135.66</v>
      </c>
      <c r="P81" s="7">
        <f>IF(C81="Alta Complejidad",M81,0)</f>
        <v>0</v>
      </c>
      <c r="Q81" s="8">
        <v>0</v>
      </c>
      <c r="R81" s="7">
        <f>P81+(P81*Q81)</f>
        <v>0</v>
      </c>
      <c r="S81" s="9">
        <f>IFERROR(((R81-P81)/R81),0)</f>
        <v>0</v>
      </c>
      <c r="T81" s="7">
        <f>IF(C81="Mediana Complejidad",M81,0)</f>
        <v>0</v>
      </c>
      <c r="U81" s="8">
        <v>0</v>
      </c>
      <c r="V81" s="7">
        <f>(T81)+(T81*U81)</f>
        <v>0</v>
      </c>
      <c r="W81" s="8">
        <f>IFERROR(((V81-T81)/V81),0)</f>
        <v>0</v>
      </c>
      <c r="X81" s="7">
        <f>IF(C81="Baja Complejidad",M81,0)</f>
        <v>135.66</v>
      </c>
      <c r="Y81" s="8">
        <v>0</v>
      </c>
      <c r="Z81" s="7">
        <f t="shared" si="11"/>
        <v>135.66</v>
      </c>
      <c r="AA81" s="8">
        <f>IFERROR(((Z81-X81)/Z81),0)</f>
        <v>0</v>
      </c>
      <c r="AB81" s="8">
        <v>0.1</v>
      </c>
    </row>
    <row r="82" spans="1:28" x14ac:dyDescent="0.25">
      <c r="A82">
        <v>2026</v>
      </c>
      <c r="B82" t="s">
        <v>55</v>
      </c>
      <c r="C82" t="s">
        <v>57</v>
      </c>
      <c r="D82" t="s">
        <v>58</v>
      </c>
      <c r="E82" t="s">
        <v>90</v>
      </c>
      <c r="G82" t="s">
        <v>31</v>
      </c>
      <c r="H82" t="s">
        <v>31</v>
      </c>
      <c r="I82" t="s">
        <v>38</v>
      </c>
      <c r="J82">
        <v>1</v>
      </c>
      <c r="K82" t="s">
        <v>33</v>
      </c>
      <c r="L82">
        <v>3808</v>
      </c>
      <c r="M82" s="7">
        <v>3808</v>
      </c>
      <c r="O82" s="7">
        <f t="shared" si="10"/>
        <v>3808</v>
      </c>
      <c r="P82" s="7">
        <f>IF(C82="Alta Complejidad",M82,0)</f>
        <v>0</v>
      </c>
      <c r="Q82" s="8">
        <v>0</v>
      </c>
      <c r="R82" s="7">
        <f>P82+(P82*Q82)</f>
        <v>0</v>
      </c>
      <c r="S82" s="9">
        <f>IFERROR(((R82-P82)/R82),0)</f>
        <v>0</v>
      </c>
      <c r="T82" s="7">
        <f>IF(C82="Mediana Complejidad",M82,0)</f>
        <v>0</v>
      </c>
      <c r="U82" s="8">
        <v>0</v>
      </c>
      <c r="V82" s="7">
        <f>(T82)+(T82*U82)</f>
        <v>0</v>
      </c>
      <c r="W82" s="8">
        <f>IFERROR(((V82-T82)/V82),0)</f>
        <v>0</v>
      </c>
      <c r="X82" s="7">
        <f>IF(C82="Baja Complejidad",M82,0)</f>
        <v>3808</v>
      </c>
      <c r="Y82" s="8">
        <v>0</v>
      </c>
      <c r="Z82" s="7">
        <f t="shared" si="11"/>
        <v>3808</v>
      </c>
      <c r="AA82" s="8">
        <f>IFERROR(((Z82-X82)/Z82),0)</f>
        <v>0</v>
      </c>
      <c r="AB82" s="8">
        <v>0.1</v>
      </c>
    </row>
    <row r="83" spans="1:28" x14ac:dyDescent="0.25">
      <c r="A83">
        <v>2026</v>
      </c>
      <c r="B83" t="s">
        <v>55</v>
      </c>
      <c r="C83" t="s">
        <v>57</v>
      </c>
      <c r="D83" t="s">
        <v>58</v>
      </c>
      <c r="E83" t="s">
        <v>91</v>
      </c>
      <c r="G83" t="s">
        <v>31</v>
      </c>
      <c r="H83" t="s">
        <v>31</v>
      </c>
      <c r="I83" t="s">
        <v>39</v>
      </c>
      <c r="J83">
        <v>1</v>
      </c>
      <c r="K83" t="s">
        <v>33</v>
      </c>
      <c r="L83">
        <v>111.86</v>
      </c>
      <c r="M83" s="7">
        <v>111.86</v>
      </c>
      <c r="O83" s="7">
        <f t="shared" si="10"/>
        <v>111.86</v>
      </c>
      <c r="P83" s="7">
        <f>IF(C83="Alta Complejidad",M83,0)</f>
        <v>0</v>
      </c>
      <c r="Q83" s="8">
        <v>0</v>
      </c>
      <c r="R83" s="7">
        <f>P83+(P83*Q83)</f>
        <v>0</v>
      </c>
      <c r="S83" s="9">
        <f>IFERROR(((R83-P83)/R83),0)</f>
        <v>0</v>
      </c>
      <c r="T83" s="7">
        <f>IF(C83="Mediana Complejidad",M83,0)</f>
        <v>0</v>
      </c>
      <c r="U83" s="8">
        <v>0</v>
      </c>
      <c r="V83" s="7">
        <f>(T83)+(T83*U83)</f>
        <v>0</v>
      </c>
      <c r="W83" s="8">
        <f>IFERROR(((V83-T83)/V83),0)</f>
        <v>0</v>
      </c>
      <c r="X83" s="7">
        <f>IF(C83="Baja Complejidad",M83,0)</f>
        <v>111.86</v>
      </c>
      <c r="Y83" s="8">
        <v>0</v>
      </c>
      <c r="Z83" s="7">
        <f t="shared" si="11"/>
        <v>111.86</v>
      </c>
      <c r="AA83" s="8">
        <f>IFERROR(((Z83-X83)/Z83),0)</f>
        <v>0</v>
      </c>
      <c r="AB83" s="8">
        <v>0.1</v>
      </c>
    </row>
    <row r="84" spans="1:28" x14ac:dyDescent="0.25">
      <c r="A84">
        <v>2026</v>
      </c>
      <c r="B84" t="s">
        <v>55</v>
      </c>
      <c r="C84" t="s">
        <v>57</v>
      </c>
      <c r="D84" t="s">
        <v>58</v>
      </c>
      <c r="E84" t="s">
        <v>92</v>
      </c>
      <c r="G84" t="s">
        <v>31</v>
      </c>
      <c r="H84" t="s">
        <v>31</v>
      </c>
      <c r="I84" t="s">
        <v>64</v>
      </c>
      <c r="J84">
        <v>2</v>
      </c>
      <c r="K84" t="s">
        <v>33</v>
      </c>
      <c r="L84">
        <v>80300</v>
      </c>
      <c r="M84" s="7">
        <v>642.4</v>
      </c>
      <c r="O84" s="7">
        <f t="shared" si="10"/>
        <v>642.4</v>
      </c>
      <c r="P84" s="7">
        <f>IF(C84="Alta Complejidad",M84,0)</f>
        <v>0</v>
      </c>
      <c r="Q84" s="8">
        <v>0</v>
      </c>
      <c r="R84" s="7">
        <f>P84+(P84*Q84)</f>
        <v>0</v>
      </c>
      <c r="S84" s="9">
        <f>IFERROR(((R84-P84)/R84),0)</f>
        <v>0</v>
      </c>
      <c r="T84" s="7">
        <f>IF(C84="Mediana Complejidad",M84,0)</f>
        <v>0</v>
      </c>
      <c r="U84" s="8">
        <v>0</v>
      </c>
      <c r="V84" s="7">
        <f>(T84)+(T84*U84)</f>
        <v>0</v>
      </c>
      <c r="W84" s="8">
        <f>IFERROR(((V84-T84)/V84),0)</f>
        <v>0</v>
      </c>
      <c r="X84" s="7">
        <f>IF(C84="Baja Complejidad",M84,0)</f>
        <v>642.4</v>
      </c>
      <c r="Y84" s="8">
        <v>0</v>
      </c>
      <c r="Z84" s="7">
        <f t="shared" si="11"/>
        <v>642.4</v>
      </c>
      <c r="AA84" s="8">
        <f>IFERROR(((Z84-X84)/Z84),0)</f>
        <v>0</v>
      </c>
      <c r="AB84" s="8">
        <v>0.1</v>
      </c>
    </row>
    <row r="85" spans="1:28" x14ac:dyDescent="0.25">
      <c r="A85">
        <v>2026</v>
      </c>
      <c r="B85" t="s">
        <v>55</v>
      </c>
      <c r="C85" t="s">
        <v>57</v>
      </c>
      <c r="D85" t="s">
        <v>58</v>
      </c>
      <c r="E85" t="s">
        <v>93</v>
      </c>
      <c r="G85" t="s">
        <v>31</v>
      </c>
      <c r="H85" t="s">
        <v>31</v>
      </c>
      <c r="I85" t="s">
        <v>40</v>
      </c>
      <c r="J85">
        <v>2</v>
      </c>
      <c r="K85" t="s">
        <v>33</v>
      </c>
      <c r="L85">
        <v>17888.080000000002</v>
      </c>
      <c r="M85" s="7">
        <v>35776.160000000003</v>
      </c>
      <c r="O85" s="7">
        <f t="shared" si="10"/>
        <v>35776.160000000003</v>
      </c>
      <c r="P85" s="7">
        <f>IF(C85="Alta Complejidad",M85,0)</f>
        <v>0</v>
      </c>
      <c r="Q85" s="8">
        <v>0</v>
      </c>
      <c r="R85" s="7">
        <f>P85+(P85*Q85)</f>
        <v>0</v>
      </c>
      <c r="S85" s="9">
        <f>IFERROR(((R85-P85)/R85),0)</f>
        <v>0</v>
      </c>
      <c r="T85" s="7">
        <f>IF(C85="Mediana Complejidad",M85,0)</f>
        <v>0</v>
      </c>
      <c r="U85" s="8">
        <v>0</v>
      </c>
      <c r="V85" s="7">
        <f>(T85)+(T85*U85)</f>
        <v>0</v>
      </c>
      <c r="W85" s="8">
        <f>IFERROR(((V85-T85)/V85),0)</f>
        <v>0</v>
      </c>
      <c r="X85" s="7">
        <f>IF(C85="Baja Complejidad",M85,0)</f>
        <v>35776.160000000003</v>
      </c>
      <c r="Y85" s="8">
        <v>0</v>
      </c>
      <c r="Z85" s="7">
        <f t="shared" si="11"/>
        <v>35776.160000000003</v>
      </c>
      <c r="AA85" s="8">
        <f>IFERROR(((Z85-X85)/Z85),0)</f>
        <v>0</v>
      </c>
      <c r="AB85" s="8">
        <v>0.1</v>
      </c>
    </row>
    <row r="86" spans="1:28" x14ac:dyDescent="0.25">
      <c r="A86">
        <v>2026</v>
      </c>
      <c r="B86" t="s">
        <v>55</v>
      </c>
      <c r="C86" t="s">
        <v>57</v>
      </c>
      <c r="D86" t="s">
        <v>58</v>
      </c>
      <c r="E86" t="s">
        <v>94</v>
      </c>
      <c r="G86" t="s">
        <v>31</v>
      </c>
      <c r="H86" t="s">
        <v>31</v>
      </c>
      <c r="I86" t="s">
        <v>41</v>
      </c>
      <c r="J86">
        <v>2</v>
      </c>
      <c r="K86" t="s">
        <v>33</v>
      </c>
      <c r="L86">
        <v>337.3837894736842</v>
      </c>
      <c r="M86" s="7">
        <v>674.76757894736841</v>
      </c>
      <c r="O86" s="7">
        <f t="shared" si="10"/>
        <v>674.76757894736841</v>
      </c>
      <c r="P86" s="7">
        <f>IF(C86="Alta Complejidad",M86,0)</f>
        <v>0</v>
      </c>
      <c r="Q86" s="8">
        <v>0</v>
      </c>
      <c r="R86" s="7">
        <f>P86+(P86*Q86)</f>
        <v>0</v>
      </c>
      <c r="S86" s="9">
        <f>IFERROR(((R86-P86)/R86),0)</f>
        <v>0</v>
      </c>
      <c r="T86" s="7">
        <f>IF(C86="Mediana Complejidad",M86,0)</f>
        <v>0</v>
      </c>
      <c r="U86" s="8">
        <v>0</v>
      </c>
      <c r="V86" s="7">
        <f>(T86)+(T86*U86)</f>
        <v>0</v>
      </c>
      <c r="W86" s="8">
        <f>IFERROR(((V86-T86)/V86),0)</f>
        <v>0</v>
      </c>
      <c r="X86" s="7">
        <f>IF(C86="Baja Complejidad",M86,0)</f>
        <v>674.76757894736841</v>
      </c>
      <c r="Y86" s="8">
        <v>0</v>
      </c>
      <c r="Z86" s="7">
        <f t="shared" si="11"/>
        <v>674.76757894736841</v>
      </c>
      <c r="AA86" s="8">
        <f>IFERROR(((Z86-X86)/Z86),0)</f>
        <v>0</v>
      </c>
      <c r="AB86" s="8">
        <v>0.1</v>
      </c>
    </row>
    <row r="87" spans="1:28" x14ac:dyDescent="0.25">
      <c r="A87">
        <v>2026</v>
      </c>
      <c r="B87" t="s">
        <v>55</v>
      </c>
      <c r="C87" t="s">
        <v>57</v>
      </c>
      <c r="D87" t="s">
        <v>58</v>
      </c>
      <c r="E87" t="s">
        <v>95</v>
      </c>
      <c r="G87" t="s">
        <v>31</v>
      </c>
      <c r="H87" t="s">
        <v>31</v>
      </c>
      <c r="I87" t="s">
        <v>83</v>
      </c>
      <c r="J87">
        <v>1</v>
      </c>
      <c r="K87" t="s">
        <v>33</v>
      </c>
      <c r="L87">
        <v>67900</v>
      </c>
      <c r="M87" s="7">
        <v>6790</v>
      </c>
      <c r="O87" s="7">
        <f t="shared" si="10"/>
        <v>6790</v>
      </c>
      <c r="P87" s="7">
        <f>IF(C87="Alta Complejidad",M87,0)</f>
        <v>0</v>
      </c>
      <c r="Q87" s="8">
        <v>0</v>
      </c>
      <c r="R87" s="7">
        <f>P87+(P87*Q87)</f>
        <v>0</v>
      </c>
      <c r="S87" s="9">
        <f>IFERROR(((R87-P87)/R87),0)</f>
        <v>0</v>
      </c>
      <c r="T87" s="7">
        <f>IF(C87="Mediana Complejidad",M87,0)</f>
        <v>0</v>
      </c>
      <c r="U87" s="8">
        <v>0</v>
      </c>
      <c r="V87" s="7">
        <f>(T87)+(T87*U87)</f>
        <v>0</v>
      </c>
      <c r="W87" s="8">
        <f>IFERROR(((V87-T87)/V87),0)</f>
        <v>0</v>
      </c>
      <c r="X87" s="7">
        <f>IF(C87="Baja Complejidad",M87,0)</f>
        <v>6790</v>
      </c>
      <c r="Y87" s="8">
        <v>0</v>
      </c>
      <c r="Z87" s="7">
        <f t="shared" si="11"/>
        <v>6790</v>
      </c>
      <c r="AA87" s="8">
        <f>IFERROR(((Z87-X87)/Z87),0)</f>
        <v>0</v>
      </c>
      <c r="AB87" s="8">
        <v>0.1</v>
      </c>
    </row>
    <row r="88" spans="1:28" x14ac:dyDescent="0.25">
      <c r="A88">
        <v>2026</v>
      </c>
      <c r="B88" t="s">
        <v>55</v>
      </c>
      <c r="C88" t="s">
        <v>57</v>
      </c>
      <c r="D88" t="s">
        <v>58</v>
      </c>
      <c r="E88" t="s">
        <v>96</v>
      </c>
      <c r="G88" t="s">
        <v>31</v>
      </c>
      <c r="H88" t="s">
        <v>31</v>
      </c>
      <c r="I88" t="s">
        <v>84</v>
      </c>
      <c r="J88">
        <v>1</v>
      </c>
      <c r="K88" t="s">
        <v>33</v>
      </c>
      <c r="L88">
        <v>50300</v>
      </c>
      <c r="M88" s="7">
        <v>5030</v>
      </c>
      <c r="O88" s="7">
        <f t="shared" si="10"/>
        <v>5030</v>
      </c>
      <c r="P88" s="7">
        <f>IF(C88="Alta Complejidad",M88,0)</f>
        <v>0</v>
      </c>
      <c r="Q88" s="8">
        <v>0</v>
      </c>
      <c r="R88" s="7">
        <f>P88+(P88*Q88)</f>
        <v>0</v>
      </c>
      <c r="S88" s="9">
        <f>IFERROR(((R88-P88)/R88),0)</f>
        <v>0</v>
      </c>
      <c r="T88" s="7">
        <f>IF(C88="Mediana Complejidad",M88,0)</f>
        <v>0</v>
      </c>
      <c r="U88" s="8">
        <v>0</v>
      </c>
      <c r="V88" s="7">
        <f>(T88)+(T88*U88)</f>
        <v>0</v>
      </c>
      <c r="W88" s="8">
        <f>IFERROR(((V88-T88)/V88),0)</f>
        <v>0</v>
      </c>
      <c r="X88" s="7">
        <f>IF(C88="Baja Complejidad",M88,0)</f>
        <v>5030</v>
      </c>
      <c r="Y88" s="8">
        <v>0</v>
      </c>
      <c r="Z88" s="7">
        <f t="shared" si="11"/>
        <v>5030</v>
      </c>
      <c r="AA88" s="8">
        <f>IFERROR(((Z88-X88)/Z88),0)</f>
        <v>0</v>
      </c>
      <c r="AB88" s="8">
        <v>0.1</v>
      </c>
    </row>
    <row r="89" spans="1:28" x14ac:dyDescent="0.25">
      <c r="A89">
        <v>2026</v>
      </c>
      <c r="B89" t="s">
        <v>55</v>
      </c>
      <c r="C89" t="s">
        <v>57</v>
      </c>
      <c r="D89" t="s">
        <v>58</v>
      </c>
      <c r="E89" t="s">
        <v>97</v>
      </c>
      <c r="G89" t="s">
        <v>31</v>
      </c>
      <c r="H89" t="s">
        <v>31</v>
      </c>
      <c r="I89" t="s">
        <v>82</v>
      </c>
      <c r="J89">
        <v>1</v>
      </c>
      <c r="K89" t="s">
        <v>33</v>
      </c>
      <c r="L89">
        <v>43500</v>
      </c>
      <c r="M89" s="7">
        <v>3625</v>
      </c>
      <c r="O89" s="7">
        <f t="shared" si="10"/>
        <v>3625</v>
      </c>
      <c r="P89" s="7">
        <f>IF(C89="Alta Complejidad",M89,0)</f>
        <v>0</v>
      </c>
      <c r="Q89" s="8">
        <v>0</v>
      </c>
      <c r="R89" s="7">
        <f>P89+(P89*Q89)</f>
        <v>0</v>
      </c>
      <c r="S89" s="9">
        <f>IFERROR(((R89-P89)/R89),0)</f>
        <v>0</v>
      </c>
      <c r="T89" s="7">
        <f>IF(C89="Mediana Complejidad",M89,0)</f>
        <v>0</v>
      </c>
      <c r="U89" s="8">
        <v>0</v>
      </c>
      <c r="V89" s="7">
        <f>(T89)+(T89*U89)</f>
        <v>0</v>
      </c>
      <c r="W89" s="8">
        <f>IFERROR(((V89-T89)/V89),0)</f>
        <v>0</v>
      </c>
      <c r="X89" s="7">
        <f>IF(C89="Baja Complejidad",M89,0)</f>
        <v>3625</v>
      </c>
      <c r="Y89" s="8">
        <v>0</v>
      </c>
      <c r="Z89" s="7">
        <f t="shared" si="11"/>
        <v>3625</v>
      </c>
      <c r="AA89" s="8">
        <f>IFERROR(((Z89-X89)/Z89),0)</f>
        <v>0</v>
      </c>
      <c r="AB89" s="8">
        <v>0.1</v>
      </c>
    </row>
    <row r="90" spans="1:28" x14ac:dyDescent="0.25">
      <c r="A90">
        <v>2026</v>
      </c>
      <c r="B90" t="s">
        <v>55</v>
      </c>
      <c r="C90" t="s">
        <v>57</v>
      </c>
      <c r="D90" t="s">
        <v>58</v>
      </c>
      <c r="E90">
        <v>1965</v>
      </c>
      <c r="F90">
        <v>1600</v>
      </c>
      <c r="G90" t="s">
        <v>42</v>
      </c>
      <c r="H90" t="s">
        <v>42</v>
      </c>
      <c r="I90" t="s">
        <v>59</v>
      </c>
      <c r="J90">
        <v>80</v>
      </c>
      <c r="K90" t="s">
        <v>45</v>
      </c>
      <c r="L90">
        <v>201.61</v>
      </c>
      <c r="M90" s="7">
        <f>+L90*F90</f>
        <v>322576</v>
      </c>
      <c r="O90" s="7">
        <f t="shared" si="10"/>
        <v>322576</v>
      </c>
      <c r="P90" s="7">
        <f>IF(C90="Alta Complejidad",M90,0)</f>
        <v>0</v>
      </c>
      <c r="Q90" s="8">
        <v>0</v>
      </c>
      <c r="R90" s="7">
        <f>P90+(P90*Q90)</f>
        <v>0</v>
      </c>
      <c r="S90" s="9">
        <f>IFERROR(((R90-P90)/R90),0)</f>
        <v>0</v>
      </c>
      <c r="T90" s="7">
        <f>IF(C90="Mediana Complejidad",M90,0)</f>
        <v>0</v>
      </c>
      <c r="U90" s="8">
        <v>0</v>
      </c>
      <c r="V90" s="7">
        <f>(T90)+(T90*U90)</f>
        <v>0</v>
      </c>
      <c r="W90" s="8">
        <f>IFERROR(((V90-T90)/V90),0)</f>
        <v>0</v>
      </c>
      <c r="X90" s="7">
        <f>IF(C90="Baja Complejidad",M90,0)</f>
        <v>322576</v>
      </c>
      <c r="Y90" s="8">
        <v>0</v>
      </c>
      <c r="Z90" s="7">
        <f t="shared" si="11"/>
        <v>322576</v>
      </c>
      <c r="AA90" s="8">
        <f>IFERROR(((Z90-X90)/Z90),0)</f>
        <v>0</v>
      </c>
      <c r="AB90" s="8">
        <v>0.1</v>
      </c>
    </row>
    <row r="91" spans="1:28" x14ac:dyDescent="0.25">
      <c r="A91">
        <v>2026</v>
      </c>
      <c r="B91" t="s">
        <v>55</v>
      </c>
      <c r="C91" t="s">
        <v>57</v>
      </c>
      <c r="D91" t="s">
        <v>58</v>
      </c>
      <c r="E91">
        <v>1965</v>
      </c>
      <c r="G91" t="s">
        <v>43</v>
      </c>
      <c r="H91" t="s">
        <v>43</v>
      </c>
      <c r="I91" t="s">
        <v>44</v>
      </c>
      <c r="J91">
        <v>3</v>
      </c>
      <c r="K91" t="s">
        <v>33</v>
      </c>
      <c r="L91">
        <v>3000</v>
      </c>
      <c r="M91" s="7">
        <v>12657</v>
      </c>
      <c r="O91" s="7">
        <f t="shared" si="10"/>
        <v>12657</v>
      </c>
      <c r="P91" s="7">
        <f>IF(C91="Alta Complejidad",M91,0)</f>
        <v>0</v>
      </c>
      <c r="Q91" s="8">
        <v>0</v>
      </c>
      <c r="R91" s="7">
        <f>P91+(P91*Q91)</f>
        <v>0</v>
      </c>
      <c r="S91" s="9">
        <f>IFERROR(((R91-P91)/R91),0)</f>
        <v>0</v>
      </c>
      <c r="T91" s="7">
        <f>IF(C91="Mediana Complejidad",M91,0)</f>
        <v>0</v>
      </c>
      <c r="U91" s="8">
        <v>0</v>
      </c>
      <c r="V91" s="7">
        <f>(T91)+(T91*U91)</f>
        <v>0</v>
      </c>
      <c r="W91" s="8">
        <f>IFERROR(((V91-T91)/V91),0)</f>
        <v>0</v>
      </c>
      <c r="X91" s="7">
        <f>IF(C91="Baja Complejidad",M91,0)</f>
        <v>12657</v>
      </c>
      <c r="Y91" s="8">
        <v>0</v>
      </c>
      <c r="Z91" s="7">
        <f t="shared" si="11"/>
        <v>12657</v>
      </c>
      <c r="AA91" s="8">
        <f>IFERROR(((Z91-X91)/Z91),0)</f>
        <v>0</v>
      </c>
      <c r="AB91" s="8">
        <v>0.1</v>
      </c>
    </row>
    <row r="92" spans="1:28" x14ac:dyDescent="0.25">
      <c r="A92">
        <v>2026</v>
      </c>
      <c r="B92" t="s">
        <v>56</v>
      </c>
      <c r="C92" t="s">
        <v>57</v>
      </c>
      <c r="D92" t="s">
        <v>58</v>
      </c>
      <c r="E92" t="s">
        <v>85</v>
      </c>
      <c r="G92" t="s">
        <v>31</v>
      </c>
      <c r="H92" t="s">
        <v>31</v>
      </c>
      <c r="I92" t="s">
        <v>32</v>
      </c>
      <c r="J92">
        <v>4</v>
      </c>
      <c r="K92" t="s">
        <v>33</v>
      </c>
      <c r="L92">
        <v>266</v>
      </c>
      <c r="M92" s="7">
        <v>1064</v>
      </c>
      <c r="O92" s="7">
        <f>Z92</f>
        <v>1064</v>
      </c>
      <c r="P92" s="7">
        <f>IF(C92="Alta Complejidad",M92,0)</f>
        <v>0</v>
      </c>
      <c r="Q92" s="8">
        <v>0</v>
      </c>
      <c r="R92" s="7">
        <f>P92+(P92*Q92)</f>
        <v>0</v>
      </c>
      <c r="S92" s="9">
        <f>IFERROR(((R92-P92)/R92),0)</f>
        <v>0</v>
      </c>
      <c r="T92" s="7">
        <f>IF(C92="Mediana Complejidad",M92,0)</f>
        <v>0</v>
      </c>
      <c r="U92" s="8">
        <v>0</v>
      </c>
      <c r="V92" s="7">
        <f>(T92)+(T92*U92)</f>
        <v>0</v>
      </c>
      <c r="W92" s="8">
        <f>IFERROR(((V92-T92)/V92),0)</f>
        <v>0</v>
      </c>
      <c r="X92" s="7">
        <f>IF(C92="Baja Complejidad",M92,0)</f>
        <v>1064</v>
      </c>
      <c r="Y92" s="8">
        <v>0</v>
      </c>
      <c r="Z92" s="7">
        <f>X92+(X92*Y92)</f>
        <v>1064</v>
      </c>
      <c r="AA92" s="8">
        <f>IFERROR(((Z92-X92)/Z92),0)</f>
        <v>0</v>
      </c>
      <c r="AB92" s="8">
        <v>0.1</v>
      </c>
    </row>
    <row r="93" spans="1:28" x14ac:dyDescent="0.25">
      <c r="A93">
        <v>2026</v>
      </c>
      <c r="B93" t="s">
        <v>56</v>
      </c>
      <c r="C93" t="s">
        <v>57</v>
      </c>
      <c r="D93" t="s">
        <v>58</v>
      </c>
      <c r="E93" t="s">
        <v>86</v>
      </c>
      <c r="G93" t="s">
        <v>31</v>
      </c>
      <c r="H93" t="s">
        <v>31</v>
      </c>
      <c r="I93" t="s">
        <v>34</v>
      </c>
      <c r="J93">
        <v>1</v>
      </c>
      <c r="K93" t="s">
        <v>33</v>
      </c>
      <c r="L93">
        <v>1086.232</v>
      </c>
      <c r="M93" s="7">
        <v>1086.232</v>
      </c>
      <c r="O93" s="7">
        <f t="shared" ref="O93:O106" si="12">Z93</f>
        <v>1086.232</v>
      </c>
      <c r="P93" s="7">
        <f>IF(C93="Alta Complejidad",M93,0)</f>
        <v>0</v>
      </c>
      <c r="Q93" s="8">
        <v>0</v>
      </c>
      <c r="R93" s="7">
        <f>P93+(P93*Q93)</f>
        <v>0</v>
      </c>
      <c r="S93" s="9">
        <f>IFERROR(((R93-P93)/R93),0)</f>
        <v>0</v>
      </c>
      <c r="T93" s="7">
        <f>IF(C93="Mediana Complejidad",M93,0)</f>
        <v>0</v>
      </c>
      <c r="U93" s="8">
        <v>0</v>
      </c>
      <c r="V93" s="7">
        <f>(T93)+(T93*U93)</f>
        <v>0</v>
      </c>
      <c r="W93" s="8">
        <f>IFERROR(((V93-T93)/V93),0)</f>
        <v>0</v>
      </c>
      <c r="X93" s="7">
        <f>IF(C93="Baja Complejidad",M93,0)</f>
        <v>1086.232</v>
      </c>
      <c r="Y93" s="8">
        <v>0</v>
      </c>
      <c r="Z93" s="7">
        <f t="shared" ref="Z93:Z106" si="13">X93+(X93*Y93)</f>
        <v>1086.232</v>
      </c>
      <c r="AA93" s="8">
        <f>IFERROR(((Z93-X93)/Z93),0)</f>
        <v>0</v>
      </c>
      <c r="AB93" s="8">
        <v>0.1</v>
      </c>
    </row>
    <row r="94" spans="1:28" x14ac:dyDescent="0.25">
      <c r="A94">
        <v>2026</v>
      </c>
      <c r="B94" t="s">
        <v>56</v>
      </c>
      <c r="C94" t="s">
        <v>57</v>
      </c>
      <c r="D94" t="s">
        <v>58</v>
      </c>
      <c r="E94" t="s">
        <v>87</v>
      </c>
      <c r="G94" t="s">
        <v>31</v>
      </c>
      <c r="H94" t="s">
        <v>31</v>
      </c>
      <c r="I94" t="s">
        <v>35</v>
      </c>
      <c r="J94">
        <v>4</v>
      </c>
      <c r="K94" t="s">
        <v>33</v>
      </c>
      <c r="L94">
        <v>370</v>
      </c>
      <c r="M94" s="7">
        <v>1480</v>
      </c>
      <c r="O94" s="7">
        <f t="shared" si="12"/>
        <v>1480</v>
      </c>
      <c r="P94" s="7">
        <f>IF(C94="Alta Complejidad",M94,0)</f>
        <v>0</v>
      </c>
      <c r="Q94" s="8">
        <v>0</v>
      </c>
      <c r="R94" s="7">
        <f>P94+(P94*Q94)</f>
        <v>0</v>
      </c>
      <c r="S94" s="9">
        <f>IFERROR(((R94-P94)/R94),0)</f>
        <v>0</v>
      </c>
      <c r="T94" s="7">
        <f>IF(C94="Mediana Complejidad",M94,0)</f>
        <v>0</v>
      </c>
      <c r="U94" s="8">
        <v>0</v>
      </c>
      <c r="V94" s="7">
        <f>(T94)+(T94*U94)</f>
        <v>0</v>
      </c>
      <c r="W94" s="8">
        <f>IFERROR(((V94-T94)/V94),0)</f>
        <v>0</v>
      </c>
      <c r="X94" s="7">
        <f>IF(C94="Baja Complejidad",M94,0)</f>
        <v>1480</v>
      </c>
      <c r="Y94" s="8">
        <v>0</v>
      </c>
      <c r="Z94" s="7">
        <f t="shared" si="13"/>
        <v>1480</v>
      </c>
      <c r="AA94" s="8">
        <f>IFERROR(((Z94-X94)/Z94),0)</f>
        <v>0</v>
      </c>
      <c r="AB94" s="8">
        <v>0.1</v>
      </c>
    </row>
    <row r="95" spans="1:28" x14ac:dyDescent="0.25">
      <c r="A95">
        <v>2026</v>
      </c>
      <c r="B95" t="s">
        <v>56</v>
      </c>
      <c r="C95" t="s">
        <v>57</v>
      </c>
      <c r="D95" t="s">
        <v>58</v>
      </c>
      <c r="E95" t="s">
        <v>88</v>
      </c>
      <c r="G95" t="s">
        <v>31</v>
      </c>
      <c r="H95" t="s">
        <v>31</v>
      </c>
      <c r="I95" t="s">
        <v>36</v>
      </c>
      <c r="J95">
        <v>1</v>
      </c>
      <c r="K95" t="s">
        <v>33</v>
      </c>
      <c r="L95">
        <v>2643</v>
      </c>
      <c r="M95" s="7">
        <v>2643</v>
      </c>
      <c r="O95" s="7">
        <f t="shared" si="12"/>
        <v>2643</v>
      </c>
      <c r="P95" s="7">
        <f>IF(C95="Alta Complejidad",M95,0)</f>
        <v>0</v>
      </c>
      <c r="Q95" s="8">
        <v>0</v>
      </c>
      <c r="R95" s="7">
        <f>P95+(P95*Q95)</f>
        <v>0</v>
      </c>
      <c r="S95" s="9">
        <f>IFERROR(((R95-P95)/R95),0)</f>
        <v>0</v>
      </c>
      <c r="T95" s="7">
        <f>IF(C95="Mediana Complejidad",M95,0)</f>
        <v>0</v>
      </c>
      <c r="U95" s="8">
        <v>0</v>
      </c>
      <c r="V95" s="7">
        <f>(T95)+(T95*U95)</f>
        <v>0</v>
      </c>
      <c r="W95" s="8">
        <f>IFERROR(((V95-T95)/V95),0)</f>
        <v>0</v>
      </c>
      <c r="X95" s="7">
        <f>IF(C95="Baja Complejidad",M95,0)</f>
        <v>2643</v>
      </c>
      <c r="Y95" s="8">
        <v>0</v>
      </c>
      <c r="Z95" s="7">
        <f t="shared" si="13"/>
        <v>2643</v>
      </c>
      <c r="AA95" s="8">
        <f>IFERROR(((Z95-X95)/Z95),0)</f>
        <v>0</v>
      </c>
      <c r="AB95" s="8">
        <v>0.1</v>
      </c>
    </row>
    <row r="96" spans="1:28" x14ac:dyDescent="0.25">
      <c r="A96">
        <v>2026</v>
      </c>
      <c r="B96" t="s">
        <v>56</v>
      </c>
      <c r="C96" t="s">
        <v>57</v>
      </c>
      <c r="D96" t="s">
        <v>58</v>
      </c>
      <c r="E96" t="s">
        <v>89</v>
      </c>
      <c r="G96" t="s">
        <v>31</v>
      </c>
      <c r="H96" t="s">
        <v>31</v>
      </c>
      <c r="I96" t="s">
        <v>37</v>
      </c>
      <c r="J96">
        <v>1</v>
      </c>
      <c r="K96" t="s">
        <v>33</v>
      </c>
      <c r="L96">
        <v>135.66</v>
      </c>
      <c r="M96" s="7">
        <v>135.66</v>
      </c>
      <c r="O96" s="7">
        <f t="shared" si="12"/>
        <v>135.66</v>
      </c>
      <c r="P96" s="7">
        <f>IF(C96="Alta Complejidad",M96,0)</f>
        <v>0</v>
      </c>
      <c r="Q96" s="8">
        <v>0</v>
      </c>
      <c r="R96" s="7">
        <f>P96+(P96*Q96)</f>
        <v>0</v>
      </c>
      <c r="S96" s="9">
        <f>IFERROR(((R96-P96)/R96),0)</f>
        <v>0</v>
      </c>
      <c r="T96" s="7">
        <f>IF(C96="Mediana Complejidad",M96,0)</f>
        <v>0</v>
      </c>
      <c r="U96" s="8">
        <v>0</v>
      </c>
      <c r="V96" s="7">
        <f>(T96)+(T96*U96)</f>
        <v>0</v>
      </c>
      <c r="W96" s="8">
        <f>IFERROR(((V96-T96)/V96),0)</f>
        <v>0</v>
      </c>
      <c r="X96" s="7">
        <f>IF(C96="Baja Complejidad",M96,0)</f>
        <v>135.66</v>
      </c>
      <c r="Y96" s="8">
        <v>0</v>
      </c>
      <c r="Z96" s="7">
        <f t="shared" si="13"/>
        <v>135.66</v>
      </c>
      <c r="AA96" s="8">
        <f>IFERROR(((Z96-X96)/Z96),0)</f>
        <v>0</v>
      </c>
      <c r="AB96" s="8">
        <v>0.1</v>
      </c>
    </row>
    <row r="97" spans="1:28" x14ac:dyDescent="0.25">
      <c r="A97">
        <v>2026</v>
      </c>
      <c r="B97" t="s">
        <v>56</v>
      </c>
      <c r="C97" t="s">
        <v>57</v>
      </c>
      <c r="D97" t="s">
        <v>58</v>
      </c>
      <c r="E97" t="s">
        <v>90</v>
      </c>
      <c r="G97" t="s">
        <v>31</v>
      </c>
      <c r="H97" t="s">
        <v>31</v>
      </c>
      <c r="I97" t="s">
        <v>38</v>
      </c>
      <c r="J97">
        <v>1</v>
      </c>
      <c r="K97" t="s">
        <v>33</v>
      </c>
      <c r="L97">
        <v>3808</v>
      </c>
      <c r="M97" s="7">
        <v>3808</v>
      </c>
      <c r="O97" s="7">
        <f t="shared" si="12"/>
        <v>3808</v>
      </c>
      <c r="P97" s="7">
        <f>IF(C97="Alta Complejidad",M97,0)</f>
        <v>0</v>
      </c>
      <c r="Q97" s="8">
        <v>0</v>
      </c>
      <c r="R97" s="7">
        <f>P97+(P97*Q97)</f>
        <v>0</v>
      </c>
      <c r="S97" s="9">
        <f>IFERROR(((R97-P97)/R97),0)</f>
        <v>0</v>
      </c>
      <c r="T97" s="7">
        <f>IF(C97="Mediana Complejidad",M97,0)</f>
        <v>0</v>
      </c>
      <c r="U97" s="8">
        <v>0</v>
      </c>
      <c r="V97" s="7">
        <f>(T97)+(T97*U97)</f>
        <v>0</v>
      </c>
      <c r="W97" s="8">
        <f>IFERROR(((V97-T97)/V97),0)</f>
        <v>0</v>
      </c>
      <c r="X97" s="7">
        <f>IF(C97="Baja Complejidad",M97,0)</f>
        <v>3808</v>
      </c>
      <c r="Y97" s="8">
        <v>0</v>
      </c>
      <c r="Z97" s="7">
        <f t="shared" si="13"/>
        <v>3808</v>
      </c>
      <c r="AA97" s="8">
        <f>IFERROR(((Z97-X97)/Z97),0)</f>
        <v>0</v>
      </c>
      <c r="AB97" s="8">
        <v>0.1</v>
      </c>
    </row>
    <row r="98" spans="1:28" x14ac:dyDescent="0.25">
      <c r="A98">
        <v>2026</v>
      </c>
      <c r="B98" t="s">
        <v>56</v>
      </c>
      <c r="C98" t="s">
        <v>57</v>
      </c>
      <c r="D98" t="s">
        <v>58</v>
      </c>
      <c r="E98" t="s">
        <v>91</v>
      </c>
      <c r="G98" t="s">
        <v>31</v>
      </c>
      <c r="H98" t="s">
        <v>31</v>
      </c>
      <c r="I98" t="s">
        <v>39</v>
      </c>
      <c r="J98">
        <v>1</v>
      </c>
      <c r="K98" t="s">
        <v>33</v>
      </c>
      <c r="L98">
        <v>111.86</v>
      </c>
      <c r="M98" s="7">
        <v>111.86</v>
      </c>
      <c r="O98" s="7">
        <f t="shared" si="12"/>
        <v>111.86</v>
      </c>
      <c r="P98" s="7">
        <f>IF(C98="Alta Complejidad",M98,0)</f>
        <v>0</v>
      </c>
      <c r="Q98" s="8">
        <v>0</v>
      </c>
      <c r="R98" s="7">
        <f>P98+(P98*Q98)</f>
        <v>0</v>
      </c>
      <c r="S98" s="9">
        <f>IFERROR(((R98-P98)/R98),0)</f>
        <v>0</v>
      </c>
      <c r="T98" s="7">
        <f>IF(C98="Mediana Complejidad",M98,0)</f>
        <v>0</v>
      </c>
      <c r="U98" s="8">
        <v>0</v>
      </c>
      <c r="V98" s="7">
        <f>(T98)+(T98*U98)</f>
        <v>0</v>
      </c>
      <c r="W98" s="8">
        <f>IFERROR(((V98-T98)/V98),0)</f>
        <v>0</v>
      </c>
      <c r="X98" s="7">
        <f>IF(C98="Baja Complejidad",M98,0)</f>
        <v>111.86</v>
      </c>
      <c r="Y98" s="8">
        <v>0</v>
      </c>
      <c r="Z98" s="7">
        <f t="shared" si="13"/>
        <v>111.86</v>
      </c>
      <c r="AA98" s="8">
        <f>IFERROR(((Z98-X98)/Z98),0)</f>
        <v>0</v>
      </c>
      <c r="AB98" s="8">
        <v>0.1</v>
      </c>
    </row>
    <row r="99" spans="1:28" x14ac:dyDescent="0.25">
      <c r="A99">
        <v>2026</v>
      </c>
      <c r="B99" t="s">
        <v>56</v>
      </c>
      <c r="C99" t="s">
        <v>57</v>
      </c>
      <c r="D99" t="s">
        <v>58</v>
      </c>
      <c r="E99" t="s">
        <v>92</v>
      </c>
      <c r="G99" t="s">
        <v>31</v>
      </c>
      <c r="H99" t="s">
        <v>31</v>
      </c>
      <c r="I99" t="s">
        <v>64</v>
      </c>
      <c r="J99">
        <v>2</v>
      </c>
      <c r="K99" t="s">
        <v>33</v>
      </c>
      <c r="L99">
        <v>80300</v>
      </c>
      <c r="M99" s="7">
        <v>642.4</v>
      </c>
      <c r="O99" s="7">
        <f t="shared" si="12"/>
        <v>642.4</v>
      </c>
      <c r="P99" s="7">
        <f>IF(C99="Alta Complejidad",M99,0)</f>
        <v>0</v>
      </c>
      <c r="Q99" s="8">
        <v>0</v>
      </c>
      <c r="R99" s="7">
        <f>P99+(P99*Q99)</f>
        <v>0</v>
      </c>
      <c r="S99" s="9">
        <f>IFERROR(((R99-P99)/R99),0)</f>
        <v>0</v>
      </c>
      <c r="T99" s="7">
        <f>IF(C99="Mediana Complejidad",M99,0)</f>
        <v>0</v>
      </c>
      <c r="U99" s="8">
        <v>0</v>
      </c>
      <c r="V99" s="7">
        <f>(T99)+(T99*U99)</f>
        <v>0</v>
      </c>
      <c r="W99" s="8">
        <f>IFERROR(((V99-T99)/V99),0)</f>
        <v>0</v>
      </c>
      <c r="X99" s="7">
        <f>IF(C99="Baja Complejidad",M99,0)</f>
        <v>642.4</v>
      </c>
      <c r="Y99" s="8">
        <v>0</v>
      </c>
      <c r="Z99" s="7">
        <f t="shared" si="13"/>
        <v>642.4</v>
      </c>
      <c r="AA99" s="8">
        <f>IFERROR(((Z99-X99)/Z99),0)</f>
        <v>0</v>
      </c>
      <c r="AB99" s="8">
        <v>0.1</v>
      </c>
    </row>
    <row r="100" spans="1:28" x14ac:dyDescent="0.25">
      <c r="A100">
        <v>2026</v>
      </c>
      <c r="B100" t="s">
        <v>56</v>
      </c>
      <c r="C100" t="s">
        <v>57</v>
      </c>
      <c r="D100" t="s">
        <v>58</v>
      </c>
      <c r="E100" t="s">
        <v>93</v>
      </c>
      <c r="G100" t="s">
        <v>31</v>
      </c>
      <c r="H100" t="s">
        <v>31</v>
      </c>
      <c r="I100" t="s">
        <v>40</v>
      </c>
      <c r="J100">
        <v>2</v>
      </c>
      <c r="K100" t="s">
        <v>33</v>
      </c>
      <c r="L100">
        <v>17888.080000000002</v>
      </c>
      <c r="M100" s="7">
        <v>35776.160000000003</v>
      </c>
      <c r="O100" s="7">
        <f t="shared" si="12"/>
        <v>35776.160000000003</v>
      </c>
      <c r="P100" s="7">
        <f>IF(C100="Alta Complejidad",M100,0)</f>
        <v>0</v>
      </c>
      <c r="Q100" s="8">
        <v>0</v>
      </c>
      <c r="R100" s="7">
        <f>P100+(P100*Q100)</f>
        <v>0</v>
      </c>
      <c r="S100" s="9">
        <f>IFERROR(((R100-P100)/R100),0)</f>
        <v>0</v>
      </c>
      <c r="T100" s="7">
        <f>IF(C100="Mediana Complejidad",M100,0)</f>
        <v>0</v>
      </c>
      <c r="U100" s="8">
        <v>0</v>
      </c>
      <c r="V100" s="7">
        <f>(T100)+(T100*U100)</f>
        <v>0</v>
      </c>
      <c r="W100" s="8">
        <f>IFERROR(((V100-T100)/V100),0)</f>
        <v>0</v>
      </c>
      <c r="X100" s="7">
        <f>IF(C100="Baja Complejidad",M100,0)</f>
        <v>35776.160000000003</v>
      </c>
      <c r="Y100" s="8">
        <v>0</v>
      </c>
      <c r="Z100" s="7">
        <f t="shared" si="13"/>
        <v>35776.160000000003</v>
      </c>
      <c r="AA100" s="8">
        <f>IFERROR(((Z100-X100)/Z100),0)</f>
        <v>0</v>
      </c>
      <c r="AB100" s="8">
        <v>0.1</v>
      </c>
    </row>
    <row r="101" spans="1:28" x14ac:dyDescent="0.25">
      <c r="A101">
        <v>2026</v>
      </c>
      <c r="B101" t="s">
        <v>56</v>
      </c>
      <c r="C101" t="s">
        <v>57</v>
      </c>
      <c r="D101" t="s">
        <v>58</v>
      </c>
      <c r="E101" t="s">
        <v>94</v>
      </c>
      <c r="G101" t="s">
        <v>31</v>
      </c>
      <c r="H101" t="s">
        <v>31</v>
      </c>
      <c r="I101" t="s">
        <v>41</v>
      </c>
      <c r="J101">
        <v>2</v>
      </c>
      <c r="K101" t="s">
        <v>33</v>
      </c>
      <c r="L101">
        <v>337.3837894736842</v>
      </c>
      <c r="M101" s="7">
        <v>674.76757894736841</v>
      </c>
      <c r="O101" s="7">
        <f t="shared" si="12"/>
        <v>674.76757894736841</v>
      </c>
      <c r="P101" s="7">
        <f>IF(C101="Alta Complejidad",M101,0)</f>
        <v>0</v>
      </c>
      <c r="Q101" s="8">
        <v>0</v>
      </c>
      <c r="R101" s="7">
        <f>P101+(P101*Q101)</f>
        <v>0</v>
      </c>
      <c r="S101" s="9">
        <f>IFERROR(((R101-P101)/R101),0)</f>
        <v>0</v>
      </c>
      <c r="T101" s="7">
        <f>IF(C101="Mediana Complejidad",M101,0)</f>
        <v>0</v>
      </c>
      <c r="U101" s="8">
        <v>0</v>
      </c>
      <c r="V101" s="7">
        <f>(T101)+(T101*U101)</f>
        <v>0</v>
      </c>
      <c r="W101" s="8">
        <f>IFERROR(((V101-T101)/V101),0)</f>
        <v>0</v>
      </c>
      <c r="X101" s="7">
        <f>IF(C101="Baja Complejidad",M101,0)</f>
        <v>674.76757894736841</v>
      </c>
      <c r="Y101" s="8">
        <v>0</v>
      </c>
      <c r="Z101" s="7">
        <f t="shared" si="13"/>
        <v>674.76757894736841</v>
      </c>
      <c r="AA101" s="8">
        <f>IFERROR(((Z101-X101)/Z101),0)</f>
        <v>0</v>
      </c>
      <c r="AB101" s="8">
        <v>0.1</v>
      </c>
    </row>
    <row r="102" spans="1:28" x14ac:dyDescent="0.25">
      <c r="A102">
        <v>2026</v>
      </c>
      <c r="B102" t="s">
        <v>56</v>
      </c>
      <c r="C102" t="s">
        <v>57</v>
      </c>
      <c r="D102" t="s">
        <v>58</v>
      </c>
      <c r="E102" t="s">
        <v>95</v>
      </c>
      <c r="G102" t="s">
        <v>31</v>
      </c>
      <c r="H102" t="s">
        <v>31</v>
      </c>
      <c r="I102" t="s">
        <v>83</v>
      </c>
      <c r="J102">
        <v>1</v>
      </c>
      <c r="K102" t="s">
        <v>33</v>
      </c>
      <c r="L102">
        <v>67900</v>
      </c>
      <c r="M102" s="7">
        <v>6790</v>
      </c>
      <c r="O102" s="7">
        <f t="shared" si="12"/>
        <v>6790</v>
      </c>
      <c r="P102" s="7">
        <f>IF(C102="Alta Complejidad",M102,0)</f>
        <v>0</v>
      </c>
      <c r="Q102" s="8">
        <v>0</v>
      </c>
      <c r="R102" s="7">
        <f>P102+(P102*Q102)</f>
        <v>0</v>
      </c>
      <c r="S102" s="9">
        <f>IFERROR(((R102-P102)/R102),0)</f>
        <v>0</v>
      </c>
      <c r="T102" s="7">
        <f>IF(C102="Mediana Complejidad",M102,0)</f>
        <v>0</v>
      </c>
      <c r="U102" s="8">
        <v>0</v>
      </c>
      <c r="V102" s="7">
        <f>(T102)+(T102*U102)</f>
        <v>0</v>
      </c>
      <c r="W102" s="8">
        <f>IFERROR(((V102-T102)/V102),0)</f>
        <v>0</v>
      </c>
      <c r="X102" s="7">
        <f>IF(C102="Baja Complejidad",M102,0)</f>
        <v>6790</v>
      </c>
      <c r="Y102" s="8">
        <v>0</v>
      </c>
      <c r="Z102" s="7">
        <f t="shared" si="13"/>
        <v>6790</v>
      </c>
      <c r="AA102" s="8">
        <f>IFERROR(((Z102-X102)/Z102),0)</f>
        <v>0</v>
      </c>
      <c r="AB102" s="8">
        <v>0.1</v>
      </c>
    </row>
    <row r="103" spans="1:28" x14ac:dyDescent="0.25">
      <c r="A103">
        <v>2026</v>
      </c>
      <c r="B103" t="s">
        <v>56</v>
      </c>
      <c r="C103" t="s">
        <v>57</v>
      </c>
      <c r="D103" t="s">
        <v>58</v>
      </c>
      <c r="E103" t="s">
        <v>96</v>
      </c>
      <c r="G103" t="s">
        <v>31</v>
      </c>
      <c r="H103" t="s">
        <v>31</v>
      </c>
      <c r="I103" t="s">
        <v>84</v>
      </c>
      <c r="J103">
        <v>1</v>
      </c>
      <c r="K103" t="s">
        <v>33</v>
      </c>
      <c r="L103">
        <v>50300</v>
      </c>
      <c r="M103" s="7">
        <v>5030</v>
      </c>
      <c r="O103" s="7">
        <f t="shared" si="12"/>
        <v>5030</v>
      </c>
      <c r="P103" s="7">
        <f>IF(C103="Alta Complejidad",M103,0)</f>
        <v>0</v>
      </c>
      <c r="Q103" s="8">
        <v>0</v>
      </c>
      <c r="R103" s="7">
        <f>P103+(P103*Q103)</f>
        <v>0</v>
      </c>
      <c r="S103" s="9">
        <f>IFERROR(((R103-P103)/R103),0)</f>
        <v>0</v>
      </c>
      <c r="T103" s="7">
        <f>IF(C103="Mediana Complejidad",M103,0)</f>
        <v>0</v>
      </c>
      <c r="U103" s="8">
        <v>0</v>
      </c>
      <c r="V103" s="7">
        <f>(T103)+(T103*U103)</f>
        <v>0</v>
      </c>
      <c r="W103" s="8">
        <f>IFERROR(((V103-T103)/V103),0)</f>
        <v>0</v>
      </c>
      <c r="X103" s="7">
        <f>IF(C103="Baja Complejidad",M103,0)</f>
        <v>5030</v>
      </c>
      <c r="Y103" s="8">
        <v>0</v>
      </c>
      <c r="Z103" s="7">
        <f t="shared" si="13"/>
        <v>5030</v>
      </c>
      <c r="AA103" s="8">
        <f>IFERROR(((Z103-X103)/Z103),0)</f>
        <v>0</v>
      </c>
      <c r="AB103" s="8">
        <v>0.1</v>
      </c>
    </row>
    <row r="104" spans="1:28" x14ac:dyDescent="0.25">
      <c r="A104">
        <v>2026</v>
      </c>
      <c r="B104" t="s">
        <v>56</v>
      </c>
      <c r="C104" t="s">
        <v>57</v>
      </c>
      <c r="D104" t="s">
        <v>58</v>
      </c>
      <c r="E104" t="s">
        <v>97</v>
      </c>
      <c r="G104" t="s">
        <v>31</v>
      </c>
      <c r="H104" t="s">
        <v>31</v>
      </c>
      <c r="I104" t="s">
        <v>82</v>
      </c>
      <c r="J104">
        <v>1</v>
      </c>
      <c r="K104" t="s">
        <v>33</v>
      </c>
      <c r="L104">
        <v>43500</v>
      </c>
      <c r="M104" s="7">
        <v>3625</v>
      </c>
      <c r="O104" s="7">
        <f t="shared" si="12"/>
        <v>3625</v>
      </c>
      <c r="P104" s="7">
        <f>IF(C104="Alta Complejidad",M104,0)</f>
        <v>0</v>
      </c>
      <c r="Q104" s="8">
        <v>0</v>
      </c>
      <c r="R104" s="7">
        <f>P104+(P104*Q104)</f>
        <v>0</v>
      </c>
      <c r="S104" s="9">
        <f>IFERROR(((R104-P104)/R104),0)</f>
        <v>0</v>
      </c>
      <c r="T104" s="7">
        <f>IF(C104="Mediana Complejidad",M104,0)</f>
        <v>0</v>
      </c>
      <c r="U104" s="8">
        <v>0</v>
      </c>
      <c r="V104" s="7">
        <f>(T104)+(T104*U104)</f>
        <v>0</v>
      </c>
      <c r="W104" s="8">
        <f>IFERROR(((V104-T104)/V104),0)</f>
        <v>0</v>
      </c>
      <c r="X104" s="7">
        <f>IF(C104="Baja Complejidad",M104,0)</f>
        <v>3625</v>
      </c>
      <c r="Y104" s="8">
        <v>0</v>
      </c>
      <c r="Z104" s="7">
        <f t="shared" si="13"/>
        <v>3625</v>
      </c>
      <c r="AA104" s="8">
        <f>IFERROR(((Z104-X104)/Z104),0)</f>
        <v>0</v>
      </c>
      <c r="AB104" s="8">
        <v>0.1</v>
      </c>
    </row>
    <row r="105" spans="1:28" x14ac:dyDescent="0.25">
      <c r="A105">
        <v>2026</v>
      </c>
      <c r="B105" t="s">
        <v>56</v>
      </c>
      <c r="C105" t="s">
        <v>57</v>
      </c>
      <c r="D105" t="s">
        <v>58</v>
      </c>
      <c r="E105">
        <v>1965</v>
      </c>
      <c r="F105">
        <v>1600</v>
      </c>
      <c r="G105" t="s">
        <v>42</v>
      </c>
      <c r="H105" t="s">
        <v>42</v>
      </c>
      <c r="I105" t="s">
        <v>59</v>
      </c>
      <c r="J105">
        <v>80</v>
      </c>
      <c r="K105" t="s">
        <v>45</v>
      </c>
      <c r="L105">
        <v>201.61</v>
      </c>
      <c r="M105" s="7">
        <f>+L105*F105</f>
        <v>322576</v>
      </c>
      <c r="O105" s="7">
        <f t="shared" si="12"/>
        <v>322576</v>
      </c>
      <c r="P105" s="7">
        <f>IF(C105="Alta Complejidad",M105,0)</f>
        <v>0</v>
      </c>
      <c r="Q105" s="8">
        <v>0</v>
      </c>
      <c r="R105" s="7">
        <f>P105+(P105*Q105)</f>
        <v>0</v>
      </c>
      <c r="S105" s="9">
        <f>IFERROR(((R105-P105)/R105),0)</f>
        <v>0</v>
      </c>
      <c r="T105" s="7">
        <f>IF(C105="Mediana Complejidad",M105,0)</f>
        <v>0</v>
      </c>
      <c r="U105" s="8">
        <v>0</v>
      </c>
      <c r="V105" s="7">
        <f>(T105)+(T105*U105)</f>
        <v>0</v>
      </c>
      <c r="W105" s="8">
        <f>IFERROR(((V105-T105)/V105),0)</f>
        <v>0</v>
      </c>
      <c r="X105" s="7">
        <f>IF(C105="Baja Complejidad",M105,0)</f>
        <v>322576</v>
      </c>
      <c r="Y105" s="8">
        <v>0</v>
      </c>
      <c r="Z105" s="7">
        <f t="shared" si="13"/>
        <v>322576</v>
      </c>
      <c r="AA105" s="8">
        <f>IFERROR(((Z105-X105)/Z105),0)</f>
        <v>0</v>
      </c>
      <c r="AB105" s="8">
        <v>0.1</v>
      </c>
    </row>
    <row r="106" spans="1:28" x14ac:dyDescent="0.25">
      <c r="A106">
        <v>2026</v>
      </c>
      <c r="B106" t="s">
        <v>56</v>
      </c>
      <c r="C106" t="s">
        <v>57</v>
      </c>
      <c r="D106" t="s">
        <v>58</v>
      </c>
      <c r="E106">
        <v>1965</v>
      </c>
      <c r="G106" t="s">
        <v>43</v>
      </c>
      <c r="H106" t="s">
        <v>43</v>
      </c>
      <c r="I106" t="s">
        <v>44</v>
      </c>
      <c r="J106">
        <v>3</v>
      </c>
      <c r="K106" t="s">
        <v>33</v>
      </c>
      <c r="L106">
        <v>3000</v>
      </c>
      <c r="M106" s="7">
        <v>12657</v>
      </c>
      <c r="O106" s="7">
        <f t="shared" si="12"/>
        <v>12657</v>
      </c>
      <c r="P106" s="7">
        <f>IF(C106="Alta Complejidad",M106,0)</f>
        <v>0</v>
      </c>
      <c r="Q106" s="8">
        <v>0</v>
      </c>
      <c r="R106" s="7">
        <f>P106+(P106*Q106)</f>
        <v>0</v>
      </c>
      <c r="S106" s="9">
        <f>IFERROR(((R106-P106)/R106),0)</f>
        <v>0</v>
      </c>
      <c r="T106" s="7">
        <f>IF(C106="Mediana Complejidad",M106,0)</f>
        <v>0</v>
      </c>
      <c r="U106" s="8">
        <v>0</v>
      </c>
      <c r="V106" s="7">
        <f>(T106)+(T106*U106)</f>
        <v>0</v>
      </c>
      <c r="W106" s="8">
        <f>IFERROR(((V106-T106)/V106),0)</f>
        <v>0</v>
      </c>
      <c r="X106" s="7">
        <f>IF(C106="Baja Complejidad",M106,0)</f>
        <v>12657</v>
      </c>
      <c r="Y106" s="8">
        <v>0</v>
      </c>
      <c r="Z106" s="7">
        <f t="shared" si="13"/>
        <v>12657</v>
      </c>
      <c r="AA106" s="8">
        <f>IFERROR(((Z106-X106)/Z106),0)</f>
        <v>0</v>
      </c>
      <c r="AB106" s="8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3BA4-3DB6-453B-81E5-DA5ABC542878}">
  <dimension ref="A1:AB106"/>
  <sheetViews>
    <sheetView topLeftCell="M82" workbookViewId="0">
      <selection sqref="A1:AB106"/>
    </sheetView>
  </sheetViews>
  <sheetFormatPr baseColWidth="10" defaultRowHeight="15" x14ac:dyDescent="0.25"/>
  <cols>
    <col min="19" max="19" width="11.42578125" style="8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3" t="s">
        <v>26</v>
      </c>
      <c r="AB1" s="4" t="s">
        <v>27</v>
      </c>
    </row>
    <row r="2" spans="1:28" x14ac:dyDescent="0.25">
      <c r="A2">
        <v>2026</v>
      </c>
      <c r="B2" t="s">
        <v>28</v>
      </c>
      <c r="C2" t="s">
        <v>29</v>
      </c>
      <c r="D2" t="s">
        <v>30</v>
      </c>
      <c r="E2">
        <v>360001</v>
      </c>
      <c r="G2" t="s">
        <v>63</v>
      </c>
      <c r="H2" t="s">
        <v>63</v>
      </c>
      <c r="I2" t="s">
        <v>65</v>
      </c>
      <c r="J2" t="s">
        <v>66</v>
      </c>
      <c r="K2" t="s">
        <v>33</v>
      </c>
      <c r="L2">
        <v>28800</v>
      </c>
      <c r="M2">
        <v>28800</v>
      </c>
      <c r="O2" s="7">
        <f>R2</f>
        <v>34560</v>
      </c>
      <c r="P2" s="7">
        <f>IF(C2="Alta Complejidad",M2,0)</f>
        <v>28800</v>
      </c>
      <c r="Q2" s="8">
        <v>0.2</v>
      </c>
      <c r="R2" s="7">
        <f>P2+(P2*Q2)</f>
        <v>34560</v>
      </c>
      <c r="S2" s="8">
        <f>IFERROR(((R2-P2)/R2),0)</f>
        <v>0.16666666666666666</v>
      </c>
      <c r="T2" s="7">
        <v>0</v>
      </c>
      <c r="U2" s="8">
        <v>0</v>
      </c>
      <c r="V2" s="7">
        <f>(T2)+(T2*U2)</f>
        <v>0</v>
      </c>
      <c r="W2" s="8">
        <f>IFERROR(((V2-T2)/V2),0)</f>
        <v>0</v>
      </c>
      <c r="X2" s="7">
        <f>IF(C2="Baja Complejidad",M2,0)</f>
        <v>0</v>
      </c>
      <c r="Y2" s="8">
        <v>0</v>
      </c>
      <c r="Z2" s="7">
        <f>(X2)+(X2*Y2)</f>
        <v>0</v>
      </c>
      <c r="AA2" s="8">
        <f>IFERROR(((Z2-X2)/Z2),0)</f>
        <v>0</v>
      </c>
      <c r="AB2" s="8">
        <v>0.1</v>
      </c>
    </row>
    <row r="3" spans="1:28" x14ac:dyDescent="0.25">
      <c r="A3">
        <v>2026</v>
      </c>
      <c r="B3" t="s">
        <v>28</v>
      </c>
      <c r="C3" t="s">
        <v>29</v>
      </c>
      <c r="D3" t="s">
        <v>30</v>
      </c>
      <c r="E3">
        <v>709900</v>
      </c>
      <c r="G3" t="s">
        <v>63</v>
      </c>
      <c r="H3" t="s">
        <v>63</v>
      </c>
      <c r="I3" t="s">
        <v>67</v>
      </c>
      <c r="J3" t="s">
        <v>66</v>
      </c>
      <c r="K3" t="s">
        <v>33</v>
      </c>
      <c r="L3">
        <v>36700</v>
      </c>
      <c r="M3">
        <v>36700</v>
      </c>
      <c r="O3" s="7">
        <f t="shared" ref="O3:O16" si="0">R3</f>
        <v>44040</v>
      </c>
      <c r="P3" s="7">
        <f>IF(C3="Alta Complejidad",M3,0)</f>
        <v>36700</v>
      </c>
      <c r="Q3" s="8">
        <v>0.2</v>
      </c>
      <c r="R3" s="7">
        <f t="shared" ref="R3:R16" si="1">P3+(P3*Q3)</f>
        <v>44040</v>
      </c>
      <c r="S3" s="8">
        <f>IFERROR(((R3-P3)/R3),0)</f>
        <v>0.16666666666666666</v>
      </c>
      <c r="T3" s="7">
        <v>0</v>
      </c>
      <c r="U3" s="8">
        <v>0</v>
      </c>
      <c r="V3" s="7">
        <f>(T3)+(T3*U3)</f>
        <v>0</v>
      </c>
      <c r="W3" s="8">
        <f>IFERROR(((V3-T3)/V3),0)</f>
        <v>0</v>
      </c>
      <c r="X3" s="7">
        <f>IF(C3="Baja Complejidad",M3,0)</f>
        <v>0</v>
      </c>
      <c r="Y3" s="8">
        <v>0</v>
      </c>
      <c r="Z3" s="7">
        <f>(X3)+(X3*Y3)</f>
        <v>0</v>
      </c>
      <c r="AA3" s="8">
        <f>IFERROR(((Z3-X3)/Z3),0)</f>
        <v>0</v>
      </c>
      <c r="AB3" s="8">
        <v>0.1</v>
      </c>
    </row>
    <row r="4" spans="1:28" x14ac:dyDescent="0.25">
      <c r="A4">
        <v>2026</v>
      </c>
      <c r="B4" t="s">
        <v>28</v>
      </c>
      <c r="C4" t="s">
        <v>29</v>
      </c>
      <c r="D4" t="s">
        <v>30</v>
      </c>
      <c r="E4">
        <v>709902</v>
      </c>
      <c r="G4" t="s">
        <v>63</v>
      </c>
      <c r="H4" t="s">
        <v>63</v>
      </c>
      <c r="I4" t="s">
        <v>68</v>
      </c>
      <c r="J4" t="s">
        <v>69</v>
      </c>
      <c r="K4" t="s">
        <v>33</v>
      </c>
      <c r="L4">
        <v>28000</v>
      </c>
      <c r="M4">
        <v>28000</v>
      </c>
      <c r="O4" s="7">
        <f t="shared" si="0"/>
        <v>33600</v>
      </c>
      <c r="P4" s="7">
        <f>IF(C4="Alta Complejidad",M4,0)</f>
        <v>28000</v>
      </c>
      <c r="Q4" s="8">
        <v>0.2</v>
      </c>
      <c r="R4" s="7">
        <f t="shared" si="1"/>
        <v>33600</v>
      </c>
      <c r="S4" s="8">
        <f>IFERROR(((R4-P4)/R4),0)</f>
        <v>0.16666666666666666</v>
      </c>
      <c r="T4" s="7">
        <v>0</v>
      </c>
      <c r="U4" s="8">
        <v>0</v>
      </c>
      <c r="V4" s="7">
        <f>(T4)+(T4*U4)</f>
        <v>0</v>
      </c>
      <c r="W4" s="8">
        <f>IFERROR(((V4-T4)/V4),0)</f>
        <v>0</v>
      </c>
      <c r="X4" s="7">
        <f>IF(C4="Baja Complejidad",M4,0)</f>
        <v>0</v>
      </c>
      <c r="Y4" s="8">
        <v>0</v>
      </c>
      <c r="Z4" s="7">
        <f>(X4)+(X4*Y4)</f>
        <v>0</v>
      </c>
      <c r="AA4" s="8">
        <f>IFERROR(((Z4-X4)/Z4),0)</f>
        <v>0</v>
      </c>
      <c r="AB4" s="8">
        <v>0.1</v>
      </c>
    </row>
    <row r="5" spans="1:28" x14ac:dyDescent="0.25">
      <c r="A5">
        <v>2026</v>
      </c>
      <c r="B5" t="s">
        <v>28</v>
      </c>
      <c r="C5" t="s">
        <v>29</v>
      </c>
      <c r="D5" t="s">
        <v>30</v>
      </c>
      <c r="E5">
        <v>709903</v>
      </c>
      <c r="G5" t="s">
        <v>63</v>
      </c>
      <c r="H5" t="s">
        <v>63</v>
      </c>
      <c r="I5" t="s">
        <v>70</v>
      </c>
      <c r="J5" t="s">
        <v>69</v>
      </c>
      <c r="K5" t="s">
        <v>33</v>
      </c>
      <c r="L5">
        <v>36700</v>
      </c>
      <c r="M5">
        <v>36700</v>
      </c>
      <c r="O5" s="7">
        <f t="shared" si="0"/>
        <v>44040</v>
      </c>
      <c r="P5" s="7">
        <f>IF(C5="Alta Complejidad",M5,0)</f>
        <v>36700</v>
      </c>
      <c r="Q5" s="8">
        <v>0.2</v>
      </c>
      <c r="R5" s="7">
        <f t="shared" si="1"/>
        <v>44040</v>
      </c>
      <c r="S5" s="8">
        <f>IFERROR(((R5-P5)/R5),0)</f>
        <v>0.16666666666666666</v>
      </c>
      <c r="T5" s="7">
        <v>0</v>
      </c>
      <c r="U5" s="8">
        <v>0</v>
      </c>
      <c r="V5" s="7">
        <f>(T5)+(T5*U5)</f>
        <v>0</v>
      </c>
      <c r="W5" s="8">
        <f>IFERROR(((V5-T5)/V5),0)</f>
        <v>0</v>
      </c>
      <c r="X5" s="7">
        <f>IF(C5="Baja Complejidad",M5,0)</f>
        <v>0</v>
      </c>
      <c r="Y5" s="8">
        <v>0</v>
      </c>
      <c r="Z5" s="7">
        <f>(X5)+(X5*Y5)</f>
        <v>0</v>
      </c>
      <c r="AA5" s="8">
        <f>IFERROR(((Z5-X5)/Z5),0)</f>
        <v>0</v>
      </c>
      <c r="AB5" s="8">
        <v>0.1</v>
      </c>
    </row>
    <row r="6" spans="1:28" x14ac:dyDescent="0.25">
      <c r="A6">
        <v>2026</v>
      </c>
      <c r="B6" t="s">
        <v>28</v>
      </c>
      <c r="C6" t="s">
        <v>29</v>
      </c>
      <c r="D6" t="s">
        <v>30</v>
      </c>
      <c r="E6">
        <v>603421</v>
      </c>
      <c r="G6" t="s">
        <v>63</v>
      </c>
      <c r="H6" t="s">
        <v>63</v>
      </c>
      <c r="I6" t="s">
        <v>71</v>
      </c>
      <c r="J6" t="s">
        <v>69</v>
      </c>
      <c r="K6" t="s">
        <v>33</v>
      </c>
      <c r="L6">
        <v>21900</v>
      </c>
      <c r="M6">
        <v>21900</v>
      </c>
      <c r="O6" s="7">
        <f t="shared" si="0"/>
        <v>26280</v>
      </c>
      <c r="P6" s="7">
        <f>IF(C6="Alta Complejidad",M6,0)</f>
        <v>21900</v>
      </c>
      <c r="Q6" s="8">
        <v>0.2</v>
      </c>
      <c r="R6" s="7">
        <f t="shared" si="1"/>
        <v>26280</v>
      </c>
      <c r="S6" s="8">
        <f>IFERROR(((R6-P6)/R6),0)</f>
        <v>0.16666666666666666</v>
      </c>
      <c r="T6" s="7">
        <v>0</v>
      </c>
      <c r="U6" s="8">
        <v>0</v>
      </c>
      <c r="V6" s="7">
        <f>(T6)+(T6*U6)</f>
        <v>0</v>
      </c>
      <c r="W6" s="8">
        <f>IFERROR(((V6-T6)/V6),0)</f>
        <v>0</v>
      </c>
      <c r="X6" s="7">
        <f>IF(C6="Baja Complejidad",M6,0)</f>
        <v>0</v>
      </c>
      <c r="Y6" s="8">
        <v>0</v>
      </c>
      <c r="Z6" s="7">
        <f>(X6)+(X6*Y6)</f>
        <v>0</v>
      </c>
      <c r="AA6" s="8">
        <f>IFERROR(((Z6-X6)/Z6),0)</f>
        <v>0</v>
      </c>
      <c r="AB6" s="8">
        <v>0.1</v>
      </c>
    </row>
    <row r="7" spans="1:28" x14ac:dyDescent="0.25">
      <c r="A7">
        <v>2026</v>
      </c>
      <c r="B7" t="s">
        <v>28</v>
      </c>
      <c r="C7" t="s">
        <v>29</v>
      </c>
      <c r="D7" t="s">
        <v>30</v>
      </c>
      <c r="E7">
        <v>603422</v>
      </c>
      <c r="G7" t="s">
        <v>63</v>
      </c>
      <c r="H7" t="s">
        <v>63</v>
      </c>
      <c r="I7" t="s">
        <v>72</v>
      </c>
      <c r="J7" t="s">
        <v>69</v>
      </c>
      <c r="K7" t="s">
        <v>33</v>
      </c>
      <c r="L7">
        <v>114900</v>
      </c>
      <c r="M7">
        <v>114900</v>
      </c>
      <c r="O7" s="7">
        <f t="shared" si="0"/>
        <v>137880</v>
      </c>
      <c r="P7" s="7">
        <f>IF(C7="Alta Complejidad",M7,0)</f>
        <v>114900</v>
      </c>
      <c r="Q7" s="8">
        <v>0.2</v>
      </c>
      <c r="R7" s="7">
        <f t="shared" si="1"/>
        <v>137880</v>
      </c>
      <c r="S7" s="8">
        <f>IFERROR(((R7-P7)/R7),0)</f>
        <v>0.16666666666666666</v>
      </c>
      <c r="T7" s="7">
        <v>0</v>
      </c>
      <c r="U7" s="8">
        <v>0</v>
      </c>
      <c r="V7" s="7">
        <f>(T7)+(T7*U7)</f>
        <v>0</v>
      </c>
      <c r="W7" s="8">
        <f>IFERROR(((V7-T7)/V7),0)</f>
        <v>0</v>
      </c>
      <c r="X7" s="7">
        <f>IF(C7="Baja Complejidad",M7,0)</f>
        <v>0</v>
      </c>
      <c r="Y7" s="8">
        <v>0</v>
      </c>
      <c r="Z7" s="7">
        <f>(X7)+(X7*Y7)</f>
        <v>0</v>
      </c>
      <c r="AA7" s="8">
        <f>IFERROR(((Z7-X7)/Z7),0)</f>
        <v>0</v>
      </c>
      <c r="AB7" s="8">
        <v>0.1</v>
      </c>
    </row>
    <row r="8" spans="1:28" x14ac:dyDescent="0.25">
      <c r="A8">
        <v>2026</v>
      </c>
      <c r="B8" t="s">
        <v>28</v>
      </c>
      <c r="C8" t="s">
        <v>29</v>
      </c>
      <c r="D8" t="s">
        <v>30</v>
      </c>
      <c r="E8">
        <v>603423</v>
      </c>
      <c r="G8" t="s">
        <v>63</v>
      </c>
      <c r="H8" t="s">
        <v>63</v>
      </c>
      <c r="I8" t="s">
        <v>73</v>
      </c>
      <c r="J8" t="s">
        <v>69</v>
      </c>
      <c r="K8" t="s">
        <v>33</v>
      </c>
      <c r="L8">
        <v>28000</v>
      </c>
      <c r="M8">
        <v>28000</v>
      </c>
      <c r="O8" s="7">
        <f t="shared" si="0"/>
        <v>33600</v>
      </c>
      <c r="P8" s="7">
        <f>IF(C8="Alta Complejidad",M8,0)</f>
        <v>28000</v>
      </c>
      <c r="Q8" s="8">
        <v>0.2</v>
      </c>
      <c r="R8" s="7">
        <f t="shared" si="1"/>
        <v>33600</v>
      </c>
      <c r="S8" s="8">
        <f>IFERROR(((R8-P8)/R8),0)</f>
        <v>0.16666666666666666</v>
      </c>
      <c r="T8" s="7">
        <v>0</v>
      </c>
      <c r="U8" s="8">
        <v>0</v>
      </c>
      <c r="V8" s="7">
        <f>(T8)+(T8*U8)</f>
        <v>0</v>
      </c>
      <c r="W8" s="8">
        <f>IFERROR(((V8-T8)/V8),0)</f>
        <v>0</v>
      </c>
      <c r="X8" s="7">
        <f>IF(C8="Baja Complejidad",M8,0)</f>
        <v>0</v>
      </c>
      <c r="Y8" s="8">
        <v>0</v>
      </c>
      <c r="Z8" s="7">
        <f>(X8)+(X8*Y8)</f>
        <v>0</v>
      </c>
      <c r="AA8" s="8">
        <f>IFERROR(((Z8-X8)/Z8),0)</f>
        <v>0</v>
      </c>
      <c r="AB8" s="8">
        <v>0.1</v>
      </c>
    </row>
    <row r="9" spans="1:28" x14ac:dyDescent="0.25">
      <c r="A9">
        <v>2026</v>
      </c>
      <c r="B9" t="s">
        <v>28</v>
      </c>
      <c r="C9" t="s">
        <v>29</v>
      </c>
      <c r="D9" t="s">
        <v>30</v>
      </c>
      <c r="E9">
        <v>294199</v>
      </c>
      <c r="G9" t="s">
        <v>63</v>
      </c>
      <c r="H9" t="s">
        <v>63</v>
      </c>
      <c r="I9" t="s">
        <v>74</v>
      </c>
      <c r="J9" t="s">
        <v>69</v>
      </c>
      <c r="K9" t="s">
        <v>33</v>
      </c>
      <c r="L9">
        <v>49200</v>
      </c>
      <c r="M9">
        <v>49200</v>
      </c>
      <c r="O9" s="7">
        <f t="shared" si="0"/>
        <v>59040</v>
      </c>
      <c r="P9" s="7">
        <f>IF(C9="Alta Complejidad",M9,0)</f>
        <v>49200</v>
      </c>
      <c r="Q9" s="8">
        <v>0.2</v>
      </c>
      <c r="R9" s="7">
        <f t="shared" si="1"/>
        <v>59040</v>
      </c>
      <c r="S9" s="8">
        <f>IFERROR(((R9-P9)/R9),0)</f>
        <v>0.16666666666666666</v>
      </c>
      <c r="T9" s="7">
        <v>0</v>
      </c>
      <c r="U9" s="8">
        <v>0</v>
      </c>
      <c r="V9" s="7">
        <f>(T9)+(T9*U9)</f>
        <v>0</v>
      </c>
      <c r="W9" s="8">
        <f>IFERROR(((V9-T9)/V9),0)</f>
        <v>0</v>
      </c>
      <c r="X9" s="7">
        <f>IF(C9="Baja Complejidad",M9,0)</f>
        <v>0</v>
      </c>
      <c r="Y9" s="8">
        <v>0</v>
      </c>
      <c r="Z9" s="7">
        <f>(X9)+(X9*Y9)</f>
        <v>0</v>
      </c>
      <c r="AA9" s="8">
        <f>IFERROR(((Z9-X9)/Z9),0)</f>
        <v>0</v>
      </c>
      <c r="AB9" s="8">
        <v>0.1</v>
      </c>
    </row>
    <row r="10" spans="1:28" x14ac:dyDescent="0.25">
      <c r="A10">
        <v>2026</v>
      </c>
      <c r="B10" t="s">
        <v>28</v>
      </c>
      <c r="C10" t="s">
        <v>29</v>
      </c>
      <c r="D10" t="s">
        <v>30</v>
      </c>
      <c r="E10">
        <v>294299</v>
      </c>
      <c r="G10" t="s">
        <v>63</v>
      </c>
      <c r="H10" t="s">
        <v>63</v>
      </c>
      <c r="I10" t="s">
        <v>75</v>
      </c>
      <c r="J10" t="s">
        <v>69</v>
      </c>
      <c r="K10" t="s">
        <v>33</v>
      </c>
      <c r="L10">
        <v>141600</v>
      </c>
      <c r="M10">
        <v>141600</v>
      </c>
      <c r="O10" s="7">
        <f t="shared" si="0"/>
        <v>169920</v>
      </c>
      <c r="P10" s="7">
        <f>IF(C10="Alta Complejidad",M10,0)</f>
        <v>141600</v>
      </c>
      <c r="Q10" s="8">
        <v>0.2</v>
      </c>
      <c r="R10" s="7">
        <f t="shared" si="1"/>
        <v>169920</v>
      </c>
      <c r="S10" s="8">
        <f>IFERROR(((R10-P10)/R10),0)</f>
        <v>0.16666666666666666</v>
      </c>
      <c r="T10" s="7">
        <v>0</v>
      </c>
      <c r="U10" s="8">
        <v>0</v>
      </c>
      <c r="V10" s="7">
        <f>(T10)+(T10*U10)</f>
        <v>0</v>
      </c>
      <c r="W10" s="8">
        <f>IFERROR(((V10-T10)/V10),0)</f>
        <v>0</v>
      </c>
      <c r="X10" s="7">
        <f>IF(C10="Baja Complejidad",M10,0)</f>
        <v>0</v>
      </c>
      <c r="Y10" s="8">
        <v>0</v>
      </c>
      <c r="Z10" s="7">
        <f>(X10)+(X10*Y10)</f>
        <v>0</v>
      </c>
      <c r="AA10" s="8">
        <f>IFERROR(((Z10-X10)/Z10),0)</f>
        <v>0</v>
      </c>
      <c r="AB10" s="8">
        <v>0.1</v>
      </c>
    </row>
    <row r="11" spans="1:28" x14ac:dyDescent="0.25">
      <c r="A11">
        <v>2026</v>
      </c>
      <c r="B11" t="s">
        <v>28</v>
      </c>
      <c r="C11" t="s">
        <v>29</v>
      </c>
      <c r="D11" t="s">
        <v>30</v>
      </c>
      <c r="E11">
        <v>294399</v>
      </c>
      <c r="G11" t="s">
        <v>63</v>
      </c>
      <c r="H11" t="s">
        <v>63</v>
      </c>
      <c r="I11" t="s">
        <v>76</v>
      </c>
      <c r="J11" t="s">
        <v>69</v>
      </c>
      <c r="K11" t="s">
        <v>33</v>
      </c>
      <c r="L11">
        <v>174700</v>
      </c>
      <c r="M11">
        <v>174700</v>
      </c>
      <c r="O11" s="7">
        <f t="shared" si="0"/>
        <v>209640</v>
      </c>
      <c r="P11" s="7">
        <f>IF(C11="Alta Complejidad",M11,0)</f>
        <v>174700</v>
      </c>
      <c r="Q11" s="8">
        <v>0.2</v>
      </c>
      <c r="R11" s="7">
        <f t="shared" si="1"/>
        <v>209640</v>
      </c>
      <c r="S11" s="8">
        <f>IFERROR(((R11-P11)/R11),0)</f>
        <v>0.16666666666666666</v>
      </c>
      <c r="T11" s="7">
        <v>0</v>
      </c>
      <c r="U11" s="8">
        <v>0</v>
      </c>
      <c r="V11" s="7">
        <f>(T11)+(T11*U11)</f>
        <v>0</v>
      </c>
      <c r="W11" s="8">
        <f>IFERROR(((V11-T11)/V11),0)</f>
        <v>0</v>
      </c>
      <c r="X11" s="7">
        <f>IF(C11="Baja Complejidad",M11,0)</f>
        <v>0</v>
      </c>
      <c r="Y11" s="8">
        <v>0</v>
      </c>
      <c r="Z11" s="7">
        <f>(X11)+(X11*Y11)</f>
        <v>0</v>
      </c>
      <c r="AA11" s="8">
        <f>IFERROR(((Z11-X11)/Z11),0)</f>
        <v>0</v>
      </c>
      <c r="AB11" s="8">
        <v>0.1</v>
      </c>
    </row>
    <row r="12" spans="1:28" x14ac:dyDescent="0.25">
      <c r="A12">
        <v>2026</v>
      </c>
      <c r="B12" t="s">
        <v>28</v>
      </c>
      <c r="C12" t="s">
        <v>29</v>
      </c>
      <c r="D12" t="s">
        <v>30</v>
      </c>
      <c r="E12">
        <v>294499</v>
      </c>
      <c r="G12" t="s">
        <v>63</v>
      </c>
      <c r="H12" t="s">
        <v>63</v>
      </c>
      <c r="I12" t="s">
        <v>77</v>
      </c>
      <c r="J12" t="s">
        <v>69</v>
      </c>
      <c r="K12" t="s">
        <v>33</v>
      </c>
      <c r="L12">
        <v>204000</v>
      </c>
      <c r="M12">
        <v>204000</v>
      </c>
      <c r="O12" s="7">
        <f t="shared" si="0"/>
        <v>244800</v>
      </c>
      <c r="P12" s="7">
        <f>IF(C12="Alta Complejidad",M12,0)</f>
        <v>204000</v>
      </c>
      <c r="Q12" s="8">
        <v>0.2</v>
      </c>
      <c r="R12" s="7">
        <f t="shared" si="1"/>
        <v>244800</v>
      </c>
      <c r="S12" s="8">
        <f>IFERROR(((R12-P12)/R12),0)</f>
        <v>0.16666666666666666</v>
      </c>
      <c r="T12" s="7">
        <v>0</v>
      </c>
      <c r="U12" s="8">
        <v>0</v>
      </c>
      <c r="V12" s="7">
        <f>(T12)+(T12*U12)</f>
        <v>0</v>
      </c>
      <c r="W12" s="8">
        <f>IFERROR(((V12-T12)/V12),0)</f>
        <v>0</v>
      </c>
      <c r="X12" s="7">
        <f>IF(C12="Baja Complejidad",M12,0)</f>
        <v>0</v>
      </c>
      <c r="Y12" s="8">
        <v>0</v>
      </c>
      <c r="Z12" s="7">
        <f>(X12)+(X12*Y12)</f>
        <v>0</v>
      </c>
      <c r="AA12" s="8">
        <f>IFERROR(((Z12-X12)/Z12),0)</f>
        <v>0</v>
      </c>
      <c r="AB12" s="8">
        <v>0.1</v>
      </c>
    </row>
    <row r="13" spans="1:28" x14ac:dyDescent="0.25">
      <c r="A13">
        <v>2026</v>
      </c>
      <c r="B13" t="s">
        <v>28</v>
      </c>
      <c r="C13" t="s">
        <v>29</v>
      </c>
      <c r="D13" t="s">
        <v>30</v>
      </c>
      <c r="E13">
        <v>284190</v>
      </c>
      <c r="G13" t="s">
        <v>63</v>
      </c>
      <c r="H13" t="s">
        <v>63</v>
      </c>
      <c r="I13" t="s">
        <v>78</v>
      </c>
      <c r="J13" t="s">
        <v>69</v>
      </c>
      <c r="K13" t="s">
        <v>33</v>
      </c>
      <c r="L13">
        <v>49000</v>
      </c>
      <c r="M13">
        <v>49000</v>
      </c>
      <c r="O13" s="7">
        <f t="shared" si="0"/>
        <v>58800</v>
      </c>
      <c r="P13" s="7">
        <f>IF(C13="Alta Complejidad",M13,0)</f>
        <v>49000</v>
      </c>
      <c r="Q13" s="8">
        <v>0.2</v>
      </c>
      <c r="R13" s="7">
        <f t="shared" si="1"/>
        <v>58800</v>
      </c>
      <c r="S13" s="8">
        <f>IFERROR(((R13-P13)/R13),0)</f>
        <v>0.16666666666666666</v>
      </c>
      <c r="T13" s="7">
        <v>0</v>
      </c>
      <c r="U13" s="8">
        <v>0</v>
      </c>
      <c r="V13" s="7">
        <f>(T13)+(T13*U13)</f>
        <v>0</v>
      </c>
      <c r="W13" s="8">
        <f>IFERROR(((V13-T13)/V13),0)</f>
        <v>0</v>
      </c>
      <c r="X13" s="7">
        <f>IF(C13="Baja Complejidad",M13,0)</f>
        <v>0</v>
      </c>
      <c r="Y13" s="8">
        <v>0</v>
      </c>
      <c r="Z13" s="7">
        <f>(X13)+(X13*Y13)</f>
        <v>0</v>
      </c>
      <c r="AA13" s="8">
        <f>IFERROR(((Z13-X13)/Z13),0)</f>
        <v>0</v>
      </c>
      <c r="AB13" s="8">
        <v>0.1</v>
      </c>
    </row>
    <row r="14" spans="1:28" x14ac:dyDescent="0.25">
      <c r="A14">
        <v>2026</v>
      </c>
      <c r="B14" t="s">
        <v>28</v>
      </c>
      <c r="C14" t="s">
        <v>29</v>
      </c>
      <c r="D14" t="s">
        <v>30</v>
      </c>
      <c r="E14">
        <v>284390</v>
      </c>
      <c r="G14" t="s">
        <v>63</v>
      </c>
      <c r="H14" t="s">
        <v>63</v>
      </c>
      <c r="I14" t="s">
        <v>79</v>
      </c>
      <c r="J14" t="s">
        <v>66</v>
      </c>
      <c r="K14" t="s">
        <v>33</v>
      </c>
      <c r="L14">
        <v>224100</v>
      </c>
      <c r="M14">
        <v>224100</v>
      </c>
      <c r="O14" s="7">
        <f t="shared" si="0"/>
        <v>268920</v>
      </c>
      <c r="P14" s="7">
        <f>IF(C14="Alta Complejidad",M14,0)</f>
        <v>224100</v>
      </c>
      <c r="Q14" s="8">
        <v>0.2</v>
      </c>
      <c r="R14" s="7">
        <f t="shared" si="1"/>
        <v>268920</v>
      </c>
      <c r="S14" s="8">
        <f>IFERROR(((R14-P14)/R14),0)</f>
        <v>0.16666666666666666</v>
      </c>
      <c r="T14" s="7">
        <v>0</v>
      </c>
      <c r="U14" s="8">
        <v>0</v>
      </c>
      <c r="V14" s="7">
        <f>(T14)+(T14*U14)</f>
        <v>0</v>
      </c>
      <c r="W14" s="8">
        <f>IFERROR(((V14-T14)/V14),0)</f>
        <v>0</v>
      </c>
      <c r="X14" s="7">
        <f>IF(C14="Baja Complejidad",M14,0)</f>
        <v>0</v>
      </c>
      <c r="Y14" s="8">
        <v>0</v>
      </c>
      <c r="Z14" s="7">
        <f>(X14)+(X14*Y14)</f>
        <v>0</v>
      </c>
      <c r="AA14" s="8">
        <f>IFERROR(((Z14-X14)/Z14),0)</f>
        <v>0</v>
      </c>
      <c r="AB14" s="8">
        <v>0.1</v>
      </c>
    </row>
    <row r="15" spans="1:28" x14ac:dyDescent="0.25">
      <c r="A15">
        <v>2026</v>
      </c>
      <c r="B15" t="s">
        <v>28</v>
      </c>
      <c r="C15" t="s">
        <v>29</v>
      </c>
      <c r="D15" t="s">
        <v>30</v>
      </c>
      <c r="E15">
        <v>287100</v>
      </c>
      <c r="G15" t="s">
        <v>63</v>
      </c>
      <c r="H15" t="s">
        <v>63</v>
      </c>
      <c r="I15" t="s">
        <v>80</v>
      </c>
      <c r="J15" t="s">
        <v>66</v>
      </c>
      <c r="K15" t="s">
        <v>33</v>
      </c>
      <c r="L15">
        <v>38000</v>
      </c>
      <c r="M15">
        <v>38000</v>
      </c>
      <c r="O15" s="7">
        <f t="shared" si="0"/>
        <v>45600</v>
      </c>
      <c r="P15" s="7">
        <f>IF(C15="Alta Complejidad",M15,0)</f>
        <v>38000</v>
      </c>
      <c r="Q15" s="8">
        <v>0.2</v>
      </c>
      <c r="R15" s="7">
        <f t="shared" si="1"/>
        <v>45600</v>
      </c>
      <c r="S15" s="8">
        <f>IFERROR(((R15-P15)/R15),0)</f>
        <v>0.16666666666666666</v>
      </c>
      <c r="T15" s="7">
        <v>0</v>
      </c>
      <c r="U15" s="8">
        <v>0</v>
      </c>
      <c r="V15" s="7">
        <f>(T15)+(T15*U15)</f>
        <v>0</v>
      </c>
      <c r="W15" s="8">
        <f>IFERROR(((V15-T15)/V15),0)</f>
        <v>0</v>
      </c>
      <c r="X15" s="7">
        <f>IF(C15="Baja Complejidad",M15,0)</f>
        <v>0</v>
      </c>
      <c r="Y15" s="8">
        <v>0</v>
      </c>
      <c r="Z15" s="7">
        <f>(X15)+(X15*Y15)</f>
        <v>0</v>
      </c>
      <c r="AA15" s="8">
        <f>IFERROR(((Z15-X15)/Z15),0)</f>
        <v>0</v>
      </c>
      <c r="AB15" s="8">
        <v>0.1</v>
      </c>
    </row>
    <row r="16" spans="1:28" x14ac:dyDescent="0.25">
      <c r="A16">
        <v>2026</v>
      </c>
      <c r="B16" t="s">
        <v>28</v>
      </c>
      <c r="C16" t="s">
        <v>29</v>
      </c>
      <c r="D16" t="s">
        <v>30</v>
      </c>
      <c r="E16">
        <v>287200</v>
      </c>
      <c r="G16" t="s">
        <v>63</v>
      </c>
      <c r="H16" t="s">
        <v>63</v>
      </c>
      <c r="I16" t="s">
        <v>81</v>
      </c>
      <c r="J16" t="s">
        <v>66</v>
      </c>
      <c r="K16" t="s">
        <v>33</v>
      </c>
      <c r="L16">
        <v>39800</v>
      </c>
      <c r="M16">
        <v>39800</v>
      </c>
      <c r="O16" s="7">
        <f t="shared" si="0"/>
        <v>47760</v>
      </c>
      <c r="P16" s="7">
        <f>IF(C16="Alta Complejidad",M16,0)</f>
        <v>39800</v>
      </c>
      <c r="Q16" s="8">
        <v>0.2</v>
      </c>
      <c r="R16" s="7">
        <f t="shared" si="1"/>
        <v>47760</v>
      </c>
      <c r="S16" s="8">
        <f>IFERROR(((R16-P16)/R16),0)</f>
        <v>0.16666666666666666</v>
      </c>
      <c r="T16" s="7">
        <v>0</v>
      </c>
      <c r="U16" s="8">
        <v>0</v>
      </c>
      <c r="V16" s="7">
        <f>(T16)+(T16*U16)</f>
        <v>0</v>
      </c>
      <c r="W16" s="8">
        <f>IFERROR(((V16-T16)/V16),0)</f>
        <v>0</v>
      </c>
      <c r="X16" s="7">
        <f>IF(C16="Baja Complejidad",M16,0)</f>
        <v>0</v>
      </c>
      <c r="Y16" s="8">
        <v>0</v>
      </c>
      <c r="Z16" s="7">
        <f>(X16)+(X16*Y16)</f>
        <v>0</v>
      </c>
      <c r="AA16" s="8">
        <f>IFERROR(((Z16-X16)/Z16),0)</f>
        <v>0</v>
      </c>
      <c r="AB16" s="8">
        <v>0.1</v>
      </c>
    </row>
    <row r="17" spans="1:28" x14ac:dyDescent="0.25">
      <c r="A17">
        <v>2026</v>
      </c>
      <c r="B17" t="s">
        <v>51</v>
      </c>
      <c r="C17" t="s">
        <v>29</v>
      </c>
      <c r="D17" t="s">
        <v>30</v>
      </c>
      <c r="E17">
        <v>360001</v>
      </c>
      <c r="G17" t="s">
        <v>63</v>
      </c>
      <c r="H17" t="s">
        <v>63</v>
      </c>
      <c r="I17" t="s">
        <v>65</v>
      </c>
      <c r="J17" t="s">
        <v>66</v>
      </c>
      <c r="K17" t="s">
        <v>33</v>
      </c>
      <c r="L17">
        <v>28800</v>
      </c>
      <c r="M17">
        <v>28800</v>
      </c>
      <c r="O17" s="7">
        <f>R17</f>
        <v>34560</v>
      </c>
      <c r="P17" s="7">
        <f>IF(C17="Alta Complejidad",M17,0)</f>
        <v>28800</v>
      </c>
      <c r="Q17" s="8">
        <v>0.2</v>
      </c>
      <c r="R17" s="7">
        <f>P17+(P17*Q17)</f>
        <v>34560</v>
      </c>
      <c r="S17" s="8">
        <f>IFERROR(((R17-P17)/R17),0)</f>
        <v>0.16666666666666666</v>
      </c>
      <c r="T17" s="7">
        <v>0</v>
      </c>
      <c r="U17" s="8">
        <v>0</v>
      </c>
      <c r="V17" s="7">
        <f>(T17)+(T17*U17)</f>
        <v>0</v>
      </c>
      <c r="W17" s="8">
        <f>IFERROR(((V17-T17)/V17),0)</f>
        <v>0</v>
      </c>
      <c r="X17" s="7">
        <f>IF(C17="Baja Complejidad",M17,0)</f>
        <v>0</v>
      </c>
      <c r="Y17" s="8">
        <v>0</v>
      </c>
      <c r="Z17" s="7">
        <f>(X17)+(X17*Y17)</f>
        <v>0</v>
      </c>
      <c r="AA17" s="8">
        <f>IFERROR(((Z17-X17)/Z17),0)</f>
        <v>0</v>
      </c>
      <c r="AB17" s="8">
        <v>0.1</v>
      </c>
    </row>
    <row r="18" spans="1:28" x14ac:dyDescent="0.25">
      <c r="A18">
        <v>2026</v>
      </c>
      <c r="B18" t="s">
        <v>51</v>
      </c>
      <c r="C18" t="s">
        <v>29</v>
      </c>
      <c r="D18" t="s">
        <v>30</v>
      </c>
      <c r="E18">
        <v>709900</v>
      </c>
      <c r="G18" t="s">
        <v>63</v>
      </c>
      <c r="H18" t="s">
        <v>63</v>
      </c>
      <c r="I18" t="s">
        <v>67</v>
      </c>
      <c r="J18" t="s">
        <v>66</v>
      </c>
      <c r="K18" t="s">
        <v>33</v>
      </c>
      <c r="L18">
        <v>36700</v>
      </c>
      <c r="M18">
        <v>36700</v>
      </c>
      <c r="O18" s="7">
        <f t="shared" ref="O18:O31" si="2">R18</f>
        <v>44040</v>
      </c>
      <c r="P18" s="7">
        <f>IF(C18="Alta Complejidad",M18,0)</f>
        <v>36700</v>
      </c>
      <c r="Q18" s="8">
        <v>0.2</v>
      </c>
      <c r="R18" s="7">
        <f t="shared" ref="R18:R31" si="3">P18+(P18*Q18)</f>
        <v>44040</v>
      </c>
      <c r="S18" s="8">
        <f>IFERROR(((R18-P18)/R18),0)</f>
        <v>0.16666666666666666</v>
      </c>
      <c r="T18" s="7">
        <v>0</v>
      </c>
      <c r="U18" s="8">
        <v>0</v>
      </c>
      <c r="V18" s="7">
        <f>(T18)+(T18*U18)</f>
        <v>0</v>
      </c>
      <c r="W18" s="8">
        <f>IFERROR(((V18-T18)/V18),0)</f>
        <v>0</v>
      </c>
      <c r="X18" s="7">
        <f>IF(C18="Baja Complejidad",M18,0)</f>
        <v>0</v>
      </c>
      <c r="Y18" s="8">
        <v>0</v>
      </c>
      <c r="Z18" s="7">
        <f>(X18)+(X18*Y18)</f>
        <v>0</v>
      </c>
      <c r="AA18" s="8">
        <f>IFERROR(((Z18-X18)/Z18),0)</f>
        <v>0</v>
      </c>
      <c r="AB18" s="8">
        <v>0.1</v>
      </c>
    </row>
    <row r="19" spans="1:28" x14ac:dyDescent="0.25">
      <c r="A19">
        <v>2026</v>
      </c>
      <c r="B19" t="s">
        <v>51</v>
      </c>
      <c r="C19" t="s">
        <v>29</v>
      </c>
      <c r="D19" t="s">
        <v>30</v>
      </c>
      <c r="E19">
        <v>709902</v>
      </c>
      <c r="G19" t="s">
        <v>63</v>
      </c>
      <c r="H19" t="s">
        <v>63</v>
      </c>
      <c r="I19" t="s">
        <v>68</v>
      </c>
      <c r="J19" t="s">
        <v>69</v>
      </c>
      <c r="K19" t="s">
        <v>33</v>
      </c>
      <c r="L19">
        <v>28000</v>
      </c>
      <c r="M19">
        <v>28000</v>
      </c>
      <c r="O19" s="7">
        <f t="shared" si="2"/>
        <v>33600</v>
      </c>
      <c r="P19" s="7">
        <f>IF(C19="Alta Complejidad",M19,0)</f>
        <v>28000</v>
      </c>
      <c r="Q19" s="8">
        <v>0.2</v>
      </c>
      <c r="R19" s="7">
        <f t="shared" si="3"/>
        <v>33600</v>
      </c>
      <c r="S19" s="8">
        <f>IFERROR(((R19-P19)/R19),0)</f>
        <v>0.16666666666666666</v>
      </c>
      <c r="T19" s="7">
        <v>0</v>
      </c>
      <c r="U19" s="8">
        <v>0</v>
      </c>
      <c r="V19" s="7">
        <f>(T19)+(T19*U19)</f>
        <v>0</v>
      </c>
      <c r="W19" s="8">
        <f>IFERROR(((V19-T19)/V19),0)</f>
        <v>0</v>
      </c>
      <c r="X19" s="7">
        <f>IF(C19="Baja Complejidad",M19,0)</f>
        <v>0</v>
      </c>
      <c r="Y19" s="8">
        <v>0</v>
      </c>
      <c r="Z19" s="7">
        <f>(X19)+(X19*Y19)</f>
        <v>0</v>
      </c>
      <c r="AA19" s="8">
        <f>IFERROR(((Z19-X19)/Z19),0)</f>
        <v>0</v>
      </c>
      <c r="AB19" s="8">
        <v>0.1</v>
      </c>
    </row>
    <row r="20" spans="1:28" x14ac:dyDescent="0.25">
      <c r="A20">
        <v>2026</v>
      </c>
      <c r="B20" t="s">
        <v>51</v>
      </c>
      <c r="C20" t="s">
        <v>29</v>
      </c>
      <c r="D20" t="s">
        <v>30</v>
      </c>
      <c r="E20">
        <v>709903</v>
      </c>
      <c r="G20" t="s">
        <v>63</v>
      </c>
      <c r="H20" t="s">
        <v>63</v>
      </c>
      <c r="I20" t="s">
        <v>70</v>
      </c>
      <c r="J20" t="s">
        <v>69</v>
      </c>
      <c r="K20" t="s">
        <v>33</v>
      </c>
      <c r="L20">
        <v>36700</v>
      </c>
      <c r="M20">
        <v>36700</v>
      </c>
      <c r="O20" s="7">
        <f t="shared" si="2"/>
        <v>44040</v>
      </c>
      <c r="P20" s="7">
        <f>IF(C20="Alta Complejidad",M20,0)</f>
        <v>36700</v>
      </c>
      <c r="Q20" s="8">
        <v>0.2</v>
      </c>
      <c r="R20" s="7">
        <f t="shared" si="3"/>
        <v>44040</v>
      </c>
      <c r="S20" s="8">
        <f>IFERROR(((R20-P20)/R20),0)</f>
        <v>0.16666666666666666</v>
      </c>
      <c r="T20" s="7">
        <v>0</v>
      </c>
      <c r="U20" s="8">
        <v>0</v>
      </c>
      <c r="V20" s="7">
        <f>(T20)+(T20*U20)</f>
        <v>0</v>
      </c>
      <c r="W20" s="8">
        <f>IFERROR(((V20-T20)/V20),0)</f>
        <v>0</v>
      </c>
      <c r="X20" s="7">
        <f>IF(C20="Baja Complejidad",M20,0)</f>
        <v>0</v>
      </c>
      <c r="Y20" s="8">
        <v>0</v>
      </c>
      <c r="Z20" s="7">
        <f>(X20)+(X20*Y20)</f>
        <v>0</v>
      </c>
      <c r="AA20" s="8">
        <f>IFERROR(((Z20-X20)/Z20),0)</f>
        <v>0</v>
      </c>
      <c r="AB20" s="8">
        <v>0.1</v>
      </c>
    </row>
    <row r="21" spans="1:28" x14ac:dyDescent="0.25">
      <c r="A21">
        <v>2026</v>
      </c>
      <c r="B21" t="s">
        <v>51</v>
      </c>
      <c r="C21" t="s">
        <v>29</v>
      </c>
      <c r="D21" t="s">
        <v>30</v>
      </c>
      <c r="E21">
        <v>603421</v>
      </c>
      <c r="G21" t="s">
        <v>63</v>
      </c>
      <c r="H21" t="s">
        <v>63</v>
      </c>
      <c r="I21" t="s">
        <v>71</v>
      </c>
      <c r="J21" t="s">
        <v>69</v>
      </c>
      <c r="K21" t="s">
        <v>33</v>
      </c>
      <c r="L21">
        <v>21900</v>
      </c>
      <c r="M21">
        <v>21900</v>
      </c>
      <c r="O21" s="7">
        <f t="shared" si="2"/>
        <v>26280</v>
      </c>
      <c r="P21" s="7">
        <f>IF(C21="Alta Complejidad",M21,0)</f>
        <v>21900</v>
      </c>
      <c r="Q21" s="8">
        <v>0.2</v>
      </c>
      <c r="R21" s="7">
        <f t="shared" si="3"/>
        <v>26280</v>
      </c>
      <c r="S21" s="8">
        <f>IFERROR(((R21-P21)/R21),0)</f>
        <v>0.16666666666666666</v>
      </c>
      <c r="T21" s="7">
        <v>0</v>
      </c>
      <c r="U21" s="8">
        <v>0</v>
      </c>
      <c r="V21" s="7">
        <f>(T21)+(T21*U21)</f>
        <v>0</v>
      </c>
      <c r="W21" s="8">
        <f>IFERROR(((V21-T21)/V21),0)</f>
        <v>0</v>
      </c>
      <c r="X21" s="7">
        <f>IF(C21="Baja Complejidad",M21,0)</f>
        <v>0</v>
      </c>
      <c r="Y21" s="8">
        <v>0</v>
      </c>
      <c r="Z21" s="7">
        <f>(X21)+(X21*Y21)</f>
        <v>0</v>
      </c>
      <c r="AA21" s="8">
        <f>IFERROR(((Z21-X21)/Z21),0)</f>
        <v>0</v>
      </c>
      <c r="AB21" s="8">
        <v>0.1</v>
      </c>
    </row>
    <row r="22" spans="1:28" x14ac:dyDescent="0.25">
      <c r="A22">
        <v>2026</v>
      </c>
      <c r="B22" t="s">
        <v>51</v>
      </c>
      <c r="C22" t="s">
        <v>29</v>
      </c>
      <c r="D22" t="s">
        <v>30</v>
      </c>
      <c r="E22">
        <v>603422</v>
      </c>
      <c r="G22" t="s">
        <v>63</v>
      </c>
      <c r="H22" t="s">
        <v>63</v>
      </c>
      <c r="I22" t="s">
        <v>72</v>
      </c>
      <c r="J22" t="s">
        <v>69</v>
      </c>
      <c r="K22" t="s">
        <v>33</v>
      </c>
      <c r="L22">
        <v>114900</v>
      </c>
      <c r="M22">
        <v>114900</v>
      </c>
      <c r="O22" s="7">
        <f t="shared" si="2"/>
        <v>137880</v>
      </c>
      <c r="P22" s="7">
        <f>IF(C22="Alta Complejidad",M22,0)</f>
        <v>114900</v>
      </c>
      <c r="Q22" s="8">
        <v>0.2</v>
      </c>
      <c r="R22" s="7">
        <f t="shared" si="3"/>
        <v>137880</v>
      </c>
      <c r="S22" s="8">
        <f>IFERROR(((R22-P22)/R22),0)</f>
        <v>0.16666666666666666</v>
      </c>
      <c r="T22" s="7">
        <v>0</v>
      </c>
      <c r="U22" s="8">
        <v>0</v>
      </c>
      <c r="V22" s="7">
        <f>(T22)+(T22*U22)</f>
        <v>0</v>
      </c>
      <c r="W22" s="8">
        <f>IFERROR(((V22-T22)/V22),0)</f>
        <v>0</v>
      </c>
      <c r="X22" s="7">
        <f>IF(C22="Baja Complejidad",M22,0)</f>
        <v>0</v>
      </c>
      <c r="Y22" s="8">
        <v>0</v>
      </c>
      <c r="Z22" s="7">
        <f>(X22)+(X22*Y22)</f>
        <v>0</v>
      </c>
      <c r="AA22" s="8">
        <f>IFERROR(((Z22-X22)/Z22),0)</f>
        <v>0</v>
      </c>
      <c r="AB22" s="8">
        <v>0.1</v>
      </c>
    </row>
    <row r="23" spans="1:28" x14ac:dyDescent="0.25">
      <c r="A23">
        <v>2026</v>
      </c>
      <c r="B23" t="s">
        <v>51</v>
      </c>
      <c r="C23" t="s">
        <v>29</v>
      </c>
      <c r="D23" t="s">
        <v>30</v>
      </c>
      <c r="E23">
        <v>603423</v>
      </c>
      <c r="G23" t="s">
        <v>63</v>
      </c>
      <c r="H23" t="s">
        <v>63</v>
      </c>
      <c r="I23" t="s">
        <v>73</v>
      </c>
      <c r="J23" t="s">
        <v>69</v>
      </c>
      <c r="K23" t="s">
        <v>33</v>
      </c>
      <c r="L23">
        <v>28000</v>
      </c>
      <c r="M23">
        <v>28000</v>
      </c>
      <c r="O23" s="7">
        <f t="shared" si="2"/>
        <v>33600</v>
      </c>
      <c r="P23" s="7">
        <f>IF(C23="Alta Complejidad",M23,0)</f>
        <v>28000</v>
      </c>
      <c r="Q23" s="8">
        <v>0.2</v>
      </c>
      <c r="R23" s="7">
        <f t="shared" si="3"/>
        <v>33600</v>
      </c>
      <c r="S23" s="8">
        <f>IFERROR(((R23-P23)/R23),0)</f>
        <v>0.16666666666666666</v>
      </c>
      <c r="T23" s="7">
        <v>0</v>
      </c>
      <c r="U23" s="8">
        <v>0</v>
      </c>
      <c r="V23" s="7">
        <f>(T23)+(T23*U23)</f>
        <v>0</v>
      </c>
      <c r="W23" s="8">
        <f>IFERROR(((V23-T23)/V23),0)</f>
        <v>0</v>
      </c>
      <c r="X23" s="7">
        <f>IF(C23="Baja Complejidad",M23,0)</f>
        <v>0</v>
      </c>
      <c r="Y23" s="8">
        <v>0</v>
      </c>
      <c r="Z23" s="7">
        <f>(X23)+(X23*Y23)</f>
        <v>0</v>
      </c>
      <c r="AA23" s="8">
        <f>IFERROR(((Z23-X23)/Z23),0)</f>
        <v>0</v>
      </c>
      <c r="AB23" s="8">
        <v>0.1</v>
      </c>
    </row>
    <row r="24" spans="1:28" x14ac:dyDescent="0.25">
      <c r="A24">
        <v>2026</v>
      </c>
      <c r="B24" t="s">
        <v>51</v>
      </c>
      <c r="C24" t="s">
        <v>29</v>
      </c>
      <c r="D24" t="s">
        <v>30</v>
      </c>
      <c r="E24">
        <v>294199</v>
      </c>
      <c r="G24" t="s">
        <v>63</v>
      </c>
      <c r="H24" t="s">
        <v>63</v>
      </c>
      <c r="I24" t="s">
        <v>74</v>
      </c>
      <c r="J24" t="s">
        <v>69</v>
      </c>
      <c r="K24" t="s">
        <v>33</v>
      </c>
      <c r="L24">
        <v>49200</v>
      </c>
      <c r="M24">
        <v>49200</v>
      </c>
      <c r="O24" s="7">
        <f t="shared" si="2"/>
        <v>59040</v>
      </c>
      <c r="P24" s="7">
        <f>IF(C24="Alta Complejidad",M24,0)</f>
        <v>49200</v>
      </c>
      <c r="Q24" s="8">
        <v>0.2</v>
      </c>
      <c r="R24" s="7">
        <f t="shared" si="3"/>
        <v>59040</v>
      </c>
      <c r="S24" s="8">
        <f>IFERROR(((R24-P24)/R24),0)</f>
        <v>0.16666666666666666</v>
      </c>
      <c r="T24" s="7">
        <v>0</v>
      </c>
      <c r="U24" s="8">
        <v>0</v>
      </c>
      <c r="V24" s="7">
        <f>(T24)+(T24*U24)</f>
        <v>0</v>
      </c>
      <c r="W24" s="8">
        <f>IFERROR(((V24-T24)/V24),0)</f>
        <v>0</v>
      </c>
      <c r="X24" s="7">
        <f>IF(C24="Baja Complejidad",M24,0)</f>
        <v>0</v>
      </c>
      <c r="Y24" s="8">
        <v>0</v>
      </c>
      <c r="Z24" s="7">
        <f>(X24)+(X24*Y24)</f>
        <v>0</v>
      </c>
      <c r="AA24" s="8">
        <f>IFERROR(((Z24-X24)/Z24),0)</f>
        <v>0</v>
      </c>
      <c r="AB24" s="8">
        <v>0.1</v>
      </c>
    </row>
    <row r="25" spans="1:28" x14ac:dyDescent="0.25">
      <c r="A25">
        <v>2026</v>
      </c>
      <c r="B25" t="s">
        <v>51</v>
      </c>
      <c r="C25" t="s">
        <v>29</v>
      </c>
      <c r="D25" t="s">
        <v>30</v>
      </c>
      <c r="E25">
        <v>294299</v>
      </c>
      <c r="G25" t="s">
        <v>63</v>
      </c>
      <c r="H25" t="s">
        <v>63</v>
      </c>
      <c r="I25" t="s">
        <v>75</v>
      </c>
      <c r="J25" t="s">
        <v>69</v>
      </c>
      <c r="K25" t="s">
        <v>33</v>
      </c>
      <c r="L25">
        <v>141600</v>
      </c>
      <c r="M25">
        <v>141600</v>
      </c>
      <c r="O25" s="7">
        <f t="shared" si="2"/>
        <v>169920</v>
      </c>
      <c r="P25" s="7">
        <f>IF(C25="Alta Complejidad",M25,0)</f>
        <v>141600</v>
      </c>
      <c r="Q25" s="8">
        <v>0.2</v>
      </c>
      <c r="R25" s="7">
        <f t="shared" si="3"/>
        <v>169920</v>
      </c>
      <c r="S25" s="8">
        <f>IFERROR(((R25-P25)/R25),0)</f>
        <v>0.16666666666666666</v>
      </c>
      <c r="T25" s="7">
        <v>0</v>
      </c>
      <c r="U25" s="8">
        <v>0</v>
      </c>
      <c r="V25" s="7">
        <f>(T25)+(T25*U25)</f>
        <v>0</v>
      </c>
      <c r="W25" s="8">
        <f>IFERROR(((V25-T25)/V25),0)</f>
        <v>0</v>
      </c>
      <c r="X25" s="7">
        <f>IF(C25="Baja Complejidad",M25,0)</f>
        <v>0</v>
      </c>
      <c r="Y25" s="8">
        <v>0</v>
      </c>
      <c r="Z25" s="7">
        <f>(X25)+(X25*Y25)</f>
        <v>0</v>
      </c>
      <c r="AA25" s="8">
        <f>IFERROR(((Z25-X25)/Z25),0)</f>
        <v>0</v>
      </c>
      <c r="AB25" s="8">
        <v>0.1</v>
      </c>
    </row>
    <row r="26" spans="1:28" x14ac:dyDescent="0.25">
      <c r="A26">
        <v>2026</v>
      </c>
      <c r="B26" t="s">
        <v>51</v>
      </c>
      <c r="C26" t="s">
        <v>29</v>
      </c>
      <c r="D26" t="s">
        <v>30</v>
      </c>
      <c r="E26">
        <v>294399</v>
      </c>
      <c r="G26" t="s">
        <v>63</v>
      </c>
      <c r="H26" t="s">
        <v>63</v>
      </c>
      <c r="I26" t="s">
        <v>76</v>
      </c>
      <c r="J26" t="s">
        <v>69</v>
      </c>
      <c r="K26" t="s">
        <v>33</v>
      </c>
      <c r="L26">
        <v>174700</v>
      </c>
      <c r="M26">
        <v>174700</v>
      </c>
      <c r="O26" s="7">
        <f t="shared" si="2"/>
        <v>209640</v>
      </c>
      <c r="P26" s="7">
        <f>IF(C26="Alta Complejidad",M26,0)</f>
        <v>174700</v>
      </c>
      <c r="Q26" s="8">
        <v>0.2</v>
      </c>
      <c r="R26" s="7">
        <f t="shared" si="3"/>
        <v>209640</v>
      </c>
      <c r="S26" s="8">
        <f>IFERROR(((R26-P26)/R26),0)</f>
        <v>0.16666666666666666</v>
      </c>
      <c r="T26" s="7">
        <v>0</v>
      </c>
      <c r="U26" s="8">
        <v>0</v>
      </c>
      <c r="V26" s="7">
        <f>(T26)+(T26*U26)</f>
        <v>0</v>
      </c>
      <c r="W26" s="8">
        <f>IFERROR(((V26-T26)/V26),0)</f>
        <v>0</v>
      </c>
      <c r="X26" s="7">
        <f>IF(C26="Baja Complejidad",M26,0)</f>
        <v>0</v>
      </c>
      <c r="Y26" s="8">
        <v>0</v>
      </c>
      <c r="Z26" s="7">
        <f>(X26)+(X26*Y26)</f>
        <v>0</v>
      </c>
      <c r="AA26" s="8">
        <f>IFERROR(((Z26-X26)/Z26),0)</f>
        <v>0</v>
      </c>
      <c r="AB26" s="8">
        <v>0.1</v>
      </c>
    </row>
    <row r="27" spans="1:28" x14ac:dyDescent="0.25">
      <c r="A27">
        <v>2026</v>
      </c>
      <c r="B27" t="s">
        <v>51</v>
      </c>
      <c r="C27" t="s">
        <v>29</v>
      </c>
      <c r="D27" t="s">
        <v>30</v>
      </c>
      <c r="E27">
        <v>294499</v>
      </c>
      <c r="G27" t="s">
        <v>63</v>
      </c>
      <c r="H27" t="s">
        <v>63</v>
      </c>
      <c r="I27" t="s">
        <v>77</v>
      </c>
      <c r="J27" t="s">
        <v>69</v>
      </c>
      <c r="K27" t="s">
        <v>33</v>
      </c>
      <c r="L27">
        <v>204000</v>
      </c>
      <c r="M27">
        <v>204000</v>
      </c>
      <c r="O27" s="7">
        <f t="shared" si="2"/>
        <v>244800</v>
      </c>
      <c r="P27" s="7">
        <f>IF(C27="Alta Complejidad",M27,0)</f>
        <v>204000</v>
      </c>
      <c r="Q27" s="8">
        <v>0.2</v>
      </c>
      <c r="R27" s="7">
        <f t="shared" si="3"/>
        <v>244800</v>
      </c>
      <c r="S27" s="8">
        <f>IFERROR(((R27-P27)/R27),0)</f>
        <v>0.16666666666666666</v>
      </c>
      <c r="T27" s="7">
        <v>0</v>
      </c>
      <c r="U27" s="8">
        <v>0</v>
      </c>
      <c r="V27" s="7">
        <f>(T27)+(T27*U27)</f>
        <v>0</v>
      </c>
      <c r="W27" s="8">
        <f>IFERROR(((V27-T27)/V27),0)</f>
        <v>0</v>
      </c>
      <c r="X27" s="7">
        <f>IF(C27="Baja Complejidad",M27,0)</f>
        <v>0</v>
      </c>
      <c r="Y27" s="8">
        <v>0</v>
      </c>
      <c r="Z27" s="7">
        <f>(X27)+(X27*Y27)</f>
        <v>0</v>
      </c>
      <c r="AA27" s="8">
        <f>IFERROR(((Z27-X27)/Z27),0)</f>
        <v>0</v>
      </c>
      <c r="AB27" s="8">
        <v>0.1</v>
      </c>
    </row>
    <row r="28" spans="1:28" x14ac:dyDescent="0.25">
      <c r="A28">
        <v>2026</v>
      </c>
      <c r="B28" t="s">
        <v>51</v>
      </c>
      <c r="C28" t="s">
        <v>29</v>
      </c>
      <c r="D28" t="s">
        <v>30</v>
      </c>
      <c r="E28">
        <v>284190</v>
      </c>
      <c r="G28" t="s">
        <v>63</v>
      </c>
      <c r="H28" t="s">
        <v>63</v>
      </c>
      <c r="I28" t="s">
        <v>78</v>
      </c>
      <c r="J28" t="s">
        <v>69</v>
      </c>
      <c r="K28" t="s">
        <v>33</v>
      </c>
      <c r="L28">
        <v>49000</v>
      </c>
      <c r="M28">
        <v>49000</v>
      </c>
      <c r="O28" s="7">
        <f t="shared" si="2"/>
        <v>58800</v>
      </c>
      <c r="P28" s="7">
        <f>IF(C28="Alta Complejidad",M28,0)</f>
        <v>49000</v>
      </c>
      <c r="Q28" s="8">
        <v>0.2</v>
      </c>
      <c r="R28" s="7">
        <f t="shared" si="3"/>
        <v>58800</v>
      </c>
      <c r="S28" s="8">
        <f>IFERROR(((R28-P28)/R28),0)</f>
        <v>0.16666666666666666</v>
      </c>
      <c r="T28" s="7">
        <v>0</v>
      </c>
      <c r="U28" s="8">
        <v>0</v>
      </c>
      <c r="V28" s="7">
        <f>(T28)+(T28*U28)</f>
        <v>0</v>
      </c>
      <c r="W28" s="8">
        <f>IFERROR(((V28-T28)/V28),0)</f>
        <v>0</v>
      </c>
      <c r="X28" s="7">
        <f>IF(C28="Baja Complejidad",M28,0)</f>
        <v>0</v>
      </c>
      <c r="Y28" s="8">
        <v>0</v>
      </c>
      <c r="Z28" s="7">
        <f>(X28)+(X28*Y28)</f>
        <v>0</v>
      </c>
      <c r="AA28" s="8">
        <f>IFERROR(((Z28-X28)/Z28),0)</f>
        <v>0</v>
      </c>
      <c r="AB28" s="8">
        <v>0.1</v>
      </c>
    </row>
    <row r="29" spans="1:28" x14ac:dyDescent="0.25">
      <c r="A29">
        <v>2026</v>
      </c>
      <c r="B29" t="s">
        <v>51</v>
      </c>
      <c r="C29" t="s">
        <v>29</v>
      </c>
      <c r="D29" t="s">
        <v>30</v>
      </c>
      <c r="E29">
        <v>284390</v>
      </c>
      <c r="G29" t="s">
        <v>63</v>
      </c>
      <c r="H29" t="s">
        <v>63</v>
      </c>
      <c r="I29" t="s">
        <v>79</v>
      </c>
      <c r="J29" t="s">
        <v>66</v>
      </c>
      <c r="K29" t="s">
        <v>33</v>
      </c>
      <c r="L29">
        <v>224100</v>
      </c>
      <c r="M29">
        <v>224100</v>
      </c>
      <c r="O29" s="7">
        <f t="shared" si="2"/>
        <v>268920</v>
      </c>
      <c r="P29" s="7">
        <f>IF(C29="Alta Complejidad",M29,0)</f>
        <v>224100</v>
      </c>
      <c r="Q29" s="8">
        <v>0.2</v>
      </c>
      <c r="R29" s="7">
        <f t="shared" si="3"/>
        <v>268920</v>
      </c>
      <c r="S29" s="8">
        <f>IFERROR(((R29-P29)/R29),0)</f>
        <v>0.16666666666666666</v>
      </c>
      <c r="T29" s="7">
        <v>0</v>
      </c>
      <c r="U29" s="8">
        <v>0</v>
      </c>
      <c r="V29" s="7">
        <f>(T29)+(T29*U29)</f>
        <v>0</v>
      </c>
      <c r="W29" s="8">
        <f>IFERROR(((V29-T29)/V29),0)</f>
        <v>0</v>
      </c>
      <c r="X29" s="7">
        <f>IF(C29="Baja Complejidad",M29,0)</f>
        <v>0</v>
      </c>
      <c r="Y29" s="8">
        <v>0</v>
      </c>
      <c r="Z29" s="7">
        <f>(X29)+(X29*Y29)</f>
        <v>0</v>
      </c>
      <c r="AA29" s="8">
        <f>IFERROR(((Z29-X29)/Z29),0)</f>
        <v>0</v>
      </c>
      <c r="AB29" s="8">
        <v>0.1</v>
      </c>
    </row>
    <row r="30" spans="1:28" x14ac:dyDescent="0.25">
      <c r="A30">
        <v>2026</v>
      </c>
      <c r="B30" t="s">
        <v>51</v>
      </c>
      <c r="C30" t="s">
        <v>29</v>
      </c>
      <c r="D30" t="s">
        <v>30</v>
      </c>
      <c r="E30">
        <v>287100</v>
      </c>
      <c r="G30" t="s">
        <v>63</v>
      </c>
      <c r="H30" t="s">
        <v>63</v>
      </c>
      <c r="I30" t="s">
        <v>80</v>
      </c>
      <c r="J30" t="s">
        <v>66</v>
      </c>
      <c r="K30" t="s">
        <v>33</v>
      </c>
      <c r="L30">
        <v>38000</v>
      </c>
      <c r="M30">
        <v>38000</v>
      </c>
      <c r="O30" s="7">
        <f t="shared" si="2"/>
        <v>45600</v>
      </c>
      <c r="P30" s="7">
        <f>IF(C30="Alta Complejidad",M30,0)</f>
        <v>38000</v>
      </c>
      <c r="Q30" s="8">
        <v>0.2</v>
      </c>
      <c r="R30" s="7">
        <f t="shared" si="3"/>
        <v>45600</v>
      </c>
      <c r="S30" s="8">
        <f>IFERROR(((R30-P30)/R30),0)</f>
        <v>0.16666666666666666</v>
      </c>
      <c r="T30" s="7">
        <v>0</v>
      </c>
      <c r="U30" s="8">
        <v>0</v>
      </c>
      <c r="V30" s="7">
        <f>(T30)+(T30*U30)</f>
        <v>0</v>
      </c>
      <c r="W30" s="8">
        <f>IFERROR(((V30-T30)/V30),0)</f>
        <v>0</v>
      </c>
      <c r="X30" s="7">
        <f>IF(C30="Baja Complejidad",M30,0)</f>
        <v>0</v>
      </c>
      <c r="Y30" s="8">
        <v>0</v>
      </c>
      <c r="Z30" s="7">
        <f>(X30)+(X30*Y30)</f>
        <v>0</v>
      </c>
      <c r="AA30" s="8">
        <f>IFERROR(((Z30-X30)/Z30),0)</f>
        <v>0</v>
      </c>
      <c r="AB30" s="8">
        <v>0.1</v>
      </c>
    </row>
    <row r="31" spans="1:28" x14ac:dyDescent="0.25">
      <c r="A31">
        <v>2026</v>
      </c>
      <c r="B31" t="s">
        <v>51</v>
      </c>
      <c r="C31" t="s">
        <v>29</v>
      </c>
      <c r="D31" t="s">
        <v>30</v>
      </c>
      <c r="E31">
        <v>287200</v>
      </c>
      <c r="G31" t="s">
        <v>63</v>
      </c>
      <c r="H31" t="s">
        <v>63</v>
      </c>
      <c r="I31" t="s">
        <v>81</v>
      </c>
      <c r="J31" t="s">
        <v>66</v>
      </c>
      <c r="K31" t="s">
        <v>33</v>
      </c>
      <c r="L31">
        <v>39800</v>
      </c>
      <c r="M31">
        <v>39800</v>
      </c>
      <c r="O31" s="7">
        <f t="shared" si="2"/>
        <v>47760</v>
      </c>
      <c r="P31" s="7">
        <f>IF(C31="Alta Complejidad",M31,0)</f>
        <v>39800</v>
      </c>
      <c r="Q31" s="8">
        <v>0.2</v>
      </c>
      <c r="R31" s="7">
        <f t="shared" si="3"/>
        <v>47760</v>
      </c>
      <c r="S31" s="8">
        <f>IFERROR(((R31-P31)/R31),0)</f>
        <v>0.16666666666666666</v>
      </c>
      <c r="T31" s="7">
        <v>0</v>
      </c>
      <c r="U31" s="8">
        <v>0</v>
      </c>
      <c r="V31" s="7">
        <f>(T31)+(T31*U31)</f>
        <v>0</v>
      </c>
      <c r="W31" s="8">
        <f>IFERROR(((V31-T31)/V31),0)</f>
        <v>0</v>
      </c>
      <c r="X31" s="7">
        <f>IF(C31="Baja Complejidad",M31,0)</f>
        <v>0</v>
      </c>
      <c r="Y31" s="8">
        <v>0</v>
      </c>
      <c r="Z31" s="7">
        <f>(X31)+(X31*Y31)</f>
        <v>0</v>
      </c>
      <c r="AA31" s="8">
        <f>IFERROR(((Z31-X31)/Z31),0)</f>
        <v>0</v>
      </c>
      <c r="AB31" s="8">
        <v>0.1</v>
      </c>
    </row>
    <row r="32" spans="1:28" x14ac:dyDescent="0.25">
      <c r="A32">
        <v>2026</v>
      </c>
      <c r="B32" t="s">
        <v>52</v>
      </c>
      <c r="C32" t="s">
        <v>29</v>
      </c>
      <c r="D32" t="s">
        <v>30</v>
      </c>
      <c r="E32">
        <v>360001</v>
      </c>
      <c r="G32" t="s">
        <v>63</v>
      </c>
      <c r="H32" t="s">
        <v>63</v>
      </c>
      <c r="I32" t="s">
        <v>65</v>
      </c>
      <c r="J32" t="s">
        <v>66</v>
      </c>
      <c r="K32" t="s">
        <v>33</v>
      </c>
      <c r="L32">
        <v>28800</v>
      </c>
      <c r="M32">
        <v>28800</v>
      </c>
      <c r="O32" s="7">
        <f>R32</f>
        <v>34560</v>
      </c>
      <c r="P32" s="7">
        <f>IF(C32="Alta Complejidad",M32,0)</f>
        <v>28800</v>
      </c>
      <c r="Q32" s="8">
        <v>0.2</v>
      </c>
      <c r="R32" s="7">
        <f>P32+(P32*Q32)</f>
        <v>34560</v>
      </c>
      <c r="S32" s="8">
        <f>IFERROR(((R32-P32)/R32),0)</f>
        <v>0.16666666666666666</v>
      </c>
      <c r="T32" s="7">
        <v>0</v>
      </c>
      <c r="U32" s="8">
        <v>0</v>
      </c>
      <c r="V32" s="7">
        <f>(T32)+(T32*U32)</f>
        <v>0</v>
      </c>
      <c r="W32" s="8">
        <f>IFERROR(((V32-T32)/V32),0)</f>
        <v>0</v>
      </c>
      <c r="X32" s="7">
        <f>IF(C32="Baja Complejidad",M32,0)</f>
        <v>0</v>
      </c>
      <c r="Y32" s="8">
        <v>0</v>
      </c>
      <c r="Z32" s="7">
        <f>(X32)+(X32*Y32)</f>
        <v>0</v>
      </c>
      <c r="AA32" s="8">
        <f>IFERROR(((Z32-X32)/Z32),0)</f>
        <v>0</v>
      </c>
      <c r="AB32" s="8">
        <v>0.1</v>
      </c>
    </row>
    <row r="33" spans="1:28" x14ac:dyDescent="0.25">
      <c r="A33">
        <v>2026</v>
      </c>
      <c r="B33" t="s">
        <v>52</v>
      </c>
      <c r="C33" t="s">
        <v>29</v>
      </c>
      <c r="D33" t="s">
        <v>30</v>
      </c>
      <c r="E33">
        <v>709900</v>
      </c>
      <c r="G33" t="s">
        <v>63</v>
      </c>
      <c r="H33" t="s">
        <v>63</v>
      </c>
      <c r="I33" t="s">
        <v>67</v>
      </c>
      <c r="J33" t="s">
        <v>66</v>
      </c>
      <c r="K33" t="s">
        <v>33</v>
      </c>
      <c r="L33">
        <v>36700</v>
      </c>
      <c r="M33">
        <v>36700</v>
      </c>
      <c r="O33" s="7">
        <f t="shared" ref="O33:O46" si="4">R33</f>
        <v>44040</v>
      </c>
      <c r="P33" s="7">
        <f>IF(C33="Alta Complejidad",M33,0)</f>
        <v>36700</v>
      </c>
      <c r="Q33" s="8">
        <v>0.2</v>
      </c>
      <c r="R33" s="7">
        <f t="shared" ref="R33:R46" si="5">P33+(P33*Q33)</f>
        <v>44040</v>
      </c>
      <c r="S33" s="8">
        <f>IFERROR(((R33-P33)/R33),0)</f>
        <v>0.16666666666666666</v>
      </c>
      <c r="T33" s="7">
        <v>0</v>
      </c>
      <c r="U33" s="8">
        <v>0</v>
      </c>
      <c r="V33" s="7">
        <f>(T33)+(T33*U33)</f>
        <v>0</v>
      </c>
      <c r="W33" s="8">
        <f>IFERROR(((V33-T33)/V33),0)</f>
        <v>0</v>
      </c>
      <c r="X33" s="7">
        <f>IF(C33="Baja Complejidad",M33,0)</f>
        <v>0</v>
      </c>
      <c r="Y33" s="8">
        <v>0</v>
      </c>
      <c r="Z33" s="7">
        <f>(X33)+(X33*Y33)</f>
        <v>0</v>
      </c>
      <c r="AA33" s="8">
        <f>IFERROR(((Z33-X33)/Z33),0)</f>
        <v>0</v>
      </c>
      <c r="AB33" s="8">
        <v>0.1</v>
      </c>
    </row>
    <row r="34" spans="1:28" x14ac:dyDescent="0.25">
      <c r="A34">
        <v>2026</v>
      </c>
      <c r="B34" t="s">
        <v>52</v>
      </c>
      <c r="C34" t="s">
        <v>29</v>
      </c>
      <c r="D34" t="s">
        <v>30</v>
      </c>
      <c r="E34">
        <v>709902</v>
      </c>
      <c r="G34" t="s">
        <v>63</v>
      </c>
      <c r="H34" t="s">
        <v>63</v>
      </c>
      <c r="I34" t="s">
        <v>68</v>
      </c>
      <c r="J34" t="s">
        <v>69</v>
      </c>
      <c r="K34" t="s">
        <v>33</v>
      </c>
      <c r="L34">
        <v>28000</v>
      </c>
      <c r="M34">
        <v>28000</v>
      </c>
      <c r="O34" s="7">
        <f t="shared" si="4"/>
        <v>33600</v>
      </c>
      <c r="P34" s="7">
        <f>IF(C34="Alta Complejidad",M34,0)</f>
        <v>28000</v>
      </c>
      <c r="Q34" s="8">
        <v>0.2</v>
      </c>
      <c r="R34" s="7">
        <f t="shared" si="5"/>
        <v>33600</v>
      </c>
      <c r="S34" s="8">
        <f>IFERROR(((R34-P34)/R34),0)</f>
        <v>0.16666666666666666</v>
      </c>
      <c r="T34" s="7">
        <v>0</v>
      </c>
      <c r="U34" s="8">
        <v>0</v>
      </c>
      <c r="V34" s="7">
        <f>(T34)+(T34*U34)</f>
        <v>0</v>
      </c>
      <c r="W34" s="8">
        <f>IFERROR(((V34-T34)/V34),0)</f>
        <v>0</v>
      </c>
      <c r="X34" s="7">
        <f>IF(C34="Baja Complejidad",M34,0)</f>
        <v>0</v>
      </c>
      <c r="Y34" s="8">
        <v>0</v>
      </c>
      <c r="Z34" s="7">
        <f>(X34)+(X34*Y34)</f>
        <v>0</v>
      </c>
      <c r="AA34" s="8">
        <f>IFERROR(((Z34-X34)/Z34),0)</f>
        <v>0</v>
      </c>
      <c r="AB34" s="8">
        <v>0.1</v>
      </c>
    </row>
    <row r="35" spans="1:28" x14ac:dyDescent="0.25">
      <c r="A35">
        <v>2026</v>
      </c>
      <c r="B35" t="s">
        <v>52</v>
      </c>
      <c r="C35" t="s">
        <v>29</v>
      </c>
      <c r="D35" t="s">
        <v>30</v>
      </c>
      <c r="E35">
        <v>709903</v>
      </c>
      <c r="G35" t="s">
        <v>63</v>
      </c>
      <c r="H35" t="s">
        <v>63</v>
      </c>
      <c r="I35" t="s">
        <v>70</v>
      </c>
      <c r="J35" t="s">
        <v>69</v>
      </c>
      <c r="K35" t="s">
        <v>33</v>
      </c>
      <c r="L35">
        <v>36700</v>
      </c>
      <c r="M35">
        <v>36700</v>
      </c>
      <c r="O35" s="7">
        <f t="shared" si="4"/>
        <v>44040</v>
      </c>
      <c r="P35" s="7">
        <f>IF(C35="Alta Complejidad",M35,0)</f>
        <v>36700</v>
      </c>
      <c r="Q35" s="8">
        <v>0.2</v>
      </c>
      <c r="R35" s="7">
        <f t="shared" si="5"/>
        <v>44040</v>
      </c>
      <c r="S35" s="8">
        <f>IFERROR(((R35-P35)/R35),0)</f>
        <v>0.16666666666666666</v>
      </c>
      <c r="T35" s="7">
        <v>0</v>
      </c>
      <c r="U35" s="8">
        <v>0</v>
      </c>
      <c r="V35" s="7">
        <f>(T35)+(T35*U35)</f>
        <v>0</v>
      </c>
      <c r="W35" s="8">
        <f>IFERROR(((V35-T35)/V35),0)</f>
        <v>0</v>
      </c>
      <c r="X35" s="7">
        <f>IF(C35="Baja Complejidad",M35,0)</f>
        <v>0</v>
      </c>
      <c r="Y35" s="8">
        <v>0</v>
      </c>
      <c r="Z35" s="7">
        <f>(X35)+(X35*Y35)</f>
        <v>0</v>
      </c>
      <c r="AA35" s="8">
        <f>IFERROR(((Z35-X35)/Z35),0)</f>
        <v>0</v>
      </c>
      <c r="AB35" s="8">
        <v>0.1</v>
      </c>
    </row>
    <row r="36" spans="1:28" x14ac:dyDescent="0.25">
      <c r="A36">
        <v>2026</v>
      </c>
      <c r="B36" t="s">
        <v>52</v>
      </c>
      <c r="C36" t="s">
        <v>29</v>
      </c>
      <c r="D36" t="s">
        <v>30</v>
      </c>
      <c r="E36">
        <v>603421</v>
      </c>
      <c r="G36" t="s">
        <v>63</v>
      </c>
      <c r="H36" t="s">
        <v>63</v>
      </c>
      <c r="I36" t="s">
        <v>71</v>
      </c>
      <c r="J36" t="s">
        <v>69</v>
      </c>
      <c r="K36" t="s">
        <v>33</v>
      </c>
      <c r="L36">
        <v>21900</v>
      </c>
      <c r="M36">
        <v>21900</v>
      </c>
      <c r="O36" s="7">
        <f t="shared" si="4"/>
        <v>26280</v>
      </c>
      <c r="P36" s="7">
        <f>IF(C36="Alta Complejidad",M36,0)</f>
        <v>21900</v>
      </c>
      <c r="Q36" s="8">
        <v>0.2</v>
      </c>
      <c r="R36" s="7">
        <f t="shared" si="5"/>
        <v>26280</v>
      </c>
      <c r="S36" s="8">
        <f>IFERROR(((R36-P36)/R36),0)</f>
        <v>0.16666666666666666</v>
      </c>
      <c r="T36" s="7">
        <v>0</v>
      </c>
      <c r="U36" s="8">
        <v>0</v>
      </c>
      <c r="V36" s="7">
        <f>(T36)+(T36*U36)</f>
        <v>0</v>
      </c>
      <c r="W36" s="8">
        <f>IFERROR(((V36-T36)/V36),0)</f>
        <v>0</v>
      </c>
      <c r="X36" s="7">
        <f>IF(C36="Baja Complejidad",M36,0)</f>
        <v>0</v>
      </c>
      <c r="Y36" s="8">
        <v>0</v>
      </c>
      <c r="Z36" s="7">
        <f>(X36)+(X36*Y36)</f>
        <v>0</v>
      </c>
      <c r="AA36" s="8">
        <f>IFERROR(((Z36-X36)/Z36),0)</f>
        <v>0</v>
      </c>
      <c r="AB36" s="8">
        <v>0.1</v>
      </c>
    </row>
    <row r="37" spans="1:28" x14ac:dyDescent="0.25">
      <c r="A37">
        <v>2026</v>
      </c>
      <c r="B37" t="s">
        <v>52</v>
      </c>
      <c r="C37" t="s">
        <v>29</v>
      </c>
      <c r="D37" t="s">
        <v>30</v>
      </c>
      <c r="E37">
        <v>603422</v>
      </c>
      <c r="G37" t="s">
        <v>63</v>
      </c>
      <c r="H37" t="s">
        <v>63</v>
      </c>
      <c r="I37" t="s">
        <v>72</v>
      </c>
      <c r="J37" t="s">
        <v>69</v>
      </c>
      <c r="K37" t="s">
        <v>33</v>
      </c>
      <c r="L37">
        <v>114900</v>
      </c>
      <c r="M37">
        <v>114900</v>
      </c>
      <c r="O37" s="7">
        <f t="shared" si="4"/>
        <v>137880</v>
      </c>
      <c r="P37" s="7">
        <f>IF(C37="Alta Complejidad",M37,0)</f>
        <v>114900</v>
      </c>
      <c r="Q37" s="8">
        <v>0.2</v>
      </c>
      <c r="R37" s="7">
        <f t="shared" si="5"/>
        <v>137880</v>
      </c>
      <c r="S37" s="8">
        <f>IFERROR(((R37-P37)/R37),0)</f>
        <v>0.16666666666666666</v>
      </c>
      <c r="T37" s="7">
        <v>0</v>
      </c>
      <c r="U37" s="8">
        <v>0</v>
      </c>
      <c r="V37" s="7">
        <f>(T37)+(T37*U37)</f>
        <v>0</v>
      </c>
      <c r="W37" s="8">
        <f>IFERROR(((V37-T37)/V37),0)</f>
        <v>0</v>
      </c>
      <c r="X37" s="7">
        <f>IF(C37="Baja Complejidad",M37,0)</f>
        <v>0</v>
      </c>
      <c r="Y37" s="8">
        <v>0</v>
      </c>
      <c r="Z37" s="7">
        <f>(X37)+(X37*Y37)</f>
        <v>0</v>
      </c>
      <c r="AA37" s="8">
        <f>IFERROR(((Z37-X37)/Z37),0)</f>
        <v>0</v>
      </c>
      <c r="AB37" s="8">
        <v>0.1</v>
      </c>
    </row>
    <row r="38" spans="1:28" x14ac:dyDescent="0.25">
      <c r="A38">
        <v>2026</v>
      </c>
      <c r="B38" t="s">
        <v>52</v>
      </c>
      <c r="C38" t="s">
        <v>29</v>
      </c>
      <c r="D38" t="s">
        <v>30</v>
      </c>
      <c r="E38">
        <v>603423</v>
      </c>
      <c r="G38" t="s">
        <v>63</v>
      </c>
      <c r="H38" t="s">
        <v>63</v>
      </c>
      <c r="I38" t="s">
        <v>73</v>
      </c>
      <c r="J38" t="s">
        <v>69</v>
      </c>
      <c r="K38" t="s">
        <v>33</v>
      </c>
      <c r="L38">
        <v>28000</v>
      </c>
      <c r="M38">
        <v>28000</v>
      </c>
      <c r="O38" s="7">
        <f t="shared" si="4"/>
        <v>33600</v>
      </c>
      <c r="P38" s="7">
        <f>IF(C38="Alta Complejidad",M38,0)</f>
        <v>28000</v>
      </c>
      <c r="Q38" s="8">
        <v>0.2</v>
      </c>
      <c r="R38" s="7">
        <f t="shared" si="5"/>
        <v>33600</v>
      </c>
      <c r="S38" s="8">
        <f>IFERROR(((R38-P38)/R38),0)</f>
        <v>0.16666666666666666</v>
      </c>
      <c r="T38" s="7">
        <v>0</v>
      </c>
      <c r="U38" s="8">
        <v>0</v>
      </c>
      <c r="V38" s="7">
        <f>(T38)+(T38*U38)</f>
        <v>0</v>
      </c>
      <c r="W38" s="8">
        <f>IFERROR(((V38-T38)/V38),0)</f>
        <v>0</v>
      </c>
      <c r="X38" s="7">
        <f>IF(C38="Baja Complejidad",M38,0)</f>
        <v>0</v>
      </c>
      <c r="Y38" s="8">
        <v>0</v>
      </c>
      <c r="Z38" s="7">
        <f>(X38)+(X38*Y38)</f>
        <v>0</v>
      </c>
      <c r="AA38" s="8">
        <f>IFERROR(((Z38-X38)/Z38),0)</f>
        <v>0</v>
      </c>
      <c r="AB38" s="8">
        <v>0.1</v>
      </c>
    </row>
    <row r="39" spans="1:28" x14ac:dyDescent="0.25">
      <c r="A39">
        <v>2026</v>
      </c>
      <c r="B39" t="s">
        <v>52</v>
      </c>
      <c r="C39" t="s">
        <v>29</v>
      </c>
      <c r="D39" t="s">
        <v>30</v>
      </c>
      <c r="E39">
        <v>294199</v>
      </c>
      <c r="G39" t="s">
        <v>63</v>
      </c>
      <c r="H39" t="s">
        <v>63</v>
      </c>
      <c r="I39" t="s">
        <v>74</v>
      </c>
      <c r="J39" t="s">
        <v>69</v>
      </c>
      <c r="K39" t="s">
        <v>33</v>
      </c>
      <c r="L39">
        <v>49200</v>
      </c>
      <c r="M39">
        <v>49200</v>
      </c>
      <c r="O39" s="7">
        <f t="shared" si="4"/>
        <v>59040</v>
      </c>
      <c r="P39" s="7">
        <f>IF(C39="Alta Complejidad",M39,0)</f>
        <v>49200</v>
      </c>
      <c r="Q39" s="8">
        <v>0.2</v>
      </c>
      <c r="R39" s="7">
        <f t="shared" si="5"/>
        <v>59040</v>
      </c>
      <c r="S39" s="8">
        <f>IFERROR(((R39-P39)/R39),0)</f>
        <v>0.16666666666666666</v>
      </c>
      <c r="T39" s="7">
        <v>0</v>
      </c>
      <c r="U39" s="8">
        <v>0</v>
      </c>
      <c r="V39" s="7">
        <f>(T39)+(T39*U39)</f>
        <v>0</v>
      </c>
      <c r="W39" s="8">
        <f>IFERROR(((V39-T39)/V39),0)</f>
        <v>0</v>
      </c>
      <c r="X39" s="7">
        <f>IF(C39="Baja Complejidad",M39,0)</f>
        <v>0</v>
      </c>
      <c r="Y39" s="8">
        <v>0</v>
      </c>
      <c r="Z39" s="7">
        <f>(X39)+(X39*Y39)</f>
        <v>0</v>
      </c>
      <c r="AA39" s="8">
        <f>IFERROR(((Z39-X39)/Z39),0)</f>
        <v>0</v>
      </c>
      <c r="AB39" s="8">
        <v>0.1</v>
      </c>
    </row>
    <row r="40" spans="1:28" x14ac:dyDescent="0.25">
      <c r="A40">
        <v>2026</v>
      </c>
      <c r="B40" t="s">
        <v>52</v>
      </c>
      <c r="C40" t="s">
        <v>29</v>
      </c>
      <c r="D40" t="s">
        <v>30</v>
      </c>
      <c r="E40">
        <v>294299</v>
      </c>
      <c r="G40" t="s">
        <v>63</v>
      </c>
      <c r="H40" t="s">
        <v>63</v>
      </c>
      <c r="I40" t="s">
        <v>75</v>
      </c>
      <c r="J40" t="s">
        <v>69</v>
      </c>
      <c r="K40" t="s">
        <v>33</v>
      </c>
      <c r="L40">
        <v>141600</v>
      </c>
      <c r="M40">
        <v>141600</v>
      </c>
      <c r="O40" s="7">
        <f t="shared" si="4"/>
        <v>169920</v>
      </c>
      <c r="P40" s="7">
        <f>IF(C40="Alta Complejidad",M40,0)</f>
        <v>141600</v>
      </c>
      <c r="Q40" s="8">
        <v>0.2</v>
      </c>
      <c r="R40" s="7">
        <f t="shared" si="5"/>
        <v>169920</v>
      </c>
      <c r="S40" s="8">
        <f>IFERROR(((R40-P40)/R40),0)</f>
        <v>0.16666666666666666</v>
      </c>
      <c r="T40" s="7">
        <v>0</v>
      </c>
      <c r="U40" s="8">
        <v>0</v>
      </c>
      <c r="V40" s="7">
        <f>(T40)+(T40*U40)</f>
        <v>0</v>
      </c>
      <c r="W40" s="8">
        <f>IFERROR(((V40-T40)/V40),0)</f>
        <v>0</v>
      </c>
      <c r="X40" s="7">
        <f>IF(C40="Baja Complejidad",M40,0)</f>
        <v>0</v>
      </c>
      <c r="Y40" s="8">
        <v>0</v>
      </c>
      <c r="Z40" s="7">
        <f>(X40)+(X40*Y40)</f>
        <v>0</v>
      </c>
      <c r="AA40" s="8">
        <f>IFERROR(((Z40-X40)/Z40),0)</f>
        <v>0</v>
      </c>
      <c r="AB40" s="8">
        <v>0.1</v>
      </c>
    </row>
    <row r="41" spans="1:28" x14ac:dyDescent="0.25">
      <c r="A41">
        <v>2026</v>
      </c>
      <c r="B41" t="s">
        <v>52</v>
      </c>
      <c r="C41" t="s">
        <v>29</v>
      </c>
      <c r="D41" t="s">
        <v>30</v>
      </c>
      <c r="E41">
        <v>294399</v>
      </c>
      <c r="G41" t="s">
        <v>63</v>
      </c>
      <c r="H41" t="s">
        <v>63</v>
      </c>
      <c r="I41" t="s">
        <v>76</v>
      </c>
      <c r="J41" t="s">
        <v>69</v>
      </c>
      <c r="K41" t="s">
        <v>33</v>
      </c>
      <c r="L41">
        <v>174700</v>
      </c>
      <c r="M41">
        <v>174700</v>
      </c>
      <c r="O41" s="7">
        <f t="shared" si="4"/>
        <v>209640</v>
      </c>
      <c r="P41" s="7">
        <f>IF(C41="Alta Complejidad",M41,0)</f>
        <v>174700</v>
      </c>
      <c r="Q41" s="8">
        <v>0.2</v>
      </c>
      <c r="R41" s="7">
        <f t="shared" si="5"/>
        <v>209640</v>
      </c>
      <c r="S41" s="8">
        <f>IFERROR(((R41-P41)/R41),0)</f>
        <v>0.16666666666666666</v>
      </c>
      <c r="T41" s="7">
        <v>0</v>
      </c>
      <c r="U41" s="8">
        <v>0</v>
      </c>
      <c r="V41" s="7">
        <f>(T41)+(T41*U41)</f>
        <v>0</v>
      </c>
      <c r="W41" s="8">
        <f>IFERROR(((V41-T41)/V41),0)</f>
        <v>0</v>
      </c>
      <c r="X41" s="7">
        <f>IF(C41="Baja Complejidad",M41,0)</f>
        <v>0</v>
      </c>
      <c r="Y41" s="8">
        <v>0</v>
      </c>
      <c r="Z41" s="7">
        <f>(X41)+(X41*Y41)</f>
        <v>0</v>
      </c>
      <c r="AA41" s="8">
        <f>IFERROR(((Z41-X41)/Z41),0)</f>
        <v>0</v>
      </c>
      <c r="AB41" s="8">
        <v>0.1</v>
      </c>
    </row>
    <row r="42" spans="1:28" x14ac:dyDescent="0.25">
      <c r="A42">
        <v>2026</v>
      </c>
      <c r="B42" t="s">
        <v>52</v>
      </c>
      <c r="C42" t="s">
        <v>29</v>
      </c>
      <c r="D42" t="s">
        <v>30</v>
      </c>
      <c r="E42">
        <v>294499</v>
      </c>
      <c r="G42" t="s">
        <v>63</v>
      </c>
      <c r="H42" t="s">
        <v>63</v>
      </c>
      <c r="I42" t="s">
        <v>77</v>
      </c>
      <c r="J42" t="s">
        <v>69</v>
      </c>
      <c r="K42" t="s">
        <v>33</v>
      </c>
      <c r="L42">
        <v>204000</v>
      </c>
      <c r="M42">
        <v>204000</v>
      </c>
      <c r="O42" s="7">
        <f t="shared" si="4"/>
        <v>244800</v>
      </c>
      <c r="P42" s="7">
        <f>IF(C42="Alta Complejidad",M42,0)</f>
        <v>204000</v>
      </c>
      <c r="Q42" s="8">
        <v>0.2</v>
      </c>
      <c r="R42" s="7">
        <f t="shared" si="5"/>
        <v>244800</v>
      </c>
      <c r="S42" s="8">
        <f>IFERROR(((R42-P42)/R42),0)</f>
        <v>0.16666666666666666</v>
      </c>
      <c r="T42" s="7">
        <v>0</v>
      </c>
      <c r="U42" s="8">
        <v>0</v>
      </c>
      <c r="V42" s="7">
        <f>(T42)+(T42*U42)</f>
        <v>0</v>
      </c>
      <c r="W42" s="8">
        <f>IFERROR(((V42-T42)/V42),0)</f>
        <v>0</v>
      </c>
      <c r="X42" s="7">
        <f>IF(C42="Baja Complejidad",M42,0)</f>
        <v>0</v>
      </c>
      <c r="Y42" s="8">
        <v>0</v>
      </c>
      <c r="Z42" s="7">
        <f>(X42)+(X42*Y42)</f>
        <v>0</v>
      </c>
      <c r="AA42" s="8">
        <f>IFERROR(((Z42-X42)/Z42),0)</f>
        <v>0</v>
      </c>
      <c r="AB42" s="8">
        <v>0.1</v>
      </c>
    </row>
    <row r="43" spans="1:28" x14ac:dyDescent="0.25">
      <c r="A43">
        <v>2026</v>
      </c>
      <c r="B43" t="s">
        <v>52</v>
      </c>
      <c r="C43" t="s">
        <v>29</v>
      </c>
      <c r="D43" t="s">
        <v>30</v>
      </c>
      <c r="E43">
        <v>284190</v>
      </c>
      <c r="G43" t="s">
        <v>63</v>
      </c>
      <c r="H43" t="s">
        <v>63</v>
      </c>
      <c r="I43" t="s">
        <v>78</v>
      </c>
      <c r="J43" t="s">
        <v>69</v>
      </c>
      <c r="K43" t="s">
        <v>33</v>
      </c>
      <c r="L43">
        <v>49000</v>
      </c>
      <c r="M43">
        <v>49000</v>
      </c>
      <c r="O43" s="7">
        <f t="shared" si="4"/>
        <v>58800</v>
      </c>
      <c r="P43" s="7">
        <f>IF(C43="Alta Complejidad",M43,0)</f>
        <v>49000</v>
      </c>
      <c r="Q43" s="8">
        <v>0.2</v>
      </c>
      <c r="R43" s="7">
        <f t="shared" si="5"/>
        <v>58800</v>
      </c>
      <c r="S43" s="8">
        <f>IFERROR(((R43-P43)/R43),0)</f>
        <v>0.16666666666666666</v>
      </c>
      <c r="T43" s="7">
        <v>0</v>
      </c>
      <c r="U43" s="8">
        <v>0</v>
      </c>
      <c r="V43" s="7">
        <f>(T43)+(T43*U43)</f>
        <v>0</v>
      </c>
      <c r="W43" s="8">
        <f>IFERROR(((V43-T43)/V43),0)</f>
        <v>0</v>
      </c>
      <c r="X43" s="7">
        <f>IF(C43="Baja Complejidad",M43,0)</f>
        <v>0</v>
      </c>
      <c r="Y43" s="8">
        <v>0</v>
      </c>
      <c r="Z43" s="7">
        <f>(X43)+(X43*Y43)</f>
        <v>0</v>
      </c>
      <c r="AA43" s="8">
        <f>IFERROR(((Z43-X43)/Z43),0)</f>
        <v>0</v>
      </c>
      <c r="AB43" s="8">
        <v>0.1</v>
      </c>
    </row>
    <row r="44" spans="1:28" x14ac:dyDescent="0.25">
      <c r="A44">
        <v>2026</v>
      </c>
      <c r="B44" t="s">
        <v>52</v>
      </c>
      <c r="C44" t="s">
        <v>29</v>
      </c>
      <c r="D44" t="s">
        <v>30</v>
      </c>
      <c r="E44">
        <v>284390</v>
      </c>
      <c r="G44" t="s">
        <v>63</v>
      </c>
      <c r="H44" t="s">
        <v>63</v>
      </c>
      <c r="I44" t="s">
        <v>79</v>
      </c>
      <c r="J44" t="s">
        <v>66</v>
      </c>
      <c r="K44" t="s">
        <v>33</v>
      </c>
      <c r="L44">
        <v>224100</v>
      </c>
      <c r="M44">
        <v>224100</v>
      </c>
      <c r="O44" s="7">
        <f t="shared" si="4"/>
        <v>268920</v>
      </c>
      <c r="P44" s="7">
        <f>IF(C44="Alta Complejidad",M44,0)</f>
        <v>224100</v>
      </c>
      <c r="Q44" s="8">
        <v>0.2</v>
      </c>
      <c r="R44" s="7">
        <f t="shared" si="5"/>
        <v>268920</v>
      </c>
      <c r="S44" s="8">
        <f>IFERROR(((R44-P44)/R44),0)</f>
        <v>0.16666666666666666</v>
      </c>
      <c r="T44" s="7">
        <v>0</v>
      </c>
      <c r="U44" s="8">
        <v>0</v>
      </c>
      <c r="V44" s="7">
        <f>(T44)+(T44*U44)</f>
        <v>0</v>
      </c>
      <c r="W44" s="8">
        <f>IFERROR(((V44-T44)/V44),0)</f>
        <v>0</v>
      </c>
      <c r="X44" s="7">
        <f>IF(C44="Baja Complejidad",M44,0)</f>
        <v>0</v>
      </c>
      <c r="Y44" s="8">
        <v>0</v>
      </c>
      <c r="Z44" s="7">
        <f>(X44)+(X44*Y44)</f>
        <v>0</v>
      </c>
      <c r="AA44" s="8">
        <f>IFERROR(((Z44-X44)/Z44),0)</f>
        <v>0</v>
      </c>
      <c r="AB44" s="8">
        <v>0.1</v>
      </c>
    </row>
    <row r="45" spans="1:28" x14ac:dyDescent="0.25">
      <c r="A45">
        <v>2026</v>
      </c>
      <c r="B45" t="s">
        <v>52</v>
      </c>
      <c r="C45" t="s">
        <v>29</v>
      </c>
      <c r="D45" t="s">
        <v>30</v>
      </c>
      <c r="E45">
        <v>287100</v>
      </c>
      <c r="G45" t="s">
        <v>63</v>
      </c>
      <c r="H45" t="s">
        <v>63</v>
      </c>
      <c r="I45" t="s">
        <v>80</v>
      </c>
      <c r="J45" t="s">
        <v>66</v>
      </c>
      <c r="K45" t="s">
        <v>33</v>
      </c>
      <c r="L45">
        <v>38000</v>
      </c>
      <c r="M45">
        <v>38000</v>
      </c>
      <c r="O45" s="7">
        <f t="shared" si="4"/>
        <v>45600</v>
      </c>
      <c r="P45" s="7">
        <f>IF(C45="Alta Complejidad",M45,0)</f>
        <v>38000</v>
      </c>
      <c r="Q45" s="8">
        <v>0.2</v>
      </c>
      <c r="R45" s="7">
        <f t="shared" si="5"/>
        <v>45600</v>
      </c>
      <c r="S45" s="8">
        <f>IFERROR(((R45-P45)/R45),0)</f>
        <v>0.16666666666666666</v>
      </c>
      <c r="T45" s="7">
        <v>0</v>
      </c>
      <c r="U45" s="8">
        <v>0</v>
      </c>
      <c r="V45" s="7">
        <f>(T45)+(T45*U45)</f>
        <v>0</v>
      </c>
      <c r="W45" s="8">
        <f>IFERROR(((V45-T45)/V45),0)</f>
        <v>0</v>
      </c>
      <c r="X45" s="7">
        <f>IF(C45="Baja Complejidad",M45,0)</f>
        <v>0</v>
      </c>
      <c r="Y45" s="8">
        <v>0</v>
      </c>
      <c r="Z45" s="7">
        <f>(X45)+(X45*Y45)</f>
        <v>0</v>
      </c>
      <c r="AA45" s="8">
        <f>IFERROR(((Z45-X45)/Z45),0)</f>
        <v>0</v>
      </c>
      <c r="AB45" s="8">
        <v>0.1</v>
      </c>
    </row>
    <row r="46" spans="1:28" x14ac:dyDescent="0.25">
      <c r="A46">
        <v>2026</v>
      </c>
      <c r="B46" t="s">
        <v>52</v>
      </c>
      <c r="C46" t="s">
        <v>29</v>
      </c>
      <c r="D46" t="s">
        <v>30</v>
      </c>
      <c r="E46">
        <v>287200</v>
      </c>
      <c r="G46" t="s">
        <v>63</v>
      </c>
      <c r="H46" t="s">
        <v>63</v>
      </c>
      <c r="I46" t="s">
        <v>81</v>
      </c>
      <c r="J46" t="s">
        <v>66</v>
      </c>
      <c r="K46" t="s">
        <v>33</v>
      </c>
      <c r="L46">
        <v>39800</v>
      </c>
      <c r="M46">
        <v>39800</v>
      </c>
      <c r="O46" s="7">
        <f t="shared" si="4"/>
        <v>47760</v>
      </c>
      <c r="P46" s="7">
        <f>IF(C46="Alta Complejidad",M46,0)</f>
        <v>39800</v>
      </c>
      <c r="Q46" s="8">
        <v>0.2</v>
      </c>
      <c r="R46" s="7">
        <f t="shared" si="5"/>
        <v>47760</v>
      </c>
      <c r="S46" s="8">
        <f>IFERROR(((R46-P46)/R46),0)</f>
        <v>0.16666666666666666</v>
      </c>
      <c r="T46" s="7">
        <v>0</v>
      </c>
      <c r="U46" s="8">
        <v>0</v>
      </c>
      <c r="V46" s="7">
        <f>(T46)+(T46*U46)</f>
        <v>0</v>
      </c>
      <c r="W46" s="8">
        <f>IFERROR(((V46-T46)/V46),0)</f>
        <v>0</v>
      </c>
      <c r="X46" s="7">
        <f>IF(C46="Baja Complejidad",M46,0)</f>
        <v>0</v>
      </c>
      <c r="Y46" s="8">
        <v>0</v>
      </c>
      <c r="Z46" s="7">
        <f>(X46)+(X46*Y46)</f>
        <v>0</v>
      </c>
      <c r="AA46" s="8">
        <f>IFERROR(((Z46-X46)/Z46),0)</f>
        <v>0</v>
      </c>
      <c r="AB46" s="8">
        <v>0.1</v>
      </c>
    </row>
    <row r="47" spans="1:28" x14ac:dyDescent="0.25">
      <c r="A47">
        <v>2026</v>
      </c>
      <c r="B47" t="s">
        <v>53</v>
      </c>
      <c r="C47" t="s">
        <v>29</v>
      </c>
      <c r="D47" t="s">
        <v>30</v>
      </c>
      <c r="E47">
        <v>360001</v>
      </c>
      <c r="G47" t="s">
        <v>63</v>
      </c>
      <c r="H47" t="s">
        <v>63</v>
      </c>
      <c r="I47" t="s">
        <v>65</v>
      </c>
      <c r="J47" t="s">
        <v>66</v>
      </c>
      <c r="K47" t="s">
        <v>33</v>
      </c>
      <c r="L47">
        <v>28800</v>
      </c>
      <c r="M47">
        <v>28800</v>
      </c>
      <c r="O47" s="7">
        <f>R47</f>
        <v>34560</v>
      </c>
      <c r="P47" s="7">
        <f>IF(C47="Alta Complejidad",M47,0)</f>
        <v>28800</v>
      </c>
      <c r="Q47" s="8">
        <v>0.2</v>
      </c>
      <c r="R47" s="7">
        <f>P47+(P47*Q47)</f>
        <v>34560</v>
      </c>
      <c r="S47" s="8">
        <f>IFERROR(((R47-P47)/R47),0)</f>
        <v>0.16666666666666666</v>
      </c>
      <c r="T47" s="7">
        <v>0</v>
      </c>
      <c r="U47" s="8">
        <v>0</v>
      </c>
      <c r="V47" s="7">
        <f>(T47)+(T47*U47)</f>
        <v>0</v>
      </c>
      <c r="W47" s="8">
        <f>IFERROR(((V47-T47)/V47),0)</f>
        <v>0</v>
      </c>
      <c r="X47" s="7">
        <f>IF(C47="Baja Complejidad",M47,0)</f>
        <v>0</v>
      </c>
      <c r="Y47" s="8">
        <v>0</v>
      </c>
      <c r="Z47" s="7">
        <f>(X47)+(X47*Y47)</f>
        <v>0</v>
      </c>
      <c r="AA47" s="8">
        <f>IFERROR(((Z47-X47)/Z47),0)</f>
        <v>0</v>
      </c>
      <c r="AB47" s="8">
        <v>0.1</v>
      </c>
    </row>
    <row r="48" spans="1:28" x14ac:dyDescent="0.25">
      <c r="A48">
        <v>2026</v>
      </c>
      <c r="B48" t="s">
        <v>53</v>
      </c>
      <c r="C48" t="s">
        <v>29</v>
      </c>
      <c r="D48" t="s">
        <v>30</v>
      </c>
      <c r="E48">
        <v>709900</v>
      </c>
      <c r="G48" t="s">
        <v>63</v>
      </c>
      <c r="H48" t="s">
        <v>63</v>
      </c>
      <c r="I48" t="s">
        <v>67</v>
      </c>
      <c r="J48" t="s">
        <v>66</v>
      </c>
      <c r="K48" t="s">
        <v>33</v>
      </c>
      <c r="L48">
        <v>36700</v>
      </c>
      <c r="M48">
        <v>36700</v>
      </c>
      <c r="O48" s="7">
        <f t="shared" ref="O48:O61" si="6">R48</f>
        <v>44040</v>
      </c>
      <c r="P48" s="7">
        <f>IF(C48="Alta Complejidad",M48,0)</f>
        <v>36700</v>
      </c>
      <c r="Q48" s="8">
        <v>0.2</v>
      </c>
      <c r="R48" s="7">
        <f t="shared" ref="R48:R61" si="7">P48+(P48*Q48)</f>
        <v>44040</v>
      </c>
      <c r="S48" s="8">
        <f>IFERROR(((R48-P48)/R48),0)</f>
        <v>0.16666666666666666</v>
      </c>
      <c r="T48" s="7">
        <v>0</v>
      </c>
      <c r="U48" s="8">
        <v>0</v>
      </c>
      <c r="V48" s="7">
        <f>(T48)+(T48*U48)</f>
        <v>0</v>
      </c>
      <c r="W48" s="8">
        <f>IFERROR(((V48-T48)/V48),0)</f>
        <v>0</v>
      </c>
      <c r="X48" s="7">
        <f>IF(C48="Baja Complejidad",M48,0)</f>
        <v>0</v>
      </c>
      <c r="Y48" s="8">
        <v>0</v>
      </c>
      <c r="Z48" s="7">
        <f>(X48)+(X48*Y48)</f>
        <v>0</v>
      </c>
      <c r="AA48" s="8">
        <f>IFERROR(((Z48-X48)/Z48),0)</f>
        <v>0</v>
      </c>
      <c r="AB48" s="8">
        <v>0.1</v>
      </c>
    </row>
    <row r="49" spans="1:28" x14ac:dyDescent="0.25">
      <c r="A49">
        <v>2026</v>
      </c>
      <c r="B49" t="s">
        <v>53</v>
      </c>
      <c r="C49" t="s">
        <v>29</v>
      </c>
      <c r="D49" t="s">
        <v>30</v>
      </c>
      <c r="E49">
        <v>709902</v>
      </c>
      <c r="G49" t="s">
        <v>63</v>
      </c>
      <c r="H49" t="s">
        <v>63</v>
      </c>
      <c r="I49" t="s">
        <v>68</v>
      </c>
      <c r="J49" t="s">
        <v>69</v>
      </c>
      <c r="K49" t="s">
        <v>33</v>
      </c>
      <c r="L49">
        <v>28000</v>
      </c>
      <c r="M49">
        <v>28000</v>
      </c>
      <c r="O49" s="7">
        <f t="shared" si="6"/>
        <v>33600</v>
      </c>
      <c r="P49" s="7">
        <f>IF(C49="Alta Complejidad",M49,0)</f>
        <v>28000</v>
      </c>
      <c r="Q49" s="8">
        <v>0.2</v>
      </c>
      <c r="R49" s="7">
        <f t="shared" si="7"/>
        <v>33600</v>
      </c>
      <c r="S49" s="8">
        <f>IFERROR(((R49-P49)/R49),0)</f>
        <v>0.16666666666666666</v>
      </c>
      <c r="T49" s="7">
        <v>0</v>
      </c>
      <c r="U49" s="8">
        <v>0</v>
      </c>
      <c r="V49" s="7">
        <f>(T49)+(T49*U49)</f>
        <v>0</v>
      </c>
      <c r="W49" s="8">
        <f>IFERROR(((V49-T49)/V49),0)</f>
        <v>0</v>
      </c>
      <c r="X49" s="7">
        <f>IF(C49="Baja Complejidad",M49,0)</f>
        <v>0</v>
      </c>
      <c r="Y49" s="8">
        <v>0</v>
      </c>
      <c r="Z49" s="7">
        <f>(X49)+(X49*Y49)</f>
        <v>0</v>
      </c>
      <c r="AA49" s="8">
        <f>IFERROR(((Z49-X49)/Z49),0)</f>
        <v>0</v>
      </c>
      <c r="AB49" s="8">
        <v>0.1</v>
      </c>
    </row>
    <row r="50" spans="1:28" x14ac:dyDescent="0.25">
      <c r="A50">
        <v>2026</v>
      </c>
      <c r="B50" t="s">
        <v>53</v>
      </c>
      <c r="C50" t="s">
        <v>29</v>
      </c>
      <c r="D50" t="s">
        <v>30</v>
      </c>
      <c r="E50">
        <v>709903</v>
      </c>
      <c r="G50" t="s">
        <v>63</v>
      </c>
      <c r="H50" t="s">
        <v>63</v>
      </c>
      <c r="I50" t="s">
        <v>70</v>
      </c>
      <c r="J50" t="s">
        <v>69</v>
      </c>
      <c r="K50" t="s">
        <v>33</v>
      </c>
      <c r="L50">
        <v>36700</v>
      </c>
      <c r="M50">
        <v>36700</v>
      </c>
      <c r="O50" s="7">
        <f t="shared" si="6"/>
        <v>44040</v>
      </c>
      <c r="P50" s="7">
        <f>IF(C50="Alta Complejidad",M50,0)</f>
        <v>36700</v>
      </c>
      <c r="Q50" s="8">
        <v>0.2</v>
      </c>
      <c r="R50" s="7">
        <f t="shared" si="7"/>
        <v>44040</v>
      </c>
      <c r="S50" s="8">
        <f>IFERROR(((R50-P50)/R50),0)</f>
        <v>0.16666666666666666</v>
      </c>
      <c r="T50" s="7">
        <v>0</v>
      </c>
      <c r="U50" s="8">
        <v>0</v>
      </c>
      <c r="V50" s="7">
        <f>(T50)+(T50*U50)</f>
        <v>0</v>
      </c>
      <c r="W50" s="8">
        <f>IFERROR(((V50-T50)/V50),0)</f>
        <v>0</v>
      </c>
      <c r="X50" s="7">
        <f>IF(C50="Baja Complejidad",M50,0)</f>
        <v>0</v>
      </c>
      <c r="Y50" s="8">
        <v>0</v>
      </c>
      <c r="Z50" s="7">
        <f>(X50)+(X50*Y50)</f>
        <v>0</v>
      </c>
      <c r="AA50" s="8">
        <f>IFERROR(((Z50-X50)/Z50),0)</f>
        <v>0</v>
      </c>
      <c r="AB50" s="8">
        <v>0.1</v>
      </c>
    </row>
    <row r="51" spans="1:28" x14ac:dyDescent="0.25">
      <c r="A51">
        <v>2026</v>
      </c>
      <c r="B51" t="s">
        <v>53</v>
      </c>
      <c r="C51" t="s">
        <v>29</v>
      </c>
      <c r="D51" t="s">
        <v>30</v>
      </c>
      <c r="E51">
        <v>603421</v>
      </c>
      <c r="G51" t="s">
        <v>63</v>
      </c>
      <c r="H51" t="s">
        <v>63</v>
      </c>
      <c r="I51" t="s">
        <v>71</v>
      </c>
      <c r="J51" t="s">
        <v>69</v>
      </c>
      <c r="K51" t="s">
        <v>33</v>
      </c>
      <c r="L51">
        <v>21900</v>
      </c>
      <c r="M51">
        <v>21900</v>
      </c>
      <c r="O51" s="7">
        <f t="shared" si="6"/>
        <v>26280</v>
      </c>
      <c r="P51" s="7">
        <f>IF(C51="Alta Complejidad",M51,0)</f>
        <v>21900</v>
      </c>
      <c r="Q51" s="8">
        <v>0.2</v>
      </c>
      <c r="R51" s="7">
        <f t="shared" si="7"/>
        <v>26280</v>
      </c>
      <c r="S51" s="8">
        <f>IFERROR(((R51-P51)/R51),0)</f>
        <v>0.16666666666666666</v>
      </c>
      <c r="T51" s="7">
        <v>0</v>
      </c>
      <c r="U51" s="8">
        <v>0</v>
      </c>
      <c r="V51" s="7">
        <f>(T51)+(T51*U51)</f>
        <v>0</v>
      </c>
      <c r="W51" s="8">
        <f>IFERROR(((V51-T51)/V51),0)</f>
        <v>0</v>
      </c>
      <c r="X51" s="7">
        <f>IF(C51="Baja Complejidad",M51,0)</f>
        <v>0</v>
      </c>
      <c r="Y51" s="8">
        <v>0</v>
      </c>
      <c r="Z51" s="7">
        <f>(X51)+(X51*Y51)</f>
        <v>0</v>
      </c>
      <c r="AA51" s="8">
        <f>IFERROR(((Z51-X51)/Z51),0)</f>
        <v>0</v>
      </c>
      <c r="AB51" s="8">
        <v>0.1</v>
      </c>
    </row>
    <row r="52" spans="1:28" x14ac:dyDescent="0.25">
      <c r="A52">
        <v>2026</v>
      </c>
      <c r="B52" t="s">
        <v>53</v>
      </c>
      <c r="C52" t="s">
        <v>29</v>
      </c>
      <c r="D52" t="s">
        <v>30</v>
      </c>
      <c r="E52">
        <v>603422</v>
      </c>
      <c r="G52" t="s">
        <v>63</v>
      </c>
      <c r="H52" t="s">
        <v>63</v>
      </c>
      <c r="I52" t="s">
        <v>72</v>
      </c>
      <c r="J52" t="s">
        <v>69</v>
      </c>
      <c r="K52" t="s">
        <v>33</v>
      </c>
      <c r="L52">
        <v>114900</v>
      </c>
      <c r="M52">
        <v>114900</v>
      </c>
      <c r="O52" s="7">
        <f t="shared" si="6"/>
        <v>137880</v>
      </c>
      <c r="P52" s="7">
        <f>IF(C52="Alta Complejidad",M52,0)</f>
        <v>114900</v>
      </c>
      <c r="Q52" s="8">
        <v>0.2</v>
      </c>
      <c r="R52" s="7">
        <f t="shared" si="7"/>
        <v>137880</v>
      </c>
      <c r="S52" s="8">
        <f>IFERROR(((R52-P52)/R52),0)</f>
        <v>0.16666666666666666</v>
      </c>
      <c r="T52" s="7">
        <v>0</v>
      </c>
      <c r="U52" s="8">
        <v>0</v>
      </c>
      <c r="V52" s="7">
        <f>(T52)+(T52*U52)</f>
        <v>0</v>
      </c>
      <c r="W52" s="8">
        <f>IFERROR(((V52-T52)/V52),0)</f>
        <v>0</v>
      </c>
      <c r="X52" s="7">
        <f>IF(C52="Baja Complejidad",M52,0)</f>
        <v>0</v>
      </c>
      <c r="Y52" s="8">
        <v>0</v>
      </c>
      <c r="Z52" s="7">
        <f>(X52)+(X52*Y52)</f>
        <v>0</v>
      </c>
      <c r="AA52" s="8">
        <f>IFERROR(((Z52-X52)/Z52),0)</f>
        <v>0</v>
      </c>
      <c r="AB52" s="8">
        <v>0.1</v>
      </c>
    </row>
    <row r="53" spans="1:28" x14ac:dyDescent="0.25">
      <c r="A53">
        <v>2026</v>
      </c>
      <c r="B53" t="s">
        <v>53</v>
      </c>
      <c r="C53" t="s">
        <v>29</v>
      </c>
      <c r="D53" t="s">
        <v>30</v>
      </c>
      <c r="E53">
        <v>603423</v>
      </c>
      <c r="G53" t="s">
        <v>63</v>
      </c>
      <c r="H53" t="s">
        <v>63</v>
      </c>
      <c r="I53" t="s">
        <v>73</v>
      </c>
      <c r="J53" t="s">
        <v>69</v>
      </c>
      <c r="K53" t="s">
        <v>33</v>
      </c>
      <c r="L53">
        <v>28000</v>
      </c>
      <c r="M53">
        <v>28000</v>
      </c>
      <c r="O53" s="7">
        <f t="shared" si="6"/>
        <v>33600</v>
      </c>
      <c r="P53" s="7">
        <f>IF(C53="Alta Complejidad",M53,0)</f>
        <v>28000</v>
      </c>
      <c r="Q53" s="8">
        <v>0.2</v>
      </c>
      <c r="R53" s="7">
        <f t="shared" si="7"/>
        <v>33600</v>
      </c>
      <c r="S53" s="8">
        <f>IFERROR(((R53-P53)/R53),0)</f>
        <v>0.16666666666666666</v>
      </c>
      <c r="T53" s="7">
        <v>0</v>
      </c>
      <c r="U53" s="8">
        <v>0</v>
      </c>
      <c r="V53" s="7">
        <f>(T53)+(T53*U53)</f>
        <v>0</v>
      </c>
      <c r="W53" s="8">
        <f>IFERROR(((V53-T53)/V53),0)</f>
        <v>0</v>
      </c>
      <c r="X53" s="7">
        <f>IF(C53="Baja Complejidad",M53,0)</f>
        <v>0</v>
      </c>
      <c r="Y53" s="8">
        <v>0</v>
      </c>
      <c r="Z53" s="7">
        <f>(X53)+(X53*Y53)</f>
        <v>0</v>
      </c>
      <c r="AA53" s="8">
        <f>IFERROR(((Z53-X53)/Z53),0)</f>
        <v>0</v>
      </c>
      <c r="AB53" s="8">
        <v>0.1</v>
      </c>
    </row>
    <row r="54" spans="1:28" x14ac:dyDescent="0.25">
      <c r="A54">
        <v>2026</v>
      </c>
      <c r="B54" t="s">
        <v>53</v>
      </c>
      <c r="C54" t="s">
        <v>29</v>
      </c>
      <c r="D54" t="s">
        <v>30</v>
      </c>
      <c r="E54">
        <v>294199</v>
      </c>
      <c r="G54" t="s">
        <v>63</v>
      </c>
      <c r="H54" t="s">
        <v>63</v>
      </c>
      <c r="I54" t="s">
        <v>74</v>
      </c>
      <c r="J54" t="s">
        <v>69</v>
      </c>
      <c r="K54" t="s">
        <v>33</v>
      </c>
      <c r="L54">
        <v>49200</v>
      </c>
      <c r="M54">
        <v>49200</v>
      </c>
      <c r="O54" s="7">
        <f t="shared" si="6"/>
        <v>59040</v>
      </c>
      <c r="P54" s="7">
        <f>IF(C54="Alta Complejidad",M54,0)</f>
        <v>49200</v>
      </c>
      <c r="Q54" s="8">
        <v>0.2</v>
      </c>
      <c r="R54" s="7">
        <f t="shared" si="7"/>
        <v>59040</v>
      </c>
      <c r="S54" s="8">
        <f>IFERROR(((R54-P54)/R54),0)</f>
        <v>0.16666666666666666</v>
      </c>
      <c r="T54" s="7">
        <v>0</v>
      </c>
      <c r="U54" s="8">
        <v>0</v>
      </c>
      <c r="V54" s="7">
        <f>(T54)+(T54*U54)</f>
        <v>0</v>
      </c>
      <c r="W54" s="8">
        <f>IFERROR(((V54-T54)/V54),0)</f>
        <v>0</v>
      </c>
      <c r="X54" s="7">
        <f>IF(C54="Baja Complejidad",M54,0)</f>
        <v>0</v>
      </c>
      <c r="Y54" s="8">
        <v>0</v>
      </c>
      <c r="Z54" s="7">
        <f>(X54)+(X54*Y54)</f>
        <v>0</v>
      </c>
      <c r="AA54" s="8">
        <f>IFERROR(((Z54-X54)/Z54),0)</f>
        <v>0</v>
      </c>
      <c r="AB54" s="8">
        <v>0.1</v>
      </c>
    </row>
    <row r="55" spans="1:28" x14ac:dyDescent="0.25">
      <c r="A55">
        <v>2026</v>
      </c>
      <c r="B55" t="s">
        <v>53</v>
      </c>
      <c r="C55" t="s">
        <v>29</v>
      </c>
      <c r="D55" t="s">
        <v>30</v>
      </c>
      <c r="E55">
        <v>294299</v>
      </c>
      <c r="G55" t="s">
        <v>63</v>
      </c>
      <c r="H55" t="s">
        <v>63</v>
      </c>
      <c r="I55" t="s">
        <v>75</v>
      </c>
      <c r="J55" t="s">
        <v>69</v>
      </c>
      <c r="K55" t="s">
        <v>33</v>
      </c>
      <c r="L55">
        <v>141600</v>
      </c>
      <c r="M55">
        <v>141600</v>
      </c>
      <c r="O55" s="7">
        <f t="shared" si="6"/>
        <v>169920</v>
      </c>
      <c r="P55" s="7">
        <f>IF(C55="Alta Complejidad",M55,0)</f>
        <v>141600</v>
      </c>
      <c r="Q55" s="8">
        <v>0.2</v>
      </c>
      <c r="R55" s="7">
        <f t="shared" si="7"/>
        <v>169920</v>
      </c>
      <c r="S55" s="8">
        <f>IFERROR(((R55-P55)/R55),0)</f>
        <v>0.16666666666666666</v>
      </c>
      <c r="T55" s="7">
        <v>0</v>
      </c>
      <c r="U55" s="8">
        <v>0</v>
      </c>
      <c r="V55" s="7">
        <f>(T55)+(T55*U55)</f>
        <v>0</v>
      </c>
      <c r="W55" s="8">
        <f>IFERROR(((V55-T55)/V55),0)</f>
        <v>0</v>
      </c>
      <c r="X55" s="7">
        <f>IF(C55="Baja Complejidad",M55,0)</f>
        <v>0</v>
      </c>
      <c r="Y55" s="8">
        <v>0</v>
      </c>
      <c r="Z55" s="7">
        <f>(X55)+(X55*Y55)</f>
        <v>0</v>
      </c>
      <c r="AA55" s="8">
        <f>IFERROR(((Z55-X55)/Z55),0)</f>
        <v>0</v>
      </c>
      <c r="AB55" s="8">
        <v>0.1</v>
      </c>
    </row>
    <row r="56" spans="1:28" x14ac:dyDescent="0.25">
      <c r="A56">
        <v>2026</v>
      </c>
      <c r="B56" t="s">
        <v>53</v>
      </c>
      <c r="C56" t="s">
        <v>29</v>
      </c>
      <c r="D56" t="s">
        <v>30</v>
      </c>
      <c r="E56">
        <v>294399</v>
      </c>
      <c r="G56" t="s">
        <v>63</v>
      </c>
      <c r="H56" t="s">
        <v>63</v>
      </c>
      <c r="I56" t="s">
        <v>76</v>
      </c>
      <c r="J56" t="s">
        <v>69</v>
      </c>
      <c r="K56" t="s">
        <v>33</v>
      </c>
      <c r="L56">
        <v>174700</v>
      </c>
      <c r="M56">
        <v>174700</v>
      </c>
      <c r="O56" s="7">
        <f t="shared" si="6"/>
        <v>209640</v>
      </c>
      <c r="P56" s="7">
        <f>IF(C56="Alta Complejidad",M56,0)</f>
        <v>174700</v>
      </c>
      <c r="Q56" s="8">
        <v>0.2</v>
      </c>
      <c r="R56" s="7">
        <f t="shared" si="7"/>
        <v>209640</v>
      </c>
      <c r="S56" s="8">
        <f>IFERROR(((R56-P56)/R56),0)</f>
        <v>0.16666666666666666</v>
      </c>
      <c r="T56" s="7">
        <v>0</v>
      </c>
      <c r="U56" s="8">
        <v>0</v>
      </c>
      <c r="V56" s="7">
        <f>(T56)+(T56*U56)</f>
        <v>0</v>
      </c>
      <c r="W56" s="8">
        <f>IFERROR(((V56-T56)/V56),0)</f>
        <v>0</v>
      </c>
      <c r="X56" s="7">
        <f>IF(C56="Baja Complejidad",M56,0)</f>
        <v>0</v>
      </c>
      <c r="Y56" s="8">
        <v>0</v>
      </c>
      <c r="Z56" s="7">
        <f>(X56)+(X56*Y56)</f>
        <v>0</v>
      </c>
      <c r="AA56" s="8">
        <f>IFERROR(((Z56-X56)/Z56),0)</f>
        <v>0</v>
      </c>
      <c r="AB56" s="8">
        <v>0.1</v>
      </c>
    </row>
    <row r="57" spans="1:28" x14ac:dyDescent="0.25">
      <c r="A57">
        <v>2026</v>
      </c>
      <c r="B57" t="s">
        <v>53</v>
      </c>
      <c r="C57" t="s">
        <v>29</v>
      </c>
      <c r="D57" t="s">
        <v>30</v>
      </c>
      <c r="E57">
        <v>294499</v>
      </c>
      <c r="G57" t="s">
        <v>63</v>
      </c>
      <c r="H57" t="s">
        <v>63</v>
      </c>
      <c r="I57" t="s">
        <v>77</v>
      </c>
      <c r="J57" t="s">
        <v>69</v>
      </c>
      <c r="K57" t="s">
        <v>33</v>
      </c>
      <c r="L57">
        <v>204000</v>
      </c>
      <c r="M57">
        <v>204000</v>
      </c>
      <c r="O57" s="7">
        <f t="shared" si="6"/>
        <v>244800</v>
      </c>
      <c r="P57" s="7">
        <f>IF(C57="Alta Complejidad",M57,0)</f>
        <v>204000</v>
      </c>
      <c r="Q57" s="8">
        <v>0.2</v>
      </c>
      <c r="R57" s="7">
        <f t="shared" si="7"/>
        <v>244800</v>
      </c>
      <c r="S57" s="8">
        <f>IFERROR(((R57-P57)/R57),0)</f>
        <v>0.16666666666666666</v>
      </c>
      <c r="T57" s="7">
        <v>0</v>
      </c>
      <c r="U57" s="8">
        <v>0</v>
      </c>
      <c r="V57" s="7">
        <f>(T57)+(T57*U57)</f>
        <v>0</v>
      </c>
      <c r="W57" s="8">
        <f>IFERROR(((V57-T57)/V57),0)</f>
        <v>0</v>
      </c>
      <c r="X57" s="7">
        <f>IF(C57="Baja Complejidad",M57,0)</f>
        <v>0</v>
      </c>
      <c r="Y57" s="8">
        <v>0</v>
      </c>
      <c r="Z57" s="7">
        <f>(X57)+(X57*Y57)</f>
        <v>0</v>
      </c>
      <c r="AA57" s="8">
        <f>IFERROR(((Z57-X57)/Z57),0)</f>
        <v>0</v>
      </c>
      <c r="AB57" s="8">
        <v>0.1</v>
      </c>
    </row>
    <row r="58" spans="1:28" x14ac:dyDescent="0.25">
      <c r="A58">
        <v>2026</v>
      </c>
      <c r="B58" t="s">
        <v>53</v>
      </c>
      <c r="C58" t="s">
        <v>29</v>
      </c>
      <c r="D58" t="s">
        <v>30</v>
      </c>
      <c r="E58">
        <v>284190</v>
      </c>
      <c r="G58" t="s">
        <v>63</v>
      </c>
      <c r="H58" t="s">
        <v>63</v>
      </c>
      <c r="I58" t="s">
        <v>78</v>
      </c>
      <c r="J58" t="s">
        <v>69</v>
      </c>
      <c r="K58" t="s">
        <v>33</v>
      </c>
      <c r="L58">
        <v>49000</v>
      </c>
      <c r="M58">
        <v>49000</v>
      </c>
      <c r="O58" s="7">
        <f t="shared" si="6"/>
        <v>58800</v>
      </c>
      <c r="P58" s="7">
        <f>IF(C58="Alta Complejidad",M58,0)</f>
        <v>49000</v>
      </c>
      <c r="Q58" s="8">
        <v>0.2</v>
      </c>
      <c r="R58" s="7">
        <f t="shared" si="7"/>
        <v>58800</v>
      </c>
      <c r="S58" s="8">
        <f>IFERROR(((R58-P58)/R58),0)</f>
        <v>0.16666666666666666</v>
      </c>
      <c r="T58" s="7">
        <v>0</v>
      </c>
      <c r="U58" s="8">
        <v>0</v>
      </c>
      <c r="V58" s="7">
        <f>(T58)+(T58*U58)</f>
        <v>0</v>
      </c>
      <c r="W58" s="8">
        <f>IFERROR(((V58-T58)/V58),0)</f>
        <v>0</v>
      </c>
      <c r="X58" s="7">
        <f>IF(C58="Baja Complejidad",M58,0)</f>
        <v>0</v>
      </c>
      <c r="Y58" s="8">
        <v>0</v>
      </c>
      <c r="Z58" s="7">
        <f>(X58)+(X58*Y58)</f>
        <v>0</v>
      </c>
      <c r="AA58" s="8">
        <f>IFERROR(((Z58-X58)/Z58),0)</f>
        <v>0</v>
      </c>
      <c r="AB58" s="8">
        <v>0.1</v>
      </c>
    </row>
    <row r="59" spans="1:28" x14ac:dyDescent="0.25">
      <c r="A59">
        <v>2026</v>
      </c>
      <c r="B59" t="s">
        <v>53</v>
      </c>
      <c r="C59" t="s">
        <v>29</v>
      </c>
      <c r="D59" t="s">
        <v>30</v>
      </c>
      <c r="E59">
        <v>284390</v>
      </c>
      <c r="G59" t="s">
        <v>63</v>
      </c>
      <c r="H59" t="s">
        <v>63</v>
      </c>
      <c r="I59" t="s">
        <v>79</v>
      </c>
      <c r="J59" t="s">
        <v>66</v>
      </c>
      <c r="K59" t="s">
        <v>33</v>
      </c>
      <c r="L59">
        <v>224100</v>
      </c>
      <c r="M59">
        <v>224100</v>
      </c>
      <c r="O59" s="7">
        <f t="shared" si="6"/>
        <v>268920</v>
      </c>
      <c r="P59" s="7">
        <f>IF(C59="Alta Complejidad",M59,0)</f>
        <v>224100</v>
      </c>
      <c r="Q59" s="8">
        <v>0.2</v>
      </c>
      <c r="R59" s="7">
        <f t="shared" si="7"/>
        <v>268920</v>
      </c>
      <c r="S59" s="8">
        <f>IFERROR(((R59-P59)/R59),0)</f>
        <v>0.16666666666666666</v>
      </c>
      <c r="T59" s="7">
        <v>0</v>
      </c>
      <c r="U59" s="8">
        <v>0</v>
      </c>
      <c r="V59" s="7">
        <f>(T59)+(T59*U59)</f>
        <v>0</v>
      </c>
      <c r="W59" s="8">
        <f>IFERROR(((V59-T59)/V59),0)</f>
        <v>0</v>
      </c>
      <c r="X59" s="7">
        <f>IF(C59="Baja Complejidad",M59,0)</f>
        <v>0</v>
      </c>
      <c r="Y59" s="8">
        <v>0</v>
      </c>
      <c r="Z59" s="7">
        <f>(X59)+(X59*Y59)</f>
        <v>0</v>
      </c>
      <c r="AA59" s="8">
        <f>IFERROR(((Z59-X59)/Z59),0)</f>
        <v>0</v>
      </c>
      <c r="AB59" s="8">
        <v>0.1</v>
      </c>
    </row>
    <row r="60" spans="1:28" x14ac:dyDescent="0.25">
      <c r="A60">
        <v>2026</v>
      </c>
      <c r="B60" t="s">
        <v>53</v>
      </c>
      <c r="C60" t="s">
        <v>29</v>
      </c>
      <c r="D60" t="s">
        <v>30</v>
      </c>
      <c r="E60">
        <v>287100</v>
      </c>
      <c r="G60" t="s">
        <v>63</v>
      </c>
      <c r="H60" t="s">
        <v>63</v>
      </c>
      <c r="I60" t="s">
        <v>80</v>
      </c>
      <c r="J60" t="s">
        <v>66</v>
      </c>
      <c r="K60" t="s">
        <v>33</v>
      </c>
      <c r="L60">
        <v>38000</v>
      </c>
      <c r="M60">
        <v>38000</v>
      </c>
      <c r="O60" s="7">
        <f t="shared" si="6"/>
        <v>45600</v>
      </c>
      <c r="P60" s="7">
        <f>IF(C60="Alta Complejidad",M60,0)</f>
        <v>38000</v>
      </c>
      <c r="Q60" s="8">
        <v>0.2</v>
      </c>
      <c r="R60" s="7">
        <f t="shared" si="7"/>
        <v>45600</v>
      </c>
      <c r="S60" s="8">
        <f>IFERROR(((R60-P60)/R60),0)</f>
        <v>0.16666666666666666</v>
      </c>
      <c r="T60" s="7">
        <v>0</v>
      </c>
      <c r="U60" s="8">
        <v>0</v>
      </c>
      <c r="V60" s="7">
        <f>(T60)+(T60*U60)</f>
        <v>0</v>
      </c>
      <c r="W60" s="8">
        <f>IFERROR(((V60-T60)/V60),0)</f>
        <v>0</v>
      </c>
      <c r="X60" s="7">
        <f>IF(C60="Baja Complejidad",M60,0)</f>
        <v>0</v>
      </c>
      <c r="Y60" s="8">
        <v>0</v>
      </c>
      <c r="Z60" s="7">
        <f>(X60)+(X60*Y60)</f>
        <v>0</v>
      </c>
      <c r="AA60" s="8">
        <f>IFERROR(((Z60-X60)/Z60),0)</f>
        <v>0</v>
      </c>
      <c r="AB60" s="8">
        <v>0.1</v>
      </c>
    </row>
    <row r="61" spans="1:28" x14ac:dyDescent="0.25">
      <c r="A61">
        <v>2026</v>
      </c>
      <c r="B61" t="s">
        <v>53</v>
      </c>
      <c r="C61" t="s">
        <v>29</v>
      </c>
      <c r="D61" t="s">
        <v>30</v>
      </c>
      <c r="E61">
        <v>287200</v>
      </c>
      <c r="G61" t="s">
        <v>63</v>
      </c>
      <c r="H61" t="s">
        <v>63</v>
      </c>
      <c r="I61" t="s">
        <v>81</v>
      </c>
      <c r="J61" t="s">
        <v>66</v>
      </c>
      <c r="K61" t="s">
        <v>33</v>
      </c>
      <c r="L61">
        <v>39800</v>
      </c>
      <c r="M61">
        <v>39800</v>
      </c>
      <c r="O61" s="7">
        <f t="shared" si="6"/>
        <v>47760</v>
      </c>
      <c r="P61" s="7">
        <f>IF(C61="Alta Complejidad",M61,0)</f>
        <v>39800</v>
      </c>
      <c r="Q61" s="8">
        <v>0.2</v>
      </c>
      <c r="R61" s="7">
        <f t="shared" si="7"/>
        <v>47760</v>
      </c>
      <c r="S61" s="8">
        <f>IFERROR(((R61-P61)/R61),0)</f>
        <v>0.16666666666666666</v>
      </c>
      <c r="T61" s="7">
        <v>0</v>
      </c>
      <c r="U61" s="8">
        <v>0</v>
      </c>
      <c r="V61" s="7">
        <f>(T61)+(T61*U61)</f>
        <v>0</v>
      </c>
      <c r="W61" s="8">
        <f>IFERROR(((V61-T61)/V61),0)</f>
        <v>0</v>
      </c>
      <c r="X61" s="7">
        <f>IF(C61="Baja Complejidad",M61,0)</f>
        <v>0</v>
      </c>
      <c r="Y61" s="8">
        <v>0</v>
      </c>
      <c r="Z61" s="7">
        <f>(X61)+(X61*Y61)</f>
        <v>0</v>
      </c>
      <c r="AA61" s="8">
        <f>IFERROR(((Z61-X61)/Z61),0)</f>
        <v>0</v>
      </c>
      <c r="AB61" s="8">
        <v>0.1</v>
      </c>
    </row>
    <row r="62" spans="1:28" x14ac:dyDescent="0.25">
      <c r="A62">
        <v>2026</v>
      </c>
      <c r="B62" t="s">
        <v>54</v>
      </c>
      <c r="C62" t="s">
        <v>29</v>
      </c>
      <c r="D62" t="s">
        <v>30</v>
      </c>
      <c r="E62">
        <v>360001</v>
      </c>
      <c r="G62" t="s">
        <v>63</v>
      </c>
      <c r="H62" t="s">
        <v>63</v>
      </c>
      <c r="I62" t="s">
        <v>65</v>
      </c>
      <c r="J62" t="s">
        <v>66</v>
      </c>
      <c r="K62" t="s">
        <v>33</v>
      </c>
      <c r="L62">
        <v>28800</v>
      </c>
      <c r="M62">
        <v>28800</v>
      </c>
      <c r="O62" s="7">
        <f>R62</f>
        <v>34560</v>
      </c>
      <c r="P62" s="7">
        <f>IF(C62="Alta Complejidad",M62,0)</f>
        <v>28800</v>
      </c>
      <c r="Q62" s="8">
        <v>0.2</v>
      </c>
      <c r="R62" s="7">
        <f>P62+(P62*Q62)</f>
        <v>34560</v>
      </c>
      <c r="S62" s="8">
        <f>IFERROR(((R62-P62)/R62),0)</f>
        <v>0.16666666666666666</v>
      </c>
      <c r="T62" s="7">
        <v>0</v>
      </c>
      <c r="U62" s="8">
        <v>0</v>
      </c>
      <c r="V62" s="7">
        <f>(T62)+(T62*U62)</f>
        <v>0</v>
      </c>
      <c r="W62" s="8">
        <f>IFERROR(((V62-T62)/V62),0)</f>
        <v>0</v>
      </c>
      <c r="X62" s="7">
        <f>IF(C62="Baja Complejidad",M62,0)</f>
        <v>0</v>
      </c>
      <c r="Y62" s="8">
        <v>0</v>
      </c>
      <c r="Z62" s="7">
        <f>(X62)+(X62*Y62)</f>
        <v>0</v>
      </c>
      <c r="AA62" s="8">
        <f>IFERROR(((Z62-X62)/Z62),0)</f>
        <v>0</v>
      </c>
      <c r="AB62" s="8">
        <v>0.1</v>
      </c>
    </row>
    <row r="63" spans="1:28" x14ac:dyDescent="0.25">
      <c r="A63">
        <v>2026</v>
      </c>
      <c r="B63" t="s">
        <v>54</v>
      </c>
      <c r="C63" t="s">
        <v>29</v>
      </c>
      <c r="D63" t="s">
        <v>30</v>
      </c>
      <c r="E63">
        <v>709900</v>
      </c>
      <c r="G63" t="s">
        <v>63</v>
      </c>
      <c r="H63" t="s">
        <v>63</v>
      </c>
      <c r="I63" t="s">
        <v>67</v>
      </c>
      <c r="J63" t="s">
        <v>66</v>
      </c>
      <c r="K63" t="s">
        <v>33</v>
      </c>
      <c r="L63">
        <v>36700</v>
      </c>
      <c r="M63">
        <v>36700</v>
      </c>
      <c r="O63" s="7">
        <f t="shared" ref="O63:O76" si="8">R63</f>
        <v>44040</v>
      </c>
      <c r="P63" s="7">
        <f>IF(C63="Alta Complejidad",M63,0)</f>
        <v>36700</v>
      </c>
      <c r="Q63" s="8">
        <v>0.2</v>
      </c>
      <c r="R63" s="7">
        <f t="shared" ref="R63:R76" si="9">P63+(P63*Q63)</f>
        <v>44040</v>
      </c>
      <c r="S63" s="8">
        <f>IFERROR(((R63-P63)/R63),0)</f>
        <v>0.16666666666666666</v>
      </c>
      <c r="T63" s="7">
        <v>0</v>
      </c>
      <c r="U63" s="8">
        <v>0</v>
      </c>
      <c r="V63" s="7">
        <f>(T63)+(T63*U63)</f>
        <v>0</v>
      </c>
      <c r="W63" s="8">
        <f>IFERROR(((V63-T63)/V63),0)</f>
        <v>0</v>
      </c>
      <c r="X63" s="7">
        <f>IF(C63="Baja Complejidad",M63,0)</f>
        <v>0</v>
      </c>
      <c r="Y63" s="8">
        <v>0</v>
      </c>
      <c r="Z63" s="7">
        <f>(X63)+(X63*Y63)</f>
        <v>0</v>
      </c>
      <c r="AA63" s="8">
        <f>IFERROR(((Z63-X63)/Z63),0)</f>
        <v>0</v>
      </c>
      <c r="AB63" s="8">
        <v>0.1</v>
      </c>
    </row>
    <row r="64" spans="1:28" x14ac:dyDescent="0.25">
      <c r="A64">
        <v>2026</v>
      </c>
      <c r="B64" t="s">
        <v>54</v>
      </c>
      <c r="C64" t="s">
        <v>29</v>
      </c>
      <c r="D64" t="s">
        <v>30</v>
      </c>
      <c r="E64">
        <v>709902</v>
      </c>
      <c r="G64" t="s">
        <v>63</v>
      </c>
      <c r="H64" t="s">
        <v>63</v>
      </c>
      <c r="I64" t="s">
        <v>68</v>
      </c>
      <c r="J64" t="s">
        <v>69</v>
      </c>
      <c r="K64" t="s">
        <v>33</v>
      </c>
      <c r="L64">
        <v>28000</v>
      </c>
      <c r="M64">
        <v>28000</v>
      </c>
      <c r="O64" s="7">
        <f t="shared" si="8"/>
        <v>33600</v>
      </c>
      <c r="P64" s="7">
        <f>IF(C64="Alta Complejidad",M64,0)</f>
        <v>28000</v>
      </c>
      <c r="Q64" s="8">
        <v>0.2</v>
      </c>
      <c r="R64" s="7">
        <f t="shared" si="9"/>
        <v>33600</v>
      </c>
      <c r="S64" s="8">
        <f>IFERROR(((R64-P64)/R64),0)</f>
        <v>0.16666666666666666</v>
      </c>
      <c r="T64" s="7">
        <v>0</v>
      </c>
      <c r="U64" s="8">
        <v>0</v>
      </c>
      <c r="V64" s="7">
        <f>(T64)+(T64*U64)</f>
        <v>0</v>
      </c>
      <c r="W64" s="8">
        <f>IFERROR(((V64-T64)/V64),0)</f>
        <v>0</v>
      </c>
      <c r="X64" s="7">
        <f>IF(C64="Baja Complejidad",M64,0)</f>
        <v>0</v>
      </c>
      <c r="Y64" s="8">
        <v>0</v>
      </c>
      <c r="Z64" s="7">
        <f>(X64)+(X64*Y64)</f>
        <v>0</v>
      </c>
      <c r="AA64" s="8">
        <f>IFERROR(((Z64-X64)/Z64),0)</f>
        <v>0</v>
      </c>
      <c r="AB64" s="8">
        <v>0.1</v>
      </c>
    </row>
    <row r="65" spans="1:28" x14ac:dyDescent="0.25">
      <c r="A65">
        <v>2026</v>
      </c>
      <c r="B65" t="s">
        <v>54</v>
      </c>
      <c r="C65" t="s">
        <v>29</v>
      </c>
      <c r="D65" t="s">
        <v>30</v>
      </c>
      <c r="E65">
        <v>709903</v>
      </c>
      <c r="G65" t="s">
        <v>63</v>
      </c>
      <c r="H65" t="s">
        <v>63</v>
      </c>
      <c r="I65" t="s">
        <v>70</v>
      </c>
      <c r="J65" t="s">
        <v>69</v>
      </c>
      <c r="K65" t="s">
        <v>33</v>
      </c>
      <c r="L65">
        <v>36700</v>
      </c>
      <c r="M65">
        <v>36700</v>
      </c>
      <c r="O65" s="7">
        <f t="shared" si="8"/>
        <v>44040</v>
      </c>
      <c r="P65" s="7">
        <f>IF(C65="Alta Complejidad",M65,0)</f>
        <v>36700</v>
      </c>
      <c r="Q65" s="8">
        <v>0.2</v>
      </c>
      <c r="R65" s="7">
        <f t="shared" si="9"/>
        <v>44040</v>
      </c>
      <c r="S65" s="8">
        <f>IFERROR(((R65-P65)/R65),0)</f>
        <v>0.16666666666666666</v>
      </c>
      <c r="T65" s="7">
        <v>0</v>
      </c>
      <c r="U65" s="8">
        <v>0</v>
      </c>
      <c r="V65" s="7">
        <f>(T65)+(T65*U65)</f>
        <v>0</v>
      </c>
      <c r="W65" s="8">
        <f>IFERROR(((V65-T65)/V65),0)</f>
        <v>0</v>
      </c>
      <c r="X65" s="7">
        <f>IF(C65="Baja Complejidad",M65,0)</f>
        <v>0</v>
      </c>
      <c r="Y65" s="8">
        <v>0</v>
      </c>
      <c r="Z65" s="7">
        <f>(X65)+(X65*Y65)</f>
        <v>0</v>
      </c>
      <c r="AA65" s="8">
        <f>IFERROR(((Z65-X65)/Z65),0)</f>
        <v>0</v>
      </c>
      <c r="AB65" s="8">
        <v>0.1</v>
      </c>
    </row>
    <row r="66" spans="1:28" x14ac:dyDescent="0.25">
      <c r="A66">
        <v>2026</v>
      </c>
      <c r="B66" t="s">
        <v>54</v>
      </c>
      <c r="C66" t="s">
        <v>29</v>
      </c>
      <c r="D66" t="s">
        <v>30</v>
      </c>
      <c r="E66">
        <v>603421</v>
      </c>
      <c r="G66" t="s">
        <v>63</v>
      </c>
      <c r="H66" t="s">
        <v>63</v>
      </c>
      <c r="I66" t="s">
        <v>71</v>
      </c>
      <c r="J66" t="s">
        <v>69</v>
      </c>
      <c r="K66" t="s">
        <v>33</v>
      </c>
      <c r="L66">
        <v>21900</v>
      </c>
      <c r="M66">
        <v>21900</v>
      </c>
      <c r="O66" s="7">
        <f t="shared" si="8"/>
        <v>26280</v>
      </c>
      <c r="P66" s="7">
        <f>IF(C66="Alta Complejidad",M66,0)</f>
        <v>21900</v>
      </c>
      <c r="Q66" s="8">
        <v>0.2</v>
      </c>
      <c r="R66" s="7">
        <f t="shared" si="9"/>
        <v>26280</v>
      </c>
      <c r="S66" s="8">
        <f>IFERROR(((R66-P66)/R66),0)</f>
        <v>0.16666666666666666</v>
      </c>
      <c r="T66" s="7">
        <v>0</v>
      </c>
      <c r="U66" s="8">
        <v>0</v>
      </c>
      <c r="V66" s="7">
        <f>(T66)+(T66*U66)</f>
        <v>0</v>
      </c>
      <c r="W66" s="8">
        <f>IFERROR(((V66-T66)/V66),0)</f>
        <v>0</v>
      </c>
      <c r="X66" s="7">
        <f>IF(C66="Baja Complejidad",M66,0)</f>
        <v>0</v>
      </c>
      <c r="Y66" s="8">
        <v>0</v>
      </c>
      <c r="Z66" s="7">
        <f>(X66)+(X66*Y66)</f>
        <v>0</v>
      </c>
      <c r="AA66" s="8">
        <f>IFERROR(((Z66-X66)/Z66),0)</f>
        <v>0</v>
      </c>
      <c r="AB66" s="8">
        <v>0.1</v>
      </c>
    </row>
    <row r="67" spans="1:28" x14ac:dyDescent="0.25">
      <c r="A67">
        <v>2026</v>
      </c>
      <c r="B67" t="s">
        <v>54</v>
      </c>
      <c r="C67" t="s">
        <v>29</v>
      </c>
      <c r="D67" t="s">
        <v>30</v>
      </c>
      <c r="E67">
        <v>603422</v>
      </c>
      <c r="G67" t="s">
        <v>63</v>
      </c>
      <c r="H67" t="s">
        <v>63</v>
      </c>
      <c r="I67" t="s">
        <v>72</v>
      </c>
      <c r="J67" t="s">
        <v>69</v>
      </c>
      <c r="K67" t="s">
        <v>33</v>
      </c>
      <c r="L67">
        <v>114900</v>
      </c>
      <c r="M67">
        <v>114900</v>
      </c>
      <c r="O67" s="7">
        <f t="shared" si="8"/>
        <v>137880</v>
      </c>
      <c r="P67" s="7">
        <f>IF(C67="Alta Complejidad",M67,0)</f>
        <v>114900</v>
      </c>
      <c r="Q67" s="8">
        <v>0.2</v>
      </c>
      <c r="R67" s="7">
        <f t="shared" si="9"/>
        <v>137880</v>
      </c>
      <c r="S67" s="8">
        <f>IFERROR(((R67-P67)/R67),0)</f>
        <v>0.16666666666666666</v>
      </c>
      <c r="T67" s="7">
        <v>0</v>
      </c>
      <c r="U67" s="8">
        <v>0</v>
      </c>
      <c r="V67" s="7">
        <f>(T67)+(T67*U67)</f>
        <v>0</v>
      </c>
      <c r="W67" s="8">
        <f>IFERROR(((V67-T67)/V67),0)</f>
        <v>0</v>
      </c>
      <c r="X67" s="7">
        <f>IF(C67="Baja Complejidad",M67,0)</f>
        <v>0</v>
      </c>
      <c r="Y67" s="8">
        <v>0</v>
      </c>
      <c r="Z67" s="7">
        <f>(X67)+(X67*Y67)</f>
        <v>0</v>
      </c>
      <c r="AA67" s="8">
        <f>IFERROR(((Z67-X67)/Z67),0)</f>
        <v>0</v>
      </c>
      <c r="AB67" s="8">
        <v>0.1</v>
      </c>
    </row>
    <row r="68" spans="1:28" x14ac:dyDescent="0.25">
      <c r="A68">
        <v>2026</v>
      </c>
      <c r="B68" t="s">
        <v>54</v>
      </c>
      <c r="C68" t="s">
        <v>29</v>
      </c>
      <c r="D68" t="s">
        <v>30</v>
      </c>
      <c r="E68">
        <v>603423</v>
      </c>
      <c r="G68" t="s">
        <v>63</v>
      </c>
      <c r="H68" t="s">
        <v>63</v>
      </c>
      <c r="I68" t="s">
        <v>73</v>
      </c>
      <c r="J68" t="s">
        <v>69</v>
      </c>
      <c r="K68" t="s">
        <v>33</v>
      </c>
      <c r="L68">
        <v>28000</v>
      </c>
      <c r="M68">
        <v>28000</v>
      </c>
      <c r="O68" s="7">
        <f t="shared" si="8"/>
        <v>33600</v>
      </c>
      <c r="P68" s="7">
        <f>IF(C68="Alta Complejidad",M68,0)</f>
        <v>28000</v>
      </c>
      <c r="Q68" s="8">
        <v>0.2</v>
      </c>
      <c r="R68" s="7">
        <f t="shared" si="9"/>
        <v>33600</v>
      </c>
      <c r="S68" s="8">
        <f>IFERROR(((R68-P68)/R68),0)</f>
        <v>0.16666666666666666</v>
      </c>
      <c r="T68" s="7">
        <v>0</v>
      </c>
      <c r="U68" s="8">
        <v>0</v>
      </c>
      <c r="V68" s="7">
        <f>(T68)+(T68*U68)</f>
        <v>0</v>
      </c>
      <c r="W68" s="8">
        <f>IFERROR(((V68-T68)/V68),0)</f>
        <v>0</v>
      </c>
      <c r="X68" s="7">
        <f>IF(C68="Baja Complejidad",M68,0)</f>
        <v>0</v>
      </c>
      <c r="Y68" s="8">
        <v>0</v>
      </c>
      <c r="Z68" s="7">
        <f>(X68)+(X68*Y68)</f>
        <v>0</v>
      </c>
      <c r="AA68" s="8">
        <f>IFERROR(((Z68-X68)/Z68),0)</f>
        <v>0</v>
      </c>
      <c r="AB68" s="8">
        <v>0.1</v>
      </c>
    </row>
    <row r="69" spans="1:28" x14ac:dyDescent="0.25">
      <c r="A69">
        <v>2026</v>
      </c>
      <c r="B69" t="s">
        <v>54</v>
      </c>
      <c r="C69" t="s">
        <v>29</v>
      </c>
      <c r="D69" t="s">
        <v>30</v>
      </c>
      <c r="E69">
        <v>294199</v>
      </c>
      <c r="G69" t="s">
        <v>63</v>
      </c>
      <c r="H69" t="s">
        <v>63</v>
      </c>
      <c r="I69" t="s">
        <v>74</v>
      </c>
      <c r="J69" t="s">
        <v>69</v>
      </c>
      <c r="K69" t="s">
        <v>33</v>
      </c>
      <c r="L69">
        <v>49200</v>
      </c>
      <c r="M69">
        <v>49200</v>
      </c>
      <c r="O69" s="7">
        <f t="shared" si="8"/>
        <v>59040</v>
      </c>
      <c r="P69" s="7">
        <f>IF(C69="Alta Complejidad",M69,0)</f>
        <v>49200</v>
      </c>
      <c r="Q69" s="8">
        <v>0.2</v>
      </c>
      <c r="R69" s="7">
        <f t="shared" si="9"/>
        <v>59040</v>
      </c>
      <c r="S69" s="8">
        <f>IFERROR(((R69-P69)/R69),0)</f>
        <v>0.16666666666666666</v>
      </c>
      <c r="T69" s="7">
        <v>0</v>
      </c>
      <c r="U69" s="8">
        <v>0</v>
      </c>
      <c r="V69" s="7">
        <f>(T69)+(T69*U69)</f>
        <v>0</v>
      </c>
      <c r="W69" s="8">
        <f>IFERROR(((V69-T69)/V69),0)</f>
        <v>0</v>
      </c>
      <c r="X69" s="7">
        <f>IF(C69="Baja Complejidad",M69,0)</f>
        <v>0</v>
      </c>
      <c r="Y69" s="8">
        <v>0</v>
      </c>
      <c r="Z69" s="7">
        <f>(X69)+(X69*Y69)</f>
        <v>0</v>
      </c>
      <c r="AA69" s="8">
        <f>IFERROR(((Z69-X69)/Z69),0)</f>
        <v>0</v>
      </c>
      <c r="AB69" s="8">
        <v>0.1</v>
      </c>
    </row>
    <row r="70" spans="1:28" x14ac:dyDescent="0.25">
      <c r="A70">
        <v>2026</v>
      </c>
      <c r="B70" t="s">
        <v>54</v>
      </c>
      <c r="C70" t="s">
        <v>29</v>
      </c>
      <c r="D70" t="s">
        <v>30</v>
      </c>
      <c r="E70">
        <v>294299</v>
      </c>
      <c r="G70" t="s">
        <v>63</v>
      </c>
      <c r="H70" t="s">
        <v>63</v>
      </c>
      <c r="I70" t="s">
        <v>75</v>
      </c>
      <c r="J70" t="s">
        <v>69</v>
      </c>
      <c r="K70" t="s">
        <v>33</v>
      </c>
      <c r="L70">
        <v>141600</v>
      </c>
      <c r="M70">
        <v>141600</v>
      </c>
      <c r="O70" s="7">
        <f t="shared" si="8"/>
        <v>169920</v>
      </c>
      <c r="P70" s="7">
        <f>IF(C70="Alta Complejidad",M70,0)</f>
        <v>141600</v>
      </c>
      <c r="Q70" s="8">
        <v>0.2</v>
      </c>
      <c r="R70" s="7">
        <f t="shared" si="9"/>
        <v>169920</v>
      </c>
      <c r="S70" s="8">
        <f>IFERROR(((R70-P70)/R70),0)</f>
        <v>0.16666666666666666</v>
      </c>
      <c r="T70" s="7">
        <v>0</v>
      </c>
      <c r="U70" s="8">
        <v>0</v>
      </c>
      <c r="V70" s="7">
        <f>(T70)+(T70*U70)</f>
        <v>0</v>
      </c>
      <c r="W70" s="8">
        <f>IFERROR(((V70-T70)/V70),0)</f>
        <v>0</v>
      </c>
      <c r="X70" s="7">
        <f>IF(C70="Baja Complejidad",M70,0)</f>
        <v>0</v>
      </c>
      <c r="Y70" s="8">
        <v>0</v>
      </c>
      <c r="Z70" s="7">
        <f>(X70)+(X70*Y70)</f>
        <v>0</v>
      </c>
      <c r="AA70" s="8">
        <f>IFERROR(((Z70-X70)/Z70),0)</f>
        <v>0</v>
      </c>
      <c r="AB70" s="8">
        <v>0.1</v>
      </c>
    </row>
    <row r="71" spans="1:28" x14ac:dyDescent="0.25">
      <c r="A71">
        <v>2026</v>
      </c>
      <c r="B71" t="s">
        <v>54</v>
      </c>
      <c r="C71" t="s">
        <v>29</v>
      </c>
      <c r="D71" t="s">
        <v>30</v>
      </c>
      <c r="E71">
        <v>294399</v>
      </c>
      <c r="G71" t="s">
        <v>63</v>
      </c>
      <c r="H71" t="s">
        <v>63</v>
      </c>
      <c r="I71" t="s">
        <v>76</v>
      </c>
      <c r="J71" t="s">
        <v>69</v>
      </c>
      <c r="K71" t="s">
        <v>33</v>
      </c>
      <c r="L71">
        <v>174700</v>
      </c>
      <c r="M71">
        <v>174700</v>
      </c>
      <c r="O71" s="7">
        <f t="shared" si="8"/>
        <v>209640</v>
      </c>
      <c r="P71" s="7">
        <f>IF(C71="Alta Complejidad",M71,0)</f>
        <v>174700</v>
      </c>
      <c r="Q71" s="8">
        <v>0.2</v>
      </c>
      <c r="R71" s="7">
        <f t="shared" si="9"/>
        <v>209640</v>
      </c>
      <c r="S71" s="8">
        <f>IFERROR(((R71-P71)/R71),0)</f>
        <v>0.16666666666666666</v>
      </c>
      <c r="T71" s="7">
        <v>0</v>
      </c>
      <c r="U71" s="8">
        <v>0</v>
      </c>
      <c r="V71" s="7">
        <f>(T71)+(T71*U71)</f>
        <v>0</v>
      </c>
      <c r="W71" s="8">
        <f>IFERROR(((V71-T71)/V71),0)</f>
        <v>0</v>
      </c>
      <c r="X71" s="7">
        <f>IF(C71="Baja Complejidad",M71,0)</f>
        <v>0</v>
      </c>
      <c r="Y71" s="8">
        <v>0</v>
      </c>
      <c r="Z71" s="7">
        <f>(X71)+(X71*Y71)</f>
        <v>0</v>
      </c>
      <c r="AA71" s="8">
        <f>IFERROR(((Z71-X71)/Z71),0)</f>
        <v>0</v>
      </c>
      <c r="AB71" s="8">
        <v>0.1</v>
      </c>
    </row>
    <row r="72" spans="1:28" x14ac:dyDescent="0.25">
      <c r="A72">
        <v>2026</v>
      </c>
      <c r="B72" t="s">
        <v>54</v>
      </c>
      <c r="C72" t="s">
        <v>29</v>
      </c>
      <c r="D72" t="s">
        <v>30</v>
      </c>
      <c r="E72">
        <v>294499</v>
      </c>
      <c r="G72" t="s">
        <v>63</v>
      </c>
      <c r="H72" t="s">
        <v>63</v>
      </c>
      <c r="I72" t="s">
        <v>77</v>
      </c>
      <c r="J72" t="s">
        <v>69</v>
      </c>
      <c r="K72" t="s">
        <v>33</v>
      </c>
      <c r="L72">
        <v>204000</v>
      </c>
      <c r="M72">
        <v>204000</v>
      </c>
      <c r="O72" s="7">
        <f t="shared" si="8"/>
        <v>244800</v>
      </c>
      <c r="P72" s="7">
        <f>IF(C72="Alta Complejidad",M72,0)</f>
        <v>204000</v>
      </c>
      <c r="Q72" s="8">
        <v>0.2</v>
      </c>
      <c r="R72" s="7">
        <f t="shared" si="9"/>
        <v>244800</v>
      </c>
      <c r="S72" s="8">
        <f>IFERROR(((R72-P72)/R72),0)</f>
        <v>0.16666666666666666</v>
      </c>
      <c r="T72" s="7">
        <v>0</v>
      </c>
      <c r="U72" s="8">
        <v>0</v>
      </c>
      <c r="V72" s="7">
        <f>(T72)+(T72*U72)</f>
        <v>0</v>
      </c>
      <c r="W72" s="8">
        <f>IFERROR(((V72-T72)/V72),0)</f>
        <v>0</v>
      </c>
      <c r="X72" s="7">
        <f>IF(C72="Baja Complejidad",M72,0)</f>
        <v>0</v>
      </c>
      <c r="Y72" s="8">
        <v>0</v>
      </c>
      <c r="Z72" s="7">
        <f>(X72)+(X72*Y72)</f>
        <v>0</v>
      </c>
      <c r="AA72" s="8">
        <f>IFERROR(((Z72-X72)/Z72),0)</f>
        <v>0</v>
      </c>
      <c r="AB72" s="8">
        <v>0.1</v>
      </c>
    </row>
    <row r="73" spans="1:28" x14ac:dyDescent="0.25">
      <c r="A73">
        <v>2026</v>
      </c>
      <c r="B73" t="s">
        <v>54</v>
      </c>
      <c r="C73" t="s">
        <v>29</v>
      </c>
      <c r="D73" t="s">
        <v>30</v>
      </c>
      <c r="E73">
        <v>284190</v>
      </c>
      <c r="G73" t="s">
        <v>63</v>
      </c>
      <c r="H73" t="s">
        <v>63</v>
      </c>
      <c r="I73" t="s">
        <v>78</v>
      </c>
      <c r="J73" t="s">
        <v>69</v>
      </c>
      <c r="K73" t="s">
        <v>33</v>
      </c>
      <c r="L73">
        <v>49000</v>
      </c>
      <c r="M73">
        <v>49000</v>
      </c>
      <c r="O73" s="7">
        <f t="shared" si="8"/>
        <v>58800</v>
      </c>
      <c r="P73" s="7">
        <f>IF(C73="Alta Complejidad",M73,0)</f>
        <v>49000</v>
      </c>
      <c r="Q73" s="8">
        <v>0.2</v>
      </c>
      <c r="R73" s="7">
        <f t="shared" si="9"/>
        <v>58800</v>
      </c>
      <c r="S73" s="8">
        <f>IFERROR(((R73-P73)/R73),0)</f>
        <v>0.16666666666666666</v>
      </c>
      <c r="T73" s="7">
        <v>0</v>
      </c>
      <c r="U73" s="8">
        <v>0</v>
      </c>
      <c r="V73" s="7">
        <f>(T73)+(T73*U73)</f>
        <v>0</v>
      </c>
      <c r="W73" s="8">
        <f>IFERROR(((V73-T73)/V73),0)</f>
        <v>0</v>
      </c>
      <c r="X73" s="7">
        <f>IF(C73="Baja Complejidad",M73,0)</f>
        <v>0</v>
      </c>
      <c r="Y73" s="8">
        <v>0</v>
      </c>
      <c r="Z73" s="7">
        <f>(X73)+(X73*Y73)</f>
        <v>0</v>
      </c>
      <c r="AA73" s="8">
        <f>IFERROR(((Z73-X73)/Z73),0)</f>
        <v>0</v>
      </c>
      <c r="AB73" s="8">
        <v>0.1</v>
      </c>
    </row>
    <row r="74" spans="1:28" x14ac:dyDescent="0.25">
      <c r="A74">
        <v>2026</v>
      </c>
      <c r="B74" t="s">
        <v>54</v>
      </c>
      <c r="C74" t="s">
        <v>29</v>
      </c>
      <c r="D74" t="s">
        <v>30</v>
      </c>
      <c r="E74">
        <v>284390</v>
      </c>
      <c r="G74" t="s">
        <v>63</v>
      </c>
      <c r="H74" t="s">
        <v>63</v>
      </c>
      <c r="I74" t="s">
        <v>79</v>
      </c>
      <c r="J74" t="s">
        <v>66</v>
      </c>
      <c r="K74" t="s">
        <v>33</v>
      </c>
      <c r="L74">
        <v>224100</v>
      </c>
      <c r="M74">
        <v>224100</v>
      </c>
      <c r="O74" s="7">
        <f t="shared" si="8"/>
        <v>268920</v>
      </c>
      <c r="P74" s="7">
        <f>IF(C74="Alta Complejidad",M74,0)</f>
        <v>224100</v>
      </c>
      <c r="Q74" s="8">
        <v>0.2</v>
      </c>
      <c r="R74" s="7">
        <f t="shared" si="9"/>
        <v>268920</v>
      </c>
      <c r="S74" s="8">
        <f>IFERROR(((R74-P74)/R74),0)</f>
        <v>0.16666666666666666</v>
      </c>
      <c r="T74" s="7">
        <v>0</v>
      </c>
      <c r="U74" s="8">
        <v>0</v>
      </c>
      <c r="V74" s="7">
        <f>(T74)+(T74*U74)</f>
        <v>0</v>
      </c>
      <c r="W74" s="8">
        <f>IFERROR(((V74-T74)/V74),0)</f>
        <v>0</v>
      </c>
      <c r="X74" s="7">
        <f>IF(C74="Baja Complejidad",M74,0)</f>
        <v>0</v>
      </c>
      <c r="Y74" s="8">
        <v>0</v>
      </c>
      <c r="Z74" s="7">
        <f>(X74)+(X74*Y74)</f>
        <v>0</v>
      </c>
      <c r="AA74" s="8">
        <f>IFERROR(((Z74-X74)/Z74),0)</f>
        <v>0</v>
      </c>
      <c r="AB74" s="8">
        <v>0.1</v>
      </c>
    </row>
    <row r="75" spans="1:28" x14ac:dyDescent="0.25">
      <c r="A75">
        <v>2026</v>
      </c>
      <c r="B75" t="s">
        <v>54</v>
      </c>
      <c r="C75" t="s">
        <v>29</v>
      </c>
      <c r="D75" t="s">
        <v>30</v>
      </c>
      <c r="E75">
        <v>287100</v>
      </c>
      <c r="G75" t="s">
        <v>63</v>
      </c>
      <c r="H75" t="s">
        <v>63</v>
      </c>
      <c r="I75" t="s">
        <v>80</v>
      </c>
      <c r="J75" t="s">
        <v>66</v>
      </c>
      <c r="K75" t="s">
        <v>33</v>
      </c>
      <c r="L75">
        <v>38000</v>
      </c>
      <c r="M75">
        <v>38000</v>
      </c>
      <c r="O75" s="7">
        <f t="shared" si="8"/>
        <v>45600</v>
      </c>
      <c r="P75" s="7">
        <f>IF(C75="Alta Complejidad",M75,0)</f>
        <v>38000</v>
      </c>
      <c r="Q75" s="8">
        <v>0.2</v>
      </c>
      <c r="R75" s="7">
        <f t="shared" si="9"/>
        <v>45600</v>
      </c>
      <c r="S75" s="8">
        <f>IFERROR(((R75-P75)/R75),0)</f>
        <v>0.16666666666666666</v>
      </c>
      <c r="T75" s="7">
        <v>0</v>
      </c>
      <c r="U75" s="8">
        <v>0</v>
      </c>
      <c r="V75" s="7">
        <f>(T75)+(T75*U75)</f>
        <v>0</v>
      </c>
      <c r="W75" s="8">
        <f>IFERROR(((V75-T75)/V75),0)</f>
        <v>0</v>
      </c>
      <c r="X75" s="7">
        <f>IF(C75="Baja Complejidad",M75,0)</f>
        <v>0</v>
      </c>
      <c r="Y75" s="8">
        <v>0</v>
      </c>
      <c r="Z75" s="7">
        <f>(X75)+(X75*Y75)</f>
        <v>0</v>
      </c>
      <c r="AA75" s="8">
        <f>IFERROR(((Z75-X75)/Z75),0)</f>
        <v>0</v>
      </c>
      <c r="AB75" s="8">
        <v>0.1</v>
      </c>
    </row>
    <row r="76" spans="1:28" x14ac:dyDescent="0.25">
      <c r="A76">
        <v>2026</v>
      </c>
      <c r="B76" t="s">
        <v>54</v>
      </c>
      <c r="C76" t="s">
        <v>29</v>
      </c>
      <c r="D76" t="s">
        <v>30</v>
      </c>
      <c r="E76">
        <v>287200</v>
      </c>
      <c r="G76" t="s">
        <v>63</v>
      </c>
      <c r="H76" t="s">
        <v>63</v>
      </c>
      <c r="I76" t="s">
        <v>81</v>
      </c>
      <c r="J76" t="s">
        <v>66</v>
      </c>
      <c r="K76" t="s">
        <v>33</v>
      </c>
      <c r="L76">
        <v>39800</v>
      </c>
      <c r="M76">
        <v>39800</v>
      </c>
      <c r="O76" s="7">
        <f t="shared" si="8"/>
        <v>47760</v>
      </c>
      <c r="P76" s="7">
        <f>IF(C76="Alta Complejidad",M76,0)</f>
        <v>39800</v>
      </c>
      <c r="Q76" s="8">
        <v>0.2</v>
      </c>
      <c r="R76" s="7">
        <f t="shared" si="9"/>
        <v>47760</v>
      </c>
      <c r="S76" s="8">
        <f>IFERROR(((R76-P76)/R76),0)</f>
        <v>0.16666666666666666</v>
      </c>
      <c r="T76" s="7">
        <v>0</v>
      </c>
      <c r="U76" s="8">
        <v>0</v>
      </c>
      <c r="V76" s="7">
        <f>(T76)+(T76*U76)</f>
        <v>0</v>
      </c>
      <c r="W76" s="8">
        <f>IFERROR(((V76-T76)/V76),0)</f>
        <v>0</v>
      </c>
      <c r="X76" s="7">
        <f>IF(C76="Baja Complejidad",M76,0)</f>
        <v>0</v>
      </c>
      <c r="Y76" s="8">
        <v>0</v>
      </c>
      <c r="Z76" s="7">
        <f>(X76)+(X76*Y76)</f>
        <v>0</v>
      </c>
      <c r="AA76" s="8">
        <f>IFERROR(((Z76-X76)/Z76),0)</f>
        <v>0</v>
      </c>
      <c r="AB76" s="8">
        <v>0.1</v>
      </c>
    </row>
    <row r="77" spans="1:28" x14ac:dyDescent="0.25">
      <c r="A77">
        <v>2026</v>
      </c>
      <c r="B77" t="s">
        <v>55</v>
      </c>
      <c r="C77" t="s">
        <v>29</v>
      </c>
      <c r="D77" t="s">
        <v>30</v>
      </c>
      <c r="E77">
        <v>360001</v>
      </c>
      <c r="G77" t="s">
        <v>63</v>
      </c>
      <c r="H77" t="s">
        <v>63</v>
      </c>
      <c r="I77" t="s">
        <v>65</v>
      </c>
      <c r="J77" t="s">
        <v>66</v>
      </c>
      <c r="K77" t="s">
        <v>33</v>
      </c>
      <c r="L77">
        <v>28800</v>
      </c>
      <c r="M77">
        <v>28800</v>
      </c>
      <c r="O77" s="7">
        <f>R77</f>
        <v>34560</v>
      </c>
      <c r="P77" s="7">
        <f>IF(C77="Alta Complejidad",M77,0)</f>
        <v>28800</v>
      </c>
      <c r="Q77" s="8">
        <v>0.2</v>
      </c>
      <c r="R77" s="7">
        <f>P77+(P77*Q77)</f>
        <v>34560</v>
      </c>
      <c r="S77" s="8">
        <f>IFERROR(((R77-P77)/R77),0)</f>
        <v>0.16666666666666666</v>
      </c>
      <c r="T77" s="7">
        <v>0</v>
      </c>
      <c r="U77" s="8">
        <v>0</v>
      </c>
      <c r="V77" s="7">
        <f>(T77)+(T77*U77)</f>
        <v>0</v>
      </c>
      <c r="W77" s="8">
        <f>IFERROR(((V77-T77)/V77),0)</f>
        <v>0</v>
      </c>
      <c r="X77" s="7">
        <f>IF(C77="Baja Complejidad",M77,0)</f>
        <v>0</v>
      </c>
      <c r="Y77" s="8">
        <v>0</v>
      </c>
      <c r="Z77" s="7">
        <f>(X77)+(X77*Y77)</f>
        <v>0</v>
      </c>
      <c r="AA77" s="8">
        <f>IFERROR(((Z77-X77)/Z77),0)</f>
        <v>0</v>
      </c>
      <c r="AB77" s="8">
        <v>0.1</v>
      </c>
    </row>
    <row r="78" spans="1:28" x14ac:dyDescent="0.25">
      <c r="A78">
        <v>2026</v>
      </c>
      <c r="B78" t="s">
        <v>55</v>
      </c>
      <c r="C78" t="s">
        <v>29</v>
      </c>
      <c r="D78" t="s">
        <v>30</v>
      </c>
      <c r="E78">
        <v>709900</v>
      </c>
      <c r="G78" t="s">
        <v>63</v>
      </c>
      <c r="H78" t="s">
        <v>63</v>
      </c>
      <c r="I78" t="s">
        <v>67</v>
      </c>
      <c r="J78" t="s">
        <v>66</v>
      </c>
      <c r="K78" t="s">
        <v>33</v>
      </c>
      <c r="L78">
        <v>36700</v>
      </c>
      <c r="M78">
        <v>36700</v>
      </c>
      <c r="O78" s="7">
        <f t="shared" ref="O78:O91" si="10">R78</f>
        <v>44040</v>
      </c>
      <c r="P78" s="7">
        <f>IF(C78="Alta Complejidad",M78,0)</f>
        <v>36700</v>
      </c>
      <c r="Q78" s="8">
        <v>0.2</v>
      </c>
      <c r="R78" s="7">
        <f t="shared" ref="R78:R91" si="11">P78+(P78*Q78)</f>
        <v>44040</v>
      </c>
      <c r="S78" s="8">
        <f>IFERROR(((R78-P78)/R78),0)</f>
        <v>0.16666666666666666</v>
      </c>
      <c r="T78" s="7">
        <v>0</v>
      </c>
      <c r="U78" s="8">
        <v>0</v>
      </c>
      <c r="V78" s="7">
        <f>(T78)+(T78*U78)</f>
        <v>0</v>
      </c>
      <c r="W78" s="8">
        <f>IFERROR(((V78-T78)/V78),0)</f>
        <v>0</v>
      </c>
      <c r="X78" s="7">
        <f>IF(C78="Baja Complejidad",M78,0)</f>
        <v>0</v>
      </c>
      <c r="Y78" s="8">
        <v>0</v>
      </c>
      <c r="Z78" s="7">
        <f>(X78)+(X78*Y78)</f>
        <v>0</v>
      </c>
      <c r="AA78" s="8">
        <f>IFERROR(((Z78-X78)/Z78),0)</f>
        <v>0</v>
      </c>
      <c r="AB78" s="8">
        <v>0.1</v>
      </c>
    </row>
    <row r="79" spans="1:28" x14ac:dyDescent="0.25">
      <c r="A79">
        <v>2026</v>
      </c>
      <c r="B79" t="s">
        <v>55</v>
      </c>
      <c r="C79" t="s">
        <v>29</v>
      </c>
      <c r="D79" t="s">
        <v>30</v>
      </c>
      <c r="E79">
        <v>709902</v>
      </c>
      <c r="G79" t="s">
        <v>63</v>
      </c>
      <c r="H79" t="s">
        <v>63</v>
      </c>
      <c r="I79" t="s">
        <v>68</v>
      </c>
      <c r="J79" t="s">
        <v>69</v>
      </c>
      <c r="K79" t="s">
        <v>33</v>
      </c>
      <c r="L79">
        <v>28000</v>
      </c>
      <c r="M79">
        <v>28000</v>
      </c>
      <c r="O79" s="7">
        <f t="shared" si="10"/>
        <v>33600</v>
      </c>
      <c r="P79" s="7">
        <f>IF(C79="Alta Complejidad",M79,0)</f>
        <v>28000</v>
      </c>
      <c r="Q79" s="8">
        <v>0.2</v>
      </c>
      <c r="R79" s="7">
        <f t="shared" si="11"/>
        <v>33600</v>
      </c>
      <c r="S79" s="8">
        <f>IFERROR(((R79-P79)/R79),0)</f>
        <v>0.16666666666666666</v>
      </c>
      <c r="T79" s="7">
        <v>0</v>
      </c>
      <c r="U79" s="8">
        <v>0</v>
      </c>
      <c r="V79" s="7">
        <f>(T79)+(T79*U79)</f>
        <v>0</v>
      </c>
      <c r="W79" s="8">
        <f>IFERROR(((V79-T79)/V79),0)</f>
        <v>0</v>
      </c>
      <c r="X79" s="7">
        <f>IF(C79="Baja Complejidad",M79,0)</f>
        <v>0</v>
      </c>
      <c r="Y79" s="8">
        <v>0</v>
      </c>
      <c r="Z79" s="7">
        <f>(X79)+(X79*Y79)</f>
        <v>0</v>
      </c>
      <c r="AA79" s="8">
        <f>IFERROR(((Z79-X79)/Z79),0)</f>
        <v>0</v>
      </c>
      <c r="AB79" s="8">
        <v>0.1</v>
      </c>
    </row>
    <row r="80" spans="1:28" x14ac:dyDescent="0.25">
      <c r="A80">
        <v>2026</v>
      </c>
      <c r="B80" t="s">
        <v>55</v>
      </c>
      <c r="C80" t="s">
        <v>29</v>
      </c>
      <c r="D80" t="s">
        <v>30</v>
      </c>
      <c r="E80">
        <v>709903</v>
      </c>
      <c r="G80" t="s">
        <v>63</v>
      </c>
      <c r="H80" t="s">
        <v>63</v>
      </c>
      <c r="I80" t="s">
        <v>70</v>
      </c>
      <c r="J80" t="s">
        <v>69</v>
      </c>
      <c r="K80" t="s">
        <v>33</v>
      </c>
      <c r="L80">
        <v>36700</v>
      </c>
      <c r="M80">
        <v>36700</v>
      </c>
      <c r="O80" s="7">
        <f t="shared" si="10"/>
        <v>44040</v>
      </c>
      <c r="P80" s="7">
        <f>IF(C80="Alta Complejidad",M80,0)</f>
        <v>36700</v>
      </c>
      <c r="Q80" s="8">
        <v>0.2</v>
      </c>
      <c r="R80" s="7">
        <f t="shared" si="11"/>
        <v>44040</v>
      </c>
      <c r="S80" s="8">
        <f>IFERROR(((R80-P80)/R80),0)</f>
        <v>0.16666666666666666</v>
      </c>
      <c r="T80" s="7">
        <v>0</v>
      </c>
      <c r="U80" s="8">
        <v>0</v>
      </c>
      <c r="V80" s="7">
        <f>(T80)+(T80*U80)</f>
        <v>0</v>
      </c>
      <c r="W80" s="8">
        <f>IFERROR(((V80-T80)/V80),0)</f>
        <v>0</v>
      </c>
      <c r="X80" s="7">
        <f>IF(C80="Baja Complejidad",M80,0)</f>
        <v>0</v>
      </c>
      <c r="Y80" s="8">
        <v>0</v>
      </c>
      <c r="Z80" s="7">
        <f>(X80)+(X80*Y80)</f>
        <v>0</v>
      </c>
      <c r="AA80" s="8">
        <f>IFERROR(((Z80-X80)/Z80),0)</f>
        <v>0</v>
      </c>
      <c r="AB80" s="8">
        <v>0.1</v>
      </c>
    </row>
    <row r="81" spans="1:28" x14ac:dyDescent="0.25">
      <c r="A81">
        <v>2026</v>
      </c>
      <c r="B81" t="s">
        <v>55</v>
      </c>
      <c r="C81" t="s">
        <v>29</v>
      </c>
      <c r="D81" t="s">
        <v>30</v>
      </c>
      <c r="E81">
        <v>603421</v>
      </c>
      <c r="G81" t="s">
        <v>63</v>
      </c>
      <c r="H81" t="s">
        <v>63</v>
      </c>
      <c r="I81" t="s">
        <v>71</v>
      </c>
      <c r="J81" t="s">
        <v>69</v>
      </c>
      <c r="K81" t="s">
        <v>33</v>
      </c>
      <c r="L81">
        <v>21900</v>
      </c>
      <c r="M81">
        <v>21900</v>
      </c>
      <c r="O81" s="7">
        <f t="shared" si="10"/>
        <v>26280</v>
      </c>
      <c r="P81" s="7">
        <f>IF(C81="Alta Complejidad",M81,0)</f>
        <v>21900</v>
      </c>
      <c r="Q81" s="8">
        <v>0.2</v>
      </c>
      <c r="R81" s="7">
        <f t="shared" si="11"/>
        <v>26280</v>
      </c>
      <c r="S81" s="8">
        <f>IFERROR(((R81-P81)/R81),0)</f>
        <v>0.16666666666666666</v>
      </c>
      <c r="T81" s="7">
        <v>0</v>
      </c>
      <c r="U81" s="8">
        <v>0</v>
      </c>
      <c r="V81" s="7">
        <f>(T81)+(T81*U81)</f>
        <v>0</v>
      </c>
      <c r="W81" s="8">
        <f>IFERROR(((V81-T81)/V81),0)</f>
        <v>0</v>
      </c>
      <c r="X81" s="7">
        <f>IF(C81="Baja Complejidad",M81,0)</f>
        <v>0</v>
      </c>
      <c r="Y81" s="8">
        <v>0</v>
      </c>
      <c r="Z81" s="7">
        <f>(X81)+(X81*Y81)</f>
        <v>0</v>
      </c>
      <c r="AA81" s="8">
        <f>IFERROR(((Z81-X81)/Z81),0)</f>
        <v>0</v>
      </c>
      <c r="AB81" s="8">
        <v>0.1</v>
      </c>
    </row>
    <row r="82" spans="1:28" x14ac:dyDescent="0.25">
      <c r="A82">
        <v>2026</v>
      </c>
      <c r="B82" t="s">
        <v>55</v>
      </c>
      <c r="C82" t="s">
        <v>29</v>
      </c>
      <c r="D82" t="s">
        <v>30</v>
      </c>
      <c r="E82">
        <v>603422</v>
      </c>
      <c r="G82" t="s">
        <v>63</v>
      </c>
      <c r="H82" t="s">
        <v>63</v>
      </c>
      <c r="I82" t="s">
        <v>72</v>
      </c>
      <c r="J82" t="s">
        <v>69</v>
      </c>
      <c r="K82" t="s">
        <v>33</v>
      </c>
      <c r="L82">
        <v>114900</v>
      </c>
      <c r="M82">
        <v>114900</v>
      </c>
      <c r="O82" s="7">
        <f t="shared" si="10"/>
        <v>137880</v>
      </c>
      <c r="P82" s="7">
        <f>IF(C82="Alta Complejidad",M82,0)</f>
        <v>114900</v>
      </c>
      <c r="Q82" s="8">
        <v>0.2</v>
      </c>
      <c r="R82" s="7">
        <f t="shared" si="11"/>
        <v>137880</v>
      </c>
      <c r="S82" s="8">
        <f>IFERROR(((R82-P82)/R82),0)</f>
        <v>0.16666666666666666</v>
      </c>
      <c r="T82" s="7">
        <v>0</v>
      </c>
      <c r="U82" s="8">
        <v>0</v>
      </c>
      <c r="V82" s="7">
        <f>(T82)+(T82*U82)</f>
        <v>0</v>
      </c>
      <c r="W82" s="8">
        <f>IFERROR(((V82-T82)/V82),0)</f>
        <v>0</v>
      </c>
      <c r="X82" s="7">
        <f>IF(C82="Baja Complejidad",M82,0)</f>
        <v>0</v>
      </c>
      <c r="Y82" s="8">
        <v>0</v>
      </c>
      <c r="Z82" s="7">
        <f>(X82)+(X82*Y82)</f>
        <v>0</v>
      </c>
      <c r="AA82" s="8">
        <f>IFERROR(((Z82-X82)/Z82),0)</f>
        <v>0</v>
      </c>
      <c r="AB82" s="8">
        <v>0.1</v>
      </c>
    </row>
    <row r="83" spans="1:28" x14ac:dyDescent="0.25">
      <c r="A83">
        <v>2026</v>
      </c>
      <c r="B83" t="s">
        <v>55</v>
      </c>
      <c r="C83" t="s">
        <v>29</v>
      </c>
      <c r="D83" t="s">
        <v>30</v>
      </c>
      <c r="E83">
        <v>603423</v>
      </c>
      <c r="G83" t="s">
        <v>63</v>
      </c>
      <c r="H83" t="s">
        <v>63</v>
      </c>
      <c r="I83" t="s">
        <v>73</v>
      </c>
      <c r="J83" t="s">
        <v>69</v>
      </c>
      <c r="K83" t="s">
        <v>33</v>
      </c>
      <c r="L83">
        <v>28000</v>
      </c>
      <c r="M83">
        <v>28000</v>
      </c>
      <c r="O83" s="7">
        <f t="shared" si="10"/>
        <v>33600</v>
      </c>
      <c r="P83" s="7">
        <f>IF(C83="Alta Complejidad",M83,0)</f>
        <v>28000</v>
      </c>
      <c r="Q83" s="8">
        <v>0.2</v>
      </c>
      <c r="R83" s="7">
        <f t="shared" si="11"/>
        <v>33600</v>
      </c>
      <c r="S83" s="8">
        <f>IFERROR(((R83-P83)/R83),0)</f>
        <v>0.16666666666666666</v>
      </c>
      <c r="T83" s="7">
        <v>0</v>
      </c>
      <c r="U83" s="8">
        <v>0</v>
      </c>
      <c r="V83" s="7">
        <f>(T83)+(T83*U83)</f>
        <v>0</v>
      </c>
      <c r="W83" s="8">
        <f>IFERROR(((V83-T83)/V83),0)</f>
        <v>0</v>
      </c>
      <c r="X83" s="7">
        <f>IF(C83="Baja Complejidad",M83,0)</f>
        <v>0</v>
      </c>
      <c r="Y83" s="8">
        <v>0</v>
      </c>
      <c r="Z83" s="7">
        <f>(X83)+(X83*Y83)</f>
        <v>0</v>
      </c>
      <c r="AA83" s="8">
        <f>IFERROR(((Z83-X83)/Z83),0)</f>
        <v>0</v>
      </c>
      <c r="AB83" s="8">
        <v>0.1</v>
      </c>
    </row>
    <row r="84" spans="1:28" x14ac:dyDescent="0.25">
      <c r="A84">
        <v>2026</v>
      </c>
      <c r="B84" t="s">
        <v>55</v>
      </c>
      <c r="C84" t="s">
        <v>29</v>
      </c>
      <c r="D84" t="s">
        <v>30</v>
      </c>
      <c r="E84">
        <v>294199</v>
      </c>
      <c r="G84" t="s">
        <v>63</v>
      </c>
      <c r="H84" t="s">
        <v>63</v>
      </c>
      <c r="I84" t="s">
        <v>74</v>
      </c>
      <c r="J84" t="s">
        <v>69</v>
      </c>
      <c r="K84" t="s">
        <v>33</v>
      </c>
      <c r="L84">
        <v>49200</v>
      </c>
      <c r="M84">
        <v>49200</v>
      </c>
      <c r="O84" s="7">
        <f t="shared" si="10"/>
        <v>59040</v>
      </c>
      <c r="P84" s="7">
        <f>IF(C84="Alta Complejidad",M84,0)</f>
        <v>49200</v>
      </c>
      <c r="Q84" s="8">
        <v>0.2</v>
      </c>
      <c r="R84" s="7">
        <f t="shared" si="11"/>
        <v>59040</v>
      </c>
      <c r="S84" s="8">
        <f>IFERROR(((R84-P84)/R84),0)</f>
        <v>0.16666666666666666</v>
      </c>
      <c r="T84" s="7">
        <v>0</v>
      </c>
      <c r="U84" s="8">
        <v>0</v>
      </c>
      <c r="V84" s="7">
        <f>(T84)+(T84*U84)</f>
        <v>0</v>
      </c>
      <c r="W84" s="8">
        <f>IFERROR(((V84-T84)/V84),0)</f>
        <v>0</v>
      </c>
      <c r="X84" s="7">
        <f>IF(C84="Baja Complejidad",M84,0)</f>
        <v>0</v>
      </c>
      <c r="Y84" s="8">
        <v>0</v>
      </c>
      <c r="Z84" s="7">
        <f>(X84)+(X84*Y84)</f>
        <v>0</v>
      </c>
      <c r="AA84" s="8">
        <f>IFERROR(((Z84-X84)/Z84),0)</f>
        <v>0</v>
      </c>
      <c r="AB84" s="8">
        <v>0.1</v>
      </c>
    </row>
    <row r="85" spans="1:28" x14ac:dyDescent="0.25">
      <c r="A85">
        <v>2026</v>
      </c>
      <c r="B85" t="s">
        <v>55</v>
      </c>
      <c r="C85" t="s">
        <v>29</v>
      </c>
      <c r="D85" t="s">
        <v>30</v>
      </c>
      <c r="E85">
        <v>294299</v>
      </c>
      <c r="G85" t="s">
        <v>63</v>
      </c>
      <c r="H85" t="s">
        <v>63</v>
      </c>
      <c r="I85" t="s">
        <v>75</v>
      </c>
      <c r="J85" t="s">
        <v>69</v>
      </c>
      <c r="K85" t="s">
        <v>33</v>
      </c>
      <c r="L85">
        <v>141600</v>
      </c>
      <c r="M85">
        <v>141600</v>
      </c>
      <c r="O85" s="7">
        <f t="shared" si="10"/>
        <v>169920</v>
      </c>
      <c r="P85" s="7">
        <f>IF(C85="Alta Complejidad",M85,0)</f>
        <v>141600</v>
      </c>
      <c r="Q85" s="8">
        <v>0.2</v>
      </c>
      <c r="R85" s="7">
        <f t="shared" si="11"/>
        <v>169920</v>
      </c>
      <c r="S85" s="8">
        <f>IFERROR(((R85-P85)/R85),0)</f>
        <v>0.16666666666666666</v>
      </c>
      <c r="T85" s="7">
        <v>0</v>
      </c>
      <c r="U85" s="8">
        <v>0</v>
      </c>
      <c r="V85" s="7">
        <f>(T85)+(T85*U85)</f>
        <v>0</v>
      </c>
      <c r="W85" s="8">
        <f>IFERROR(((V85-T85)/V85),0)</f>
        <v>0</v>
      </c>
      <c r="X85" s="7">
        <f>IF(C85="Baja Complejidad",M85,0)</f>
        <v>0</v>
      </c>
      <c r="Y85" s="8">
        <v>0</v>
      </c>
      <c r="Z85" s="7">
        <f>(X85)+(X85*Y85)</f>
        <v>0</v>
      </c>
      <c r="AA85" s="8">
        <f>IFERROR(((Z85-X85)/Z85),0)</f>
        <v>0</v>
      </c>
      <c r="AB85" s="8">
        <v>0.1</v>
      </c>
    </row>
    <row r="86" spans="1:28" x14ac:dyDescent="0.25">
      <c r="A86">
        <v>2026</v>
      </c>
      <c r="B86" t="s">
        <v>55</v>
      </c>
      <c r="C86" t="s">
        <v>29</v>
      </c>
      <c r="D86" t="s">
        <v>30</v>
      </c>
      <c r="E86">
        <v>294399</v>
      </c>
      <c r="G86" t="s">
        <v>63</v>
      </c>
      <c r="H86" t="s">
        <v>63</v>
      </c>
      <c r="I86" t="s">
        <v>76</v>
      </c>
      <c r="J86" t="s">
        <v>69</v>
      </c>
      <c r="K86" t="s">
        <v>33</v>
      </c>
      <c r="L86">
        <v>174700</v>
      </c>
      <c r="M86">
        <v>174700</v>
      </c>
      <c r="O86" s="7">
        <f t="shared" si="10"/>
        <v>209640</v>
      </c>
      <c r="P86" s="7">
        <f>IF(C86="Alta Complejidad",M86,0)</f>
        <v>174700</v>
      </c>
      <c r="Q86" s="8">
        <v>0.2</v>
      </c>
      <c r="R86" s="7">
        <f t="shared" si="11"/>
        <v>209640</v>
      </c>
      <c r="S86" s="8">
        <f>IFERROR(((R86-P86)/R86),0)</f>
        <v>0.16666666666666666</v>
      </c>
      <c r="T86" s="7">
        <v>0</v>
      </c>
      <c r="U86" s="8">
        <v>0</v>
      </c>
      <c r="V86" s="7">
        <f>(T86)+(T86*U86)</f>
        <v>0</v>
      </c>
      <c r="W86" s="8">
        <f>IFERROR(((V86-T86)/V86),0)</f>
        <v>0</v>
      </c>
      <c r="X86" s="7">
        <f>IF(C86="Baja Complejidad",M86,0)</f>
        <v>0</v>
      </c>
      <c r="Y86" s="8">
        <v>0</v>
      </c>
      <c r="Z86" s="7">
        <f>(X86)+(X86*Y86)</f>
        <v>0</v>
      </c>
      <c r="AA86" s="8">
        <f>IFERROR(((Z86-X86)/Z86),0)</f>
        <v>0</v>
      </c>
      <c r="AB86" s="8">
        <v>0.1</v>
      </c>
    </row>
    <row r="87" spans="1:28" x14ac:dyDescent="0.25">
      <c r="A87">
        <v>2026</v>
      </c>
      <c r="B87" t="s">
        <v>55</v>
      </c>
      <c r="C87" t="s">
        <v>29</v>
      </c>
      <c r="D87" t="s">
        <v>30</v>
      </c>
      <c r="E87">
        <v>294499</v>
      </c>
      <c r="G87" t="s">
        <v>63</v>
      </c>
      <c r="H87" t="s">
        <v>63</v>
      </c>
      <c r="I87" t="s">
        <v>77</v>
      </c>
      <c r="J87" t="s">
        <v>69</v>
      </c>
      <c r="K87" t="s">
        <v>33</v>
      </c>
      <c r="L87">
        <v>204000</v>
      </c>
      <c r="M87">
        <v>204000</v>
      </c>
      <c r="O87" s="7">
        <f t="shared" si="10"/>
        <v>244800</v>
      </c>
      <c r="P87" s="7">
        <f>IF(C87="Alta Complejidad",M87,0)</f>
        <v>204000</v>
      </c>
      <c r="Q87" s="8">
        <v>0.2</v>
      </c>
      <c r="R87" s="7">
        <f t="shared" si="11"/>
        <v>244800</v>
      </c>
      <c r="S87" s="8">
        <f>IFERROR(((R87-P87)/R87),0)</f>
        <v>0.16666666666666666</v>
      </c>
      <c r="T87" s="7">
        <v>0</v>
      </c>
      <c r="U87" s="8">
        <v>0</v>
      </c>
      <c r="V87" s="7">
        <f>(T87)+(T87*U87)</f>
        <v>0</v>
      </c>
      <c r="W87" s="8">
        <f>IFERROR(((V87-T87)/V87),0)</f>
        <v>0</v>
      </c>
      <c r="X87" s="7">
        <f>IF(C87="Baja Complejidad",M87,0)</f>
        <v>0</v>
      </c>
      <c r="Y87" s="8">
        <v>0</v>
      </c>
      <c r="Z87" s="7">
        <f>(X87)+(X87*Y87)</f>
        <v>0</v>
      </c>
      <c r="AA87" s="8">
        <f>IFERROR(((Z87-X87)/Z87),0)</f>
        <v>0</v>
      </c>
      <c r="AB87" s="8">
        <v>0.1</v>
      </c>
    </row>
    <row r="88" spans="1:28" x14ac:dyDescent="0.25">
      <c r="A88">
        <v>2026</v>
      </c>
      <c r="B88" t="s">
        <v>55</v>
      </c>
      <c r="C88" t="s">
        <v>29</v>
      </c>
      <c r="D88" t="s">
        <v>30</v>
      </c>
      <c r="E88">
        <v>284190</v>
      </c>
      <c r="G88" t="s">
        <v>63</v>
      </c>
      <c r="H88" t="s">
        <v>63</v>
      </c>
      <c r="I88" t="s">
        <v>78</v>
      </c>
      <c r="J88" t="s">
        <v>69</v>
      </c>
      <c r="K88" t="s">
        <v>33</v>
      </c>
      <c r="L88">
        <v>49000</v>
      </c>
      <c r="M88">
        <v>49000</v>
      </c>
      <c r="O88" s="7">
        <f t="shared" si="10"/>
        <v>58800</v>
      </c>
      <c r="P88" s="7">
        <f>IF(C88="Alta Complejidad",M88,0)</f>
        <v>49000</v>
      </c>
      <c r="Q88" s="8">
        <v>0.2</v>
      </c>
      <c r="R88" s="7">
        <f t="shared" si="11"/>
        <v>58800</v>
      </c>
      <c r="S88" s="8">
        <f>IFERROR(((R88-P88)/R88),0)</f>
        <v>0.16666666666666666</v>
      </c>
      <c r="T88" s="7">
        <v>0</v>
      </c>
      <c r="U88" s="8">
        <v>0</v>
      </c>
      <c r="V88" s="7">
        <f>(T88)+(T88*U88)</f>
        <v>0</v>
      </c>
      <c r="W88" s="8">
        <f>IFERROR(((V88-T88)/V88),0)</f>
        <v>0</v>
      </c>
      <c r="X88" s="7">
        <f>IF(C88="Baja Complejidad",M88,0)</f>
        <v>0</v>
      </c>
      <c r="Y88" s="8">
        <v>0</v>
      </c>
      <c r="Z88" s="7">
        <f>(X88)+(X88*Y88)</f>
        <v>0</v>
      </c>
      <c r="AA88" s="8">
        <f>IFERROR(((Z88-X88)/Z88),0)</f>
        <v>0</v>
      </c>
      <c r="AB88" s="8">
        <v>0.1</v>
      </c>
    </row>
    <row r="89" spans="1:28" x14ac:dyDescent="0.25">
      <c r="A89">
        <v>2026</v>
      </c>
      <c r="B89" t="s">
        <v>55</v>
      </c>
      <c r="C89" t="s">
        <v>29</v>
      </c>
      <c r="D89" t="s">
        <v>30</v>
      </c>
      <c r="E89">
        <v>284390</v>
      </c>
      <c r="G89" t="s">
        <v>63</v>
      </c>
      <c r="H89" t="s">
        <v>63</v>
      </c>
      <c r="I89" t="s">
        <v>79</v>
      </c>
      <c r="J89" t="s">
        <v>66</v>
      </c>
      <c r="K89" t="s">
        <v>33</v>
      </c>
      <c r="L89">
        <v>224100</v>
      </c>
      <c r="M89">
        <v>224100</v>
      </c>
      <c r="O89" s="7">
        <f t="shared" si="10"/>
        <v>268920</v>
      </c>
      <c r="P89" s="7">
        <f>IF(C89="Alta Complejidad",M89,0)</f>
        <v>224100</v>
      </c>
      <c r="Q89" s="8">
        <v>0.2</v>
      </c>
      <c r="R89" s="7">
        <f t="shared" si="11"/>
        <v>268920</v>
      </c>
      <c r="S89" s="8">
        <f>IFERROR(((R89-P89)/R89),0)</f>
        <v>0.16666666666666666</v>
      </c>
      <c r="T89" s="7">
        <v>0</v>
      </c>
      <c r="U89" s="8">
        <v>0</v>
      </c>
      <c r="V89" s="7">
        <f>(T89)+(T89*U89)</f>
        <v>0</v>
      </c>
      <c r="W89" s="8">
        <f>IFERROR(((V89-T89)/V89),0)</f>
        <v>0</v>
      </c>
      <c r="X89" s="7">
        <f>IF(C89="Baja Complejidad",M89,0)</f>
        <v>0</v>
      </c>
      <c r="Y89" s="8">
        <v>0</v>
      </c>
      <c r="Z89" s="7">
        <f>(X89)+(X89*Y89)</f>
        <v>0</v>
      </c>
      <c r="AA89" s="8">
        <f>IFERROR(((Z89-X89)/Z89),0)</f>
        <v>0</v>
      </c>
      <c r="AB89" s="8">
        <v>0.1</v>
      </c>
    </row>
    <row r="90" spans="1:28" x14ac:dyDescent="0.25">
      <c r="A90">
        <v>2026</v>
      </c>
      <c r="B90" t="s">
        <v>55</v>
      </c>
      <c r="C90" t="s">
        <v>29</v>
      </c>
      <c r="D90" t="s">
        <v>30</v>
      </c>
      <c r="E90">
        <v>287100</v>
      </c>
      <c r="G90" t="s">
        <v>63</v>
      </c>
      <c r="H90" t="s">
        <v>63</v>
      </c>
      <c r="I90" t="s">
        <v>80</v>
      </c>
      <c r="J90" t="s">
        <v>66</v>
      </c>
      <c r="K90" t="s">
        <v>33</v>
      </c>
      <c r="L90">
        <v>38000</v>
      </c>
      <c r="M90">
        <v>38000</v>
      </c>
      <c r="O90" s="7">
        <f t="shared" si="10"/>
        <v>45600</v>
      </c>
      <c r="P90" s="7">
        <f>IF(C90="Alta Complejidad",M90,0)</f>
        <v>38000</v>
      </c>
      <c r="Q90" s="8">
        <v>0.2</v>
      </c>
      <c r="R90" s="7">
        <f t="shared" si="11"/>
        <v>45600</v>
      </c>
      <c r="S90" s="8">
        <f>IFERROR(((R90-P90)/R90),0)</f>
        <v>0.16666666666666666</v>
      </c>
      <c r="T90" s="7">
        <v>0</v>
      </c>
      <c r="U90" s="8">
        <v>0</v>
      </c>
      <c r="V90" s="7">
        <f>(T90)+(T90*U90)</f>
        <v>0</v>
      </c>
      <c r="W90" s="8">
        <f>IFERROR(((V90-T90)/V90),0)</f>
        <v>0</v>
      </c>
      <c r="X90" s="7">
        <f>IF(C90="Baja Complejidad",M90,0)</f>
        <v>0</v>
      </c>
      <c r="Y90" s="8">
        <v>0</v>
      </c>
      <c r="Z90" s="7">
        <f>(X90)+(X90*Y90)</f>
        <v>0</v>
      </c>
      <c r="AA90" s="8">
        <f>IFERROR(((Z90-X90)/Z90),0)</f>
        <v>0</v>
      </c>
      <c r="AB90" s="8">
        <v>0.1</v>
      </c>
    </row>
    <row r="91" spans="1:28" x14ac:dyDescent="0.25">
      <c r="A91">
        <v>2026</v>
      </c>
      <c r="B91" t="s">
        <v>55</v>
      </c>
      <c r="C91" t="s">
        <v>29</v>
      </c>
      <c r="D91" t="s">
        <v>30</v>
      </c>
      <c r="E91">
        <v>287200</v>
      </c>
      <c r="G91" t="s">
        <v>63</v>
      </c>
      <c r="H91" t="s">
        <v>63</v>
      </c>
      <c r="I91" t="s">
        <v>81</v>
      </c>
      <c r="J91" t="s">
        <v>66</v>
      </c>
      <c r="K91" t="s">
        <v>33</v>
      </c>
      <c r="L91">
        <v>39800</v>
      </c>
      <c r="M91">
        <v>39800</v>
      </c>
      <c r="O91" s="7">
        <f t="shared" si="10"/>
        <v>47760</v>
      </c>
      <c r="P91" s="7">
        <f>IF(C91="Alta Complejidad",M91,0)</f>
        <v>39800</v>
      </c>
      <c r="Q91" s="8">
        <v>0.2</v>
      </c>
      <c r="R91" s="7">
        <f t="shared" si="11"/>
        <v>47760</v>
      </c>
      <c r="S91" s="8">
        <f>IFERROR(((R91-P91)/R91),0)</f>
        <v>0.16666666666666666</v>
      </c>
      <c r="T91" s="7">
        <v>0</v>
      </c>
      <c r="U91" s="8">
        <v>0</v>
      </c>
      <c r="V91" s="7">
        <f>(T91)+(T91*U91)</f>
        <v>0</v>
      </c>
      <c r="W91" s="8">
        <f>IFERROR(((V91-T91)/V91),0)</f>
        <v>0</v>
      </c>
      <c r="X91" s="7">
        <f>IF(C91="Baja Complejidad",M91,0)</f>
        <v>0</v>
      </c>
      <c r="Y91" s="8">
        <v>0</v>
      </c>
      <c r="Z91" s="7">
        <f>(X91)+(X91*Y91)</f>
        <v>0</v>
      </c>
      <c r="AA91" s="8">
        <f>IFERROR(((Z91-X91)/Z91),0)</f>
        <v>0</v>
      </c>
      <c r="AB91" s="8">
        <v>0.1</v>
      </c>
    </row>
    <row r="92" spans="1:28" x14ac:dyDescent="0.25">
      <c r="A92">
        <v>2026</v>
      </c>
      <c r="B92" t="s">
        <v>56</v>
      </c>
      <c r="C92" t="s">
        <v>29</v>
      </c>
      <c r="D92" t="s">
        <v>30</v>
      </c>
      <c r="E92">
        <v>360001</v>
      </c>
      <c r="G92" t="s">
        <v>63</v>
      </c>
      <c r="H92" t="s">
        <v>63</v>
      </c>
      <c r="I92" t="s">
        <v>65</v>
      </c>
      <c r="J92" t="s">
        <v>66</v>
      </c>
      <c r="K92" t="s">
        <v>33</v>
      </c>
      <c r="L92">
        <v>28800</v>
      </c>
      <c r="M92">
        <v>28800</v>
      </c>
      <c r="O92" s="7">
        <f>R92</f>
        <v>34560</v>
      </c>
      <c r="P92" s="7">
        <f>IF(C92="Alta Complejidad",M92,0)</f>
        <v>28800</v>
      </c>
      <c r="Q92" s="8">
        <v>0.2</v>
      </c>
      <c r="R92" s="7">
        <f>P92+(P92*Q92)</f>
        <v>34560</v>
      </c>
      <c r="S92" s="8">
        <f>IFERROR(((R92-P92)/R92),0)</f>
        <v>0.16666666666666666</v>
      </c>
      <c r="T92" s="7">
        <v>0</v>
      </c>
      <c r="U92" s="8">
        <v>0</v>
      </c>
      <c r="V92" s="7">
        <f>(T92)+(T92*U92)</f>
        <v>0</v>
      </c>
      <c r="W92" s="8">
        <f>IFERROR(((V92-T92)/V92),0)</f>
        <v>0</v>
      </c>
      <c r="X92" s="7">
        <f>IF(C92="Baja Complejidad",M92,0)</f>
        <v>0</v>
      </c>
      <c r="Y92" s="8">
        <v>0</v>
      </c>
      <c r="Z92" s="7">
        <f>(X92)+(X92*Y92)</f>
        <v>0</v>
      </c>
      <c r="AA92" s="8">
        <f>IFERROR(((Z92-X92)/Z92),0)</f>
        <v>0</v>
      </c>
      <c r="AB92" s="8">
        <v>0.1</v>
      </c>
    </row>
    <row r="93" spans="1:28" x14ac:dyDescent="0.25">
      <c r="A93">
        <v>2026</v>
      </c>
      <c r="B93" t="s">
        <v>56</v>
      </c>
      <c r="C93" t="s">
        <v>29</v>
      </c>
      <c r="D93" t="s">
        <v>30</v>
      </c>
      <c r="E93">
        <v>709900</v>
      </c>
      <c r="G93" t="s">
        <v>63</v>
      </c>
      <c r="H93" t="s">
        <v>63</v>
      </c>
      <c r="I93" t="s">
        <v>67</v>
      </c>
      <c r="J93" t="s">
        <v>66</v>
      </c>
      <c r="K93" t="s">
        <v>33</v>
      </c>
      <c r="L93">
        <v>36700</v>
      </c>
      <c r="M93">
        <v>36700</v>
      </c>
      <c r="O93" s="7">
        <f t="shared" ref="O93:O106" si="12">R93</f>
        <v>44040</v>
      </c>
      <c r="P93" s="7">
        <f>IF(C93="Alta Complejidad",M93,0)</f>
        <v>36700</v>
      </c>
      <c r="Q93" s="8">
        <v>0.2</v>
      </c>
      <c r="R93" s="7">
        <f t="shared" ref="R93:R106" si="13">P93+(P93*Q93)</f>
        <v>44040</v>
      </c>
      <c r="S93" s="8">
        <f>IFERROR(((R93-P93)/R93),0)</f>
        <v>0.16666666666666666</v>
      </c>
      <c r="T93" s="7">
        <v>0</v>
      </c>
      <c r="U93" s="8">
        <v>0</v>
      </c>
      <c r="V93" s="7">
        <f>(T93)+(T93*U93)</f>
        <v>0</v>
      </c>
      <c r="W93" s="8">
        <f>IFERROR(((V93-T93)/V93),0)</f>
        <v>0</v>
      </c>
      <c r="X93" s="7">
        <f>IF(C93="Baja Complejidad",M93,0)</f>
        <v>0</v>
      </c>
      <c r="Y93" s="8">
        <v>0</v>
      </c>
      <c r="Z93" s="7">
        <f>(X93)+(X93*Y93)</f>
        <v>0</v>
      </c>
      <c r="AA93" s="8">
        <f>IFERROR(((Z93-X93)/Z93),0)</f>
        <v>0</v>
      </c>
      <c r="AB93" s="8">
        <v>0.1</v>
      </c>
    </row>
    <row r="94" spans="1:28" x14ac:dyDescent="0.25">
      <c r="A94">
        <v>2026</v>
      </c>
      <c r="B94" t="s">
        <v>56</v>
      </c>
      <c r="C94" t="s">
        <v>29</v>
      </c>
      <c r="D94" t="s">
        <v>30</v>
      </c>
      <c r="E94">
        <v>709902</v>
      </c>
      <c r="G94" t="s">
        <v>63</v>
      </c>
      <c r="H94" t="s">
        <v>63</v>
      </c>
      <c r="I94" t="s">
        <v>68</v>
      </c>
      <c r="J94" t="s">
        <v>69</v>
      </c>
      <c r="K94" t="s">
        <v>33</v>
      </c>
      <c r="L94">
        <v>28000</v>
      </c>
      <c r="M94">
        <v>28000</v>
      </c>
      <c r="O94" s="7">
        <f t="shared" si="12"/>
        <v>33600</v>
      </c>
      <c r="P94" s="7">
        <f>IF(C94="Alta Complejidad",M94,0)</f>
        <v>28000</v>
      </c>
      <c r="Q94" s="8">
        <v>0.2</v>
      </c>
      <c r="R94" s="7">
        <f t="shared" si="13"/>
        <v>33600</v>
      </c>
      <c r="S94" s="8">
        <f>IFERROR(((R94-P94)/R94),0)</f>
        <v>0.16666666666666666</v>
      </c>
      <c r="T94" s="7">
        <v>0</v>
      </c>
      <c r="U94" s="8">
        <v>0</v>
      </c>
      <c r="V94" s="7">
        <f>(T94)+(T94*U94)</f>
        <v>0</v>
      </c>
      <c r="W94" s="8">
        <f>IFERROR(((V94-T94)/V94),0)</f>
        <v>0</v>
      </c>
      <c r="X94" s="7">
        <f>IF(C94="Baja Complejidad",M94,0)</f>
        <v>0</v>
      </c>
      <c r="Y94" s="8">
        <v>0</v>
      </c>
      <c r="Z94" s="7">
        <f>(X94)+(X94*Y94)</f>
        <v>0</v>
      </c>
      <c r="AA94" s="8">
        <f>IFERROR(((Z94-X94)/Z94),0)</f>
        <v>0</v>
      </c>
      <c r="AB94" s="8">
        <v>0.1</v>
      </c>
    </row>
    <row r="95" spans="1:28" x14ac:dyDescent="0.25">
      <c r="A95">
        <v>2026</v>
      </c>
      <c r="B95" t="s">
        <v>56</v>
      </c>
      <c r="C95" t="s">
        <v>29</v>
      </c>
      <c r="D95" t="s">
        <v>30</v>
      </c>
      <c r="E95">
        <v>709903</v>
      </c>
      <c r="G95" t="s">
        <v>63</v>
      </c>
      <c r="H95" t="s">
        <v>63</v>
      </c>
      <c r="I95" t="s">
        <v>70</v>
      </c>
      <c r="J95" t="s">
        <v>69</v>
      </c>
      <c r="K95" t="s">
        <v>33</v>
      </c>
      <c r="L95">
        <v>36700</v>
      </c>
      <c r="M95">
        <v>36700</v>
      </c>
      <c r="O95" s="7">
        <f t="shared" si="12"/>
        <v>44040</v>
      </c>
      <c r="P95" s="7">
        <f>IF(C95="Alta Complejidad",M95,0)</f>
        <v>36700</v>
      </c>
      <c r="Q95" s="8">
        <v>0.2</v>
      </c>
      <c r="R95" s="7">
        <f t="shared" si="13"/>
        <v>44040</v>
      </c>
      <c r="S95" s="8">
        <f>IFERROR(((R95-P95)/R95),0)</f>
        <v>0.16666666666666666</v>
      </c>
      <c r="T95" s="7">
        <v>0</v>
      </c>
      <c r="U95" s="8">
        <v>0</v>
      </c>
      <c r="V95" s="7">
        <f>(T95)+(T95*U95)</f>
        <v>0</v>
      </c>
      <c r="W95" s="8">
        <f>IFERROR(((V95-T95)/V95),0)</f>
        <v>0</v>
      </c>
      <c r="X95" s="7">
        <f>IF(C95="Baja Complejidad",M95,0)</f>
        <v>0</v>
      </c>
      <c r="Y95" s="8">
        <v>0</v>
      </c>
      <c r="Z95" s="7">
        <f>(X95)+(X95*Y95)</f>
        <v>0</v>
      </c>
      <c r="AA95" s="8">
        <f>IFERROR(((Z95-X95)/Z95),0)</f>
        <v>0</v>
      </c>
      <c r="AB95" s="8">
        <v>0.1</v>
      </c>
    </row>
    <row r="96" spans="1:28" x14ac:dyDescent="0.25">
      <c r="A96">
        <v>2026</v>
      </c>
      <c r="B96" t="s">
        <v>56</v>
      </c>
      <c r="C96" t="s">
        <v>29</v>
      </c>
      <c r="D96" t="s">
        <v>30</v>
      </c>
      <c r="E96">
        <v>603421</v>
      </c>
      <c r="G96" t="s">
        <v>63</v>
      </c>
      <c r="H96" t="s">
        <v>63</v>
      </c>
      <c r="I96" t="s">
        <v>71</v>
      </c>
      <c r="J96" t="s">
        <v>69</v>
      </c>
      <c r="K96" t="s">
        <v>33</v>
      </c>
      <c r="L96">
        <v>21900</v>
      </c>
      <c r="M96">
        <v>21900</v>
      </c>
      <c r="O96" s="7">
        <f t="shared" si="12"/>
        <v>26280</v>
      </c>
      <c r="P96" s="7">
        <f>IF(C96="Alta Complejidad",M96,0)</f>
        <v>21900</v>
      </c>
      <c r="Q96" s="8">
        <v>0.2</v>
      </c>
      <c r="R96" s="7">
        <f t="shared" si="13"/>
        <v>26280</v>
      </c>
      <c r="S96" s="8">
        <f>IFERROR(((R96-P96)/R96),0)</f>
        <v>0.16666666666666666</v>
      </c>
      <c r="T96" s="7">
        <v>0</v>
      </c>
      <c r="U96" s="8">
        <v>0</v>
      </c>
      <c r="V96" s="7">
        <f>(T96)+(T96*U96)</f>
        <v>0</v>
      </c>
      <c r="W96" s="8">
        <f>IFERROR(((V96-T96)/V96),0)</f>
        <v>0</v>
      </c>
      <c r="X96" s="7">
        <f>IF(C96="Baja Complejidad",M96,0)</f>
        <v>0</v>
      </c>
      <c r="Y96" s="8">
        <v>0</v>
      </c>
      <c r="Z96" s="7">
        <f>(X96)+(X96*Y96)</f>
        <v>0</v>
      </c>
      <c r="AA96" s="8">
        <f>IFERROR(((Z96-X96)/Z96),0)</f>
        <v>0</v>
      </c>
      <c r="AB96" s="8">
        <v>0.1</v>
      </c>
    </row>
    <row r="97" spans="1:28" x14ac:dyDescent="0.25">
      <c r="A97">
        <v>2026</v>
      </c>
      <c r="B97" t="s">
        <v>56</v>
      </c>
      <c r="C97" t="s">
        <v>29</v>
      </c>
      <c r="D97" t="s">
        <v>30</v>
      </c>
      <c r="E97">
        <v>603422</v>
      </c>
      <c r="G97" t="s">
        <v>63</v>
      </c>
      <c r="H97" t="s">
        <v>63</v>
      </c>
      <c r="I97" t="s">
        <v>72</v>
      </c>
      <c r="J97" t="s">
        <v>69</v>
      </c>
      <c r="K97" t="s">
        <v>33</v>
      </c>
      <c r="L97">
        <v>114900</v>
      </c>
      <c r="M97">
        <v>114900</v>
      </c>
      <c r="O97" s="7">
        <f t="shared" si="12"/>
        <v>137880</v>
      </c>
      <c r="P97" s="7">
        <f>IF(C97="Alta Complejidad",M97,0)</f>
        <v>114900</v>
      </c>
      <c r="Q97" s="8">
        <v>0.2</v>
      </c>
      <c r="R97" s="7">
        <f t="shared" si="13"/>
        <v>137880</v>
      </c>
      <c r="S97" s="8">
        <f>IFERROR(((R97-P97)/R97),0)</f>
        <v>0.16666666666666666</v>
      </c>
      <c r="T97" s="7">
        <v>0</v>
      </c>
      <c r="U97" s="8">
        <v>0</v>
      </c>
      <c r="V97" s="7">
        <f>(T97)+(T97*U97)</f>
        <v>0</v>
      </c>
      <c r="W97" s="8">
        <f>IFERROR(((V97-T97)/V97),0)</f>
        <v>0</v>
      </c>
      <c r="X97" s="7">
        <f>IF(C97="Baja Complejidad",M97,0)</f>
        <v>0</v>
      </c>
      <c r="Y97" s="8">
        <v>0</v>
      </c>
      <c r="Z97" s="7">
        <f>(X97)+(X97*Y97)</f>
        <v>0</v>
      </c>
      <c r="AA97" s="8">
        <f>IFERROR(((Z97-X97)/Z97),0)</f>
        <v>0</v>
      </c>
      <c r="AB97" s="8">
        <v>0.1</v>
      </c>
    </row>
    <row r="98" spans="1:28" x14ac:dyDescent="0.25">
      <c r="A98">
        <v>2026</v>
      </c>
      <c r="B98" t="s">
        <v>56</v>
      </c>
      <c r="C98" t="s">
        <v>29</v>
      </c>
      <c r="D98" t="s">
        <v>30</v>
      </c>
      <c r="E98">
        <v>603423</v>
      </c>
      <c r="G98" t="s">
        <v>63</v>
      </c>
      <c r="H98" t="s">
        <v>63</v>
      </c>
      <c r="I98" t="s">
        <v>73</v>
      </c>
      <c r="J98" t="s">
        <v>69</v>
      </c>
      <c r="K98" t="s">
        <v>33</v>
      </c>
      <c r="L98">
        <v>28000</v>
      </c>
      <c r="M98">
        <v>28000</v>
      </c>
      <c r="O98" s="7">
        <f t="shared" si="12"/>
        <v>33600</v>
      </c>
      <c r="P98" s="7">
        <f>IF(C98="Alta Complejidad",M98,0)</f>
        <v>28000</v>
      </c>
      <c r="Q98" s="8">
        <v>0.2</v>
      </c>
      <c r="R98" s="7">
        <f t="shared" si="13"/>
        <v>33600</v>
      </c>
      <c r="S98" s="8">
        <f>IFERROR(((R98-P98)/R98),0)</f>
        <v>0.16666666666666666</v>
      </c>
      <c r="T98" s="7">
        <v>0</v>
      </c>
      <c r="U98" s="8">
        <v>0</v>
      </c>
      <c r="V98" s="7">
        <f>(T98)+(T98*U98)</f>
        <v>0</v>
      </c>
      <c r="W98" s="8">
        <f>IFERROR(((V98-T98)/V98),0)</f>
        <v>0</v>
      </c>
      <c r="X98" s="7">
        <f>IF(C98="Baja Complejidad",M98,0)</f>
        <v>0</v>
      </c>
      <c r="Y98" s="8">
        <v>0</v>
      </c>
      <c r="Z98" s="7">
        <f>(X98)+(X98*Y98)</f>
        <v>0</v>
      </c>
      <c r="AA98" s="8">
        <f>IFERROR(((Z98-X98)/Z98),0)</f>
        <v>0</v>
      </c>
      <c r="AB98" s="8">
        <v>0.1</v>
      </c>
    </row>
    <row r="99" spans="1:28" x14ac:dyDescent="0.25">
      <c r="A99">
        <v>2026</v>
      </c>
      <c r="B99" t="s">
        <v>56</v>
      </c>
      <c r="C99" t="s">
        <v>29</v>
      </c>
      <c r="D99" t="s">
        <v>30</v>
      </c>
      <c r="E99">
        <v>294199</v>
      </c>
      <c r="G99" t="s">
        <v>63</v>
      </c>
      <c r="H99" t="s">
        <v>63</v>
      </c>
      <c r="I99" t="s">
        <v>74</v>
      </c>
      <c r="J99" t="s">
        <v>69</v>
      </c>
      <c r="K99" t="s">
        <v>33</v>
      </c>
      <c r="L99">
        <v>49200</v>
      </c>
      <c r="M99">
        <v>49200</v>
      </c>
      <c r="O99" s="7">
        <f t="shared" si="12"/>
        <v>59040</v>
      </c>
      <c r="P99" s="7">
        <f>IF(C99="Alta Complejidad",M99,0)</f>
        <v>49200</v>
      </c>
      <c r="Q99" s="8">
        <v>0.2</v>
      </c>
      <c r="R99" s="7">
        <f t="shared" si="13"/>
        <v>59040</v>
      </c>
      <c r="S99" s="8">
        <f>IFERROR(((R99-P99)/R99),0)</f>
        <v>0.16666666666666666</v>
      </c>
      <c r="T99" s="7">
        <v>0</v>
      </c>
      <c r="U99" s="8">
        <v>0</v>
      </c>
      <c r="V99" s="7">
        <f>(T99)+(T99*U99)</f>
        <v>0</v>
      </c>
      <c r="W99" s="8">
        <f>IFERROR(((V99-T99)/V99),0)</f>
        <v>0</v>
      </c>
      <c r="X99" s="7">
        <f>IF(C99="Baja Complejidad",M99,0)</f>
        <v>0</v>
      </c>
      <c r="Y99" s="8">
        <v>0</v>
      </c>
      <c r="Z99" s="7">
        <f>(X99)+(X99*Y99)</f>
        <v>0</v>
      </c>
      <c r="AA99" s="8">
        <f>IFERROR(((Z99-X99)/Z99),0)</f>
        <v>0</v>
      </c>
      <c r="AB99" s="8">
        <v>0.1</v>
      </c>
    </row>
    <row r="100" spans="1:28" x14ac:dyDescent="0.25">
      <c r="A100">
        <v>2026</v>
      </c>
      <c r="B100" t="s">
        <v>56</v>
      </c>
      <c r="C100" t="s">
        <v>29</v>
      </c>
      <c r="D100" t="s">
        <v>30</v>
      </c>
      <c r="E100">
        <v>294299</v>
      </c>
      <c r="G100" t="s">
        <v>63</v>
      </c>
      <c r="H100" t="s">
        <v>63</v>
      </c>
      <c r="I100" t="s">
        <v>75</v>
      </c>
      <c r="J100" t="s">
        <v>69</v>
      </c>
      <c r="K100" t="s">
        <v>33</v>
      </c>
      <c r="L100">
        <v>141600</v>
      </c>
      <c r="M100">
        <v>141600</v>
      </c>
      <c r="O100" s="7">
        <f t="shared" si="12"/>
        <v>169920</v>
      </c>
      <c r="P100" s="7">
        <f>IF(C100="Alta Complejidad",M100,0)</f>
        <v>141600</v>
      </c>
      <c r="Q100" s="8">
        <v>0.2</v>
      </c>
      <c r="R100" s="7">
        <f t="shared" si="13"/>
        <v>169920</v>
      </c>
      <c r="S100" s="8">
        <f>IFERROR(((R100-P100)/R100),0)</f>
        <v>0.16666666666666666</v>
      </c>
      <c r="T100" s="7">
        <v>0</v>
      </c>
      <c r="U100" s="8">
        <v>0</v>
      </c>
      <c r="V100" s="7">
        <f>(T100)+(T100*U100)</f>
        <v>0</v>
      </c>
      <c r="W100" s="8">
        <f>IFERROR(((V100-T100)/V100),0)</f>
        <v>0</v>
      </c>
      <c r="X100" s="7">
        <f>IF(C100="Baja Complejidad",M100,0)</f>
        <v>0</v>
      </c>
      <c r="Y100" s="8">
        <v>0</v>
      </c>
      <c r="Z100" s="7">
        <f>(X100)+(X100*Y100)</f>
        <v>0</v>
      </c>
      <c r="AA100" s="8">
        <f>IFERROR(((Z100-X100)/Z100),0)</f>
        <v>0</v>
      </c>
      <c r="AB100" s="8">
        <v>0.1</v>
      </c>
    </row>
    <row r="101" spans="1:28" x14ac:dyDescent="0.25">
      <c r="A101">
        <v>2026</v>
      </c>
      <c r="B101" t="s">
        <v>56</v>
      </c>
      <c r="C101" t="s">
        <v>29</v>
      </c>
      <c r="D101" t="s">
        <v>30</v>
      </c>
      <c r="E101">
        <v>294399</v>
      </c>
      <c r="G101" t="s">
        <v>63</v>
      </c>
      <c r="H101" t="s">
        <v>63</v>
      </c>
      <c r="I101" t="s">
        <v>76</v>
      </c>
      <c r="J101" t="s">
        <v>69</v>
      </c>
      <c r="K101" t="s">
        <v>33</v>
      </c>
      <c r="L101">
        <v>174700</v>
      </c>
      <c r="M101">
        <v>174700</v>
      </c>
      <c r="O101" s="7">
        <f t="shared" si="12"/>
        <v>209640</v>
      </c>
      <c r="P101" s="7">
        <f>IF(C101="Alta Complejidad",M101,0)</f>
        <v>174700</v>
      </c>
      <c r="Q101" s="8">
        <v>0.2</v>
      </c>
      <c r="R101" s="7">
        <f t="shared" si="13"/>
        <v>209640</v>
      </c>
      <c r="S101" s="8">
        <f>IFERROR(((R101-P101)/R101),0)</f>
        <v>0.16666666666666666</v>
      </c>
      <c r="T101" s="7">
        <v>0</v>
      </c>
      <c r="U101" s="8">
        <v>0</v>
      </c>
      <c r="V101" s="7">
        <f>(T101)+(T101*U101)</f>
        <v>0</v>
      </c>
      <c r="W101" s="8">
        <f>IFERROR(((V101-T101)/V101),0)</f>
        <v>0</v>
      </c>
      <c r="X101" s="7">
        <f>IF(C101="Baja Complejidad",M101,0)</f>
        <v>0</v>
      </c>
      <c r="Y101" s="8">
        <v>0</v>
      </c>
      <c r="Z101" s="7">
        <f>(X101)+(X101*Y101)</f>
        <v>0</v>
      </c>
      <c r="AA101" s="8">
        <f>IFERROR(((Z101-X101)/Z101),0)</f>
        <v>0</v>
      </c>
      <c r="AB101" s="8">
        <v>0.1</v>
      </c>
    </row>
    <row r="102" spans="1:28" x14ac:dyDescent="0.25">
      <c r="A102">
        <v>2026</v>
      </c>
      <c r="B102" t="s">
        <v>56</v>
      </c>
      <c r="C102" t="s">
        <v>29</v>
      </c>
      <c r="D102" t="s">
        <v>30</v>
      </c>
      <c r="E102">
        <v>294499</v>
      </c>
      <c r="G102" t="s">
        <v>63</v>
      </c>
      <c r="H102" t="s">
        <v>63</v>
      </c>
      <c r="I102" t="s">
        <v>77</v>
      </c>
      <c r="J102" t="s">
        <v>69</v>
      </c>
      <c r="K102" t="s">
        <v>33</v>
      </c>
      <c r="L102">
        <v>204000</v>
      </c>
      <c r="M102">
        <v>204000</v>
      </c>
      <c r="O102" s="7">
        <f t="shared" si="12"/>
        <v>244800</v>
      </c>
      <c r="P102" s="7">
        <f>IF(C102="Alta Complejidad",M102,0)</f>
        <v>204000</v>
      </c>
      <c r="Q102" s="8">
        <v>0.2</v>
      </c>
      <c r="R102" s="7">
        <f t="shared" si="13"/>
        <v>244800</v>
      </c>
      <c r="S102" s="8">
        <f>IFERROR(((R102-P102)/R102),0)</f>
        <v>0.16666666666666666</v>
      </c>
      <c r="T102" s="7">
        <v>0</v>
      </c>
      <c r="U102" s="8">
        <v>0</v>
      </c>
      <c r="V102" s="7">
        <f>(T102)+(T102*U102)</f>
        <v>0</v>
      </c>
      <c r="W102" s="8">
        <f>IFERROR(((V102-T102)/V102),0)</f>
        <v>0</v>
      </c>
      <c r="X102" s="7">
        <f>IF(C102="Baja Complejidad",M102,0)</f>
        <v>0</v>
      </c>
      <c r="Y102" s="8">
        <v>0</v>
      </c>
      <c r="Z102" s="7">
        <f>(X102)+(X102*Y102)</f>
        <v>0</v>
      </c>
      <c r="AA102" s="8">
        <f>IFERROR(((Z102-X102)/Z102),0)</f>
        <v>0</v>
      </c>
      <c r="AB102" s="8">
        <v>0.1</v>
      </c>
    </row>
    <row r="103" spans="1:28" x14ac:dyDescent="0.25">
      <c r="A103">
        <v>2026</v>
      </c>
      <c r="B103" t="s">
        <v>56</v>
      </c>
      <c r="C103" t="s">
        <v>29</v>
      </c>
      <c r="D103" t="s">
        <v>30</v>
      </c>
      <c r="E103">
        <v>284190</v>
      </c>
      <c r="G103" t="s">
        <v>63</v>
      </c>
      <c r="H103" t="s">
        <v>63</v>
      </c>
      <c r="I103" t="s">
        <v>78</v>
      </c>
      <c r="J103" t="s">
        <v>69</v>
      </c>
      <c r="K103" t="s">
        <v>33</v>
      </c>
      <c r="L103">
        <v>49000</v>
      </c>
      <c r="M103">
        <v>49000</v>
      </c>
      <c r="O103" s="7">
        <f t="shared" si="12"/>
        <v>58800</v>
      </c>
      <c r="P103" s="7">
        <f>IF(C103="Alta Complejidad",M103,0)</f>
        <v>49000</v>
      </c>
      <c r="Q103" s="8">
        <v>0.2</v>
      </c>
      <c r="R103" s="7">
        <f t="shared" si="13"/>
        <v>58800</v>
      </c>
      <c r="S103" s="8">
        <f>IFERROR(((R103-P103)/R103),0)</f>
        <v>0.16666666666666666</v>
      </c>
      <c r="T103" s="7">
        <v>0</v>
      </c>
      <c r="U103" s="8">
        <v>0</v>
      </c>
      <c r="V103" s="7">
        <f>(T103)+(T103*U103)</f>
        <v>0</v>
      </c>
      <c r="W103" s="8">
        <f>IFERROR(((V103-T103)/V103),0)</f>
        <v>0</v>
      </c>
      <c r="X103" s="7">
        <f>IF(C103="Baja Complejidad",M103,0)</f>
        <v>0</v>
      </c>
      <c r="Y103" s="8">
        <v>0</v>
      </c>
      <c r="Z103" s="7">
        <f>(X103)+(X103*Y103)</f>
        <v>0</v>
      </c>
      <c r="AA103" s="8">
        <f>IFERROR(((Z103-X103)/Z103),0)</f>
        <v>0</v>
      </c>
      <c r="AB103" s="8">
        <v>0.1</v>
      </c>
    </row>
    <row r="104" spans="1:28" x14ac:dyDescent="0.25">
      <c r="A104">
        <v>2026</v>
      </c>
      <c r="B104" t="s">
        <v>56</v>
      </c>
      <c r="C104" t="s">
        <v>29</v>
      </c>
      <c r="D104" t="s">
        <v>30</v>
      </c>
      <c r="E104">
        <v>284390</v>
      </c>
      <c r="G104" t="s">
        <v>63</v>
      </c>
      <c r="H104" t="s">
        <v>63</v>
      </c>
      <c r="I104" t="s">
        <v>79</v>
      </c>
      <c r="J104" t="s">
        <v>66</v>
      </c>
      <c r="K104" t="s">
        <v>33</v>
      </c>
      <c r="L104">
        <v>224100</v>
      </c>
      <c r="M104">
        <v>224100</v>
      </c>
      <c r="O104" s="7">
        <f t="shared" si="12"/>
        <v>268920</v>
      </c>
      <c r="P104" s="7">
        <f>IF(C104="Alta Complejidad",M104,0)</f>
        <v>224100</v>
      </c>
      <c r="Q104" s="8">
        <v>0.2</v>
      </c>
      <c r="R104" s="7">
        <f t="shared" si="13"/>
        <v>268920</v>
      </c>
      <c r="S104" s="8">
        <f>IFERROR(((R104-P104)/R104),0)</f>
        <v>0.16666666666666666</v>
      </c>
      <c r="T104" s="7">
        <v>0</v>
      </c>
      <c r="U104" s="8">
        <v>0</v>
      </c>
      <c r="V104" s="7">
        <f>(T104)+(T104*U104)</f>
        <v>0</v>
      </c>
      <c r="W104" s="8">
        <f>IFERROR(((V104-T104)/V104),0)</f>
        <v>0</v>
      </c>
      <c r="X104" s="7">
        <f>IF(C104="Baja Complejidad",M104,0)</f>
        <v>0</v>
      </c>
      <c r="Y104" s="8">
        <v>0</v>
      </c>
      <c r="Z104" s="7">
        <f>(X104)+(X104*Y104)</f>
        <v>0</v>
      </c>
      <c r="AA104" s="8">
        <f>IFERROR(((Z104-X104)/Z104),0)</f>
        <v>0</v>
      </c>
      <c r="AB104" s="8">
        <v>0.1</v>
      </c>
    </row>
    <row r="105" spans="1:28" x14ac:dyDescent="0.25">
      <c r="A105">
        <v>2026</v>
      </c>
      <c r="B105" t="s">
        <v>56</v>
      </c>
      <c r="C105" t="s">
        <v>29</v>
      </c>
      <c r="D105" t="s">
        <v>30</v>
      </c>
      <c r="E105">
        <v>287100</v>
      </c>
      <c r="G105" t="s">
        <v>63</v>
      </c>
      <c r="H105" t="s">
        <v>63</v>
      </c>
      <c r="I105" t="s">
        <v>80</v>
      </c>
      <c r="J105" t="s">
        <v>66</v>
      </c>
      <c r="K105" t="s">
        <v>33</v>
      </c>
      <c r="L105">
        <v>38000</v>
      </c>
      <c r="M105">
        <v>38000</v>
      </c>
      <c r="O105" s="7">
        <f t="shared" si="12"/>
        <v>45600</v>
      </c>
      <c r="P105" s="7">
        <f>IF(C105="Alta Complejidad",M105,0)</f>
        <v>38000</v>
      </c>
      <c r="Q105" s="8">
        <v>0.2</v>
      </c>
      <c r="R105" s="7">
        <f t="shared" si="13"/>
        <v>45600</v>
      </c>
      <c r="S105" s="8">
        <f>IFERROR(((R105-P105)/R105),0)</f>
        <v>0.16666666666666666</v>
      </c>
      <c r="T105" s="7">
        <v>0</v>
      </c>
      <c r="U105" s="8">
        <v>0</v>
      </c>
      <c r="V105" s="7">
        <f>(T105)+(T105*U105)</f>
        <v>0</v>
      </c>
      <c r="W105" s="8">
        <f>IFERROR(((V105-T105)/V105),0)</f>
        <v>0</v>
      </c>
      <c r="X105" s="7">
        <f>IF(C105="Baja Complejidad",M105,0)</f>
        <v>0</v>
      </c>
      <c r="Y105" s="8">
        <v>0</v>
      </c>
      <c r="Z105" s="7">
        <f>(X105)+(X105*Y105)</f>
        <v>0</v>
      </c>
      <c r="AA105" s="8">
        <f>IFERROR(((Z105-X105)/Z105),0)</f>
        <v>0</v>
      </c>
      <c r="AB105" s="8">
        <v>0.1</v>
      </c>
    </row>
    <row r="106" spans="1:28" x14ac:dyDescent="0.25">
      <c r="A106">
        <v>2026</v>
      </c>
      <c r="B106" t="s">
        <v>56</v>
      </c>
      <c r="C106" t="s">
        <v>29</v>
      </c>
      <c r="D106" t="s">
        <v>30</v>
      </c>
      <c r="E106">
        <v>287200</v>
      </c>
      <c r="G106" t="s">
        <v>63</v>
      </c>
      <c r="H106" t="s">
        <v>63</v>
      </c>
      <c r="I106" t="s">
        <v>81</v>
      </c>
      <c r="J106" t="s">
        <v>66</v>
      </c>
      <c r="K106" t="s">
        <v>33</v>
      </c>
      <c r="L106">
        <v>39800</v>
      </c>
      <c r="M106">
        <v>39800</v>
      </c>
      <c r="O106" s="7">
        <f t="shared" si="12"/>
        <v>47760</v>
      </c>
      <c r="P106" s="7">
        <f>IF(C106="Alta Complejidad",M106,0)</f>
        <v>39800</v>
      </c>
      <c r="Q106" s="8">
        <v>0.2</v>
      </c>
      <c r="R106" s="7">
        <f t="shared" si="13"/>
        <v>47760</v>
      </c>
      <c r="S106" s="8">
        <f>IFERROR(((R106-P106)/R106),0)</f>
        <v>0.16666666666666666</v>
      </c>
      <c r="T106" s="7">
        <v>0</v>
      </c>
      <c r="U106" s="8">
        <v>0</v>
      </c>
      <c r="V106" s="7">
        <f>(T106)+(T106*U106)</f>
        <v>0</v>
      </c>
      <c r="W106" s="8">
        <f>IFERROR(((V106-T106)/V106),0)</f>
        <v>0</v>
      </c>
      <c r="X106" s="7">
        <f>IF(C106="Baja Complejidad",M106,0)</f>
        <v>0</v>
      </c>
      <c r="Y106" s="8">
        <v>0</v>
      </c>
      <c r="Z106" s="7">
        <f>(X106)+(X106*Y106)</f>
        <v>0</v>
      </c>
      <c r="AA106" s="8">
        <f>IFERROR(((Z106-X106)/Z106),0)</f>
        <v>0</v>
      </c>
      <c r="AB106" s="8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5E2B-428F-4CAB-8ED4-988C63DEFA3D}">
  <dimension ref="A1:AB106"/>
  <sheetViews>
    <sheetView topLeftCell="P82" workbookViewId="0">
      <selection activeCell="A2" sqref="A2:AB106"/>
    </sheetView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3" t="s">
        <v>26</v>
      </c>
      <c r="AB1" s="4" t="s">
        <v>27</v>
      </c>
    </row>
    <row r="2" spans="1:28" x14ac:dyDescent="0.25">
      <c r="A2">
        <v>2026</v>
      </c>
      <c r="B2" t="s">
        <v>28</v>
      </c>
      <c r="C2" t="s">
        <v>57</v>
      </c>
      <c r="D2" t="s">
        <v>58</v>
      </c>
      <c r="G2" t="s">
        <v>63</v>
      </c>
      <c r="H2" t="s">
        <v>63</v>
      </c>
      <c r="I2" t="s">
        <v>65</v>
      </c>
      <c r="J2" t="s">
        <v>66</v>
      </c>
      <c r="K2" t="s">
        <v>33</v>
      </c>
      <c r="L2">
        <v>28800</v>
      </c>
      <c r="M2" s="7">
        <v>28800</v>
      </c>
      <c r="O2" s="7"/>
      <c r="P2" s="7">
        <v>0</v>
      </c>
      <c r="Q2" s="8">
        <v>0</v>
      </c>
      <c r="R2" s="7">
        <v>0</v>
      </c>
      <c r="S2" s="9">
        <v>0</v>
      </c>
      <c r="T2" s="7">
        <v>0</v>
      </c>
      <c r="U2" s="8">
        <v>0</v>
      </c>
      <c r="V2" s="7">
        <v>0</v>
      </c>
      <c r="W2" s="8">
        <v>0</v>
      </c>
      <c r="X2" s="7">
        <f>M2</f>
        <v>28800</v>
      </c>
      <c r="Y2" s="8">
        <v>0.2</v>
      </c>
      <c r="Z2" s="7">
        <f>X2+(X2*Y2)</f>
        <v>34560</v>
      </c>
      <c r="AA2" s="8">
        <f>IFERROR(((Z2-X2)/Z2),0)</f>
        <v>0.16666666666666666</v>
      </c>
      <c r="AB2" s="8">
        <v>0.1</v>
      </c>
    </row>
    <row r="3" spans="1:28" x14ac:dyDescent="0.25">
      <c r="A3">
        <v>2026</v>
      </c>
      <c r="B3" t="s">
        <v>28</v>
      </c>
      <c r="C3" t="s">
        <v>57</v>
      </c>
      <c r="D3" t="s">
        <v>58</v>
      </c>
      <c r="G3" t="s">
        <v>63</v>
      </c>
      <c r="H3" t="s">
        <v>63</v>
      </c>
      <c r="I3" t="s">
        <v>67</v>
      </c>
      <c r="J3" t="s">
        <v>66</v>
      </c>
      <c r="K3" t="s">
        <v>33</v>
      </c>
      <c r="L3">
        <v>36700</v>
      </c>
      <c r="M3" s="7">
        <v>36700</v>
      </c>
      <c r="O3" s="7"/>
      <c r="P3" s="7">
        <v>0</v>
      </c>
      <c r="Q3" s="8">
        <v>0</v>
      </c>
      <c r="R3" s="7">
        <v>0</v>
      </c>
      <c r="S3" s="9">
        <v>0</v>
      </c>
      <c r="T3" s="7">
        <v>0</v>
      </c>
      <c r="U3" s="8">
        <v>0</v>
      </c>
      <c r="V3" s="7">
        <v>0</v>
      </c>
      <c r="W3" s="8">
        <v>0</v>
      </c>
      <c r="X3" s="7">
        <f>M3</f>
        <v>36700</v>
      </c>
      <c r="Y3" s="8">
        <v>0.2</v>
      </c>
      <c r="Z3" s="7">
        <f t="shared" ref="Z3:Z16" si="0">X3+(X3*Y3)</f>
        <v>44040</v>
      </c>
      <c r="AA3" s="8">
        <f>IFERROR(((Z3-X3)/Z3),0)</f>
        <v>0.16666666666666666</v>
      </c>
      <c r="AB3" s="8">
        <v>0.1</v>
      </c>
    </row>
    <row r="4" spans="1:28" x14ac:dyDescent="0.25">
      <c r="A4">
        <v>2026</v>
      </c>
      <c r="B4" t="s">
        <v>28</v>
      </c>
      <c r="C4" t="s">
        <v>57</v>
      </c>
      <c r="D4" t="s">
        <v>58</v>
      </c>
      <c r="G4" t="s">
        <v>63</v>
      </c>
      <c r="H4" t="s">
        <v>63</v>
      </c>
      <c r="I4" t="s">
        <v>68</v>
      </c>
      <c r="J4" t="s">
        <v>69</v>
      </c>
      <c r="K4" t="s">
        <v>33</v>
      </c>
      <c r="L4">
        <v>28000</v>
      </c>
      <c r="M4" s="7">
        <v>28000</v>
      </c>
      <c r="O4" s="7"/>
      <c r="P4" s="7">
        <v>0</v>
      </c>
      <c r="Q4" s="8">
        <v>0</v>
      </c>
      <c r="R4" s="7">
        <v>0</v>
      </c>
      <c r="S4" s="9">
        <v>0</v>
      </c>
      <c r="T4" s="7">
        <v>0</v>
      </c>
      <c r="U4" s="8">
        <v>0</v>
      </c>
      <c r="V4" s="7">
        <v>0</v>
      </c>
      <c r="W4" s="8">
        <v>0</v>
      </c>
      <c r="X4" s="7">
        <f>M4</f>
        <v>28000</v>
      </c>
      <c r="Y4" s="8">
        <v>0.2</v>
      </c>
      <c r="Z4" s="7">
        <f t="shared" si="0"/>
        <v>33600</v>
      </c>
      <c r="AA4" s="8">
        <f>IFERROR(((Z4-X4)/Z4),0)</f>
        <v>0.16666666666666666</v>
      </c>
      <c r="AB4" s="8">
        <v>0.1</v>
      </c>
    </row>
    <row r="5" spans="1:28" x14ac:dyDescent="0.25">
      <c r="A5">
        <v>2026</v>
      </c>
      <c r="B5" t="s">
        <v>28</v>
      </c>
      <c r="C5" t="s">
        <v>57</v>
      </c>
      <c r="D5" t="s">
        <v>58</v>
      </c>
      <c r="G5" t="s">
        <v>63</v>
      </c>
      <c r="H5" t="s">
        <v>63</v>
      </c>
      <c r="I5" t="s">
        <v>70</v>
      </c>
      <c r="J5" t="s">
        <v>69</v>
      </c>
      <c r="K5" t="s">
        <v>33</v>
      </c>
      <c r="L5">
        <v>36700</v>
      </c>
      <c r="M5" s="7">
        <v>36700</v>
      </c>
      <c r="O5" s="7"/>
      <c r="P5" s="7">
        <v>0</v>
      </c>
      <c r="Q5" s="8">
        <v>0</v>
      </c>
      <c r="R5" s="7">
        <v>0</v>
      </c>
      <c r="S5" s="9">
        <v>0</v>
      </c>
      <c r="T5" s="7">
        <v>0</v>
      </c>
      <c r="U5" s="8">
        <v>0</v>
      </c>
      <c r="V5" s="7">
        <v>0</v>
      </c>
      <c r="W5" s="8">
        <v>0</v>
      </c>
      <c r="X5" s="7">
        <f>M5</f>
        <v>36700</v>
      </c>
      <c r="Y5" s="8">
        <v>0.2</v>
      </c>
      <c r="Z5" s="7">
        <f t="shared" si="0"/>
        <v>44040</v>
      </c>
      <c r="AA5" s="8">
        <f>IFERROR(((Z5-X5)/Z5),0)</f>
        <v>0.16666666666666666</v>
      </c>
      <c r="AB5" s="8">
        <v>0.1</v>
      </c>
    </row>
    <row r="6" spans="1:28" x14ac:dyDescent="0.25">
      <c r="A6">
        <v>2026</v>
      </c>
      <c r="B6" t="s">
        <v>28</v>
      </c>
      <c r="C6" t="s">
        <v>57</v>
      </c>
      <c r="D6" t="s">
        <v>58</v>
      </c>
      <c r="G6" t="s">
        <v>63</v>
      </c>
      <c r="H6" t="s">
        <v>63</v>
      </c>
      <c r="I6" t="s">
        <v>71</v>
      </c>
      <c r="J6" t="s">
        <v>69</v>
      </c>
      <c r="K6" t="s">
        <v>33</v>
      </c>
      <c r="L6">
        <v>21900</v>
      </c>
      <c r="M6" s="7">
        <v>21900</v>
      </c>
      <c r="O6" s="7"/>
      <c r="P6" s="7">
        <v>0</v>
      </c>
      <c r="Q6" s="8">
        <v>0</v>
      </c>
      <c r="R6" s="7">
        <v>0</v>
      </c>
      <c r="S6" s="9">
        <v>0</v>
      </c>
      <c r="T6" s="7">
        <v>0</v>
      </c>
      <c r="U6" s="8">
        <v>0</v>
      </c>
      <c r="V6" s="7">
        <v>0</v>
      </c>
      <c r="W6" s="8">
        <v>0</v>
      </c>
      <c r="X6" s="7">
        <f>M6</f>
        <v>21900</v>
      </c>
      <c r="Y6" s="8">
        <v>0.2</v>
      </c>
      <c r="Z6" s="7">
        <f t="shared" si="0"/>
        <v>26280</v>
      </c>
      <c r="AA6" s="8">
        <f>IFERROR(((Z6-X6)/Z6),0)</f>
        <v>0.16666666666666666</v>
      </c>
      <c r="AB6" s="8">
        <v>0.1</v>
      </c>
    </row>
    <row r="7" spans="1:28" x14ac:dyDescent="0.25">
      <c r="A7">
        <v>2026</v>
      </c>
      <c r="B7" t="s">
        <v>28</v>
      </c>
      <c r="C7" t="s">
        <v>57</v>
      </c>
      <c r="D7" t="s">
        <v>58</v>
      </c>
      <c r="G7" t="s">
        <v>63</v>
      </c>
      <c r="H7" t="s">
        <v>63</v>
      </c>
      <c r="I7" t="s">
        <v>72</v>
      </c>
      <c r="J7" t="s">
        <v>69</v>
      </c>
      <c r="K7" t="s">
        <v>33</v>
      </c>
      <c r="L7">
        <v>114900</v>
      </c>
      <c r="M7" s="7">
        <v>114900</v>
      </c>
      <c r="O7" s="7"/>
      <c r="P7" s="7">
        <v>0</v>
      </c>
      <c r="Q7" s="8">
        <v>0</v>
      </c>
      <c r="R7" s="7">
        <v>0</v>
      </c>
      <c r="S7" s="9">
        <v>0</v>
      </c>
      <c r="T7" s="7">
        <v>0</v>
      </c>
      <c r="U7" s="8">
        <v>0</v>
      </c>
      <c r="V7" s="7">
        <v>0</v>
      </c>
      <c r="W7" s="8">
        <v>0</v>
      </c>
      <c r="X7" s="7">
        <f>M7</f>
        <v>114900</v>
      </c>
      <c r="Y7" s="8">
        <v>0.2</v>
      </c>
      <c r="Z7" s="7">
        <f t="shared" si="0"/>
        <v>137880</v>
      </c>
      <c r="AA7" s="8">
        <f>IFERROR(((Z7-X7)/Z7),0)</f>
        <v>0.16666666666666666</v>
      </c>
      <c r="AB7" s="8">
        <v>0.1</v>
      </c>
    </row>
    <row r="8" spans="1:28" x14ac:dyDescent="0.25">
      <c r="A8">
        <v>2026</v>
      </c>
      <c r="B8" t="s">
        <v>28</v>
      </c>
      <c r="C8" t="s">
        <v>57</v>
      </c>
      <c r="D8" t="s">
        <v>58</v>
      </c>
      <c r="G8" t="s">
        <v>63</v>
      </c>
      <c r="H8" t="s">
        <v>63</v>
      </c>
      <c r="I8" t="s">
        <v>73</v>
      </c>
      <c r="J8" t="s">
        <v>69</v>
      </c>
      <c r="K8" t="s">
        <v>33</v>
      </c>
      <c r="L8">
        <v>28000</v>
      </c>
      <c r="M8" s="7">
        <v>28000</v>
      </c>
      <c r="O8" s="7"/>
      <c r="P8" s="7">
        <v>0</v>
      </c>
      <c r="Q8" s="8">
        <v>0</v>
      </c>
      <c r="R8" s="7">
        <v>0</v>
      </c>
      <c r="S8" s="9">
        <v>0</v>
      </c>
      <c r="T8" s="7">
        <v>0</v>
      </c>
      <c r="U8" s="8">
        <v>0</v>
      </c>
      <c r="V8" s="7">
        <v>0</v>
      </c>
      <c r="W8" s="8">
        <v>0</v>
      </c>
      <c r="X8" s="7">
        <f>M8</f>
        <v>28000</v>
      </c>
      <c r="Y8" s="8">
        <v>0.2</v>
      </c>
      <c r="Z8" s="7">
        <f t="shared" si="0"/>
        <v>33600</v>
      </c>
      <c r="AA8" s="8">
        <f>IFERROR(((Z8-X8)/Z8),0)</f>
        <v>0.16666666666666666</v>
      </c>
      <c r="AB8" s="8">
        <v>0.1</v>
      </c>
    </row>
    <row r="9" spans="1:28" x14ac:dyDescent="0.25">
      <c r="A9">
        <v>2026</v>
      </c>
      <c r="B9" t="s">
        <v>28</v>
      </c>
      <c r="C9" t="s">
        <v>57</v>
      </c>
      <c r="D9" t="s">
        <v>58</v>
      </c>
      <c r="G9" t="s">
        <v>63</v>
      </c>
      <c r="H9" t="s">
        <v>63</v>
      </c>
      <c r="I9" t="s">
        <v>74</v>
      </c>
      <c r="J9" t="s">
        <v>69</v>
      </c>
      <c r="K9" t="s">
        <v>33</v>
      </c>
      <c r="L9">
        <v>49200</v>
      </c>
      <c r="M9" s="7">
        <v>49200</v>
      </c>
      <c r="O9" s="7"/>
      <c r="P9" s="7">
        <v>0</v>
      </c>
      <c r="Q9" s="8">
        <v>0</v>
      </c>
      <c r="R9" s="7">
        <v>0</v>
      </c>
      <c r="S9" s="9">
        <v>0</v>
      </c>
      <c r="T9" s="7">
        <v>0</v>
      </c>
      <c r="U9" s="8">
        <v>0</v>
      </c>
      <c r="V9" s="7">
        <v>0</v>
      </c>
      <c r="W9" s="8">
        <v>0</v>
      </c>
      <c r="X9" s="7">
        <f>M9</f>
        <v>49200</v>
      </c>
      <c r="Y9" s="8">
        <v>0.2</v>
      </c>
      <c r="Z9" s="7">
        <f t="shared" si="0"/>
        <v>59040</v>
      </c>
      <c r="AA9" s="8">
        <f>IFERROR(((Z9-X9)/Z9),0)</f>
        <v>0.16666666666666666</v>
      </c>
      <c r="AB9" s="8">
        <v>0.1</v>
      </c>
    </row>
    <row r="10" spans="1:28" x14ac:dyDescent="0.25">
      <c r="A10">
        <v>2026</v>
      </c>
      <c r="B10" t="s">
        <v>28</v>
      </c>
      <c r="C10" t="s">
        <v>57</v>
      </c>
      <c r="D10" t="s">
        <v>58</v>
      </c>
      <c r="G10" t="s">
        <v>63</v>
      </c>
      <c r="H10" t="s">
        <v>63</v>
      </c>
      <c r="I10" t="s">
        <v>75</v>
      </c>
      <c r="J10" t="s">
        <v>69</v>
      </c>
      <c r="K10" t="s">
        <v>33</v>
      </c>
      <c r="L10">
        <v>141600</v>
      </c>
      <c r="M10" s="7">
        <v>141600</v>
      </c>
      <c r="O10" s="7"/>
      <c r="P10" s="7">
        <v>0</v>
      </c>
      <c r="Q10" s="8">
        <v>0</v>
      </c>
      <c r="R10" s="7">
        <v>0</v>
      </c>
      <c r="S10" s="9">
        <v>0</v>
      </c>
      <c r="T10" s="7">
        <v>0</v>
      </c>
      <c r="U10" s="8">
        <v>0</v>
      </c>
      <c r="V10" s="7">
        <v>0</v>
      </c>
      <c r="W10" s="8">
        <v>0</v>
      </c>
      <c r="X10" s="7">
        <f>M10</f>
        <v>141600</v>
      </c>
      <c r="Y10" s="8">
        <v>0.2</v>
      </c>
      <c r="Z10" s="7">
        <f t="shared" si="0"/>
        <v>169920</v>
      </c>
      <c r="AA10" s="8">
        <f>IFERROR(((Z10-X10)/Z10),0)</f>
        <v>0.16666666666666666</v>
      </c>
      <c r="AB10" s="8">
        <v>0.1</v>
      </c>
    </row>
    <row r="11" spans="1:28" x14ac:dyDescent="0.25">
      <c r="A11">
        <v>2026</v>
      </c>
      <c r="B11" t="s">
        <v>28</v>
      </c>
      <c r="C11" t="s">
        <v>57</v>
      </c>
      <c r="D11" t="s">
        <v>58</v>
      </c>
      <c r="G11" t="s">
        <v>63</v>
      </c>
      <c r="H11" t="s">
        <v>63</v>
      </c>
      <c r="I11" t="s">
        <v>76</v>
      </c>
      <c r="J11" t="s">
        <v>69</v>
      </c>
      <c r="K11" t="s">
        <v>33</v>
      </c>
      <c r="L11">
        <v>174700</v>
      </c>
      <c r="M11" s="7">
        <v>174700</v>
      </c>
      <c r="O11" s="7"/>
      <c r="P11" s="7">
        <v>0</v>
      </c>
      <c r="Q11" s="8">
        <v>0</v>
      </c>
      <c r="R11" s="7">
        <v>0</v>
      </c>
      <c r="S11" s="9">
        <v>0</v>
      </c>
      <c r="T11" s="7">
        <v>0</v>
      </c>
      <c r="U11" s="8">
        <v>0</v>
      </c>
      <c r="V11" s="7">
        <v>0</v>
      </c>
      <c r="W11" s="8">
        <v>0</v>
      </c>
      <c r="X11" s="7">
        <f>M11</f>
        <v>174700</v>
      </c>
      <c r="Y11" s="8">
        <v>0.2</v>
      </c>
      <c r="Z11" s="7">
        <f t="shared" si="0"/>
        <v>209640</v>
      </c>
      <c r="AA11" s="8">
        <f>IFERROR(((Z11-X11)/Z11),0)</f>
        <v>0.16666666666666666</v>
      </c>
      <c r="AB11" s="8">
        <v>0.1</v>
      </c>
    </row>
    <row r="12" spans="1:28" x14ac:dyDescent="0.25">
      <c r="A12">
        <v>2026</v>
      </c>
      <c r="B12" t="s">
        <v>28</v>
      </c>
      <c r="C12" t="s">
        <v>57</v>
      </c>
      <c r="D12" t="s">
        <v>58</v>
      </c>
      <c r="G12" t="s">
        <v>63</v>
      </c>
      <c r="H12" t="s">
        <v>63</v>
      </c>
      <c r="I12" t="s">
        <v>77</v>
      </c>
      <c r="J12" t="s">
        <v>69</v>
      </c>
      <c r="K12" t="s">
        <v>33</v>
      </c>
      <c r="L12">
        <v>204000</v>
      </c>
      <c r="M12" s="7">
        <v>204000</v>
      </c>
      <c r="O12" s="7"/>
      <c r="P12" s="7">
        <v>0</v>
      </c>
      <c r="Q12" s="8">
        <v>0</v>
      </c>
      <c r="R12" s="7">
        <v>0</v>
      </c>
      <c r="S12" s="9">
        <v>0</v>
      </c>
      <c r="T12" s="7">
        <v>0</v>
      </c>
      <c r="U12" s="8">
        <v>0</v>
      </c>
      <c r="V12" s="7">
        <v>0</v>
      </c>
      <c r="W12" s="8">
        <v>0</v>
      </c>
      <c r="X12" s="7">
        <f>M12</f>
        <v>204000</v>
      </c>
      <c r="Y12" s="8">
        <v>0.2</v>
      </c>
      <c r="Z12" s="7">
        <f t="shared" si="0"/>
        <v>244800</v>
      </c>
      <c r="AA12" s="8">
        <f>IFERROR(((Z12-X12)/Z12),0)</f>
        <v>0.16666666666666666</v>
      </c>
      <c r="AB12" s="8">
        <v>0.1</v>
      </c>
    </row>
    <row r="13" spans="1:28" x14ac:dyDescent="0.25">
      <c r="A13">
        <v>2026</v>
      </c>
      <c r="B13" t="s">
        <v>28</v>
      </c>
      <c r="C13" t="s">
        <v>57</v>
      </c>
      <c r="D13" t="s">
        <v>58</v>
      </c>
      <c r="G13" t="s">
        <v>63</v>
      </c>
      <c r="H13" t="s">
        <v>63</v>
      </c>
      <c r="I13" t="s">
        <v>78</v>
      </c>
      <c r="J13" t="s">
        <v>69</v>
      </c>
      <c r="K13" t="s">
        <v>33</v>
      </c>
      <c r="L13">
        <v>49000</v>
      </c>
      <c r="M13" s="7">
        <v>49000</v>
      </c>
      <c r="O13" s="7"/>
      <c r="P13" s="7">
        <v>0</v>
      </c>
      <c r="Q13" s="8">
        <v>0</v>
      </c>
      <c r="R13" s="7">
        <v>0</v>
      </c>
      <c r="S13" s="9">
        <v>0</v>
      </c>
      <c r="T13" s="7">
        <v>0</v>
      </c>
      <c r="U13" s="8">
        <v>0</v>
      </c>
      <c r="V13" s="7">
        <v>0</v>
      </c>
      <c r="W13" s="8">
        <v>0</v>
      </c>
      <c r="X13" s="7">
        <f>M13</f>
        <v>49000</v>
      </c>
      <c r="Y13" s="8">
        <v>0.2</v>
      </c>
      <c r="Z13" s="7">
        <f t="shared" si="0"/>
        <v>58800</v>
      </c>
      <c r="AA13" s="8">
        <f>IFERROR(((Z13-X13)/Z13),0)</f>
        <v>0.16666666666666666</v>
      </c>
      <c r="AB13" s="8">
        <v>0.1</v>
      </c>
    </row>
    <row r="14" spans="1:28" x14ac:dyDescent="0.25">
      <c r="A14">
        <v>2026</v>
      </c>
      <c r="B14" t="s">
        <v>28</v>
      </c>
      <c r="C14" t="s">
        <v>57</v>
      </c>
      <c r="D14" t="s">
        <v>58</v>
      </c>
      <c r="G14" t="s">
        <v>63</v>
      </c>
      <c r="H14" t="s">
        <v>63</v>
      </c>
      <c r="I14" t="s">
        <v>79</v>
      </c>
      <c r="J14" t="s">
        <v>66</v>
      </c>
      <c r="K14" t="s">
        <v>33</v>
      </c>
      <c r="L14">
        <v>224100</v>
      </c>
      <c r="M14" s="7">
        <v>224100</v>
      </c>
      <c r="O14" s="7"/>
      <c r="P14" s="7">
        <v>0</v>
      </c>
      <c r="Q14" s="8">
        <v>0</v>
      </c>
      <c r="R14" s="7">
        <v>0</v>
      </c>
      <c r="S14" s="9">
        <v>0</v>
      </c>
      <c r="T14" s="7">
        <v>0</v>
      </c>
      <c r="U14" s="8">
        <v>0</v>
      </c>
      <c r="V14" s="7">
        <v>0</v>
      </c>
      <c r="W14" s="8">
        <v>0</v>
      </c>
      <c r="X14" s="7">
        <f>M14</f>
        <v>224100</v>
      </c>
      <c r="Y14" s="8">
        <v>0.2</v>
      </c>
      <c r="Z14" s="7">
        <f t="shared" si="0"/>
        <v>268920</v>
      </c>
      <c r="AA14" s="8">
        <f>IFERROR(((Z14-X14)/Z14),0)</f>
        <v>0.16666666666666666</v>
      </c>
      <c r="AB14" s="8">
        <v>0.1</v>
      </c>
    </row>
    <row r="15" spans="1:28" x14ac:dyDescent="0.25">
      <c r="A15">
        <v>2026</v>
      </c>
      <c r="B15" t="s">
        <v>28</v>
      </c>
      <c r="C15" t="s">
        <v>57</v>
      </c>
      <c r="D15" t="s">
        <v>58</v>
      </c>
      <c r="G15" t="s">
        <v>63</v>
      </c>
      <c r="H15" t="s">
        <v>63</v>
      </c>
      <c r="I15" t="s">
        <v>80</v>
      </c>
      <c r="J15" t="s">
        <v>66</v>
      </c>
      <c r="K15" t="s">
        <v>33</v>
      </c>
      <c r="L15">
        <v>38000</v>
      </c>
      <c r="M15" s="7">
        <v>38000</v>
      </c>
      <c r="O15" s="7"/>
      <c r="P15" s="7">
        <v>0</v>
      </c>
      <c r="Q15" s="8">
        <v>0</v>
      </c>
      <c r="R15" s="7">
        <v>0</v>
      </c>
      <c r="S15" s="9">
        <v>0</v>
      </c>
      <c r="T15" s="7">
        <v>0</v>
      </c>
      <c r="U15" s="8">
        <v>0</v>
      </c>
      <c r="V15" s="7">
        <v>0</v>
      </c>
      <c r="W15" s="8">
        <v>0</v>
      </c>
      <c r="X15" s="7">
        <f>M15</f>
        <v>38000</v>
      </c>
      <c r="Y15" s="8">
        <v>0.2</v>
      </c>
      <c r="Z15" s="7">
        <f t="shared" si="0"/>
        <v>45600</v>
      </c>
      <c r="AA15" s="8">
        <f>IFERROR(((Z15-X15)/Z15),0)</f>
        <v>0.16666666666666666</v>
      </c>
      <c r="AB15" s="8">
        <v>0.1</v>
      </c>
    </row>
    <row r="16" spans="1:28" x14ac:dyDescent="0.25">
      <c r="A16">
        <v>2026</v>
      </c>
      <c r="B16" t="s">
        <v>28</v>
      </c>
      <c r="C16" t="s">
        <v>57</v>
      </c>
      <c r="D16" t="s">
        <v>58</v>
      </c>
      <c r="G16" t="s">
        <v>63</v>
      </c>
      <c r="H16" t="s">
        <v>63</v>
      </c>
      <c r="I16" t="s">
        <v>81</v>
      </c>
      <c r="J16" t="s">
        <v>66</v>
      </c>
      <c r="K16" t="s">
        <v>33</v>
      </c>
      <c r="L16">
        <v>39800</v>
      </c>
      <c r="M16" s="7">
        <v>39800</v>
      </c>
      <c r="O16" s="7"/>
      <c r="P16" s="7">
        <v>0</v>
      </c>
      <c r="Q16" s="8">
        <v>0</v>
      </c>
      <c r="R16" s="7">
        <v>0</v>
      </c>
      <c r="S16" s="9">
        <v>0</v>
      </c>
      <c r="T16" s="7">
        <v>0</v>
      </c>
      <c r="U16" s="8">
        <v>0</v>
      </c>
      <c r="V16" s="7">
        <v>0</v>
      </c>
      <c r="W16" s="8">
        <v>0</v>
      </c>
      <c r="X16" s="7">
        <f>M16</f>
        <v>39800</v>
      </c>
      <c r="Y16" s="8">
        <v>0.2</v>
      </c>
      <c r="Z16" s="7">
        <f t="shared" si="0"/>
        <v>47760</v>
      </c>
      <c r="AA16" s="8">
        <f>IFERROR(((Z16-X16)/Z16),0)</f>
        <v>0.16666666666666666</v>
      </c>
      <c r="AB16" s="8">
        <v>0.1</v>
      </c>
    </row>
    <row r="17" spans="1:28" x14ac:dyDescent="0.25">
      <c r="A17">
        <v>2026</v>
      </c>
      <c r="B17" t="s">
        <v>51</v>
      </c>
      <c r="C17" t="s">
        <v>57</v>
      </c>
      <c r="D17" t="s">
        <v>58</v>
      </c>
      <c r="G17" t="s">
        <v>63</v>
      </c>
      <c r="H17" t="s">
        <v>63</v>
      </c>
      <c r="I17" t="s">
        <v>65</v>
      </c>
      <c r="J17" t="s">
        <v>66</v>
      </c>
      <c r="K17" t="s">
        <v>33</v>
      </c>
      <c r="L17">
        <v>28800</v>
      </c>
      <c r="M17" s="7">
        <v>28800</v>
      </c>
      <c r="O17" s="7"/>
      <c r="P17" s="7">
        <v>0</v>
      </c>
      <c r="Q17" s="8">
        <v>0</v>
      </c>
      <c r="R17" s="7">
        <v>0</v>
      </c>
      <c r="S17" s="9">
        <v>0</v>
      </c>
      <c r="T17" s="7">
        <v>0</v>
      </c>
      <c r="U17" s="8">
        <v>0</v>
      </c>
      <c r="V17" s="7">
        <v>0</v>
      </c>
      <c r="W17" s="8">
        <v>0</v>
      </c>
      <c r="X17" s="7">
        <f>M17</f>
        <v>28800</v>
      </c>
      <c r="Y17" s="8">
        <v>0.2</v>
      </c>
      <c r="Z17" s="7">
        <f>X17+(X17*Y17)</f>
        <v>34560</v>
      </c>
      <c r="AA17" s="8">
        <f>IFERROR(((Z17-X17)/Z17),0)</f>
        <v>0.16666666666666666</v>
      </c>
      <c r="AB17" s="8">
        <v>0.1</v>
      </c>
    </row>
    <row r="18" spans="1:28" x14ac:dyDescent="0.25">
      <c r="A18">
        <v>2026</v>
      </c>
      <c r="B18" t="s">
        <v>51</v>
      </c>
      <c r="C18" t="s">
        <v>57</v>
      </c>
      <c r="D18" t="s">
        <v>58</v>
      </c>
      <c r="G18" t="s">
        <v>63</v>
      </c>
      <c r="H18" t="s">
        <v>63</v>
      </c>
      <c r="I18" t="s">
        <v>67</v>
      </c>
      <c r="J18" t="s">
        <v>66</v>
      </c>
      <c r="K18" t="s">
        <v>33</v>
      </c>
      <c r="L18">
        <v>36700</v>
      </c>
      <c r="M18" s="7">
        <v>36700</v>
      </c>
      <c r="O18" s="7"/>
      <c r="P18" s="7">
        <v>0</v>
      </c>
      <c r="Q18" s="8">
        <v>0</v>
      </c>
      <c r="R18" s="7">
        <v>0</v>
      </c>
      <c r="S18" s="9">
        <v>0</v>
      </c>
      <c r="T18" s="7">
        <v>0</v>
      </c>
      <c r="U18" s="8">
        <v>0</v>
      </c>
      <c r="V18" s="7">
        <v>0</v>
      </c>
      <c r="W18" s="8">
        <v>0</v>
      </c>
      <c r="X18" s="7">
        <f>M18</f>
        <v>36700</v>
      </c>
      <c r="Y18" s="8">
        <v>0.2</v>
      </c>
      <c r="Z18" s="7">
        <f t="shared" ref="Z18:Z31" si="1">X18+(X18*Y18)</f>
        <v>44040</v>
      </c>
      <c r="AA18" s="8">
        <f>IFERROR(((Z18-X18)/Z18),0)</f>
        <v>0.16666666666666666</v>
      </c>
      <c r="AB18" s="8">
        <v>0.1</v>
      </c>
    </row>
    <row r="19" spans="1:28" x14ac:dyDescent="0.25">
      <c r="A19">
        <v>2026</v>
      </c>
      <c r="B19" t="s">
        <v>51</v>
      </c>
      <c r="C19" t="s">
        <v>57</v>
      </c>
      <c r="D19" t="s">
        <v>58</v>
      </c>
      <c r="G19" t="s">
        <v>63</v>
      </c>
      <c r="H19" t="s">
        <v>63</v>
      </c>
      <c r="I19" t="s">
        <v>68</v>
      </c>
      <c r="J19" t="s">
        <v>69</v>
      </c>
      <c r="K19" t="s">
        <v>33</v>
      </c>
      <c r="L19">
        <v>28000</v>
      </c>
      <c r="M19" s="7">
        <v>28000</v>
      </c>
      <c r="O19" s="7"/>
      <c r="P19" s="7">
        <v>0</v>
      </c>
      <c r="Q19" s="8">
        <v>0</v>
      </c>
      <c r="R19" s="7">
        <v>0</v>
      </c>
      <c r="S19" s="9">
        <v>0</v>
      </c>
      <c r="T19" s="7">
        <v>0</v>
      </c>
      <c r="U19" s="8">
        <v>0</v>
      </c>
      <c r="V19" s="7">
        <v>0</v>
      </c>
      <c r="W19" s="8">
        <v>0</v>
      </c>
      <c r="X19" s="7">
        <f>M19</f>
        <v>28000</v>
      </c>
      <c r="Y19" s="8">
        <v>0.2</v>
      </c>
      <c r="Z19" s="7">
        <f t="shared" si="1"/>
        <v>33600</v>
      </c>
      <c r="AA19" s="8">
        <f>IFERROR(((Z19-X19)/Z19),0)</f>
        <v>0.16666666666666666</v>
      </c>
      <c r="AB19" s="8">
        <v>0.1</v>
      </c>
    </row>
    <row r="20" spans="1:28" x14ac:dyDescent="0.25">
      <c r="A20">
        <v>2026</v>
      </c>
      <c r="B20" t="s">
        <v>51</v>
      </c>
      <c r="C20" t="s">
        <v>57</v>
      </c>
      <c r="D20" t="s">
        <v>58</v>
      </c>
      <c r="G20" t="s">
        <v>63</v>
      </c>
      <c r="H20" t="s">
        <v>63</v>
      </c>
      <c r="I20" t="s">
        <v>70</v>
      </c>
      <c r="J20" t="s">
        <v>69</v>
      </c>
      <c r="K20" t="s">
        <v>33</v>
      </c>
      <c r="L20">
        <v>36700</v>
      </c>
      <c r="M20" s="7">
        <v>36700</v>
      </c>
      <c r="O20" s="7"/>
      <c r="P20" s="7">
        <v>0</v>
      </c>
      <c r="Q20" s="8">
        <v>0</v>
      </c>
      <c r="R20" s="7">
        <v>0</v>
      </c>
      <c r="S20" s="9">
        <v>0</v>
      </c>
      <c r="T20" s="7">
        <v>0</v>
      </c>
      <c r="U20" s="8">
        <v>0</v>
      </c>
      <c r="V20" s="7">
        <v>0</v>
      </c>
      <c r="W20" s="8">
        <v>0</v>
      </c>
      <c r="X20" s="7">
        <f>M20</f>
        <v>36700</v>
      </c>
      <c r="Y20" s="8">
        <v>0.2</v>
      </c>
      <c r="Z20" s="7">
        <f t="shared" si="1"/>
        <v>44040</v>
      </c>
      <c r="AA20" s="8">
        <f>IFERROR(((Z20-X20)/Z20),0)</f>
        <v>0.16666666666666666</v>
      </c>
      <c r="AB20" s="8">
        <v>0.1</v>
      </c>
    </row>
    <row r="21" spans="1:28" x14ac:dyDescent="0.25">
      <c r="A21">
        <v>2026</v>
      </c>
      <c r="B21" t="s">
        <v>51</v>
      </c>
      <c r="C21" t="s">
        <v>57</v>
      </c>
      <c r="D21" t="s">
        <v>58</v>
      </c>
      <c r="G21" t="s">
        <v>63</v>
      </c>
      <c r="H21" t="s">
        <v>63</v>
      </c>
      <c r="I21" t="s">
        <v>71</v>
      </c>
      <c r="J21" t="s">
        <v>69</v>
      </c>
      <c r="K21" t="s">
        <v>33</v>
      </c>
      <c r="L21">
        <v>21900</v>
      </c>
      <c r="M21" s="7">
        <v>21900</v>
      </c>
      <c r="O21" s="7"/>
      <c r="P21" s="7">
        <v>0</v>
      </c>
      <c r="Q21" s="8">
        <v>0</v>
      </c>
      <c r="R21" s="7">
        <v>0</v>
      </c>
      <c r="S21" s="9">
        <v>0</v>
      </c>
      <c r="T21" s="7">
        <v>0</v>
      </c>
      <c r="U21" s="8">
        <v>0</v>
      </c>
      <c r="V21" s="7">
        <v>0</v>
      </c>
      <c r="W21" s="8">
        <v>0</v>
      </c>
      <c r="X21" s="7">
        <f>M21</f>
        <v>21900</v>
      </c>
      <c r="Y21" s="8">
        <v>0.2</v>
      </c>
      <c r="Z21" s="7">
        <f t="shared" si="1"/>
        <v>26280</v>
      </c>
      <c r="AA21" s="8">
        <f>IFERROR(((Z21-X21)/Z21),0)</f>
        <v>0.16666666666666666</v>
      </c>
      <c r="AB21" s="8">
        <v>0.1</v>
      </c>
    </row>
    <row r="22" spans="1:28" x14ac:dyDescent="0.25">
      <c r="A22">
        <v>2026</v>
      </c>
      <c r="B22" t="s">
        <v>51</v>
      </c>
      <c r="C22" t="s">
        <v>57</v>
      </c>
      <c r="D22" t="s">
        <v>58</v>
      </c>
      <c r="G22" t="s">
        <v>63</v>
      </c>
      <c r="H22" t="s">
        <v>63</v>
      </c>
      <c r="I22" t="s">
        <v>72</v>
      </c>
      <c r="J22" t="s">
        <v>69</v>
      </c>
      <c r="K22" t="s">
        <v>33</v>
      </c>
      <c r="L22">
        <v>114900</v>
      </c>
      <c r="M22" s="7">
        <v>114900</v>
      </c>
      <c r="O22" s="7"/>
      <c r="P22" s="7">
        <v>0</v>
      </c>
      <c r="Q22" s="8">
        <v>0</v>
      </c>
      <c r="R22" s="7">
        <v>0</v>
      </c>
      <c r="S22" s="9">
        <v>0</v>
      </c>
      <c r="T22" s="7">
        <v>0</v>
      </c>
      <c r="U22" s="8">
        <v>0</v>
      </c>
      <c r="V22" s="7">
        <v>0</v>
      </c>
      <c r="W22" s="8">
        <v>0</v>
      </c>
      <c r="X22" s="7">
        <f>M22</f>
        <v>114900</v>
      </c>
      <c r="Y22" s="8">
        <v>0.2</v>
      </c>
      <c r="Z22" s="7">
        <f t="shared" si="1"/>
        <v>137880</v>
      </c>
      <c r="AA22" s="8">
        <f>IFERROR(((Z22-X22)/Z22),0)</f>
        <v>0.16666666666666666</v>
      </c>
      <c r="AB22" s="8">
        <v>0.1</v>
      </c>
    </row>
    <row r="23" spans="1:28" x14ac:dyDescent="0.25">
      <c r="A23">
        <v>2026</v>
      </c>
      <c r="B23" t="s">
        <v>51</v>
      </c>
      <c r="C23" t="s">
        <v>57</v>
      </c>
      <c r="D23" t="s">
        <v>58</v>
      </c>
      <c r="G23" t="s">
        <v>63</v>
      </c>
      <c r="H23" t="s">
        <v>63</v>
      </c>
      <c r="I23" t="s">
        <v>73</v>
      </c>
      <c r="J23" t="s">
        <v>69</v>
      </c>
      <c r="K23" t="s">
        <v>33</v>
      </c>
      <c r="L23">
        <v>28000</v>
      </c>
      <c r="M23" s="7">
        <v>28000</v>
      </c>
      <c r="O23" s="7"/>
      <c r="P23" s="7">
        <v>0</v>
      </c>
      <c r="Q23" s="8">
        <v>0</v>
      </c>
      <c r="R23" s="7">
        <v>0</v>
      </c>
      <c r="S23" s="9">
        <v>0</v>
      </c>
      <c r="T23" s="7">
        <v>0</v>
      </c>
      <c r="U23" s="8">
        <v>0</v>
      </c>
      <c r="V23" s="7">
        <v>0</v>
      </c>
      <c r="W23" s="8">
        <v>0</v>
      </c>
      <c r="X23" s="7">
        <f>M23</f>
        <v>28000</v>
      </c>
      <c r="Y23" s="8">
        <v>0.2</v>
      </c>
      <c r="Z23" s="7">
        <f t="shared" si="1"/>
        <v>33600</v>
      </c>
      <c r="AA23" s="8">
        <f>IFERROR(((Z23-X23)/Z23),0)</f>
        <v>0.16666666666666666</v>
      </c>
      <c r="AB23" s="8">
        <v>0.1</v>
      </c>
    </row>
    <row r="24" spans="1:28" x14ac:dyDescent="0.25">
      <c r="A24">
        <v>2026</v>
      </c>
      <c r="B24" t="s">
        <v>51</v>
      </c>
      <c r="C24" t="s">
        <v>57</v>
      </c>
      <c r="D24" t="s">
        <v>58</v>
      </c>
      <c r="G24" t="s">
        <v>63</v>
      </c>
      <c r="H24" t="s">
        <v>63</v>
      </c>
      <c r="I24" t="s">
        <v>74</v>
      </c>
      <c r="J24" t="s">
        <v>69</v>
      </c>
      <c r="K24" t="s">
        <v>33</v>
      </c>
      <c r="L24">
        <v>49200</v>
      </c>
      <c r="M24" s="7">
        <v>49200</v>
      </c>
      <c r="O24" s="7"/>
      <c r="P24" s="7">
        <v>0</v>
      </c>
      <c r="Q24" s="8">
        <v>0</v>
      </c>
      <c r="R24" s="7">
        <v>0</v>
      </c>
      <c r="S24" s="9">
        <v>0</v>
      </c>
      <c r="T24" s="7">
        <v>0</v>
      </c>
      <c r="U24" s="8">
        <v>0</v>
      </c>
      <c r="V24" s="7">
        <v>0</v>
      </c>
      <c r="W24" s="8">
        <v>0</v>
      </c>
      <c r="X24" s="7">
        <f>M24</f>
        <v>49200</v>
      </c>
      <c r="Y24" s="8">
        <v>0.2</v>
      </c>
      <c r="Z24" s="7">
        <f t="shared" si="1"/>
        <v>59040</v>
      </c>
      <c r="AA24" s="8">
        <f>IFERROR(((Z24-X24)/Z24),0)</f>
        <v>0.16666666666666666</v>
      </c>
      <c r="AB24" s="8">
        <v>0.1</v>
      </c>
    </row>
    <row r="25" spans="1:28" x14ac:dyDescent="0.25">
      <c r="A25">
        <v>2026</v>
      </c>
      <c r="B25" t="s">
        <v>51</v>
      </c>
      <c r="C25" t="s">
        <v>57</v>
      </c>
      <c r="D25" t="s">
        <v>58</v>
      </c>
      <c r="G25" t="s">
        <v>63</v>
      </c>
      <c r="H25" t="s">
        <v>63</v>
      </c>
      <c r="I25" t="s">
        <v>75</v>
      </c>
      <c r="J25" t="s">
        <v>69</v>
      </c>
      <c r="K25" t="s">
        <v>33</v>
      </c>
      <c r="L25">
        <v>141600</v>
      </c>
      <c r="M25" s="7">
        <v>141600</v>
      </c>
      <c r="O25" s="7"/>
      <c r="P25" s="7">
        <v>0</v>
      </c>
      <c r="Q25" s="8">
        <v>0</v>
      </c>
      <c r="R25" s="7">
        <v>0</v>
      </c>
      <c r="S25" s="9">
        <v>0</v>
      </c>
      <c r="T25" s="7">
        <v>0</v>
      </c>
      <c r="U25" s="8">
        <v>0</v>
      </c>
      <c r="V25" s="7">
        <v>0</v>
      </c>
      <c r="W25" s="8">
        <v>0</v>
      </c>
      <c r="X25" s="7">
        <f>M25</f>
        <v>141600</v>
      </c>
      <c r="Y25" s="8">
        <v>0.2</v>
      </c>
      <c r="Z25" s="7">
        <f t="shared" si="1"/>
        <v>169920</v>
      </c>
      <c r="AA25" s="8">
        <f>IFERROR(((Z25-X25)/Z25),0)</f>
        <v>0.16666666666666666</v>
      </c>
      <c r="AB25" s="8">
        <v>0.1</v>
      </c>
    </row>
    <row r="26" spans="1:28" x14ac:dyDescent="0.25">
      <c r="A26">
        <v>2026</v>
      </c>
      <c r="B26" t="s">
        <v>51</v>
      </c>
      <c r="C26" t="s">
        <v>57</v>
      </c>
      <c r="D26" t="s">
        <v>58</v>
      </c>
      <c r="G26" t="s">
        <v>63</v>
      </c>
      <c r="H26" t="s">
        <v>63</v>
      </c>
      <c r="I26" t="s">
        <v>76</v>
      </c>
      <c r="J26" t="s">
        <v>69</v>
      </c>
      <c r="K26" t="s">
        <v>33</v>
      </c>
      <c r="L26">
        <v>174700</v>
      </c>
      <c r="M26" s="7">
        <v>174700</v>
      </c>
      <c r="O26" s="7"/>
      <c r="P26" s="7">
        <v>0</v>
      </c>
      <c r="Q26" s="8">
        <v>0</v>
      </c>
      <c r="R26" s="7">
        <v>0</v>
      </c>
      <c r="S26" s="9">
        <v>0</v>
      </c>
      <c r="T26" s="7">
        <v>0</v>
      </c>
      <c r="U26" s="8">
        <v>0</v>
      </c>
      <c r="V26" s="7">
        <v>0</v>
      </c>
      <c r="W26" s="8">
        <v>0</v>
      </c>
      <c r="X26" s="7">
        <f>M26</f>
        <v>174700</v>
      </c>
      <c r="Y26" s="8">
        <v>0.2</v>
      </c>
      <c r="Z26" s="7">
        <f t="shared" si="1"/>
        <v>209640</v>
      </c>
      <c r="AA26" s="8">
        <f>IFERROR(((Z26-X26)/Z26),0)</f>
        <v>0.16666666666666666</v>
      </c>
      <c r="AB26" s="8">
        <v>0.1</v>
      </c>
    </row>
    <row r="27" spans="1:28" x14ac:dyDescent="0.25">
      <c r="A27">
        <v>2026</v>
      </c>
      <c r="B27" t="s">
        <v>51</v>
      </c>
      <c r="C27" t="s">
        <v>57</v>
      </c>
      <c r="D27" t="s">
        <v>58</v>
      </c>
      <c r="G27" t="s">
        <v>63</v>
      </c>
      <c r="H27" t="s">
        <v>63</v>
      </c>
      <c r="I27" t="s">
        <v>77</v>
      </c>
      <c r="J27" t="s">
        <v>69</v>
      </c>
      <c r="K27" t="s">
        <v>33</v>
      </c>
      <c r="L27">
        <v>204000</v>
      </c>
      <c r="M27" s="7">
        <v>204000</v>
      </c>
      <c r="O27" s="7"/>
      <c r="P27" s="7">
        <v>0</v>
      </c>
      <c r="Q27" s="8">
        <v>0</v>
      </c>
      <c r="R27" s="7">
        <v>0</v>
      </c>
      <c r="S27" s="9">
        <v>0</v>
      </c>
      <c r="T27" s="7">
        <v>0</v>
      </c>
      <c r="U27" s="8">
        <v>0</v>
      </c>
      <c r="V27" s="7">
        <v>0</v>
      </c>
      <c r="W27" s="8">
        <v>0</v>
      </c>
      <c r="X27" s="7">
        <f>M27</f>
        <v>204000</v>
      </c>
      <c r="Y27" s="8">
        <v>0.2</v>
      </c>
      <c r="Z27" s="7">
        <f t="shared" si="1"/>
        <v>244800</v>
      </c>
      <c r="AA27" s="8">
        <f>IFERROR(((Z27-X27)/Z27),0)</f>
        <v>0.16666666666666666</v>
      </c>
      <c r="AB27" s="8">
        <v>0.1</v>
      </c>
    </row>
    <row r="28" spans="1:28" x14ac:dyDescent="0.25">
      <c r="A28">
        <v>2026</v>
      </c>
      <c r="B28" t="s">
        <v>51</v>
      </c>
      <c r="C28" t="s">
        <v>57</v>
      </c>
      <c r="D28" t="s">
        <v>58</v>
      </c>
      <c r="G28" t="s">
        <v>63</v>
      </c>
      <c r="H28" t="s">
        <v>63</v>
      </c>
      <c r="I28" t="s">
        <v>78</v>
      </c>
      <c r="J28" t="s">
        <v>69</v>
      </c>
      <c r="K28" t="s">
        <v>33</v>
      </c>
      <c r="L28">
        <v>49000</v>
      </c>
      <c r="M28" s="7">
        <v>49000</v>
      </c>
      <c r="O28" s="7"/>
      <c r="P28" s="7">
        <v>0</v>
      </c>
      <c r="Q28" s="8">
        <v>0</v>
      </c>
      <c r="R28" s="7">
        <v>0</v>
      </c>
      <c r="S28" s="9">
        <v>0</v>
      </c>
      <c r="T28" s="7">
        <v>0</v>
      </c>
      <c r="U28" s="8">
        <v>0</v>
      </c>
      <c r="V28" s="7">
        <v>0</v>
      </c>
      <c r="W28" s="8">
        <v>0</v>
      </c>
      <c r="X28" s="7">
        <f>M28</f>
        <v>49000</v>
      </c>
      <c r="Y28" s="8">
        <v>0.2</v>
      </c>
      <c r="Z28" s="7">
        <f t="shared" si="1"/>
        <v>58800</v>
      </c>
      <c r="AA28" s="8">
        <f>IFERROR(((Z28-X28)/Z28),0)</f>
        <v>0.16666666666666666</v>
      </c>
      <c r="AB28" s="8">
        <v>0.1</v>
      </c>
    </row>
    <row r="29" spans="1:28" x14ac:dyDescent="0.25">
      <c r="A29">
        <v>2026</v>
      </c>
      <c r="B29" t="s">
        <v>51</v>
      </c>
      <c r="C29" t="s">
        <v>57</v>
      </c>
      <c r="D29" t="s">
        <v>58</v>
      </c>
      <c r="G29" t="s">
        <v>63</v>
      </c>
      <c r="H29" t="s">
        <v>63</v>
      </c>
      <c r="I29" t="s">
        <v>79</v>
      </c>
      <c r="J29" t="s">
        <v>66</v>
      </c>
      <c r="K29" t="s">
        <v>33</v>
      </c>
      <c r="L29">
        <v>224100</v>
      </c>
      <c r="M29" s="7">
        <v>224100</v>
      </c>
      <c r="O29" s="7"/>
      <c r="P29" s="7">
        <v>0</v>
      </c>
      <c r="Q29" s="8">
        <v>0</v>
      </c>
      <c r="R29" s="7">
        <v>0</v>
      </c>
      <c r="S29" s="9">
        <v>0</v>
      </c>
      <c r="T29" s="7">
        <v>0</v>
      </c>
      <c r="U29" s="8">
        <v>0</v>
      </c>
      <c r="V29" s="7">
        <v>0</v>
      </c>
      <c r="W29" s="8">
        <v>0</v>
      </c>
      <c r="X29" s="7">
        <f>M29</f>
        <v>224100</v>
      </c>
      <c r="Y29" s="8">
        <v>0.2</v>
      </c>
      <c r="Z29" s="7">
        <f t="shared" si="1"/>
        <v>268920</v>
      </c>
      <c r="AA29" s="8">
        <f>IFERROR(((Z29-X29)/Z29),0)</f>
        <v>0.16666666666666666</v>
      </c>
      <c r="AB29" s="8">
        <v>0.1</v>
      </c>
    </row>
    <row r="30" spans="1:28" x14ac:dyDescent="0.25">
      <c r="A30">
        <v>2026</v>
      </c>
      <c r="B30" t="s">
        <v>51</v>
      </c>
      <c r="C30" t="s">
        <v>57</v>
      </c>
      <c r="D30" t="s">
        <v>58</v>
      </c>
      <c r="G30" t="s">
        <v>63</v>
      </c>
      <c r="H30" t="s">
        <v>63</v>
      </c>
      <c r="I30" t="s">
        <v>80</v>
      </c>
      <c r="J30" t="s">
        <v>66</v>
      </c>
      <c r="K30" t="s">
        <v>33</v>
      </c>
      <c r="L30">
        <v>38000</v>
      </c>
      <c r="M30" s="7">
        <v>38000</v>
      </c>
      <c r="O30" s="7"/>
      <c r="P30" s="7">
        <v>0</v>
      </c>
      <c r="Q30" s="8">
        <v>0</v>
      </c>
      <c r="R30" s="7">
        <v>0</v>
      </c>
      <c r="S30" s="9">
        <v>0</v>
      </c>
      <c r="T30" s="7">
        <v>0</v>
      </c>
      <c r="U30" s="8">
        <v>0</v>
      </c>
      <c r="V30" s="7">
        <v>0</v>
      </c>
      <c r="W30" s="8">
        <v>0</v>
      </c>
      <c r="X30" s="7">
        <f>M30</f>
        <v>38000</v>
      </c>
      <c r="Y30" s="8">
        <v>0.2</v>
      </c>
      <c r="Z30" s="7">
        <f t="shared" si="1"/>
        <v>45600</v>
      </c>
      <c r="AA30" s="8">
        <f>IFERROR(((Z30-X30)/Z30),0)</f>
        <v>0.16666666666666666</v>
      </c>
      <c r="AB30" s="8">
        <v>0.1</v>
      </c>
    </row>
    <row r="31" spans="1:28" x14ac:dyDescent="0.25">
      <c r="A31">
        <v>2026</v>
      </c>
      <c r="B31" t="s">
        <v>51</v>
      </c>
      <c r="C31" t="s">
        <v>57</v>
      </c>
      <c r="D31" t="s">
        <v>58</v>
      </c>
      <c r="G31" t="s">
        <v>63</v>
      </c>
      <c r="H31" t="s">
        <v>63</v>
      </c>
      <c r="I31" t="s">
        <v>81</v>
      </c>
      <c r="J31" t="s">
        <v>66</v>
      </c>
      <c r="K31" t="s">
        <v>33</v>
      </c>
      <c r="L31">
        <v>39800</v>
      </c>
      <c r="M31" s="7">
        <v>39800</v>
      </c>
      <c r="O31" s="7"/>
      <c r="P31" s="7">
        <v>0</v>
      </c>
      <c r="Q31" s="8">
        <v>0</v>
      </c>
      <c r="R31" s="7">
        <v>0</v>
      </c>
      <c r="S31" s="9">
        <v>0</v>
      </c>
      <c r="T31" s="7">
        <v>0</v>
      </c>
      <c r="U31" s="8">
        <v>0</v>
      </c>
      <c r="V31" s="7">
        <v>0</v>
      </c>
      <c r="W31" s="8">
        <v>0</v>
      </c>
      <c r="X31" s="7">
        <f>M31</f>
        <v>39800</v>
      </c>
      <c r="Y31" s="8">
        <v>0.2</v>
      </c>
      <c r="Z31" s="7">
        <f t="shared" si="1"/>
        <v>47760</v>
      </c>
      <c r="AA31" s="8">
        <f>IFERROR(((Z31-X31)/Z31),0)</f>
        <v>0.16666666666666666</v>
      </c>
      <c r="AB31" s="8">
        <v>0.1</v>
      </c>
    </row>
    <row r="32" spans="1:28" x14ac:dyDescent="0.25">
      <c r="A32">
        <v>2026</v>
      </c>
      <c r="B32" t="s">
        <v>52</v>
      </c>
      <c r="C32" t="s">
        <v>57</v>
      </c>
      <c r="D32" t="s">
        <v>58</v>
      </c>
      <c r="G32" t="s">
        <v>63</v>
      </c>
      <c r="H32" t="s">
        <v>63</v>
      </c>
      <c r="I32" t="s">
        <v>65</v>
      </c>
      <c r="J32" t="s">
        <v>66</v>
      </c>
      <c r="K32" t="s">
        <v>33</v>
      </c>
      <c r="L32">
        <v>28800</v>
      </c>
      <c r="M32" s="7">
        <v>28800</v>
      </c>
      <c r="O32" s="7"/>
      <c r="P32" s="7">
        <v>0</v>
      </c>
      <c r="Q32" s="8">
        <v>0</v>
      </c>
      <c r="R32" s="7">
        <v>0</v>
      </c>
      <c r="S32" s="9">
        <v>0</v>
      </c>
      <c r="T32" s="7">
        <v>0</v>
      </c>
      <c r="U32" s="8">
        <v>0</v>
      </c>
      <c r="V32" s="7">
        <v>0</v>
      </c>
      <c r="W32" s="8">
        <v>0</v>
      </c>
      <c r="X32" s="7">
        <f>M32</f>
        <v>28800</v>
      </c>
      <c r="Y32" s="8">
        <v>0.2</v>
      </c>
      <c r="Z32" s="7">
        <f>X32+(X32*Y32)</f>
        <v>34560</v>
      </c>
      <c r="AA32" s="8">
        <f>IFERROR(((Z32-X32)/Z32),0)</f>
        <v>0.16666666666666666</v>
      </c>
      <c r="AB32" s="8">
        <v>0.1</v>
      </c>
    </row>
    <row r="33" spans="1:28" x14ac:dyDescent="0.25">
      <c r="A33">
        <v>2026</v>
      </c>
      <c r="B33" t="s">
        <v>52</v>
      </c>
      <c r="C33" t="s">
        <v>57</v>
      </c>
      <c r="D33" t="s">
        <v>58</v>
      </c>
      <c r="G33" t="s">
        <v>63</v>
      </c>
      <c r="H33" t="s">
        <v>63</v>
      </c>
      <c r="I33" t="s">
        <v>67</v>
      </c>
      <c r="J33" t="s">
        <v>66</v>
      </c>
      <c r="K33" t="s">
        <v>33</v>
      </c>
      <c r="L33">
        <v>36700</v>
      </c>
      <c r="M33" s="7">
        <v>36700</v>
      </c>
      <c r="O33" s="7"/>
      <c r="P33" s="7">
        <v>0</v>
      </c>
      <c r="Q33" s="8">
        <v>0</v>
      </c>
      <c r="R33" s="7">
        <v>0</v>
      </c>
      <c r="S33" s="9">
        <v>0</v>
      </c>
      <c r="T33" s="7">
        <v>0</v>
      </c>
      <c r="U33" s="8">
        <v>0</v>
      </c>
      <c r="V33" s="7">
        <v>0</v>
      </c>
      <c r="W33" s="8">
        <v>0</v>
      </c>
      <c r="X33" s="7">
        <f>M33</f>
        <v>36700</v>
      </c>
      <c r="Y33" s="8">
        <v>0.2</v>
      </c>
      <c r="Z33" s="7">
        <f t="shared" ref="Z33:Z46" si="2">X33+(X33*Y33)</f>
        <v>44040</v>
      </c>
      <c r="AA33" s="8">
        <f>IFERROR(((Z33-X33)/Z33),0)</f>
        <v>0.16666666666666666</v>
      </c>
      <c r="AB33" s="8">
        <v>0.1</v>
      </c>
    </row>
    <row r="34" spans="1:28" x14ac:dyDescent="0.25">
      <c r="A34">
        <v>2026</v>
      </c>
      <c r="B34" t="s">
        <v>52</v>
      </c>
      <c r="C34" t="s">
        <v>57</v>
      </c>
      <c r="D34" t="s">
        <v>58</v>
      </c>
      <c r="G34" t="s">
        <v>63</v>
      </c>
      <c r="H34" t="s">
        <v>63</v>
      </c>
      <c r="I34" t="s">
        <v>68</v>
      </c>
      <c r="J34" t="s">
        <v>69</v>
      </c>
      <c r="K34" t="s">
        <v>33</v>
      </c>
      <c r="L34">
        <v>28000</v>
      </c>
      <c r="M34" s="7">
        <v>28000</v>
      </c>
      <c r="O34" s="7"/>
      <c r="P34" s="7">
        <v>0</v>
      </c>
      <c r="Q34" s="8">
        <v>0</v>
      </c>
      <c r="R34" s="7">
        <v>0</v>
      </c>
      <c r="S34" s="9">
        <v>0</v>
      </c>
      <c r="T34" s="7">
        <v>0</v>
      </c>
      <c r="U34" s="8">
        <v>0</v>
      </c>
      <c r="V34" s="7">
        <v>0</v>
      </c>
      <c r="W34" s="8">
        <v>0</v>
      </c>
      <c r="X34" s="7">
        <f>M34</f>
        <v>28000</v>
      </c>
      <c r="Y34" s="8">
        <v>0.2</v>
      </c>
      <c r="Z34" s="7">
        <f t="shared" si="2"/>
        <v>33600</v>
      </c>
      <c r="AA34" s="8">
        <f>IFERROR(((Z34-X34)/Z34),0)</f>
        <v>0.16666666666666666</v>
      </c>
      <c r="AB34" s="8">
        <v>0.1</v>
      </c>
    </row>
    <row r="35" spans="1:28" x14ac:dyDescent="0.25">
      <c r="A35">
        <v>2026</v>
      </c>
      <c r="B35" t="s">
        <v>52</v>
      </c>
      <c r="C35" t="s">
        <v>57</v>
      </c>
      <c r="D35" t="s">
        <v>58</v>
      </c>
      <c r="G35" t="s">
        <v>63</v>
      </c>
      <c r="H35" t="s">
        <v>63</v>
      </c>
      <c r="I35" t="s">
        <v>70</v>
      </c>
      <c r="J35" t="s">
        <v>69</v>
      </c>
      <c r="K35" t="s">
        <v>33</v>
      </c>
      <c r="L35">
        <v>36700</v>
      </c>
      <c r="M35" s="7">
        <v>36700</v>
      </c>
      <c r="O35" s="7"/>
      <c r="P35" s="7">
        <v>0</v>
      </c>
      <c r="Q35" s="8">
        <v>0</v>
      </c>
      <c r="R35" s="7">
        <v>0</v>
      </c>
      <c r="S35" s="9">
        <v>0</v>
      </c>
      <c r="T35" s="7">
        <v>0</v>
      </c>
      <c r="U35" s="8">
        <v>0</v>
      </c>
      <c r="V35" s="7">
        <v>0</v>
      </c>
      <c r="W35" s="8">
        <v>0</v>
      </c>
      <c r="X35" s="7">
        <f>M35</f>
        <v>36700</v>
      </c>
      <c r="Y35" s="8">
        <v>0.2</v>
      </c>
      <c r="Z35" s="7">
        <f t="shared" si="2"/>
        <v>44040</v>
      </c>
      <c r="AA35" s="8">
        <f>IFERROR(((Z35-X35)/Z35),0)</f>
        <v>0.16666666666666666</v>
      </c>
      <c r="AB35" s="8">
        <v>0.1</v>
      </c>
    </row>
    <row r="36" spans="1:28" x14ac:dyDescent="0.25">
      <c r="A36">
        <v>2026</v>
      </c>
      <c r="B36" t="s">
        <v>52</v>
      </c>
      <c r="C36" t="s">
        <v>57</v>
      </c>
      <c r="D36" t="s">
        <v>58</v>
      </c>
      <c r="G36" t="s">
        <v>63</v>
      </c>
      <c r="H36" t="s">
        <v>63</v>
      </c>
      <c r="I36" t="s">
        <v>71</v>
      </c>
      <c r="J36" t="s">
        <v>69</v>
      </c>
      <c r="K36" t="s">
        <v>33</v>
      </c>
      <c r="L36">
        <v>21900</v>
      </c>
      <c r="M36" s="7">
        <v>21900</v>
      </c>
      <c r="O36" s="7"/>
      <c r="P36" s="7">
        <v>0</v>
      </c>
      <c r="Q36" s="8">
        <v>0</v>
      </c>
      <c r="R36" s="7">
        <v>0</v>
      </c>
      <c r="S36" s="9">
        <v>0</v>
      </c>
      <c r="T36" s="7">
        <v>0</v>
      </c>
      <c r="U36" s="8">
        <v>0</v>
      </c>
      <c r="V36" s="7">
        <v>0</v>
      </c>
      <c r="W36" s="8">
        <v>0</v>
      </c>
      <c r="X36" s="7">
        <f>M36</f>
        <v>21900</v>
      </c>
      <c r="Y36" s="8">
        <v>0.2</v>
      </c>
      <c r="Z36" s="7">
        <f t="shared" si="2"/>
        <v>26280</v>
      </c>
      <c r="AA36" s="8">
        <f>IFERROR(((Z36-X36)/Z36),0)</f>
        <v>0.16666666666666666</v>
      </c>
      <c r="AB36" s="8">
        <v>0.1</v>
      </c>
    </row>
    <row r="37" spans="1:28" x14ac:dyDescent="0.25">
      <c r="A37">
        <v>2026</v>
      </c>
      <c r="B37" t="s">
        <v>52</v>
      </c>
      <c r="C37" t="s">
        <v>57</v>
      </c>
      <c r="D37" t="s">
        <v>58</v>
      </c>
      <c r="G37" t="s">
        <v>63</v>
      </c>
      <c r="H37" t="s">
        <v>63</v>
      </c>
      <c r="I37" t="s">
        <v>72</v>
      </c>
      <c r="J37" t="s">
        <v>69</v>
      </c>
      <c r="K37" t="s">
        <v>33</v>
      </c>
      <c r="L37">
        <v>114900</v>
      </c>
      <c r="M37" s="7">
        <v>114900</v>
      </c>
      <c r="O37" s="7"/>
      <c r="P37" s="7">
        <v>0</v>
      </c>
      <c r="Q37" s="8">
        <v>0</v>
      </c>
      <c r="R37" s="7">
        <v>0</v>
      </c>
      <c r="S37" s="9">
        <v>0</v>
      </c>
      <c r="T37" s="7">
        <v>0</v>
      </c>
      <c r="U37" s="8">
        <v>0</v>
      </c>
      <c r="V37" s="7">
        <v>0</v>
      </c>
      <c r="W37" s="8">
        <v>0</v>
      </c>
      <c r="X37" s="7">
        <f>M37</f>
        <v>114900</v>
      </c>
      <c r="Y37" s="8">
        <v>0.2</v>
      </c>
      <c r="Z37" s="7">
        <f t="shared" si="2"/>
        <v>137880</v>
      </c>
      <c r="AA37" s="8">
        <f>IFERROR(((Z37-X37)/Z37),0)</f>
        <v>0.16666666666666666</v>
      </c>
      <c r="AB37" s="8">
        <v>0.1</v>
      </c>
    </row>
    <row r="38" spans="1:28" x14ac:dyDescent="0.25">
      <c r="A38">
        <v>2026</v>
      </c>
      <c r="B38" t="s">
        <v>52</v>
      </c>
      <c r="C38" t="s">
        <v>57</v>
      </c>
      <c r="D38" t="s">
        <v>58</v>
      </c>
      <c r="G38" t="s">
        <v>63</v>
      </c>
      <c r="H38" t="s">
        <v>63</v>
      </c>
      <c r="I38" t="s">
        <v>73</v>
      </c>
      <c r="J38" t="s">
        <v>69</v>
      </c>
      <c r="K38" t="s">
        <v>33</v>
      </c>
      <c r="L38">
        <v>28000</v>
      </c>
      <c r="M38" s="7">
        <v>28000</v>
      </c>
      <c r="O38" s="7"/>
      <c r="P38" s="7">
        <v>0</v>
      </c>
      <c r="Q38" s="8">
        <v>0</v>
      </c>
      <c r="R38" s="7">
        <v>0</v>
      </c>
      <c r="S38" s="9">
        <v>0</v>
      </c>
      <c r="T38" s="7">
        <v>0</v>
      </c>
      <c r="U38" s="8">
        <v>0</v>
      </c>
      <c r="V38" s="7">
        <v>0</v>
      </c>
      <c r="W38" s="8">
        <v>0</v>
      </c>
      <c r="X38" s="7">
        <f>M38</f>
        <v>28000</v>
      </c>
      <c r="Y38" s="8">
        <v>0.2</v>
      </c>
      <c r="Z38" s="7">
        <f t="shared" si="2"/>
        <v>33600</v>
      </c>
      <c r="AA38" s="8">
        <f>IFERROR(((Z38-X38)/Z38),0)</f>
        <v>0.16666666666666666</v>
      </c>
      <c r="AB38" s="8">
        <v>0.1</v>
      </c>
    </row>
    <row r="39" spans="1:28" x14ac:dyDescent="0.25">
      <c r="A39">
        <v>2026</v>
      </c>
      <c r="B39" t="s">
        <v>52</v>
      </c>
      <c r="C39" t="s">
        <v>57</v>
      </c>
      <c r="D39" t="s">
        <v>58</v>
      </c>
      <c r="G39" t="s">
        <v>63</v>
      </c>
      <c r="H39" t="s">
        <v>63</v>
      </c>
      <c r="I39" t="s">
        <v>74</v>
      </c>
      <c r="J39" t="s">
        <v>69</v>
      </c>
      <c r="K39" t="s">
        <v>33</v>
      </c>
      <c r="L39">
        <v>49200</v>
      </c>
      <c r="M39" s="7">
        <v>49200</v>
      </c>
      <c r="O39" s="7"/>
      <c r="P39" s="7">
        <v>0</v>
      </c>
      <c r="Q39" s="8">
        <v>0</v>
      </c>
      <c r="R39" s="7">
        <v>0</v>
      </c>
      <c r="S39" s="9">
        <v>0</v>
      </c>
      <c r="T39" s="7">
        <v>0</v>
      </c>
      <c r="U39" s="8">
        <v>0</v>
      </c>
      <c r="V39" s="7">
        <v>0</v>
      </c>
      <c r="W39" s="8">
        <v>0</v>
      </c>
      <c r="X39" s="7">
        <f>M39</f>
        <v>49200</v>
      </c>
      <c r="Y39" s="8">
        <v>0.2</v>
      </c>
      <c r="Z39" s="7">
        <f t="shared" si="2"/>
        <v>59040</v>
      </c>
      <c r="AA39" s="8">
        <f>IFERROR(((Z39-X39)/Z39),0)</f>
        <v>0.16666666666666666</v>
      </c>
      <c r="AB39" s="8">
        <v>0.1</v>
      </c>
    </row>
    <row r="40" spans="1:28" x14ac:dyDescent="0.25">
      <c r="A40">
        <v>2026</v>
      </c>
      <c r="B40" t="s">
        <v>52</v>
      </c>
      <c r="C40" t="s">
        <v>57</v>
      </c>
      <c r="D40" t="s">
        <v>58</v>
      </c>
      <c r="G40" t="s">
        <v>63</v>
      </c>
      <c r="H40" t="s">
        <v>63</v>
      </c>
      <c r="I40" t="s">
        <v>75</v>
      </c>
      <c r="J40" t="s">
        <v>69</v>
      </c>
      <c r="K40" t="s">
        <v>33</v>
      </c>
      <c r="L40">
        <v>141600</v>
      </c>
      <c r="M40" s="7">
        <v>141600</v>
      </c>
      <c r="O40" s="7"/>
      <c r="P40" s="7">
        <v>0</v>
      </c>
      <c r="Q40" s="8">
        <v>0</v>
      </c>
      <c r="R40" s="7">
        <v>0</v>
      </c>
      <c r="S40" s="9">
        <v>0</v>
      </c>
      <c r="T40" s="7">
        <v>0</v>
      </c>
      <c r="U40" s="8">
        <v>0</v>
      </c>
      <c r="V40" s="7">
        <v>0</v>
      </c>
      <c r="W40" s="8">
        <v>0</v>
      </c>
      <c r="X40" s="7">
        <f>M40</f>
        <v>141600</v>
      </c>
      <c r="Y40" s="8">
        <v>0.2</v>
      </c>
      <c r="Z40" s="7">
        <f t="shared" si="2"/>
        <v>169920</v>
      </c>
      <c r="AA40" s="8">
        <f>IFERROR(((Z40-X40)/Z40),0)</f>
        <v>0.16666666666666666</v>
      </c>
      <c r="AB40" s="8">
        <v>0.1</v>
      </c>
    </row>
    <row r="41" spans="1:28" x14ac:dyDescent="0.25">
      <c r="A41">
        <v>2026</v>
      </c>
      <c r="B41" t="s">
        <v>52</v>
      </c>
      <c r="C41" t="s">
        <v>57</v>
      </c>
      <c r="D41" t="s">
        <v>58</v>
      </c>
      <c r="G41" t="s">
        <v>63</v>
      </c>
      <c r="H41" t="s">
        <v>63</v>
      </c>
      <c r="I41" t="s">
        <v>76</v>
      </c>
      <c r="J41" t="s">
        <v>69</v>
      </c>
      <c r="K41" t="s">
        <v>33</v>
      </c>
      <c r="L41">
        <v>174700</v>
      </c>
      <c r="M41" s="7">
        <v>174700</v>
      </c>
      <c r="O41" s="7"/>
      <c r="P41" s="7">
        <v>0</v>
      </c>
      <c r="Q41" s="8">
        <v>0</v>
      </c>
      <c r="R41" s="7">
        <v>0</v>
      </c>
      <c r="S41" s="9">
        <v>0</v>
      </c>
      <c r="T41" s="7">
        <v>0</v>
      </c>
      <c r="U41" s="8">
        <v>0</v>
      </c>
      <c r="V41" s="7">
        <v>0</v>
      </c>
      <c r="W41" s="8">
        <v>0</v>
      </c>
      <c r="X41" s="7">
        <f>M41</f>
        <v>174700</v>
      </c>
      <c r="Y41" s="8">
        <v>0.2</v>
      </c>
      <c r="Z41" s="7">
        <f t="shared" si="2"/>
        <v>209640</v>
      </c>
      <c r="AA41" s="8">
        <f>IFERROR(((Z41-X41)/Z41),0)</f>
        <v>0.16666666666666666</v>
      </c>
      <c r="AB41" s="8">
        <v>0.1</v>
      </c>
    </row>
    <row r="42" spans="1:28" x14ac:dyDescent="0.25">
      <c r="A42">
        <v>2026</v>
      </c>
      <c r="B42" t="s">
        <v>52</v>
      </c>
      <c r="C42" t="s">
        <v>57</v>
      </c>
      <c r="D42" t="s">
        <v>58</v>
      </c>
      <c r="G42" t="s">
        <v>63</v>
      </c>
      <c r="H42" t="s">
        <v>63</v>
      </c>
      <c r="I42" t="s">
        <v>77</v>
      </c>
      <c r="J42" t="s">
        <v>69</v>
      </c>
      <c r="K42" t="s">
        <v>33</v>
      </c>
      <c r="L42">
        <v>204000</v>
      </c>
      <c r="M42" s="7">
        <v>204000</v>
      </c>
      <c r="O42" s="7"/>
      <c r="P42" s="7">
        <v>0</v>
      </c>
      <c r="Q42" s="8">
        <v>0</v>
      </c>
      <c r="R42" s="7">
        <v>0</v>
      </c>
      <c r="S42" s="9">
        <v>0</v>
      </c>
      <c r="T42" s="7">
        <v>0</v>
      </c>
      <c r="U42" s="8">
        <v>0</v>
      </c>
      <c r="V42" s="7">
        <v>0</v>
      </c>
      <c r="W42" s="8">
        <v>0</v>
      </c>
      <c r="X42" s="7">
        <f>M42</f>
        <v>204000</v>
      </c>
      <c r="Y42" s="8">
        <v>0.2</v>
      </c>
      <c r="Z42" s="7">
        <f t="shared" si="2"/>
        <v>244800</v>
      </c>
      <c r="AA42" s="8">
        <f>IFERROR(((Z42-X42)/Z42),0)</f>
        <v>0.16666666666666666</v>
      </c>
      <c r="AB42" s="8">
        <v>0.1</v>
      </c>
    </row>
    <row r="43" spans="1:28" x14ac:dyDescent="0.25">
      <c r="A43">
        <v>2026</v>
      </c>
      <c r="B43" t="s">
        <v>52</v>
      </c>
      <c r="C43" t="s">
        <v>57</v>
      </c>
      <c r="D43" t="s">
        <v>58</v>
      </c>
      <c r="G43" t="s">
        <v>63</v>
      </c>
      <c r="H43" t="s">
        <v>63</v>
      </c>
      <c r="I43" t="s">
        <v>78</v>
      </c>
      <c r="J43" t="s">
        <v>69</v>
      </c>
      <c r="K43" t="s">
        <v>33</v>
      </c>
      <c r="L43">
        <v>49000</v>
      </c>
      <c r="M43" s="7">
        <v>49000</v>
      </c>
      <c r="O43" s="7"/>
      <c r="P43" s="7">
        <v>0</v>
      </c>
      <c r="Q43" s="8">
        <v>0</v>
      </c>
      <c r="R43" s="7">
        <v>0</v>
      </c>
      <c r="S43" s="9">
        <v>0</v>
      </c>
      <c r="T43" s="7">
        <v>0</v>
      </c>
      <c r="U43" s="8">
        <v>0</v>
      </c>
      <c r="V43" s="7">
        <v>0</v>
      </c>
      <c r="W43" s="8">
        <v>0</v>
      </c>
      <c r="X43" s="7">
        <f>M43</f>
        <v>49000</v>
      </c>
      <c r="Y43" s="8">
        <v>0.2</v>
      </c>
      <c r="Z43" s="7">
        <f t="shared" si="2"/>
        <v>58800</v>
      </c>
      <c r="AA43" s="8">
        <f>IFERROR(((Z43-X43)/Z43),0)</f>
        <v>0.16666666666666666</v>
      </c>
      <c r="AB43" s="8">
        <v>0.1</v>
      </c>
    </row>
    <row r="44" spans="1:28" x14ac:dyDescent="0.25">
      <c r="A44">
        <v>2026</v>
      </c>
      <c r="B44" t="s">
        <v>52</v>
      </c>
      <c r="C44" t="s">
        <v>57</v>
      </c>
      <c r="D44" t="s">
        <v>58</v>
      </c>
      <c r="G44" t="s">
        <v>63</v>
      </c>
      <c r="H44" t="s">
        <v>63</v>
      </c>
      <c r="I44" t="s">
        <v>79</v>
      </c>
      <c r="J44" t="s">
        <v>66</v>
      </c>
      <c r="K44" t="s">
        <v>33</v>
      </c>
      <c r="L44">
        <v>224100</v>
      </c>
      <c r="M44" s="7">
        <v>224100</v>
      </c>
      <c r="O44" s="7"/>
      <c r="P44" s="7">
        <v>0</v>
      </c>
      <c r="Q44" s="8">
        <v>0</v>
      </c>
      <c r="R44" s="7">
        <v>0</v>
      </c>
      <c r="S44" s="9">
        <v>0</v>
      </c>
      <c r="T44" s="7">
        <v>0</v>
      </c>
      <c r="U44" s="8">
        <v>0</v>
      </c>
      <c r="V44" s="7">
        <v>0</v>
      </c>
      <c r="W44" s="8">
        <v>0</v>
      </c>
      <c r="X44" s="7">
        <f>M44</f>
        <v>224100</v>
      </c>
      <c r="Y44" s="8">
        <v>0.2</v>
      </c>
      <c r="Z44" s="7">
        <f t="shared" si="2"/>
        <v>268920</v>
      </c>
      <c r="AA44" s="8">
        <f>IFERROR(((Z44-X44)/Z44),0)</f>
        <v>0.16666666666666666</v>
      </c>
      <c r="AB44" s="8">
        <v>0.1</v>
      </c>
    </row>
    <row r="45" spans="1:28" x14ac:dyDescent="0.25">
      <c r="A45">
        <v>2026</v>
      </c>
      <c r="B45" t="s">
        <v>52</v>
      </c>
      <c r="C45" t="s">
        <v>57</v>
      </c>
      <c r="D45" t="s">
        <v>58</v>
      </c>
      <c r="G45" t="s">
        <v>63</v>
      </c>
      <c r="H45" t="s">
        <v>63</v>
      </c>
      <c r="I45" t="s">
        <v>80</v>
      </c>
      <c r="J45" t="s">
        <v>66</v>
      </c>
      <c r="K45" t="s">
        <v>33</v>
      </c>
      <c r="L45">
        <v>38000</v>
      </c>
      <c r="M45" s="7">
        <v>38000</v>
      </c>
      <c r="O45" s="7"/>
      <c r="P45" s="7">
        <v>0</v>
      </c>
      <c r="Q45" s="8">
        <v>0</v>
      </c>
      <c r="R45" s="7">
        <v>0</v>
      </c>
      <c r="S45" s="9">
        <v>0</v>
      </c>
      <c r="T45" s="7">
        <v>0</v>
      </c>
      <c r="U45" s="8">
        <v>0</v>
      </c>
      <c r="V45" s="7">
        <v>0</v>
      </c>
      <c r="W45" s="8">
        <v>0</v>
      </c>
      <c r="X45" s="7">
        <f>M45</f>
        <v>38000</v>
      </c>
      <c r="Y45" s="8">
        <v>0.2</v>
      </c>
      <c r="Z45" s="7">
        <f t="shared" si="2"/>
        <v>45600</v>
      </c>
      <c r="AA45" s="8">
        <f>IFERROR(((Z45-X45)/Z45),0)</f>
        <v>0.16666666666666666</v>
      </c>
      <c r="AB45" s="8">
        <v>0.1</v>
      </c>
    </row>
    <row r="46" spans="1:28" x14ac:dyDescent="0.25">
      <c r="A46">
        <v>2026</v>
      </c>
      <c r="B46" t="s">
        <v>52</v>
      </c>
      <c r="C46" t="s">
        <v>57</v>
      </c>
      <c r="D46" t="s">
        <v>58</v>
      </c>
      <c r="G46" t="s">
        <v>63</v>
      </c>
      <c r="H46" t="s">
        <v>63</v>
      </c>
      <c r="I46" t="s">
        <v>81</v>
      </c>
      <c r="J46" t="s">
        <v>66</v>
      </c>
      <c r="K46" t="s">
        <v>33</v>
      </c>
      <c r="L46">
        <v>39800</v>
      </c>
      <c r="M46" s="7">
        <v>39800</v>
      </c>
      <c r="O46" s="7"/>
      <c r="P46" s="7">
        <v>0</v>
      </c>
      <c r="Q46" s="8">
        <v>0</v>
      </c>
      <c r="R46" s="7">
        <v>0</v>
      </c>
      <c r="S46" s="9">
        <v>0</v>
      </c>
      <c r="T46" s="7">
        <v>0</v>
      </c>
      <c r="U46" s="8">
        <v>0</v>
      </c>
      <c r="V46" s="7">
        <v>0</v>
      </c>
      <c r="W46" s="8">
        <v>0</v>
      </c>
      <c r="X46" s="7">
        <f>M46</f>
        <v>39800</v>
      </c>
      <c r="Y46" s="8">
        <v>0.2</v>
      </c>
      <c r="Z46" s="7">
        <f t="shared" si="2"/>
        <v>47760</v>
      </c>
      <c r="AA46" s="8">
        <f>IFERROR(((Z46-X46)/Z46),0)</f>
        <v>0.16666666666666666</v>
      </c>
      <c r="AB46" s="8">
        <v>0.1</v>
      </c>
    </row>
    <row r="47" spans="1:28" x14ac:dyDescent="0.25">
      <c r="A47">
        <v>2026</v>
      </c>
      <c r="B47" t="s">
        <v>53</v>
      </c>
      <c r="C47" t="s">
        <v>57</v>
      </c>
      <c r="D47" t="s">
        <v>58</v>
      </c>
      <c r="G47" t="s">
        <v>63</v>
      </c>
      <c r="H47" t="s">
        <v>63</v>
      </c>
      <c r="I47" t="s">
        <v>65</v>
      </c>
      <c r="J47" t="s">
        <v>66</v>
      </c>
      <c r="K47" t="s">
        <v>33</v>
      </c>
      <c r="L47">
        <v>28800</v>
      </c>
      <c r="M47" s="7">
        <v>28800</v>
      </c>
      <c r="O47" s="7"/>
      <c r="P47" s="7">
        <v>0</v>
      </c>
      <c r="Q47" s="8">
        <v>0</v>
      </c>
      <c r="R47" s="7">
        <v>0</v>
      </c>
      <c r="S47" s="9">
        <v>0</v>
      </c>
      <c r="T47" s="7">
        <v>0</v>
      </c>
      <c r="U47" s="8">
        <v>0</v>
      </c>
      <c r="V47" s="7">
        <v>0</v>
      </c>
      <c r="W47" s="8">
        <v>0</v>
      </c>
      <c r="X47" s="7">
        <f>M47</f>
        <v>28800</v>
      </c>
      <c r="Y47" s="8">
        <v>0.2</v>
      </c>
      <c r="Z47" s="7">
        <f>X47+(X47*Y47)</f>
        <v>34560</v>
      </c>
      <c r="AA47" s="8">
        <f>IFERROR(((Z47-X47)/Z47),0)</f>
        <v>0.16666666666666666</v>
      </c>
      <c r="AB47" s="8">
        <v>0.1</v>
      </c>
    </row>
    <row r="48" spans="1:28" x14ac:dyDescent="0.25">
      <c r="A48">
        <v>2026</v>
      </c>
      <c r="B48" t="s">
        <v>53</v>
      </c>
      <c r="C48" t="s">
        <v>57</v>
      </c>
      <c r="D48" t="s">
        <v>58</v>
      </c>
      <c r="G48" t="s">
        <v>63</v>
      </c>
      <c r="H48" t="s">
        <v>63</v>
      </c>
      <c r="I48" t="s">
        <v>67</v>
      </c>
      <c r="J48" t="s">
        <v>66</v>
      </c>
      <c r="K48" t="s">
        <v>33</v>
      </c>
      <c r="L48">
        <v>36700</v>
      </c>
      <c r="M48" s="7">
        <v>36700</v>
      </c>
      <c r="O48" s="7"/>
      <c r="P48" s="7">
        <v>0</v>
      </c>
      <c r="Q48" s="8">
        <v>0</v>
      </c>
      <c r="R48" s="7">
        <v>0</v>
      </c>
      <c r="S48" s="9">
        <v>0</v>
      </c>
      <c r="T48" s="7">
        <v>0</v>
      </c>
      <c r="U48" s="8">
        <v>0</v>
      </c>
      <c r="V48" s="7">
        <v>0</v>
      </c>
      <c r="W48" s="8">
        <v>0</v>
      </c>
      <c r="X48" s="7">
        <f>M48</f>
        <v>36700</v>
      </c>
      <c r="Y48" s="8">
        <v>0.2</v>
      </c>
      <c r="Z48" s="7">
        <f t="shared" ref="Z48:Z61" si="3">X48+(X48*Y48)</f>
        <v>44040</v>
      </c>
      <c r="AA48" s="8">
        <f>IFERROR(((Z48-X48)/Z48),0)</f>
        <v>0.16666666666666666</v>
      </c>
      <c r="AB48" s="8">
        <v>0.1</v>
      </c>
    </row>
    <row r="49" spans="1:28" x14ac:dyDescent="0.25">
      <c r="A49">
        <v>2026</v>
      </c>
      <c r="B49" t="s">
        <v>53</v>
      </c>
      <c r="C49" t="s">
        <v>57</v>
      </c>
      <c r="D49" t="s">
        <v>58</v>
      </c>
      <c r="G49" t="s">
        <v>63</v>
      </c>
      <c r="H49" t="s">
        <v>63</v>
      </c>
      <c r="I49" t="s">
        <v>68</v>
      </c>
      <c r="J49" t="s">
        <v>69</v>
      </c>
      <c r="K49" t="s">
        <v>33</v>
      </c>
      <c r="L49">
        <v>28000</v>
      </c>
      <c r="M49" s="7">
        <v>28000</v>
      </c>
      <c r="O49" s="7"/>
      <c r="P49" s="7">
        <v>0</v>
      </c>
      <c r="Q49" s="8">
        <v>0</v>
      </c>
      <c r="R49" s="7">
        <v>0</v>
      </c>
      <c r="S49" s="9">
        <v>0</v>
      </c>
      <c r="T49" s="7">
        <v>0</v>
      </c>
      <c r="U49" s="8">
        <v>0</v>
      </c>
      <c r="V49" s="7">
        <v>0</v>
      </c>
      <c r="W49" s="8">
        <v>0</v>
      </c>
      <c r="X49" s="7">
        <f>M49</f>
        <v>28000</v>
      </c>
      <c r="Y49" s="8">
        <v>0.2</v>
      </c>
      <c r="Z49" s="7">
        <f t="shared" si="3"/>
        <v>33600</v>
      </c>
      <c r="AA49" s="8">
        <f>IFERROR(((Z49-X49)/Z49),0)</f>
        <v>0.16666666666666666</v>
      </c>
      <c r="AB49" s="8">
        <v>0.1</v>
      </c>
    </row>
    <row r="50" spans="1:28" x14ac:dyDescent="0.25">
      <c r="A50">
        <v>2026</v>
      </c>
      <c r="B50" t="s">
        <v>53</v>
      </c>
      <c r="C50" t="s">
        <v>57</v>
      </c>
      <c r="D50" t="s">
        <v>58</v>
      </c>
      <c r="G50" t="s">
        <v>63</v>
      </c>
      <c r="H50" t="s">
        <v>63</v>
      </c>
      <c r="I50" t="s">
        <v>70</v>
      </c>
      <c r="J50" t="s">
        <v>69</v>
      </c>
      <c r="K50" t="s">
        <v>33</v>
      </c>
      <c r="L50">
        <v>36700</v>
      </c>
      <c r="M50" s="7">
        <v>36700</v>
      </c>
      <c r="O50" s="7"/>
      <c r="P50" s="7">
        <v>0</v>
      </c>
      <c r="Q50" s="8">
        <v>0</v>
      </c>
      <c r="R50" s="7">
        <v>0</v>
      </c>
      <c r="S50" s="9">
        <v>0</v>
      </c>
      <c r="T50" s="7">
        <v>0</v>
      </c>
      <c r="U50" s="8">
        <v>0</v>
      </c>
      <c r="V50" s="7">
        <v>0</v>
      </c>
      <c r="W50" s="8">
        <v>0</v>
      </c>
      <c r="X50" s="7">
        <f>M50</f>
        <v>36700</v>
      </c>
      <c r="Y50" s="8">
        <v>0.2</v>
      </c>
      <c r="Z50" s="7">
        <f t="shared" si="3"/>
        <v>44040</v>
      </c>
      <c r="AA50" s="8">
        <f>IFERROR(((Z50-X50)/Z50),0)</f>
        <v>0.16666666666666666</v>
      </c>
      <c r="AB50" s="8">
        <v>0.1</v>
      </c>
    </row>
    <row r="51" spans="1:28" x14ac:dyDescent="0.25">
      <c r="A51">
        <v>2026</v>
      </c>
      <c r="B51" t="s">
        <v>53</v>
      </c>
      <c r="C51" t="s">
        <v>57</v>
      </c>
      <c r="D51" t="s">
        <v>58</v>
      </c>
      <c r="G51" t="s">
        <v>63</v>
      </c>
      <c r="H51" t="s">
        <v>63</v>
      </c>
      <c r="I51" t="s">
        <v>71</v>
      </c>
      <c r="J51" t="s">
        <v>69</v>
      </c>
      <c r="K51" t="s">
        <v>33</v>
      </c>
      <c r="L51">
        <v>21900</v>
      </c>
      <c r="M51" s="7">
        <v>21900</v>
      </c>
      <c r="O51" s="7"/>
      <c r="P51" s="7">
        <v>0</v>
      </c>
      <c r="Q51" s="8">
        <v>0</v>
      </c>
      <c r="R51" s="7">
        <v>0</v>
      </c>
      <c r="S51" s="9">
        <v>0</v>
      </c>
      <c r="T51" s="7">
        <v>0</v>
      </c>
      <c r="U51" s="8">
        <v>0</v>
      </c>
      <c r="V51" s="7">
        <v>0</v>
      </c>
      <c r="W51" s="8">
        <v>0</v>
      </c>
      <c r="X51" s="7">
        <f>M51</f>
        <v>21900</v>
      </c>
      <c r="Y51" s="8">
        <v>0.2</v>
      </c>
      <c r="Z51" s="7">
        <f t="shared" si="3"/>
        <v>26280</v>
      </c>
      <c r="AA51" s="8">
        <f>IFERROR(((Z51-X51)/Z51),0)</f>
        <v>0.16666666666666666</v>
      </c>
      <c r="AB51" s="8">
        <v>0.1</v>
      </c>
    </row>
    <row r="52" spans="1:28" x14ac:dyDescent="0.25">
      <c r="A52">
        <v>2026</v>
      </c>
      <c r="B52" t="s">
        <v>53</v>
      </c>
      <c r="C52" t="s">
        <v>57</v>
      </c>
      <c r="D52" t="s">
        <v>58</v>
      </c>
      <c r="G52" t="s">
        <v>63</v>
      </c>
      <c r="H52" t="s">
        <v>63</v>
      </c>
      <c r="I52" t="s">
        <v>72</v>
      </c>
      <c r="J52" t="s">
        <v>69</v>
      </c>
      <c r="K52" t="s">
        <v>33</v>
      </c>
      <c r="L52">
        <v>114900</v>
      </c>
      <c r="M52" s="7">
        <v>114900</v>
      </c>
      <c r="O52" s="7"/>
      <c r="P52" s="7">
        <v>0</v>
      </c>
      <c r="Q52" s="8">
        <v>0</v>
      </c>
      <c r="R52" s="7">
        <v>0</v>
      </c>
      <c r="S52" s="9">
        <v>0</v>
      </c>
      <c r="T52" s="7">
        <v>0</v>
      </c>
      <c r="U52" s="8">
        <v>0</v>
      </c>
      <c r="V52" s="7">
        <v>0</v>
      </c>
      <c r="W52" s="8">
        <v>0</v>
      </c>
      <c r="X52" s="7">
        <f>M52</f>
        <v>114900</v>
      </c>
      <c r="Y52" s="8">
        <v>0.2</v>
      </c>
      <c r="Z52" s="7">
        <f t="shared" si="3"/>
        <v>137880</v>
      </c>
      <c r="AA52" s="8">
        <f>IFERROR(((Z52-X52)/Z52),0)</f>
        <v>0.16666666666666666</v>
      </c>
      <c r="AB52" s="8">
        <v>0.1</v>
      </c>
    </row>
    <row r="53" spans="1:28" x14ac:dyDescent="0.25">
      <c r="A53">
        <v>2026</v>
      </c>
      <c r="B53" t="s">
        <v>53</v>
      </c>
      <c r="C53" t="s">
        <v>57</v>
      </c>
      <c r="D53" t="s">
        <v>58</v>
      </c>
      <c r="G53" t="s">
        <v>63</v>
      </c>
      <c r="H53" t="s">
        <v>63</v>
      </c>
      <c r="I53" t="s">
        <v>73</v>
      </c>
      <c r="J53" t="s">
        <v>69</v>
      </c>
      <c r="K53" t="s">
        <v>33</v>
      </c>
      <c r="L53">
        <v>28000</v>
      </c>
      <c r="M53" s="7">
        <v>28000</v>
      </c>
      <c r="O53" s="7"/>
      <c r="P53" s="7">
        <v>0</v>
      </c>
      <c r="Q53" s="8">
        <v>0</v>
      </c>
      <c r="R53" s="7">
        <v>0</v>
      </c>
      <c r="S53" s="9">
        <v>0</v>
      </c>
      <c r="T53" s="7">
        <v>0</v>
      </c>
      <c r="U53" s="8">
        <v>0</v>
      </c>
      <c r="V53" s="7">
        <v>0</v>
      </c>
      <c r="W53" s="8">
        <v>0</v>
      </c>
      <c r="X53" s="7">
        <f>M53</f>
        <v>28000</v>
      </c>
      <c r="Y53" s="8">
        <v>0.2</v>
      </c>
      <c r="Z53" s="7">
        <f t="shared" si="3"/>
        <v>33600</v>
      </c>
      <c r="AA53" s="8">
        <f>IFERROR(((Z53-X53)/Z53),0)</f>
        <v>0.16666666666666666</v>
      </c>
      <c r="AB53" s="8">
        <v>0.1</v>
      </c>
    </row>
    <row r="54" spans="1:28" x14ac:dyDescent="0.25">
      <c r="A54">
        <v>2026</v>
      </c>
      <c r="B54" t="s">
        <v>53</v>
      </c>
      <c r="C54" t="s">
        <v>57</v>
      </c>
      <c r="D54" t="s">
        <v>58</v>
      </c>
      <c r="G54" t="s">
        <v>63</v>
      </c>
      <c r="H54" t="s">
        <v>63</v>
      </c>
      <c r="I54" t="s">
        <v>74</v>
      </c>
      <c r="J54" t="s">
        <v>69</v>
      </c>
      <c r="K54" t="s">
        <v>33</v>
      </c>
      <c r="L54">
        <v>49200</v>
      </c>
      <c r="M54" s="7">
        <v>49200</v>
      </c>
      <c r="O54" s="7"/>
      <c r="P54" s="7">
        <v>0</v>
      </c>
      <c r="Q54" s="8">
        <v>0</v>
      </c>
      <c r="R54" s="7">
        <v>0</v>
      </c>
      <c r="S54" s="9">
        <v>0</v>
      </c>
      <c r="T54" s="7">
        <v>0</v>
      </c>
      <c r="U54" s="8">
        <v>0</v>
      </c>
      <c r="V54" s="7">
        <v>0</v>
      </c>
      <c r="W54" s="8">
        <v>0</v>
      </c>
      <c r="X54" s="7">
        <f>M54</f>
        <v>49200</v>
      </c>
      <c r="Y54" s="8">
        <v>0.2</v>
      </c>
      <c r="Z54" s="7">
        <f t="shared" si="3"/>
        <v>59040</v>
      </c>
      <c r="AA54" s="8">
        <f>IFERROR(((Z54-X54)/Z54),0)</f>
        <v>0.16666666666666666</v>
      </c>
      <c r="AB54" s="8">
        <v>0.1</v>
      </c>
    </row>
    <row r="55" spans="1:28" x14ac:dyDescent="0.25">
      <c r="A55">
        <v>2026</v>
      </c>
      <c r="B55" t="s">
        <v>53</v>
      </c>
      <c r="C55" t="s">
        <v>57</v>
      </c>
      <c r="D55" t="s">
        <v>58</v>
      </c>
      <c r="G55" t="s">
        <v>63</v>
      </c>
      <c r="H55" t="s">
        <v>63</v>
      </c>
      <c r="I55" t="s">
        <v>75</v>
      </c>
      <c r="J55" t="s">
        <v>69</v>
      </c>
      <c r="K55" t="s">
        <v>33</v>
      </c>
      <c r="L55">
        <v>141600</v>
      </c>
      <c r="M55" s="7">
        <v>141600</v>
      </c>
      <c r="O55" s="7"/>
      <c r="P55" s="7">
        <v>0</v>
      </c>
      <c r="Q55" s="8">
        <v>0</v>
      </c>
      <c r="R55" s="7">
        <v>0</v>
      </c>
      <c r="S55" s="9">
        <v>0</v>
      </c>
      <c r="T55" s="7">
        <v>0</v>
      </c>
      <c r="U55" s="8">
        <v>0</v>
      </c>
      <c r="V55" s="7">
        <v>0</v>
      </c>
      <c r="W55" s="8">
        <v>0</v>
      </c>
      <c r="X55" s="7">
        <f>M55</f>
        <v>141600</v>
      </c>
      <c r="Y55" s="8">
        <v>0.2</v>
      </c>
      <c r="Z55" s="7">
        <f t="shared" si="3"/>
        <v>169920</v>
      </c>
      <c r="AA55" s="8">
        <f>IFERROR(((Z55-X55)/Z55),0)</f>
        <v>0.16666666666666666</v>
      </c>
      <c r="AB55" s="8">
        <v>0.1</v>
      </c>
    </row>
    <row r="56" spans="1:28" x14ac:dyDescent="0.25">
      <c r="A56">
        <v>2026</v>
      </c>
      <c r="B56" t="s">
        <v>53</v>
      </c>
      <c r="C56" t="s">
        <v>57</v>
      </c>
      <c r="D56" t="s">
        <v>58</v>
      </c>
      <c r="G56" t="s">
        <v>63</v>
      </c>
      <c r="H56" t="s">
        <v>63</v>
      </c>
      <c r="I56" t="s">
        <v>76</v>
      </c>
      <c r="J56" t="s">
        <v>69</v>
      </c>
      <c r="K56" t="s">
        <v>33</v>
      </c>
      <c r="L56">
        <v>174700</v>
      </c>
      <c r="M56" s="7">
        <v>174700</v>
      </c>
      <c r="O56" s="7"/>
      <c r="P56" s="7">
        <v>0</v>
      </c>
      <c r="Q56" s="8">
        <v>0</v>
      </c>
      <c r="R56" s="7">
        <v>0</v>
      </c>
      <c r="S56" s="9">
        <v>0</v>
      </c>
      <c r="T56" s="7">
        <v>0</v>
      </c>
      <c r="U56" s="8">
        <v>0</v>
      </c>
      <c r="V56" s="7">
        <v>0</v>
      </c>
      <c r="W56" s="8">
        <v>0</v>
      </c>
      <c r="X56" s="7">
        <f>M56</f>
        <v>174700</v>
      </c>
      <c r="Y56" s="8">
        <v>0.2</v>
      </c>
      <c r="Z56" s="7">
        <f t="shared" si="3"/>
        <v>209640</v>
      </c>
      <c r="AA56" s="8">
        <f>IFERROR(((Z56-X56)/Z56),0)</f>
        <v>0.16666666666666666</v>
      </c>
      <c r="AB56" s="8">
        <v>0.1</v>
      </c>
    </row>
    <row r="57" spans="1:28" x14ac:dyDescent="0.25">
      <c r="A57">
        <v>2026</v>
      </c>
      <c r="B57" t="s">
        <v>53</v>
      </c>
      <c r="C57" t="s">
        <v>57</v>
      </c>
      <c r="D57" t="s">
        <v>58</v>
      </c>
      <c r="G57" t="s">
        <v>63</v>
      </c>
      <c r="H57" t="s">
        <v>63</v>
      </c>
      <c r="I57" t="s">
        <v>77</v>
      </c>
      <c r="J57" t="s">
        <v>69</v>
      </c>
      <c r="K57" t="s">
        <v>33</v>
      </c>
      <c r="L57">
        <v>204000</v>
      </c>
      <c r="M57" s="7">
        <v>204000</v>
      </c>
      <c r="O57" s="7"/>
      <c r="P57" s="7">
        <v>0</v>
      </c>
      <c r="Q57" s="8">
        <v>0</v>
      </c>
      <c r="R57" s="7">
        <v>0</v>
      </c>
      <c r="S57" s="9">
        <v>0</v>
      </c>
      <c r="T57" s="7">
        <v>0</v>
      </c>
      <c r="U57" s="8">
        <v>0</v>
      </c>
      <c r="V57" s="7">
        <v>0</v>
      </c>
      <c r="W57" s="8">
        <v>0</v>
      </c>
      <c r="X57" s="7">
        <f>M57</f>
        <v>204000</v>
      </c>
      <c r="Y57" s="8">
        <v>0.2</v>
      </c>
      <c r="Z57" s="7">
        <f t="shared" si="3"/>
        <v>244800</v>
      </c>
      <c r="AA57" s="8">
        <f>IFERROR(((Z57-X57)/Z57),0)</f>
        <v>0.16666666666666666</v>
      </c>
      <c r="AB57" s="8">
        <v>0.1</v>
      </c>
    </row>
    <row r="58" spans="1:28" x14ac:dyDescent="0.25">
      <c r="A58">
        <v>2026</v>
      </c>
      <c r="B58" t="s">
        <v>53</v>
      </c>
      <c r="C58" t="s">
        <v>57</v>
      </c>
      <c r="D58" t="s">
        <v>58</v>
      </c>
      <c r="G58" t="s">
        <v>63</v>
      </c>
      <c r="H58" t="s">
        <v>63</v>
      </c>
      <c r="I58" t="s">
        <v>78</v>
      </c>
      <c r="J58" t="s">
        <v>69</v>
      </c>
      <c r="K58" t="s">
        <v>33</v>
      </c>
      <c r="L58">
        <v>49000</v>
      </c>
      <c r="M58" s="7">
        <v>49000</v>
      </c>
      <c r="O58" s="7"/>
      <c r="P58" s="7">
        <v>0</v>
      </c>
      <c r="Q58" s="8">
        <v>0</v>
      </c>
      <c r="R58" s="7">
        <v>0</v>
      </c>
      <c r="S58" s="9">
        <v>0</v>
      </c>
      <c r="T58" s="7">
        <v>0</v>
      </c>
      <c r="U58" s="8">
        <v>0</v>
      </c>
      <c r="V58" s="7">
        <v>0</v>
      </c>
      <c r="W58" s="8">
        <v>0</v>
      </c>
      <c r="X58" s="7">
        <f>M58</f>
        <v>49000</v>
      </c>
      <c r="Y58" s="8">
        <v>0.2</v>
      </c>
      <c r="Z58" s="7">
        <f t="shared" si="3"/>
        <v>58800</v>
      </c>
      <c r="AA58" s="8">
        <f>IFERROR(((Z58-X58)/Z58),0)</f>
        <v>0.16666666666666666</v>
      </c>
      <c r="AB58" s="8">
        <v>0.1</v>
      </c>
    </row>
    <row r="59" spans="1:28" x14ac:dyDescent="0.25">
      <c r="A59">
        <v>2026</v>
      </c>
      <c r="B59" t="s">
        <v>53</v>
      </c>
      <c r="C59" t="s">
        <v>57</v>
      </c>
      <c r="D59" t="s">
        <v>58</v>
      </c>
      <c r="G59" t="s">
        <v>63</v>
      </c>
      <c r="H59" t="s">
        <v>63</v>
      </c>
      <c r="I59" t="s">
        <v>79</v>
      </c>
      <c r="J59" t="s">
        <v>66</v>
      </c>
      <c r="K59" t="s">
        <v>33</v>
      </c>
      <c r="L59">
        <v>224100</v>
      </c>
      <c r="M59" s="7">
        <v>224100</v>
      </c>
      <c r="O59" s="7"/>
      <c r="P59" s="7">
        <v>0</v>
      </c>
      <c r="Q59" s="8">
        <v>0</v>
      </c>
      <c r="R59" s="7">
        <v>0</v>
      </c>
      <c r="S59" s="9">
        <v>0</v>
      </c>
      <c r="T59" s="7">
        <v>0</v>
      </c>
      <c r="U59" s="8">
        <v>0</v>
      </c>
      <c r="V59" s="7">
        <v>0</v>
      </c>
      <c r="W59" s="8">
        <v>0</v>
      </c>
      <c r="X59" s="7">
        <f>M59</f>
        <v>224100</v>
      </c>
      <c r="Y59" s="8">
        <v>0.2</v>
      </c>
      <c r="Z59" s="7">
        <f t="shared" si="3"/>
        <v>268920</v>
      </c>
      <c r="AA59" s="8">
        <f>IFERROR(((Z59-X59)/Z59),0)</f>
        <v>0.16666666666666666</v>
      </c>
      <c r="AB59" s="8">
        <v>0.1</v>
      </c>
    </row>
    <row r="60" spans="1:28" x14ac:dyDescent="0.25">
      <c r="A60">
        <v>2026</v>
      </c>
      <c r="B60" t="s">
        <v>53</v>
      </c>
      <c r="C60" t="s">
        <v>57</v>
      </c>
      <c r="D60" t="s">
        <v>58</v>
      </c>
      <c r="G60" t="s">
        <v>63</v>
      </c>
      <c r="H60" t="s">
        <v>63</v>
      </c>
      <c r="I60" t="s">
        <v>80</v>
      </c>
      <c r="J60" t="s">
        <v>66</v>
      </c>
      <c r="K60" t="s">
        <v>33</v>
      </c>
      <c r="L60">
        <v>38000</v>
      </c>
      <c r="M60" s="7">
        <v>38000</v>
      </c>
      <c r="O60" s="7"/>
      <c r="P60" s="7">
        <v>0</v>
      </c>
      <c r="Q60" s="8">
        <v>0</v>
      </c>
      <c r="R60" s="7">
        <v>0</v>
      </c>
      <c r="S60" s="9">
        <v>0</v>
      </c>
      <c r="T60" s="7">
        <v>0</v>
      </c>
      <c r="U60" s="8">
        <v>0</v>
      </c>
      <c r="V60" s="7">
        <v>0</v>
      </c>
      <c r="W60" s="8">
        <v>0</v>
      </c>
      <c r="X60" s="7">
        <f>M60</f>
        <v>38000</v>
      </c>
      <c r="Y60" s="8">
        <v>0.2</v>
      </c>
      <c r="Z60" s="7">
        <f t="shared" si="3"/>
        <v>45600</v>
      </c>
      <c r="AA60" s="8">
        <f>IFERROR(((Z60-X60)/Z60),0)</f>
        <v>0.16666666666666666</v>
      </c>
      <c r="AB60" s="8">
        <v>0.1</v>
      </c>
    </row>
    <row r="61" spans="1:28" x14ac:dyDescent="0.25">
      <c r="A61">
        <v>2026</v>
      </c>
      <c r="B61" t="s">
        <v>53</v>
      </c>
      <c r="C61" t="s">
        <v>57</v>
      </c>
      <c r="D61" t="s">
        <v>58</v>
      </c>
      <c r="G61" t="s">
        <v>63</v>
      </c>
      <c r="H61" t="s">
        <v>63</v>
      </c>
      <c r="I61" t="s">
        <v>81</v>
      </c>
      <c r="J61" t="s">
        <v>66</v>
      </c>
      <c r="K61" t="s">
        <v>33</v>
      </c>
      <c r="L61">
        <v>39800</v>
      </c>
      <c r="M61" s="7">
        <v>39800</v>
      </c>
      <c r="O61" s="7"/>
      <c r="P61" s="7">
        <v>0</v>
      </c>
      <c r="Q61" s="8">
        <v>0</v>
      </c>
      <c r="R61" s="7">
        <v>0</v>
      </c>
      <c r="S61" s="9">
        <v>0</v>
      </c>
      <c r="T61" s="7">
        <v>0</v>
      </c>
      <c r="U61" s="8">
        <v>0</v>
      </c>
      <c r="V61" s="7">
        <v>0</v>
      </c>
      <c r="W61" s="8">
        <v>0</v>
      </c>
      <c r="X61" s="7">
        <f>M61</f>
        <v>39800</v>
      </c>
      <c r="Y61" s="8">
        <v>0.2</v>
      </c>
      <c r="Z61" s="7">
        <f t="shared" si="3"/>
        <v>47760</v>
      </c>
      <c r="AA61" s="8">
        <f>IFERROR(((Z61-X61)/Z61),0)</f>
        <v>0.16666666666666666</v>
      </c>
      <c r="AB61" s="8">
        <v>0.1</v>
      </c>
    </row>
    <row r="62" spans="1:28" x14ac:dyDescent="0.25">
      <c r="A62">
        <v>2026</v>
      </c>
      <c r="B62" t="s">
        <v>54</v>
      </c>
      <c r="C62" t="s">
        <v>57</v>
      </c>
      <c r="D62" t="s">
        <v>58</v>
      </c>
      <c r="G62" t="s">
        <v>63</v>
      </c>
      <c r="H62" t="s">
        <v>63</v>
      </c>
      <c r="I62" t="s">
        <v>65</v>
      </c>
      <c r="J62" t="s">
        <v>66</v>
      </c>
      <c r="K62" t="s">
        <v>33</v>
      </c>
      <c r="L62">
        <v>28800</v>
      </c>
      <c r="M62" s="7">
        <v>28800</v>
      </c>
      <c r="O62" s="7"/>
      <c r="P62" s="7">
        <v>0</v>
      </c>
      <c r="Q62" s="8">
        <v>0</v>
      </c>
      <c r="R62" s="7">
        <v>0</v>
      </c>
      <c r="S62" s="9">
        <v>0</v>
      </c>
      <c r="T62" s="7">
        <v>0</v>
      </c>
      <c r="U62" s="8">
        <v>0</v>
      </c>
      <c r="V62" s="7">
        <v>0</v>
      </c>
      <c r="W62" s="8">
        <v>0</v>
      </c>
      <c r="X62" s="7">
        <f>M62</f>
        <v>28800</v>
      </c>
      <c r="Y62" s="8">
        <v>0.2</v>
      </c>
      <c r="Z62" s="7">
        <f>X62+(X62*Y62)</f>
        <v>34560</v>
      </c>
      <c r="AA62" s="8">
        <f>IFERROR(((Z62-X62)/Z62),0)</f>
        <v>0.16666666666666666</v>
      </c>
      <c r="AB62" s="8">
        <v>0.1</v>
      </c>
    </row>
    <row r="63" spans="1:28" x14ac:dyDescent="0.25">
      <c r="A63">
        <v>2026</v>
      </c>
      <c r="B63" t="s">
        <v>54</v>
      </c>
      <c r="C63" t="s">
        <v>57</v>
      </c>
      <c r="D63" t="s">
        <v>58</v>
      </c>
      <c r="G63" t="s">
        <v>63</v>
      </c>
      <c r="H63" t="s">
        <v>63</v>
      </c>
      <c r="I63" t="s">
        <v>67</v>
      </c>
      <c r="J63" t="s">
        <v>66</v>
      </c>
      <c r="K63" t="s">
        <v>33</v>
      </c>
      <c r="L63">
        <v>36700</v>
      </c>
      <c r="M63" s="7">
        <v>36700</v>
      </c>
      <c r="O63" s="7"/>
      <c r="P63" s="7">
        <v>0</v>
      </c>
      <c r="Q63" s="8">
        <v>0</v>
      </c>
      <c r="R63" s="7">
        <v>0</v>
      </c>
      <c r="S63" s="9">
        <v>0</v>
      </c>
      <c r="T63" s="7">
        <v>0</v>
      </c>
      <c r="U63" s="8">
        <v>0</v>
      </c>
      <c r="V63" s="7">
        <v>0</v>
      </c>
      <c r="W63" s="8">
        <v>0</v>
      </c>
      <c r="X63" s="7">
        <f>M63</f>
        <v>36700</v>
      </c>
      <c r="Y63" s="8">
        <v>0.2</v>
      </c>
      <c r="Z63" s="7">
        <f t="shared" ref="Z63:Z76" si="4">X63+(X63*Y63)</f>
        <v>44040</v>
      </c>
      <c r="AA63" s="8">
        <f>IFERROR(((Z63-X63)/Z63),0)</f>
        <v>0.16666666666666666</v>
      </c>
      <c r="AB63" s="8">
        <v>0.1</v>
      </c>
    </row>
    <row r="64" spans="1:28" x14ac:dyDescent="0.25">
      <c r="A64">
        <v>2026</v>
      </c>
      <c r="B64" t="s">
        <v>54</v>
      </c>
      <c r="C64" t="s">
        <v>57</v>
      </c>
      <c r="D64" t="s">
        <v>58</v>
      </c>
      <c r="G64" t="s">
        <v>63</v>
      </c>
      <c r="H64" t="s">
        <v>63</v>
      </c>
      <c r="I64" t="s">
        <v>68</v>
      </c>
      <c r="J64" t="s">
        <v>69</v>
      </c>
      <c r="K64" t="s">
        <v>33</v>
      </c>
      <c r="L64">
        <v>28000</v>
      </c>
      <c r="M64" s="7">
        <v>28000</v>
      </c>
      <c r="O64" s="7"/>
      <c r="P64" s="7">
        <v>0</v>
      </c>
      <c r="Q64" s="8">
        <v>0</v>
      </c>
      <c r="R64" s="7">
        <v>0</v>
      </c>
      <c r="S64" s="9">
        <v>0</v>
      </c>
      <c r="T64" s="7">
        <v>0</v>
      </c>
      <c r="U64" s="8">
        <v>0</v>
      </c>
      <c r="V64" s="7">
        <v>0</v>
      </c>
      <c r="W64" s="8">
        <v>0</v>
      </c>
      <c r="X64" s="7">
        <f>M64</f>
        <v>28000</v>
      </c>
      <c r="Y64" s="8">
        <v>0.2</v>
      </c>
      <c r="Z64" s="7">
        <f t="shared" si="4"/>
        <v>33600</v>
      </c>
      <c r="AA64" s="8">
        <f>IFERROR(((Z64-X64)/Z64),0)</f>
        <v>0.16666666666666666</v>
      </c>
      <c r="AB64" s="8">
        <v>0.1</v>
      </c>
    </row>
    <row r="65" spans="1:28" x14ac:dyDescent="0.25">
      <c r="A65">
        <v>2026</v>
      </c>
      <c r="B65" t="s">
        <v>54</v>
      </c>
      <c r="C65" t="s">
        <v>57</v>
      </c>
      <c r="D65" t="s">
        <v>58</v>
      </c>
      <c r="G65" t="s">
        <v>63</v>
      </c>
      <c r="H65" t="s">
        <v>63</v>
      </c>
      <c r="I65" t="s">
        <v>70</v>
      </c>
      <c r="J65" t="s">
        <v>69</v>
      </c>
      <c r="K65" t="s">
        <v>33</v>
      </c>
      <c r="L65">
        <v>36700</v>
      </c>
      <c r="M65" s="7">
        <v>36700</v>
      </c>
      <c r="O65" s="7"/>
      <c r="P65" s="7">
        <v>0</v>
      </c>
      <c r="Q65" s="8">
        <v>0</v>
      </c>
      <c r="R65" s="7">
        <v>0</v>
      </c>
      <c r="S65" s="9">
        <v>0</v>
      </c>
      <c r="T65" s="7">
        <v>0</v>
      </c>
      <c r="U65" s="8">
        <v>0</v>
      </c>
      <c r="V65" s="7">
        <v>0</v>
      </c>
      <c r="W65" s="8">
        <v>0</v>
      </c>
      <c r="X65" s="7">
        <f>M65</f>
        <v>36700</v>
      </c>
      <c r="Y65" s="8">
        <v>0.2</v>
      </c>
      <c r="Z65" s="7">
        <f t="shared" si="4"/>
        <v>44040</v>
      </c>
      <c r="AA65" s="8">
        <f>IFERROR(((Z65-X65)/Z65),0)</f>
        <v>0.16666666666666666</v>
      </c>
      <c r="AB65" s="8">
        <v>0.1</v>
      </c>
    </row>
    <row r="66" spans="1:28" x14ac:dyDescent="0.25">
      <c r="A66">
        <v>2026</v>
      </c>
      <c r="B66" t="s">
        <v>54</v>
      </c>
      <c r="C66" t="s">
        <v>57</v>
      </c>
      <c r="D66" t="s">
        <v>58</v>
      </c>
      <c r="G66" t="s">
        <v>63</v>
      </c>
      <c r="H66" t="s">
        <v>63</v>
      </c>
      <c r="I66" t="s">
        <v>71</v>
      </c>
      <c r="J66" t="s">
        <v>69</v>
      </c>
      <c r="K66" t="s">
        <v>33</v>
      </c>
      <c r="L66">
        <v>21900</v>
      </c>
      <c r="M66" s="7">
        <v>21900</v>
      </c>
      <c r="O66" s="7"/>
      <c r="P66" s="7">
        <v>0</v>
      </c>
      <c r="Q66" s="8">
        <v>0</v>
      </c>
      <c r="R66" s="7">
        <v>0</v>
      </c>
      <c r="S66" s="9">
        <v>0</v>
      </c>
      <c r="T66" s="7">
        <v>0</v>
      </c>
      <c r="U66" s="8">
        <v>0</v>
      </c>
      <c r="V66" s="7">
        <v>0</v>
      </c>
      <c r="W66" s="8">
        <v>0</v>
      </c>
      <c r="X66" s="7">
        <f>M66</f>
        <v>21900</v>
      </c>
      <c r="Y66" s="8">
        <v>0.2</v>
      </c>
      <c r="Z66" s="7">
        <f t="shared" si="4"/>
        <v>26280</v>
      </c>
      <c r="AA66" s="8">
        <f>IFERROR(((Z66-X66)/Z66),0)</f>
        <v>0.16666666666666666</v>
      </c>
      <c r="AB66" s="8">
        <v>0.1</v>
      </c>
    </row>
    <row r="67" spans="1:28" x14ac:dyDescent="0.25">
      <c r="A67">
        <v>2026</v>
      </c>
      <c r="B67" t="s">
        <v>54</v>
      </c>
      <c r="C67" t="s">
        <v>57</v>
      </c>
      <c r="D67" t="s">
        <v>58</v>
      </c>
      <c r="G67" t="s">
        <v>63</v>
      </c>
      <c r="H67" t="s">
        <v>63</v>
      </c>
      <c r="I67" t="s">
        <v>72</v>
      </c>
      <c r="J67" t="s">
        <v>69</v>
      </c>
      <c r="K67" t="s">
        <v>33</v>
      </c>
      <c r="L67">
        <v>114900</v>
      </c>
      <c r="M67" s="7">
        <v>114900</v>
      </c>
      <c r="O67" s="7"/>
      <c r="P67" s="7">
        <v>0</v>
      </c>
      <c r="Q67" s="8">
        <v>0</v>
      </c>
      <c r="R67" s="7">
        <v>0</v>
      </c>
      <c r="S67" s="9">
        <v>0</v>
      </c>
      <c r="T67" s="7">
        <v>0</v>
      </c>
      <c r="U67" s="8">
        <v>0</v>
      </c>
      <c r="V67" s="7">
        <v>0</v>
      </c>
      <c r="W67" s="8">
        <v>0</v>
      </c>
      <c r="X67" s="7">
        <f>M67</f>
        <v>114900</v>
      </c>
      <c r="Y67" s="8">
        <v>0.2</v>
      </c>
      <c r="Z67" s="7">
        <f t="shared" si="4"/>
        <v>137880</v>
      </c>
      <c r="AA67" s="8">
        <f>IFERROR(((Z67-X67)/Z67),0)</f>
        <v>0.16666666666666666</v>
      </c>
      <c r="AB67" s="8">
        <v>0.1</v>
      </c>
    </row>
    <row r="68" spans="1:28" x14ac:dyDescent="0.25">
      <c r="A68">
        <v>2026</v>
      </c>
      <c r="B68" t="s">
        <v>54</v>
      </c>
      <c r="C68" t="s">
        <v>57</v>
      </c>
      <c r="D68" t="s">
        <v>58</v>
      </c>
      <c r="G68" t="s">
        <v>63</v>
      </c>
      <c r="H68" t="s">
        <v>63</v>
      </c>
      <c r="I68" t="s">
        <v>73</v>
      </c>
      <c r="J68" t="s">
        <v>69</v>
      </c>
      <c r="K68" t="s">
        <v>33</v>
      </c>
      <c r="L68">
        <v>28000</v>
      </c>
      <c r="M68" s="7">
        <v>28000</v>
      </c>
      <c r="O68" s="7"/>
      <c r="P68" s="7">
        <v>0</v>
      </c>
      <c r="Q68" s="8">
        <v>0</v>
      </c>
      <c r="R68" s="7">
        <v>0</v>
      </c>
      <c r="S68" s="9">
        <v>0</v>
      </c>
      <c r="T68" s="7">
        <v>0</v>
      </c>
      <c r="U68" s="8">
        <v>0</v>
      </c>
      <c r="V68" s="7">
        <v>0</v>
      </c>
      <c r="W68" s="8">
        <v>0</v>
      </c>
      <c r="X68" s="7">
        <f>M68</f>
        <v>28000</v>
      </c>
      <c r="Y68" s="8">
        <v>0.2</v>
      </c>
      <c r="Z68" s="7">
        <f t="shared" si="4"/>
        <v>33600</v>
      </c>
      <c r="AA68" s="8">
        <f>IFERROR(((Z68-X68)/Z68),0)</f>
        <v>0.16666666666666666</v>
      </c>
      <c r="AB68" s="8">
        <v>0.1</v>
      </c>
    </row>
    <row r="69" spans="1:28" x14ac:dyDescent="0.25">
      <c r="A69">
        <v>2026</v>
      </c>
      <c r="B69" t="s">
        <v>54</v>
      </c>
      <c r="C69" t="s">
        <v>57</v>
      </c>
      <c r="D69" t="s">
        <v>58</v>
      </c>
      <c r="G69" t="s">
        <v>63</v>
      </c>
      <c r="H69" t="s">
        <v>63</v>
      </c>
      <c r="I69" t="s">
        <v>74</v>
      </c>
      <c r="J69" t="s">
        <v>69</v>
      </c>
      <c r="K69" t="s">
        <v>33</v>
      </c>
      <c r="L69">
        <v>49200</v>
      </c>
      <c r="M69" s="7">
        <v>49200</v>
      </c>
      <c r="O69" s="7"/>
      <c r="P69" s="7">
        <v>0</v>
      </c>
      <c r="Q69" s="8">
        <v>0</v>
      </c>
      <c r="R69" s="7">
        <v>0</v>
      </c>
      <c r="S69" s="9">
        <v>0</v>
      </c>
      <c r="T69" s="7">
        <v>0</v>
      </c>
      <c r="U69" s="8">
        <v>0</v>
      </c>
      <c r="V69" s="7">
        <v>0</v>
      </c>
      <c r="W69" s="8">
        <v>0</v>
      </c>
      <c r="X69" s="7">
        <f>M69</f>
        <v>49200</v>
      </c>
      <c r="Y69" s="8">
        <v>0.2</v>
      </c>
      <c r="Z69" s="7">
        <f t="shared" si="4"/>
        <v>59040</v>
      </c>
      <c r="AA69" s="8">
        <f>IFERROR(((Z69-X69)/Z69),0)</f>
        <v>0.16666666666666666</v>
      </c>
      <c r="AB69" s="8">
        <v>0.1</v>
      </c>
    </row>
    <row r="70" spans="1:28" x14ac:dyDescent="0.25">
      <c r="A70">
        <v>2026</v>
      </c>
      <c r="B70" t="s">
        <v>54</v>
      </c>
      <c r="C70" t="s">
        <v>57</v>
      </c>
      <c r="D70" t="s">
        <v>58</v>
      </c>
      <c r="G70" t="s">
        <v>63</v>
      </c>
      <c r="H70" t="s">
        <v>63</v>
      </c>
      <c r="I70" t="s">
        <v>75</v>
      </c>
      <c r="J70" t="s">
        <v>69</v>
      </c>
      <c r="K70" t="s">
        <v>33</v>
      </c>
      <c r="L70">
        <v>141600</v>
      </c>
      <c r="M70" s="7">
        <v>141600</v>
      </c>
      <c r="O70" s="7"/>
      <c r="P70" s="7">
        <v>0</v>
      </c>
      <c r="Q70" s="8">
        <v>0</v>
      </c>
      <c r="R70" s="7">
        <v>0</v>
      </c>
      <c r="S70" s="9">
        <v>0</v>
      </c>
      <c r="T70" s="7">
        <v>0</v>
      </c>
      <c r="U70" s="8">
        <v>0</v>
      </c>
      <c r="V70" s="7">
        <v>0</v>
      </c>
      <c r="W70" s="8">
        <v>0</v>
      </c>
      <c r="X70" s="7">
        <f>M70</f>
        <v>141600</v>
      </c>
      <c r="Y70" s="8">
        <v>0.2</v>
      </c>
      <c r="Z70" s="7">
        <f t="shared" si="4"/>
        <v>169920</v>
      </c>
      <c r="AA70" s="8">
        <f>IFERROR(((Z70-X70)/Z70),0)</f>
        <v>0.16666666666666666</v>
      </c>
      <c r="AB70" s="8">
        <v>0.1</v>
      </c>
    </row>
    <row r="71" spans="1:28" x14ac:dyDescent="0.25">
      <c r="A71">
        <v>2026</v>
      </c>
      <c r="B71" t="s">
        <v>54</v>
      </c>
      <c r="C71" t="s">
        <v>57</v>
      </c>
      <c r="D71" t="s">
        <v>58</v>
      </c>
      <c r="G71" t="s">
        <v>63</v>
      </c>
      <c r="H71" t="s">
        <v>63</v>
      </c>
      <c r="I71" t="s">
        <v>76</v>
      </c>
      <c r="J71" t="s">
        <v>69</v>
      </c>
      <c r="K71" t="s">
        <v>33</v>
      </c>
      <c r="L71">
        <v>174700</v>
      </c>
      <c r="M71" s="7">
        <v>174700</v>
      </c>
      <c r="O71" s="7"/>
      <c r="P71" s="7">
        <v>0</v>
      </c>
      <c r="Q71" s="8">
        <v>0</v>
      </c>
      <c r="R71" s="7">
        <v>0</v>
      </c>
      <c r="S71" s="9">
        <v>0</v>
      </c>
      <c r="T71" s="7">
        <v>0</v>
      </c>
      <c r="U71" s="8">
        <v>0</v>
      </c>
      <c r="V71" s="7">
        <v>0</v>
      </c>
      <c r="W71" s="8">
        <v>0</v>
      </c>
      <c r="X71" s="7">
        <f>M71</f>
        <v>174700</v>
      </c>
      <c r="Y71" s="8">
        <v>0.2</v>
      </c>
      <c r="Z71" s="7">
        <f t="shared" si="4"/>
        <v>209640</v>
      </c>
      <c r="AA71" s="8">
        <f>IFERROR(((Z71-X71)/Z71),0)</f>
        <v>0.16666666666666666</v>
      </c>
      <c r="AB71" s="8">
        <v>0.1</v>
      </c>
    </row>
    <row r="72" spans="1:28" x14ac:dyDescent="0.25">
      <c r="A72">
        <v>2026</v>
      </c>
      <c r="B72" t="s">
        <v>54</v>
      </c>
      <c r="C72" t="s">
        <v>57</v>
      </c>
      <c r="D72" t="s">
        <v>58</v>
      </c>
      <c r="G72" t="s">
        <v>63</v>
      </c>
      <c r="H72" t="s">
        <v>63</v>
      </c>
      <c r="I72" t="s">
        <v>77</v>
      </c>
      <c r="J72" t="s">
        <v>69</v>
      </c>
      <c r="K72" t="s">
        <v>33</v>
      </c>
      <c r="L72">
        <v>204000</v>
      </c>
      <c r="M72" s="7">
        <v>204000</v>
      </c>
      <c r="O72" s="7"/>
      <c r="P72" s="7">
        <v>0</v>
      </c>
      <c r="Q72" s="8">
        <v>0</v>
      </c>
      <c r="R72" s="7">
        <v>0</v>
      </c>
      <c r="S72" s="9">
        <v>0</v>
      </c>
      <c r="T72" s="7">
        <v>0</v>
      </c>
      <c r="U72" s="8">
        <v>0</v>
      </c>
      <c r="V72" s="7">
        <v>0</v>
      </c>
      <c r="W72" s="8">
        <v>0</v>
      </c>
      <c r="X72" s="7">
        <f>M72</f>
        <v>204000</v>
      </c>
      <c r="Y72" s="8">
        <v>0.2</v>
      </c>
      <c r="Z72" s="7">
        <f t="shared" si="4"/>
        <v>244800</v>
      </c>
      <c r="AA72" s="8">
        <f>IFERROR(((Z72-X72)/Z72),0)</f>
        <v>0.16666666666666666</v>
      </c>
      <c r="AB72" s="8">
        <v>0.1</v>
      </c>
    </row>
    <row r="73" spans="1:28" x14ac:dyDescent="0.25">
      <c r="A73">
        <v>2026</v>
      </c>
      <c r="B73" t="s">
        <v>54</v>
      </c>
      <c r="C73" t="s">
        <v>57</v>
      </c>
      <c r="D73" t="s">
        <v>58</v>
      </c>
      <c r="G73" t="s">
        <v>63</v>
      </c>
      <c r="H73" t="s">
        <v>63</v>
      </c>
      <c r="I73" t="s">
        <v>78</v>
      </c>
      <c r="J73" t="s">
        <v>69</v>
      </c>
      <c r="K73" t="s">
        <v>33</v>
      </c>
      <c r="L73">
        <v>49000</v>
      </c>
      <c r="M73" s="7">
        <v>49000</v>
      </c>
      <c r="O73" s="7"/>
      <c r="P73" s="7">
        <v>0</v>
      </c>
      <c r="Q73" s="8">
        <v>0</v>
      </c>
      <c r="R73" s="7">
        <v>0</v>
      </c>
      <c r="S73" s="9">
        <v>0</v>
      </c>
      <c r="T73" s="7">
        <v>0</v>
      </c>
      <c r="U73" s="8">
        <v>0</v>
      </c>
      <c r="V73" s="7">
        <v>0</v>
      </c>
      <c r="W73" s="8">
        <v>0</v>
      </c>
      <c r="X73" s="7">
        <f>M73</f>
        <v>49000</v>
      </c>
      <c r="Y73" s="8">
        <v>0.2</v>
      </c>
      <c r="Z73" s="7">
        <f t="shared" si="4"/>
        <v>58800</v>
      </c>
      <c r="AA73" s="8">
        <f>IFERROR(((Z73-X73)/Z73),0)</f>
        <v>0.16666666666666666</v>
      </c>
      <c r="AB73" s="8">
        <v>0.1</v>
      </c>
    </row>
    <row r="74" spans="1:28" x14ac:dyDescent="0.25">
      <c r="A74">
        <v>2026</v>
      </c>
      <c r="B74" t="s">
        <v>54</v>
      </c>
      <c r="C74" t="s">
        <v>57</v>
      </c>
      <c r="D74" t="s">
        <v>58</v>
      </c>
      <c r="G74" t="s">
        <v>63</v>
      </c>
      <c r="H74" t="s">
        <v>63</v>
      </c>
      <c r="I74" t="s">
        <v>79</v>
      </c>
      <c r="J74" t="s">
        <v>66</v>
      </c>
      <c r="K74" t="s">
        <v>33</v>
      </c>
      <c r="L74">
        <v>224100</v>
      </c>
      <c r="M74" s="7">
        <v>224100</v>
      </c>
      <c r="O74" s="7"/>
      <c r="P74" s="7">
        <v>0</v>
      </c>
      <c r="Q74" s="8">
        <v>0</v>
      </c>
      <c r="R74" s="7">
        <v>0</v>
      </c>
      <c r="S74" s="9">
        <v>0</v>
      </c>
      <c r="T74" s="7">
        <v>0</v>
      </c>
      <c r="U74" s="8">
        <v>0</v>
      </c>
      <c r="V74" s="7">
        <v>0</v>
      </c>
      <c r="W74" s="8">
        <v>0</v>
      </c>
      <c r="X74" s="7">
        <f>M74</f>
        <v>224100</v>
      </c>
      <c r="Y74" s="8">
        <v>0.2</v>
      </c>
      <c r="Z74" s="7">
        <f t="shared" si="4"/>
        <v>268920</v>
      </c>
      <c r="AA74" s="8">
        <f>IFERROR(((Z74-X74)/Z74),0)</f>
        <v>0.16666666666666666</v>
      </c>
      <c r="AB74" s="8">
        <v>0.1</v>
      </c>
    </row>
    <row r="75" spans="1:28" x14ac:dyDescent="0.25">
      <c r="A75">
        <v>2026</v>
      </c>
      <c r="B75" t="s">
        <v>54</v>
      </c>
      <c r="C75" t="s">
        <v>57</v>
      </c>
      <c r="D75" t="s">
        <v>58</v>
      </c>
      <c r="G75" t="s">
        <v>63</v>
      </c>
      <c r="H75" t="s">
        <v>63</v>
      </c>
      <c r="I75" t="s">
        <v>80</v>
      </c>
      <c r="J75" t="s">
        <v>66</v>
      </c>
      <c r="K75" t="s">
        <v>33</v>
      </c>
      <c r="L75">
        <v>38000</v>
      </c>
      <c r="M75" s="7">
        <v>38000</v>
      </c>
      <c r="O75" s="7"/>
      <c r="P75" s="7">
        <v>0</v>
      </c>
      <c r="Q75" s="8">
        <v>0</v>
      </c>
      <c r="R75" s="7">
        <v>0</v>
      </c>
      <c r="S75" s="9">
        <v>0</v>
      </c>
      <c r="T75" s="7">
        <v>0</v>
      </c>
      <c r="U75" s="8">
        <v>0</v>
      </c>
      <c r="V75" s="7">
        <v>0</v>
      </c>
      <c r="W75" s="8">
        <v>0</v>
      </c>
      <c r="X75" s="7">
        <f>M75</f>
        <v>38000</v>
      </c>
      <c r="Y75" s="8">
        <v>0.2</v>
      </c>
      <c r="Z75" s="7">
        <f t="shared" si="4"/>
        <v>45600</v>
      </c>
      <c r="AA75" s="8">
        <f>IFERROR(((Z75-X75)/Z75),0)</f>
        <v>0.16666666666666666</v>
      </c>
      <c r="AB75" s="8">
        <v>0.1</v>
      </c>
    </row>
    <row r="76" spans="1:28" x14ac:dyDescent="0.25">
      <c r="A76">
        <v>2026</v>
      </c>
      <c r="B76" t="s">
        <v>54</v>
      </c>
      <c r="C76" t="s">
        <v>57</v>
      </c>
      <c r="D76" t="s">
        <v>58</v>
      </c>
      <c r="G76" t="s">
        <v>63</v>
      </c>
      <c r="H76" t="s">
        <v>63</v>
      </c>
      <c r="I76" t="s">
        <v>81</v>
      </c>
      <c r="J76" t="s">
        <v>66</v>
      </c>
      <c r="K76" t="s">
        <v>33</v>
      </c>
      <c r="L76">
        <v>39800</v>
      </c>
      <c r="M76" s="7">
        <v>39800</v>
      </c>
      <c r="O76" s="7"/>
      <c r="P76" s="7">
        <v>0</v>
      </c>
      <c r="Q76" s="8">
        <v>0</v>
      </c>
      <c r="R76" s="7">
        <v>0</v>
      </c>
      <c r="S76" s="9">
        <v>0</v>
      </c>
      <c r="T76" s="7">
        <v>0</v>
      </c>
      <c r="U76" s="8">
        <v>0</v>
      </c>
      <c r="V76" s="7">
        <v>0</v>
      </c>
      <c r="W76" s="8">
        <v>0</v>
      </c>
      <c r="X76" s="7">
        <f>M76</f>
        <v>39800</v>
      </c>
      <c r="Y76" s="8">
        <v>0.2</v>
      </c>
      <c r="Z76" s="7">
        <f t="shared" si="4"/>
        <v>47760</v>
      </c>
      <c r="AA76" s="8">
        <f>IFERROR(((Z76-X76)/Z76),0)</f>
        <v>0.16666666666666666</v>
      </c>
      <c r="AB76" s="8">
        <v>0.1</v>
      </c>
    </row>
    <row r="77" spans="1:28" x14ac:dyDescent="0.25">
      <c r="A77">
        <v>2026</v>
      </c>
      <c r="B77" t="s">
        <v>55</v>
      </c>
      <c r="C77" t="s">
        <v>57</v>
      </c>
      <c r="D77" t="s">
        <v>58</v>
      </c>
      <c r="G77" t="s">
        <v>63</v>
      </c>
      <c r="H77" t="s">
        <v>63</v>
      </c>
      <c r="I77" t="s">
        <v>65</v>
      </c>
      <c r="J77" t="s">
        <v>66</v>
      </c>
      <c r="K77" t="s">
        <v>33</v>
      </c>
      <c r="L77">
        <v>28800</v>
      </c>
      <c r="M77" s="7">
        <v>28800</v>
      </c>
      <c r="O77" s="7"/>
      <c r="P77" s="7">
        <v>0</v>
      </c>
      <c r="Q77" s="8">
        <v>0</v>
      </c>
      <c r="R77" s="7">
        <v>0</v>
      </c>
      <c r="S77" s="9">
        <v>0</v>
      </c>
      <c r="T77" s="7">
        <v>0</v>
      </c>
      <c r="U77" s="8">
        <v>0</v>
      </c>
      <c r="V77" s="7">
        <v>0</v>
      </c>
      <c r="W77" s="8">
        <v>0</v>
      </c>
      <c r="X77" s="7">
        <f>M77</f>
        <v>28800</v>
      </c>
      <c r="Y77" s="8">
        <v>0.2</v>
      </c>
      <c r="Z77" s="7">
        <f>X77+(X77*Y77)</f>
        <v>34560</v>
      </c>
      <c r="AA77" s="8">
        <f>IFERROR(((Z77-X77)/Z77),0)</f>
        <v>0.16666666666666666</v>
      </c>
      <c r="AB77" s="8">
        <v>0.1</v>
      </c>
    </row>
    <row r="78" spans="1:28" x14ac:dyDescent="0.25">
      <c r="A78">
        <v>2026</v>
      </c>
      <c r="B78" t="s">
        <v>55</v>
      </c>
      <c r="C78" t="s">
        <v>57</v>
      </c>
      <c r="D78" t="s">
        <v>58</v>
      </c>
      <c r="G78" t="s">
        <v>63</v>
      </c>
      <c r="H78" t="s">
        <v>63</v>
      </c>
      <c r="I78" t="s">
        <v>67</v>
      </c>
      <c r="J78" t="s">
        <v>66</v>
      </c>
      <c r="K78" t="s">
        <v>33</v>
      </c>
      <c r="L78">
        <v>36700</v>
      </c>
      <c r="M78" s="7">
        <v>36700</v>
      </c>
      <c r="O78" s="7"/>
      <c r="P78" s="7">
        <v>0</v>
      </c>
      <c r="Q78" s="8">
        <v>0</v>
      </c>
      <c r="R78" s="7">
        <v>0</v>
      </c>
      <c r="S78" s="9">
        <v>0</v>
      </c>
      <c r="T78" s="7">
        <v>0</v>
      </c>
      <c r="U78" s="8">
        <v>0</v>
      </c>
      <c r="V78" s="7">
        <v>0</v>
      </c>
      <c r="W78" s="8">
        <v>0</v>
      </c>
      <c r="X78" s="7">
        <f>M78</f>
        <v>36700</v>
      </c>
      <c r="Y78" s="8">
        <v>0.2</v>
      </c>
      <c r="Z78" s="7">
        <f t="shared" ref="Z78:Z91" si="5">X78+(X78*Y78)</f>
        <v>44040</v>
      </c>
      <c r="AA78" s="8">
        <f>IFERROR(((Z78-X78)/Z78),0)</f>
        <v>0.16666666666666666</v>
      </c>
      <c r="AB78" s="8">
        <v>0.1</v>
      </c>
    </row>
    <row r="79" spans="1:28" x14ac:dyDescent="0.25">
      <c r="A79">
        <v>2026</v>
      </c>
      <c r="B79" t="s">
        <v>55</v>
      </c>
      <c r="C79" t="s">
        <v>57</v>
      </c>
      <c r="D79" t="s">
        <v>58</v>
      </c>
      <c r="G79" t="s">
        <v>63</v>
      </c>
      <c r="H79" t="s">
        <v>63</v>
      </c>
      <c r="I79" t="s">
        <v>68</v>
      </c>
      <c r="J79" t="s">
        <v>69</v>
      </c>
      <c r="K79" t="s">
        <v>33</v>
      </c>
      <c r="L79">
        <v>28000</v>
      </c>
      <c r="M79" s="7">
        <v>28000</v>
      </c>
      <c r="O79" s="7"/>
      <c r="P79" s="7">
        <v>0</v>
      </c>
      <c r="Q79" s="8">
        <v>0</v>
      </c>
      <c r="R79" s="7">
        <v>0</v>
      </c>
      <c r="S79" s="9">
        <v>0</v>
      </c>
      <c r="T79" s="7">
        <v>0</v>
      </c>
      <c r="U79" s="8">
        <v>0</v>
      </c>
      <c r="V79" s="7">
        <v>0</v>
      </c>
      <c r="W79" s="8">
        <v>0</v>
      </c>
      <c r="X79" s="7">
        <f>M79</f>
        <v>28000</v>
      </c>
      <c r="Y79" s="8">
        <v>0.2</v>
      </c>
      <c r="Z79" s="7">
        <f t="shared" si="5"/>
        <v>33600</v>
      </c>
      <c r="AA79" s="8">
        <f>IFERROR(((Z79-X79)/Z79),0)</f>
        <v>0.16666666666666666</v>
      </c>
      <c r="AB79" s="8">
        <v>0.1</v>
      </c>
    </row>
    <row r="80" spans="1:28" x14ac:dyDescent="0.25">
      <c r="A80">
        <v>2026</v>
      </c>
      <c r="B80" t="s">
        <v>55</v>
      </c>
      <c r="C80" t="s">
        <v>57</v>
      </c>
      <c r="D80" t="s">
        <v>58</v>
      </c>
      <c r="G80" t="s">
        <v>63</v>
      </c>
      <c r="H80" t="s">
        <v>63</v>
      </c>
      <c r="I80" t="s">
        <v>70</v>
      </c>
      <c r="J80" t="s">
        <v>69</v>
      </c>
      <c r="K80" t="s">
        <v>33</v>
      </c>
      <c r="L80">
        <v>36700</v>
      </c>
      <c r="M80" s="7">
        <v>36700</v>
      </c>
      <c r="O80" s="7"/>
      <c r="P80" s="7">
        <v>0</v>
      </c>
      <c r="Q80" s="8">
        <v>0</v>
      </c>
      <c r="R80" s="7">
        <v>0</v>
      </c>
      <c r="S80" s="9">
        <v>0</v>
      </c>
      <c r="T80" s="7">
        <v>0</v>
      </c>
      <c r="U80" s="8">
        <v>0</v>
      </c>
      <c r="V80" s="7">
        <v>0</v>
      </c>
      <c r="W80" s="8">
        <v>0</v>
      </c>
      <c r="X80" s="7">
        <f>M80</f>
        <v>36700</v>
      </c>
      <c r="Y80" s="8">
        <v>0.2</v>
      </c>
      <c r="Z80" s="7">
        <f t="shared" si="5"/>
        <v>44040</v>
      </c>
      <c r="AA80" s="8">
        <f>IFERROR(((Z80-X80)/Z80),0)</f>
        <v>0.16666666666666666</v>
      </c>
      <c r="AB80" s="8">
        <v>0.1</v>
      </c>
    </row>
    <row r="81" spans="1:28" x14ac:dyDescent="0.25">
      <c r="A81">
        <v>2026</v>
      </c>
      <c r="B81" t="s">
        <v>55</v>
      </c>
      <c r="C81" t="s">
        <v>57</v>
      </c>
      <c r="D81" t="s">
        <v>58</v>
      </c>
      <c r="G81" t="s">
        <v>63</v>
      </c>
      <c r="H81" t="s">
        <v>63</v>
      </c>
      <c r="I81" t="s">
        <v>71</v>
      </c>
      <c r="J81" t="s">
        <v>69</v>
      </c>
      <c r="K81" t="s">
        <v>33</v>
      </c>
      <c r="L81">
        <v>21900</v>
      </c>
      <c r="M81" s="7">
        <v>21900</v>
      </c>
      <c r="O81" s="7"/>
      <c r="P81" s="7">
        <v>0</v>
      </c>
      <c r="Q81" s="8">
        <v>0</v>
      </c>
      <c r="R81" s="7">
        <v>0</v>
      </c>
      <c r="S81" s="9">
        <v>0</v>
      </c>
      <c r="T81" s="7">
        <v>0</v>
      </c>
      <c r="U81" s="8">
        <v>0</v>
      </c>
      <c r="V81" s="7">
        <v>0</v>
      </c>
      <c r="W81" s="8">
        <v>0</v>
      </c>
      <c r="X81" s="7">
        <f>M81</f>
        <v>21900</v>
      </c>
      <c r="Y81" s="8">
        <v>0.2</v>
      </c>
      <c r="Z81" s="7">
        <f t="shared" si="5"/>
        <v>26280</v>
      </c>
      <c r="AA81" s="8">
        <f>IFERROR(((Z81-X81)/Z81),0)</f>
        <v>0.16666666666666666</v>
      </c>
      <c r="AB81" s="8">
        <v>0.1</v>
      </c>
    </row>
    <row r="82" spans="1:28" x14ac:dyDescent="0.25">
      <c r="A82">
        <v>2026</v>
      </c>
      <c r="B82" t="s">
        <v>55</v>
      </c>
      <c r="C82" t="s">
        <v>57</v>
      </c>
      <c r="D82" t="s">
        <v>58</v>
      </c>
      <c r="G82" t="s">
        <v>63</v>
      </c>
      <c r="H82" t="s">
        <v>63</v>
      </c>
      <c r="I82" t="s">
        <v>72</v>
      </c>
      <c r="J82" t="s">
        <v>69</v>
      </c>
      <c r="K82" t="s">
        <v>33</v>
      </c>
      <c r="L82">
        <v>114900</v>
      </c>
      <c r="M82" s="7">
        <v>114900</v>
      </c>
      <c r="O82" s="7"/>
      <c r="P82" s="7">
        <v>0</v>
      </c>
      <c r="Q82" s="8">
        <v>0</v>
      </c>
      <c r="R82" s="7">
        <v>0</v>
      </c>
      <c r="S82" s="9">
        <v>0</v>
      </c>
      <c r="T82" s="7">
        <v>0</v>
      </c>
      <c r="U82" s="8">
        <v>0</v>
      </c>
      <c r="V82" s="7">
        <v>0</v>
      </c>
      <c r="W82" s="8">
        <v>0</v>
      </c>
      <c r="X82" s="7">
        <f>M82</f>
        <v>114900</v>
      </c>
      <c r="Y82" s="8">
        <v>0.2</v>
      </c>
      <c r="Z82" s="7">
        <f t="shared" si="5"/>
        <v>137880</v>
      </c>
      <c r="AA82" s="8">
        <f>IFERROR(((Z82-X82)/Z82),0)</f>
        <v>0.16666666666666666</v>
      </c>
      <c r="AB82" s="8">
        <v>0.1</v>
      </c>
    </row>
    <row r="83" spans="1:28" x14ac:dyDescent="0.25">
      <c r="A83">
        <v>2026</v>
      </c>
      <c r="B83" t="s">
        <v>55</v>
      </c>
      <c r="C83" t="s">
        <v>57</v>
      </c>
      <c r="D83" t="s">
        <v>58</v>
      </c>
      <c r="G83" t="s">
        <v>63</v>
      </c>
      <c r="H83" t="s">
        <v>63</v>
      </c>
      <c r="I83" t="s">
        <v>73</v>
      </c>
      <c r="J83" t="s">
        <v>69</v>
      </c>
      <c r="K83" t="s">
        <v>33</v>
      </c>
      <c r="L83">
        <v>28000</v>
      </c>
      <c r="M83" s="7">
        <v>28000</v>
      </c>
      <c r="O83" s="7"/>
      <c r="P83" s="7">
        <v>0</v>
      </c>
      <c r="Q83" s="8">
        <v>0</v>
      </c>
      <c r="R83" s="7">
        <v>0</v>
      </c>
      <c r="S83" s="9">
        <v>0</v>
      </c>
      <c r="T83" s="7">
        <v>0</v>
      </c>
      <c r="U83" s="8">
        <v>0</v>
      </c>
      <c r="V83" s="7">
        <v>0</v>
      </c>
      <c r="W83" s="8">
        <v>0</v>
      </c>
      <c r="X83" s="7">
        <f>M83</f>
        <v>28000</v>
      </c>
      <c r="Y83" s="8">
        <v>0.2</v>
      </c>
      <c r="Z83" s="7">
        <f t="shared" si="5"/>
        <v>33600</v>
      </c>
      <c r="AA83" s="8">
        <f>IFERROR(((Z83-X83)/Z83),0)</f>
        <v>0.16666666666666666</v>
      </c>
      <c r="AB83" s="8">
        <v>0.1</v>
      </c>
    </row>
    <row r="84" spans="1:28" x14ac:dyDescent="0.25">
      <c r="A84">
        <v>2026</v>
      </c>
      <c r="B84" t="s">
        <v>55</v>
      </c>
      <c r="C84" t="s">
        <v>57</v>
      </c>
      <c r="D84" t="s">
        <v>58</v>
      </c>
      <c r="G84" t="s">
        <v>63</v>
      </c>
      <c r="H84" t="s">
        <v>63</v>
      </c>
      <c r="I84" t="s">
        <v>74</v>
      </c>
      <c r="J84" t="s">
        <v>69</v>
      </c>
      <c r="K84" t="s">
        <v>33</v>
      </c>
      <c r="L84">
        <v>49200</v>
      </c>
      <c r="M84" s="7">
        <v>49200</v>
      </c>
      <c r="O84" s="7"/>
      <c r="P84" s="7">
        <v>0</v>
      </c>
      <c r="Q84" s="8">
        <v>0</v>
      </c>
      <c r="R84" s="7">
        <v>0</v>
      </c>
      <c r="S84" s="9">
        <v>0</v>
      </c>
      <c r="T84" s="7">
        <v>0</v>
      </c>
      <c r="U84" s="8">
        <v>0</v>
      </c>
      <c r="V84" s="7">
        <v>0</v>
      </c>
      <c r="W84" s="8">
        <v>0</v>
      </c>
      <c r="X84" s="7">
        <f>M84</f>
        <v>49200</v>
      </c>
      <c r="Y84" s="8">
        <v>0.2</v>
      </c>
      <c r="Z84" s="7">
        <f t="shared" si="5"/>
        <v>59040</v>
      </c>
      <c r="AA84" s="8">
        <f>IFERROR(((Z84-X84)/Z84),0)</f>
        <v>0.16666666666666666</v>
      </c>
      <c r="AB84" s="8">
        <v>0.1</v>
      </c>
    </row>
    <row r="85" spans="1:28" x14ac:dyDescent="0.25">
      <c r="A85">
        <v>2026</v>
      </c>
      <c r="B85" t="s">
        <v>55</v>
      </c>
      <c r="C85" t="s">
        <v>57</v>
      </c>
      <c r="D85" t="s">
        <v>58</v>
      </c>
      <c r="G85" t="s">
        <v>63</v>
      </c>
      <c r="H85" t="s">
        <v>63</v>
      </c>
      <c r="I85" t="s">
        <v>75</v>
      </c>
      <c r="J85" t="s">
        <v>69</v>
      </c>
      <c r="K85" t="s">
        <v>33</v>
      </c>
      <c r="L85">
        <v>141600</v>
      </c>
      <c r="M85" s="7">
        <v>141600</v>
      </c>
      <c r="O85" s="7"/>
      <c r="P85" s="7">
        <v>0</v>
      </c>
      <c r="Q85" s="8">
        <v>0</v>
      </c>
      <c r="R85" s="7">
        <v>0</v>
      </c>
      <c r="S85" s="9">
        <v>0</v>
      </c>
      <c r="T85" s="7">
        <v>0</v>
      </c>
      <c r="U85" s="8">
        <v>0</v>
      </c>
      <c r="V85" s="7">
        <v>0</v>
      </c>
      <c r="W85" s="8">
        <v>0</v>
      </c>
      <c r="X85" s="7">
        <f>M85</f>
        <v>141600</v>
      </c>
      <c r="Y85" s="8">
        <v>0.2</v>
      </c>
      <c r="Z85" s="7">
        <f t="shared" si="5"/>
        <v>169920</v>
      </c>
      <c r="AA85" s="8">
        <f>IFERROR(((Z85-X85)/Z85),0)</f>
        <v>0.16666666666666666</v>
      </c>
      <c r="AB85" s="8">
        <v>0.1</v>
      </c>
    </row>
    <row r="86" spans="1:28" x14ac:dyDescent="0.25">
      <c r="A86">
        <v>2026</v>
      </c>
      <c r="B86" t="s">
        <v>55</v>
      </c>
      <c r="C86" t="s">
        <v>57</v>
      </c>
      <c r="D86" t="s">
        <v>58</v>
      </c>
      <c r="G86" t="s">
        <v>63</v>
      </c>
      <c r="H86" t="s">
        <v>63</v>
      </c>
      <c r="I86" t="s">
        <v>76</v>
      </c>
      <c r="J86" t="s">
        <v>69</v>
      </c>
      <c r="K86" t="s">
        <v>33</v>
      </c>
      <c r="L86">
        <v>174700</v>
      </c>
      <c r="M86" s="7">
        <v>174700</v>
      </c>
      <c r="O86" s="7"/>
      <c r="P86" s="7">
        <v>0</v>
      </c>
      <c r="Q86" s="8">
        <v>0</v>
      </c>
      <c r="R86" s="7">
        <v>0</v>
      </c>
      <c r="S86" s="9">
        <v>0</v>
      </c>
      <c r="T86" s="7">
        <v>0</v>
      </c>
      <c r="U86" s="8">
        <v>0</v>
      </c>
      <c r="V86" s="7">
        <v>0</v>
      </c>
      <c r="W86" s="8">
        <v>0</v>
      </c>
      <c r="X86" s="7">
        <f>M86</f>
        <v>174700</v>
      </c>
      <c r="Y86" s="8">
        <v>0.2</v>
      </c>
      <c r="Z86" s="7">
        <f t="shared" si="5"/>
        <v>209640</v>
      </c>
      <c r="AA86" s="8">
        <f>IFERROR(((Z86-X86)/Z86),0)</f>
        <v>0.16666666666666666</v>
      </c>
      <c r="AB86" s="8">
        <v>0.1</v>
      </c>
    </row>
    <row r="87" spans="1:28" x14ac:dyDescent="0.25">
      <c r="A87">
        <v>2026</v>
      </c>
      <c r="B87" t="s">
        <v>55</v>
      </c>
      <c r="C87" t="s">
        <v>57</v>
      </c>
      <c r="D87" t="s">
        <v>58</v>
      </c>
      <c r="G87" t="s">
        <v>63</v>
      </c>
      <c r="H87" t="s">
        <v>63</v>
      </c>
      <c r="I87" t="s">
        <v>77</v>
      </c>
      <c r="J87" t="s">
        <v>69</v>
      </c>
      <c r="K87" t="s">
        <v>33</v>
      </c>
      <c r="L87">
        <v>204000</v>
      </c>
      <c r="M87" s="7">
        <v>204000</v>
      </c>
      <c r="O87" s="7"/>
      <c r="P87" s="7">
        <v>0</v>
      </c>
      <c r="Q87" s="8">
        <v>0</v>
      </c>
      <c r="R87" s="7">
        <v>0</v>
      </c>
      <c r="S87" s="9">
        <v>0</v>
      </c>
      <c r="T87" s="7">
        <v>0</v>
      </c>
      <c r="U87" s="8">
        <v>0</v>
      </c>
      <c r="V87" s="7">
        <v>0</v>
      </c>
      <c r="W87" s="8">
        <v>0</v>
      </c>
      <c r="X87" s="7">
        <f>M87</f>
        <v>204000</v>
      </c>
      <c r="Y87" s="8">
        <v>0.2</v>
      </c>
      <c r="Z87" s="7">
        <f t="shared" si="5"/>
        <v>244800</v>
      </c>
      <c r="AA87" s="8">
        <f>IFERROR(((Z87-X87)/Z87),0)</f>
        <v>0.16666666666666666</v>
      </c>
      <c r="AB87" s="8">
        <v>0.1</v>
      </c>
    </row>
    <row r="88" spans="1:28" x14ac:dyDescent="0.25">
      <c r="A88">
        <v>2026</v>
      </c>
      <c r="B88" t="s">
        <v>55</v>
      </c>
      <c r="C88" t="s">
        <v>57</v>
      </c>
      <c r="D88" t="s">
        <v>58</v>
      </c>
      <c r="G88" t="s">
        <v>63</v>
      </c>
      <c r="H88" t="s">
        <v>63</v>
      </c>
      <c r="I88" t="s">
        <v>78</v>
      </c>
      <c r="J88" t="s">
        <v>69</v>
      </c>
      <c r="K88" t="s">
        <v>33</v>
      </c>
      <c r="L88">
        <v>49000</v>
      </c>
      <c r="M88" s="7">
        <v>49000</v>
      </c>
      <c r="O88" s="7"/>
      <c r="P88" s="7">
        <v>0</v>
      </c>
      <c r="Q88" s="8">
        <v>0</v>
      </c>
      <c r="R88" s="7">
        <v>0</v>
      </c>
      <c r="S88" s="9">
        <v>0</v>
      </c>
      <c r="T88" s="7">
        <v>0</v>
      </c>
      <c r="U88" s="8">
        <v>0</v>
      </c>
      <c r="V88" s="7">
        <v>0</v>
      </c>
      <c r="W88" s="8">
        <v>0</v>
      </c>
      <c r="X88" s="7">
        <f>M88</f>
        <v>49000</v>
      </c>
      <c r="Y88" s="8">
        <v>0.2</v>
      </c>
      <c r="Z88" s="7">
        <f t="shared" si="5"/>
        <v>58800</v>
      </c>
      <c r="AA88" s="8">
        <f>IFERROR(((Z88-X88)/Z88),0)</f>
        <v>0.16666666666666666</v>
      </c>
      <c r="AB88" s="8">
        <v>0.1</v>
      </c>
    </row>
    <row r="89" spans="1:28" x14ac:dyDescent="0.25">
      <c r="A89">
        <v>2026</v>
      </c>
      <c r="B89" t="s">
        <v>55</v>
      </c>
      <c r="C89" t="s">
        <v>57</v>
      </c>
      <c r="D89" t="s">
        <v>58</v>
      </c>
      <c r="G89" t="s">
        <v>63</v>
      </c>
      <c r="H89" t="s">
        <v>63</v>
      </c>
      <c r="I89" t="s">
        <v>79</v>
      </c>
      <c r="J89" t="s">
        <v>66</v>
      </c>
      <c r="K89" t="s">
        <v>33</v>
      </c>
      <c r="L89">
        <v>224100</v>
      </c>
      <c r="M89" s="7">
        <v>224100</v>
      </c>
      <c r="O89" s="7"/>
      <c r="P89" s="7">
        <v>0</v>
      </c>
      <c r="Q89" s="8">
        <v>0</v>
      </c>
      <c r="R89" s="7">
        <v>0</v>
      </c>
      <c r="S89" s="9">
        <v>0</v>
      </c>
      <c r="T89" s="7">
        <v>0</v>
      </c>
      <c r="U89" s="8">
        <v>0</v>
      </c>
      <c r="V89" s="7">
        <v>0</v>
      </c>
      <c r="W89" s="8">
        <v>0</v>
      </c>
      <c r="X89" s="7">
        <f>M89</f>
        <v>224100</v>
      </c>
      <c r="Y89" s="8">
        <v>0.2</v>
      </c>
      <c r="Z89" s="7">
        <f t="shared" si="5"/>
        <v>268920</v>
      </c>
      <c r="AA89" s="8">
        <f>IFERROR(((Z89-X89)/Z89),0)</f>
        <v>0.16666666666666666</v>
      </c>
      <c r="AB89" s="8">
        <v>0.1</v>
      </c>
    </row>
    <row r="90" spans="1:28" x14ac:dyDescent="0.25">
      <c r="A90">
        <v>2026</v>
      </c>
      <c r="B90" t="s">
        <v>55</v>
      </c>
      <c r="C90" t="s">
        <v>57</v>
      </c>
      <c r="D90" t="s">
        <v>58</v>
      </c>
      <c r="G90" t="s">
        <v>63</v>
      </c>
      <c r="H90" t="s">
        <v>63</v>
      </c>
      <c r="I90" t="s">
        <v>80</v>
      </c>
      <c r="J90" t="s">
        <v>66</v>
      </c>
      <c r="K90" t="s">
        <v>33</v>
      </c>
      <c r="L90">
        <v>38000</v>
      </c>
      <c r="M90" s="7">
        <v>38000</v>
      </c>
      <c r="O90" s="7"/>
      <c r="P90" s="7">
        <v>0</v>
      </c>
      <c r="Q90" s="8">
        <v>0</v>
      </c>
      <c r="R90" s="7">
        <v>0</v>
      </c>
      <c r="S90" s="9">
        <v>0</v>
      </c>
      <c r="T90" s="7">
        <v>0</v>
      </c>
      <c r="U90" s="8">
        <v>0</v>
      </c>
      <c r="V90" s="7">
        <v>0</v>
      </c>
      <c r="W90" s="8">
        <v>0</v>
      </c>
      <c r="X90" s="7">
        <f>M90</f>
        <v>38000</v>
      </c>
      <c r="Y90" s="8">
        <v>0.2</v>
      </c>
      <c r="Z90" s="7">
        <f t="shared" si="5"/>
        <v>45600</v>
      </c>
      <c r="AA90" s="8">
        <f>IFERROR(((Z90-X90)/Z90),0)</f>
        <v>0.16666666666666666</v>
      </c>
      <c r="AB90" s="8">
        <v>0.1</v>
      </c>
    </row>
    <row r="91" spans="1:28" x14ac:dyDescent="0.25">
      <c r="A91">
        <v>2026</v>
      </c>
      <c r="B91" t="s">
        <v>55</v>
      </c>
      <c r="C91" t="s">
        <v>57</v>
      </c>
      <c r="D91" t="s">
        <v>58</v>
      </c>
      <c r="G91" t="s">
        <v>63</v>
      </c>
      <c r="H91" t="s">
        <v>63</v>
      </c>
      <c r="I91" t="s">
        <v>81</v>
      </c>
      <c r="J91" t="s">
        <v>66</v>
      </c>
      <c r="K91" t="s">
        <v>33</v>
      </c>
      <c r="L91">
        <v>39800</v>
      </c>
      <c r="M91" s="7">
        <v>39800</v>
      </c>
      <c r="O91" s="7"/>
      <c r="P91" s="7">
        <v>0</v>
      </c>
      <c r="Q91" s="8">
        <v>0</v>
      </c>
      <c r="R91" s="7">
        <v>0</v>
      </c>
      <c r="S91" s="9">
        <v>0</v>
      </c>
      <c r="T91" s="7">
        <v>0</v>
      </c>
      <c r="U91" s="8">
        <v>0</v>
      </c>
      <c r="V91" s="7">
        <v>0</v>
      </c>
      <c r="W91" s="8">
        <v>0</v>
      </c>
      <c r="X91" s="7">
        <f>M91</f>
        <v>39800</v>
      </c>
      <c r="Y91" s="8">
        <v>0.2</v>
      </c>
      <c r="Z91" s="7">
        <f t="shared" si="5"/>
        <v>47760</v>
      </c>
      <c r="AA91" s="8">
        <f>IFERROR(((Z91-X91)/Z91),0)</f>
        <v>0.16666666666666666</v>
      </c>
      <c r="AB91" s="8">
        <v>0.1</v>
      </c>
    </row>
    <row r="92" spans="1:28" x14ac:dyDescent="0.25">
      <c r="A92">
        <v>2026</v>
      </c>
      <c r="B92" t="s">
        <v>56</v>
      </c>
      <c r="C92" t="s">
        <v>57</v>
      </c>
      <c r="D92" t="s">
        <v>58</v>
      </c>
      <c r="G92" t="s">
        <v>63</v>
      </c>
      <c r="H92" t="s">
        <v>63</v>
      </c>
      <c r="I92" t="s">
        <v>65</v>
      </c>
      <c r="J92" t="s">
        <v>66</v>
      </c>
      <c r="K92" t="s">
        <v>33</v>
      </c>
      <c r="L92">
        <v>28800</v>
      </c>
      <c r="M92" s="7">
        <v>28800</v>
      </c>
      <c r="O92" s="7"/>
      <c r="P92" s="7">
        <v>0</v>
      </c>
      <c r="Q92" s="8">
        <v>0</v>
      </c>
      <c r="R92" s="7">
        <v>0</v>
      </c>
      <c r="S92" s="9">
        <v>0</v>
      </c>
      <c r="T92" s="7">
        <v>0</v>
      </c>
      <c r="U92" s="8">
        <v>0</v>
      </c>
      <c r="V92" s="7">
        <v>0</v>
      </c>
      <c r="W92" s="8">
        <v>0</v>
      </c>
      <c r="X92" s="7">
        <f>M92</f>
        <v>28800</v>
      </c>
      <c r="Y92" s="8">
        <v>0.2</v>
      </c>
      <c r="Z92" s="7">
        <f>X92+(X92*Y92)</f>
        <v>34560</v>
      </c>
      <c r="AA92" s="8">
        <f>IFERROR(((Z92-X92)/Z92),0)</f>
        <v>0.16666666666666666</v>
      </c>
      <c r="AB92" s="8">
        <v>0.1</v>
      </c>
    </row>
    <row r="93" spans="1:28" x14ac:dyDescent="0.25">
      <c r="A93">
        <v>2026</v>
      </c>
      <c r="B93" t="s">
        <v>56</v>
      </c>
      <c r="C93" t="s">
        <v>57</v>
      </c>
      <c r="D93" t="s">
        <v>58</v>
      </c>
      <c r="G93" t="s">
        <v>63</v>
      </c>
      <c r="H93" t="s">
        <v>63</v>
      </c>
      <c r="I93" t="s">
        <v>67</v>
      </c>
      <c r="J93" t="s">
        <v>66</v>
      </c>
      <c r="K93" t="s">
        <v>33</v>
      </c>
      <c r="L93">
        <v>36700</v>
      </c>
      <c r="M93" s="7">
        <v>36700</v>
      </c>
      <c r="O93" s="7"/>
      <c r="P93" s="7">
        <v>0</v>
      </c>
      <c r="Q93" s="8">
        <v>0</v>
      </c>
      <c r="R93" s="7">
        <v>0</v>
      </c>
      <c r="S93" s="9">
        <v>0</v>
      </c>
      <c r="T93" s="7">
        <v>0</v>
      </c>
      <c r="U93" s="8">
        <v>0</v>
      </c>
      <c r="V93" s="7">
        <v>0</v>
      </c>
      <c r="W93" s="8">
        <v>0</v>
      </c>
      <c r="X93" s="7">
        <f>M93</f>
        <v>36700</v>
      </c>
      <c r="Y93" s="8">
        <v>0.2</v>
      </c>
      <c r="Z93" s="7">
        <f t="shared" ref="Z93:Z106" si="6">X93+(X93*Y93)</f>
        <v>44040</v>
      </c>
      <c r="AA93" s="8">
        <f>IFERROR(((Z93-X93)/Z93),0)</f>
        <v>0.16666666666666666</v>
      </c>
      <c r="AB93" s="8">
        <v>0.1</v>
      </c>
    </row>
    <row r="94" spans="1:28" x14ac:dyDescent="0.25">
      <c r="A94">
        <v>2026</v>
      </c>
      <c r="B94" t="s">
        <v>56</v>
      </c>
      <c r="C94" t="s">
        <v>57</v>
      </c>
      <c r="D94" t="s">
        <v>58</v>
      </c>
      <c r="G94" t="s">
        <v>63</v>
      </c>
      <c r="H94" t="s">
        <v>63</v>
      </c>
      <c r="I94" t="s">
        <v>68</v>
      </c>
      <c r="J94" t="s">
        <v>69</v>
      </c>
      <c r="K94" t="s">
        <v>33</v>
      </c>
      <c r="L94">
        <v>28000</v>
      </c>
      <c r="M94" s="7">
        <v>28000</v>
      </c>
      <c r="O94" s="7"/>
      <c r="P94" s="7">
        <v>0</v>
      </c>
      <c r="Q94" s="8">
        <v>0</v>
      </c>
      <c r="R94" s="7">
        <v>0</v>
      </c>
      <c r="S94" s="9">
        <v>0</v>
      </c>
      <c r="T94" s="7">
        <v>0</v>
      </c>
      <c r="U94" s="8">
        <v>0</v>
      </c>
      <c r="V94" s="7">
        <v>0</v>
      </c>
      <c r="W94" s="8">
        <v>0</v>
      </c>
      <c r="X94" s="7">
        <f>M94</f>
        <v>28000</v>
      </c>
      <c r="Y94" s="8">
        <v>0.2</v>
      </c>
      <c r="Z94" s="7">
        <f t="shared" si="6"/>
        <v>33600</v>
      </c>
      <c r="AA94" s="8">
        <f>IFERROR(((Z94-X94)/Z94),0)</f>
        <v>0.16666666666666666</v>
      </c>
      <c r="AB94" s="8">
        <v>0.1</v>
      </c>
    </row>
    <row r="95" spans="1:28" x14ac:dyDescent="0.25">
      <c r="A95">
        <v>2026</v>
      </c>
      <c r="B95" t="s">
        <v>56</v>
      </c>
      <c r="C95" t="s">
        <v>57</v>
      </c>
      <c r="D95" t="s">
        <v>58</v>
      </c>
      <c r="G95" t="s">
        <v>63</v>
      </c>
      <c r="H95" t="s">
        <v>63</v>
      </c>
      <c r="I95" t="s">
        <v>70</v>
      </c>
      <c r="J95" t="s">
        <v>69</v>
      </c>
      <c r="K95" t="s">
        <v>33</v>
      </c>
      <c r="L95">
        <v>36700</v>
      </c>
      <c r="M95" s="7">
        <v>36700</v>
      </c>
      <c r="O95" s="7"/>
      <c r="P95" s="7">
        <v>0</v>
      </c>
      <c r="Q95" s="8">
        <v>0</v>
      </c>
      <c r="R95" s="7">
        <v>0</v>
      </c>
      <c r="S95" s="9">
        <v>0</v>
      </c>
      <c r="T95" s="7">
        <v>0</v>
      </c>
      <c r="U95" s="8">
        <v>0</v>
      </c>
      <c r="V95" s="7">
        <v>0</v>
      </c>
      <c r="W95" s="8">
        <v>0</v>
      </c>
      <c r="X95" s="7">
        <f>M95</f>
        <v>36700</v>
      </c>
      <c r="Y95" s="8">
        <v>0.2</v>
      </c>
      <c r="Z95" s="7">
        <f t="shared" si="6"/>
        <v>44040</v>
      </c>
      <c r="AA95" s="8">
        <f>IFERROR(((Z95-X95)/Z95),0)</f>
        <v>0.16666666666666666</v>
      </c>
      <c r="AB95" s="8">
        <v>0.1</v>
      </c>
    </row>
    <row r="96" spans="1:28" x14ac:dyDescent="0.25">
      <c r="A96">
        <v>2026</v>
      </c>
      <c r="B96" t="s">
        <v>56</v>
      </c>
      <c r="C96" t="s">
        <v>57</v>
      </c>
      <c r="D96" t="s">
        <v>58</v>
      </c>
      <c r="G96" t="s">
        <v>63</v>
      </c>
      <c r="H96" t="s">
        <v>63</v>
      </c>
      <c r="I96" t="s">
        <v>71</v>
      </c>
      <c r="J96" t="s">
        <v>69</v>
      </c>
      <c r="K96" t="s">
        <v>33</v>
      </c>
      <c r="L96">
        <v>21900</v>
      </c>
      <c r="M96" s="7">
        <v>21900</v>
      </c>
      <c r="O96" s="7"/>
      <c r="P96" s="7">
        <v>0</v>
      </c>
      <c r="Q96" s="8">
        <v>0</v>
      </c>
      <c r="R96" s="7">
        <v>0</v>
      </c>
      <c r="S96" s="9">
        <v>0</v>
      </c>
      <c r="T96" s="7">
        <v>0</v>
      </c>
      <c r="U96" s="8">
        <v>0</v>
      </c>
      <c r="V96" s="7">
        <v>0</v>
      </c>
      <c r="W96" s="8">
        <v>0</v>
      </c>
      <c r="X96" s="7">
        <f>M96</f>
        <v>21900</v>
      </c>
      <c r="Y96" s="8">
        <v>0.2</v>
      </c>
      <c r="Z96" s="7">
        <f t="shared" si="6"/>
        <v>26280</v>
      </c>
      <c r="AA96" s="8">
        <f>IFERROR(((Z96-X96)/Z96),0)</f>
        <v>0.16666666666666666</v>
      </c>
      <c r="AB96" s="8">
        <v>0.1</v>
      </c>
    </row>
    <row r="97" spans="1:28" x14ac:dyDescent="0.25">
      <c r="A97">
        <v>2026</v>
      </c>
      <c r="B97" t="s">
        <v>56</v>
      </c>
      <c r="C97" t="s">
        <v>57</v>
      </c>
      <c r="D97" t="s">
        <v>58</v>
      </c>
      <c r="G97" t="s">
        <v>63</v>
      </c>
      <c r="H97" t="s">
        <v>63</v>
      </c>
      <c r="I97" t="s">
        <v>72</v>
      </c>
      <c r="J97" t="s">
        <v>69</v>
      </c>
      <c r="K97" t="s">
        <v>33</v>
      </c>
      <c r="L97">
        <v>114900</v>
      </c>
      <c r="M97" s="7">
        <v>114900</v>
      </c>
      <c r="O97" s="7"/>
      <c r="P97" s="7">
        <v>0</v>
      </c>
      <c r="Q97" s="8">
        <v>0</v>
      </c>
      <c r="R97" s="7">
        <v>0</v>
      </c>
      <c r="S97" s="9">
        <v>0</v>
      </c>
      <c r="T97" s="7">
        <v>0</v>
      </c>
      <c r="U97" s="8">
        <v>0</v>
      </c>
      <c r="V97" s="7">
        <v>0</v>
      </c>
      <c r="W97" s="8">
        <v>0</v>
      </c>
      <c r="X97" s="7">
        <f>M97</f>
        <v>114900</v>
      </c>
      <c r="Y97" s="8">
        <v>0.2</v>
      </c>
      <c r="Z97" s="7">
        <f t="shared" si="6"/>
        <v>137880</v>
      </c>
      <c r="AA97" s="8">
        <f>IFERROR(((Z97-X97)/Z97),0)</f>
        <v>0.16666666666666666</v>
      </c>
      <c r="AB97" s="8">
        <v>0.1</v>
      </c>
    </row>
    <row r="98" spans="1:28" x14ac:dyDescent="0.25">
      <c r="A98">
        <v>2026</v>
      </c>
      <c r="B98" t="s">
        <v>56</v>
      </c>
      <c r="C98" t="s">
        <v>57</v>
      </c>
      <c r="D98" t="s">
        <v>58</v>
      </c>
      <c r="G98" t="s">
        <v>63</v>
      </c>
      <c r="H98" t="s">
        <v>63</v>
      </c>
      <c r="I98" t="s">
        <v>73</v>
      </c>
      <c r="J98" t="s">
        <v>69</v>
      </c>
      <c r="K98" t="s">
        <v>33</v>
      </c>
      <c r="L98">
        <v>28000</v>
      </c>
      <c r="M98" s="7">
        <v>28000</v>
      </c>
      <c r="O98" s="7"/>
      <c r="P98" s="7">
        <v>0</v>
      </c>
      <c r="Q98" s="8">
        <v>0</v>
      </c>
      <c r="R98" s="7">
        <v>0</v>
      </c>
      <c r="S98" s="9">
        <v>0</v>
      </c>
      <c r="T98" s="7">
        <v>0</v>
      </c>
      <c r="U98" s="8">
        <v>0</v>
      </c>
      <c r="V98" s="7">
        <v>0</v>
      </c>
      <c r="W98" s="8">
        <v>0</v>
      </c>
      <c r="X98" s="7">
        <f>M98</f>
        <v>28000</v>
      </c>
      <c r="Y98" s="8">
        <v>0.2</v>
      </c>
      <c r="Z98" s="7">
        <f t="shared" si="6"/>
        <v>33600</v>
      </c>
      <c r="AA98" s="8">
        <f>IFERROR(((Z98-X98)/Z98),0)</f>
        <v>0.16666666666666666</v>
      </c>
      <c r="AB98" s="8">
        <v>0.1</v>
      </c>
    </row>
    <row r="99" spans="1:28" x14ac:dyDescent="0.25">
      <c r="A99">
        <v>2026</v>
      </c>
      <c r="B99" t="s">
        <v>56</v>
      </c>
      <c r="C99" t="s">
        <v>57</v>
      </c>
      <c r="D99" t="s">
        <v>58</v>
      </c>
      <c r="G99" t="s">
        <v>63</v>
      </c>
      <c r="H99" t="s">
        <v>63</v>
      </c>
      <c r="I99" t="s">
        <v>74</v>
      </c>
      <c r="J99" t="s">
        <v>69</v>
      </c>
      <c r="K99" t="s">
        <v>33</v>
      </c>
      <c r="L99">
        <v>49200</v>
      </c>
      <c r="M99" s="7">
        <v>49200</v>
      </c>
      <c r="O99" s="7"/>
      <c r="P99" s="7">
        <v>0</v>
      </c>
      <c r="Q99" s="8">
        <v>0</v>
      </c>
      <c r="R99" s="7">
        <v>0</v>
      </c>
      <c r="S99" s="9">
        <v>0</v>
      </c>
      <c r="T99" s="7">
        <v>0</v>
      </c>
      <c r="U99" s="8">
        <v>0</v>
      </c>
      <c r="V99" s="7">
        <v>0</v>
      </c>
      <c r="W99" s="8">
        <v>0</v>
      </c>
      <c r="X99" s="7">
        <f>M99</f>
        <v>49200</v>
      </c>
      <c r="Y99" s="8">
        <v>0.2</v>
      </c>
      <c r="Z99" s="7">
        <f t="shared" si="6"/>
        <v>59040</v>
      </c>
      <c r="AA99" s="8">
        <f>IFERROR(((Z99-X99)/Z99),0)</f>
        <v>0.16666666666666666</v>
      </c>
      <c r="AB99" s="8">
        <v>0.1</v>
      </c>
    </row>
    <row r="100" spans="1:28" x14ac:dyDescent="0.25">
      <c r="A100">
        <v>2026</v>
      </c>
      <c r="B100" t="s">
        <v>56</v>
      </c>
      <c r="C100" t="s">
        <v>57</v>
      </c>
      <c r="D100" t="s">
        <v>58</v>
      </c>
      <c r="G100" t="s">
        <v>63</v>
      </c>
      <c r="H100" t="s">
        <v>63</v>
      </c>
      <c r="I100" t="s">
        <v>75</v>
      </c>
      <c r="J100" t="s">
        <v>69</v>
      </c>
      <c r="K100" t="s">
        <v>33</v>
      </c>
      <c r="L100">
        <v>141600</v>
      </c>
      <c r="M100" s="7">
        <v>141600</v>
      </c>
      <c r="O100" s="7"/>
      <c r="P100" s="7">
        <v>0</v>
      </c>
      <c r="Q100" s="8">
        <v>0</v>
      </c>
      <c r="R100" s="7">
        <v>0</v>
      </c>
      <c r="S100" s="9">
        <v>0</v>
      </c>
      <c r="T100" s="7">
        <v>0</v>
      </c>
      <c r="U100" s="8">
        <v>0</v>
      </c>
      <c r="V100" s="7">
        <v>0</v>
      </c>
      <c r="W100" s="8">
        <v>0</v>
      </c>
      <c r="X100" s="7">
        <f>M100</f>
        <v>141600</v>
      </c>
      <c r="Y100" s="8">
        <v>0.2</v>
      </c>
      <c r="Z100" s="7">
        <f t="shared" si="6"/>
        <v>169920</v>
      </c>
      <c r="AA100" s="8">
        <f>IFERROR(((Z100-X100)/Z100),0)</f>
        <v>0.16666666666666666</v>
      </c>
      <c r="AB100" s="8">
        <v>0.1</v>
      </c>
    </row>
    <row r="101" spans="1:28" x14ac:dyDescent="0.25">
      <c r="A101">
        <v>2026</v>
      </c>
      <c r="B101" t="s">
        <v>56</v>
      </c>
      <c r="C101" t="s">
        <v>57</v>
      </c>
      <c r="D101" t="s">
        <v>58</v>
      </c>
      <c r="G101" t="s">
        <v>63</v>
      </c>
      <c r="H101" t="s">
        <v>63</v>
      </c>
      <c r="I101" t="s">
        <v>76</v>
      </c>
      <c r="J101" t="s">
        <v>69</v>
      </c>
      <c r="K101" t="s">
        <v>33</v>
      </c>
      <c r="L101">
        <v>174700</v>
      </c>
      <c r="M101" s="7">
        <v>174700</v>
      </c>
      <c r="O101" s="7"/>
      <c r="P101" s="7">
        <v>0</v>
      </c>
      <c r="Q101" s="8">
        <v>0</v>
      </c>
      <c r="R101" s="7">
        <v>0</v>
      </c>
      <c r="S101" s="9">
        <v>0</v>
      </c>
      <c r="T101" s="7">
        <v>0</v>
      </c>
      <c r="U101" s="8">
        <v>0</v>
      </c>
      <c r="V101" s="7">
        <v>0</v>
      </c>
      <c r="W101" s="8">
        <v>0</v>
      </c>
      <c r="X101" s="7">
        <f>M101</f>
        <v>174700</v>
      </c>
      <c r="Y101" s="8">
        <v>0.2</v>
      </c>
      <c r="Z101" s="7">
        <f t="shared" si="6"/>
        <v>209640</v>
      </c>
      <c r="AA101" s="8">
        <f>IFERROR(((Z101-X101)/Z101),0)</f>
        <v>0.16666666666666666</v>
      </c>
      <c r="AB101" s="8">
        <v>0.1</v>
      </c>
    </row>
    <row r="102" spans="1:28" x14ac:dyDescent="0.25">
      <c r="A102">
        <v>2026</v>
      </c>
      <c r="B102" t="s">
        <v>56</v>
      </c>
      <c r="C102" t="s">
        <v>57</v>
      </c>
      <c r="D102" t="s">
        <v>58</v>
      </c>
      <c r="G102" t="s">
        <v>63</v>
      </c>
      <c r="H102" t="s">
        <v>63</v>
      </c>
      <c r="I102" t="s">
        <v>77</v>
      </c>
      <c r="J102" t="s">
        <v>69</v>
      </c>
      <c r="K102" t="s">
        <v>33</v>
      </c>
      <c r="L102">
        <v>204000</v>
      </c>
      <c r="M102" s="7">
        <v>204000</v>
      </c>
      <c r="O102" s="7"/>
      <c r="P102" s="7">
        <v>0</v>
      </c>
      <c r="Q102" s="8">
        <v>0</v>
      </c>
      <c r="R102" s="7">
        <v>0</v>
      </c>
      <c r="S102" s="9">
        <v>0</v>
      </c>
      <c r="T102" s="7">
        <v>0</v>
      </c>
      <c r="U102" s="8">
        <v>0</v>
      </c>
      <c r="V102" s="7">
        <v>0</v>
      </c>
      <c r="W102" s="8">
        <v>0</v>
      </c>
      <c r="X102" s="7">
        <f>M102</f>
        <v>204000</v>
      </c>
      <c r="Y102" s="8">
        <v>0.2</v>
      </c>
      <c r="Z102" s="7">
        <f t="shared" si="6"/>
        <v>244800</v>
      </c>
      <c r="AA102" s="8">
        <f>IFERROR(((Z102-X102)/Z102),0)</f>
        <v>0.16666666666666666</v>
      </c>
      <c r="AB102" s="8">
        <v>0.1</v>
      </c>
    </row>
    <row r="103" spans="1:28" x14ac:dyDescent="0.25">
      <c r="A103">
        <v>2026</v>
      </c>
      <c r="B103" t="s">
        <v>56</v>
      </c>
      <c r="C103" t="s">
        <v>57</v>
      </c>
      <c r="D103" t="s">
        <v>58</v>
      </c>
      <c r="G103" t="s">
        <v>63</v>
      </c>
      <c r="H103" t="s">
        <v>63</v>
      </c>
      <c r="I103" t="s">
        <v>78</v>
      </c>
      <c r="J103" t="s">
        <v>69</v>
      </c>
      <c r="K103" t="s">
        <v>33</v>
      </c>
      <c r="L103">
        <v>49000</v>
      </c>
      <c r="M103" s="7">
        <v>49000</v>
      </c>
      <c r="O103" s="7"/>
      <c r="P103" s="7">
        <v>0</v>
      </c>
      <c r="Q103" s="8">
        <v>0</v>
      </c>
      <c r="R103" s="7">
        <v>0</v>
      </c>
      <c r="S103" s="9">
        <v>0</v>
      </c>
      <c r="T103" s="7">
        <v>0</v>
      </c>
      <c r="U103" s="8">
        <v>0</v>
      </c>
      <c r="V103" s="7">
        <v>0</v>
      </c>
      <c r="W103" s="8">
        <v>0</v>
      </c>
      <c r="X103" s="7">
        <f>M103</f>
        <v>49000</v>
      </c>
      <c r="Y103" s="8">
        <v>0.2</v>
      </c>
      <c r="Z103" s="7">
        <f t="shared" si="6"/>
        <v>58800</v>
      </c>
      <c r="AA103" s="8">
        <f>IFERROR(((Z103-X103)/Z103),0)</f>
        <v>0.16666666666666666</v>
      </c>
      <c r="AB103" s="8">
        <v>0.1</v>
      </c>
    </row>
    <row r="104" spans="1:28" x14ac:dyDescent="0.25">
      <c r="A104">
        <v>2026</v>
      </c>
      <c r="B104" t="s">
        <v>56</v>
      </c>
      <c r="C104" t="s">
        <v>57</v>
      </c>
      <c r="D104" t="s">
        <v>58</v>
      </c>
      <c r="G104" t="s">
        <v>63</v>
      </c>
      <c r="H104" t="s">
        <v>63</v>
      </c>
      <c r="I104" t="s">
        <v>79</v>
      </c>
      <c r="J104" t="s">
        <v>66</v>
      </c>
      <c r="K104" t="s">
        <v>33</v>
      </c>
      <c r="L104">
        <v>224100</v>
      </c>
      <c r="M104" s="7">
        <v>224100</v>
      </c>
      <c r="O104" s="7"/>
      <c r="P104" s="7">
        <v>0</v>
      </c>
      <c r="Q104" s="8">
        <v>0</v>
      </c>
      <c r="R104" s="7">
        <v>0</v>
      </c>
      <c r="S104" s="9">
        <v>0</v>
      </c>
      <c r="T104" s="7">
        <v>0</v>
      </c>
      <c r="U104" s="8">
        <v>0</v>
      </c>
      <c r="V104" s="7">
        <v>0</v>
      </c>
      <c r="W104" s="8">
        <v>0</v>
      </c>
      <c r="X104" s="7">
        <f>M104</f>
        <v>224100</v>
      </c>
      <c r="Y104" s="8">
        <v>0.2</v>
      </c>
      <c r="Z104" s="7">
        <f t="shared" si="6"/>
        <v>268920</v>
      </c>
      <c r="AA104" s="8">
        <f>IFERROR(((Z104-X104)/Z104),0)</f>
        <v>0.16666666666666666</v>
      </c>
      <c r="AB104" s="8">
        <v>0.1</v>
      </c>
    </row>
    <row r="105" spans="1:28" x14ac:dyDescent="0.25">
      <c r="A105">
        <v>2026</v>
      </c>
      <c r="B105" t="s">
        <v>56</v>
      </c>
      <c r="C105" t="s">
        <v>57</v>
      </c>
      <c r="D105" t="s">
        <v>58</v>
      </c>
      <c r="G105" t="s">
        <v>63</v>
      </c>
      <c r="H105" t="s">
        <v>63</v>
      </c>
      <c r="I105" t="s">
        <v>80</v>
      </c>
      <c r="J105" t="s">
        <v>66</v>
      </c>
      <c r="K105" t="s">
        <v>33</v>
      </c>
      <c r="L105">
        <v>38000</v>
      </c>
      <c r="M105" s="7">
        <v>38000</v>
      </c>
      <c r="O105" s="7"/>
      <c r="P105" s="7">
        <v>0</v>
      </c>
      <c r="Q105" s="8">
        <v>0</v>
      </c>
      <c r="R105" s="7">
        <v>0</v>
      </c>
      <c r="S105" s="9">
        <v>0</v>
      </c>
      <c r="T105" s="7">
        <v>0</v>
      </c>
      <c r="U105" s="8">
        <v>0</v>
      </c>
      <c r="V105" s="7">
        <v>0</v>
      </c>
      <c r="W105" s="8">
        <v>0</v>
      </c>
      <c r="X105" s="7">
        <f>M105</f>
        <v>38000</v>
      </c>
      <c r="Y105" s="8">
        <v>0.2</v>
      </c>
      <c r="Z105" s="7">
        <f t="shared" si="6"/>
        <v>45600</v>
      </c>
      <c r="AA105" s="8">
        <f>IFERROR(((Z105-X105)/Z105),0)</f>
        <v>0.16666666666666666</v>
      </c>
      <c r="AB105" s="8">
        <v>0.1</v>
      </c>
    </row>
    <row r="106" spans="1:28" x14ac:dyDescent="0.25">
      <c r="A106">
        <v>2026</v>
      </c>
      <c r="B106" t="s">
        <v>56</v>
      </c>
      <c r="C106" t="s">
        <v>57</v>
      </c>
      <c r="D106" t="s">
        <v>58</v>
      </c>
      <c r="G106" t="s">
        <v>63</v>
      </c>
      <c r="H106" t="s">
        <v>63</v>
      </c>
      <c r="I106" t="s">
        <v>81</v>
      </c>
      <c r="J106" t="s">
        <v>66</v>
      </c>
      <c r="K106" t="s">
        <v>33</v>
      </c>
      <c r="L106">
        <v>39800</v>
      </c>
      <c r="M106" s="7">
        <v>39800</v>
      </c>
      <c r="O106" s="7"/>
      <c r="P106" s="7">
        <v>0</v>
      </c>
      <c r="Q106" s="8">
        <v>0</v>
      </c>
      <c r="R106" s="7">
        <v>0</v>
      </c>
      <c r="S106" s="9">
        <v>0</v>
      </c>
      <c r="T106" s="7">
        <v>0</v>
      </c>
      <c r="U106" s="8">
        <v>0</v>
      </c>
      <c r="V106" s="7">
        <v>0</v>
      </c>
      <c r="W106" s="8">
        <v>0</v>
      </c>
      <c r="X106" s="7">
        <f>M106</f>
        <v>39800</v>
      </c>
      <c r="Y106" s="8">
        <v>0.2</v>
      </c>
      <c r="Z106" s="7">
        <f t="shared" si="6"/>
        <v>47760</v>
      </c>
      <c r="AA106" s="8">
        <f>IFERROR(((Z106-X106)/Z106),0)</f>
        <v>0.16666666666666666</v>
      </c>
      <c r="AB106" s="8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3A98-460C-4E7A-9893-F13BF619EFB9}">
  <dimension ref="A1:AB106"/>
  <sheetViews>
    <sheetView topLeftCell="X81" workbookViewId="0">
      <selection activeCell="A2" sqref="A2:AB106"/>
    </sheetView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3" t="s">
        <v>26</v>
      </c>
      <c r="AB1" s="4" t="s">
        <v>27</v>
      </c>
    </row>
    <row r="2" spans="1:28" x14ac:dyDescent="0.25">
      <c r="A2">
        <v>2026</v>
      </c>
      <c r="B2" t="s">
        <v>28</v>
      </c>
      <c r="C2" t="s">
        <v>60</v>
      </c>
      <c r="D2" t="s">
        <v>61</v>
      </c>
      <c r="G2" t="s">
        <v>63</v>
      </c>
      <c r="H2" t="s">
        <v>63</v>
      </c>
      <c r="I2" t="s">
        <v>65</v>
      </c>
      <c r="J2" t="s">
        <v>66</v>
      </c>
      <c r="K2" t="s">
        <v>33</v>
      </c>
      <c r="L2">
        <v>28800</v>
      </c>
      <c r="M2" s="7">
        <v>28800</v>
      </c>
      <c r="O2" s="7">
        <f>V2</f>
        <v>34560</v>
      </c>
      <c r="P2" s="7">
        <v>0</v>
      </c>
      <c r="Q2" s="8">
        <v>0</v>
      </c>
      <c r="R2" s="7">
        <v>0</v>
      </c>
      <c r="S2" s="9">
        <v>0</v>
      </c>
      <c r="T2" s="7">
        <f>IF(C2="Mediana Complejidad",M2,0)</f>
        <v>28800</v>
      </c>
      <c r="U2" s="8">
        <v>0.2</v>
      </c>
      <c r="V2" s="7">
        <f>T2+(U2*T2)</f>
        <v>34560</v>
      </c>
      <c r="W2" s="10">
        <f>IFERROR(((V2-T2)/V2),0)</f>
        <v>0.16666666666666666</v>
      </c>
      <c r="X2" s="7">
        <v>0</v>
      </c>
      <c r="Y2" s="8">
        <v>0</v>
      </c>
      <c r="Z2" s="7">
        <v>0</v>
      </c>
      <c r="AA2" s="8">
        <v>0</v>
      </c>
      <c r="AB2" s="8">
        <v>0.1</v>
      </c>
    </row>
    <row r="3" spans="1:28" x14ac:dyDescent="0.25">
      <c r="A3">
        <v>2026</v>
      </c>
      <c r="B3" t="s">
        <v>28</v>
      </c>
      <c r="C3" t="s">
        <v>60</v>
      </c>
      <c r="D3" t="s">
        <v>61</v>
      </c>
      <c r="G3" t="s">
        <v>63</v>
      </c>
      <c r="H3" t="s">
        <v>63</v>
      </c>
      <c r="I3" t="s">
        <v>67</v>
      </c>
      <c r="J3" t="s">
        <v>66</v>
      </c>
      <c r="K3" t="s">
        <v>33</v>
      </c>
      <c r="L3">
        <v>36700</v>
      </c>
      <c r="M3" s="7">
        <v>36700</v>
      </c>
      <c r="O3" s="7">
        <f t="shared" ref="O3:O16" si="0">V3</f>
        <v>44040</v>
      </c>
      <c r="P3" s="7">
        <v>0</v>
      </c>
      <c r="Q3" s="8">
        <v>0</v>
      </c>
      <c r="R3" s="7">
        <v>0</v>
      </c>
      <c r="S3" s="9">
        <v>0</v>
      </c>
      <c r="T3" s="7">
        <f>IF(C3="Mediana Complejidad",M3,0)</f>
        <v>36700</v>
      </c>
      <c r="U3" s="8">
        <v>0.2</v>
      </c>
      <c r="V3" s="7">
        <f t="shared" ref="V3:V16" si="1">T3+(U3*T3)</f>
        <v>44040</v>
      </c>
      <c r="W3" s="10">
        <f>IFERROR(((V3-T3)/V3),0)</f>
        <v>0.16666666666666666</v>
      </c>
      <c r="X3" s="7">
        <v>0</v>
      </c>
      <c r="Y3" s="8">
        <v>0</v>
      </c>
      <c r="Z3" s="7">
        <v>0</v>
      </c>
      <c r="AA3" s="8">
        <v>0</v>
      </c>
      <c r="AB3" s="8">
        <v>0.1</v>
      </c>
    </row>
    <row r="4" spans="1:28" x14ac:dyDescent="0.25">
      <c r="A4">
        <v>2026</v>
      </c>
      <c r="B4" t="s">
        <v>28</v>
      </c>
      <c r="C4" t="s">
        <v>60</v>
      </c>
      <c r="D4" t="s">
        <v>61</v>
      </c>
      <c r="G4" t="s">
        <v>63</v>
      </c>
      <c r="H4" t="s">
        <v>63</v>
      </c>
      <c r="I4" t="s">
        <v>68</v>
      </c>
      <c r="J4" t="s">
        <v>69</v>
      </c>
      <c r="K4" t="s">
        <v>33</v>
      </c>
      <c r="L4">
        <v>28000</v>
      </c>
      <c r="M4" s="7">
        <v>28000</v>
      </c>
      <c r="O4" s="7">
        <f t="shared" si="0"/>
        <v>33600</v>
      </c>
      <c r="P4" s="7">
        <v>0</v>
      </c>
      <c r="Q4" s="8">
        <v>0</v>
      </c>
      <c r="R4" s="7">
        <v>0</v>
      </c>
      <c r="S4" s="9">
        <v>0</v>
      </c>
      <c r="T4" s="7">
        <f>IF(C4="Mediana Complejidad",M4,0)</f>
        <v>28000</v>
      </c>
      <c r="U4" s="8">
        <v>0.2</v>
      </c>
      <c r="V4" s="7">
        <f t="shared" si="1"/>
        <v>33600</v>
      </c>
      <c r="W4" s="10">
        <f>IFERROR(((V4-T4)/V4),0)</f>
        <v>0.16666666666666666</v>
      </c>
      <c r="X4" s="7">
        <v>0</v>
      </c>
      <c r="Y4" s="8">
        <v>0</v>
      </c>
      <c r="Z4" s="7">
        <v>0</v>
      </c>
      <c r="AA4" s="8">
        <v>0</v>
      </c>
      <c r="AB4" s="8">
        <v>0.1</v>
      </c>
    </row>
    <row r="5" spans="1:28" x14ac:dyDescent="0.25">
      <c r="A5">
        <v>2026</v>
      </c>
      <c r="B5" t="s">
        <v>28</v>
      </c>
      <c r="C5" t="s">
        <v>60</v>
      </c>
      <c r="D5" t="s">
        <v>61</v>
      </c>
      <c r="G5" t="s">
        <v>63</v>
      </c>
      <c r="H5" t="s">
        <v>63</v>
      </c>
      <c r="I5" t="s">
        <v>70</v>
      </c>
      <c r="J5" t="s">
        <v>69</v>
      </c>
      <c r="K5" t="s">
        <v>33</v>
      </c>
      <c r="L5">
        <v>36700</v>
      </c>
      <c r="M5" s="7">
        <v>36700</v>
      </c>
      <c r="O5" s="7">
        <f t="shared" si="0"/>
        <v>44040</v>
      </c>
      <c r="P5" s="7">
        <v>0</v>
      </c>
      <c r="Q5" s="8">
        <v>0</v>
      </c>
      <c r="R5" s="7">
        <v>0</v>
      </c>
      <c r="S5" s="9">
        <v>0</v>
      </c>
      <c r="T5" s="7">
        <f>IF(C5="Mediana Complejidad",M5,0)</f>
        <v>36700</v>
      </c>
      <c r="U5" s="8">
        <v>0.2</v>
      </c>
      <c r="V5" s="7">
        <f t="shared" si="1"/>
        <v>44040</v>
      </c>
      <c r="W5" s="10">
        <f>IFERROR(((V5-T5)/V5),0)</f>
        <v>0.16666666666666666</v>
      </c>
      <c r="X5" s="7">
        <v>0</v>
      </c>
      <c r="Y5" s="8">
        <v>0</v>
      </c>
      <c r="Z5" s="7">
        <v>0</v>
      </c>
      <c r="AA5" s="8">
        <v>0</v>
      </c>
      <c r="AB5" s="8">
        <v>0.1</v>
      </c>
    </row>
    <row r="6" spans="1:28" x14ac:dyDescent="0.25">
      <c r="A6">
        <v>2026</v>
      </c>
      <c r="B6" t="s">
        <v>28</v>
      </c>
      <c r="C6" t="s">
        <v>60</v>
      </c>
      <c r="D6" t="s">
        <v>61</v>
      </c>
      <c r="G6" t="s">
        <v>63</v>
      </c>
      <c r="H6" t="s">
        <v>63</v>
      </c>
      <c r="I6" t="s">
        <v>71</v>
      </c>
      <c r="J6" t="s">
        <v>69</v>
      </c>
      <c r="K6" t="s">
        <v>33</v>
      </c>
      <c r="L6">
        <v>21900</v>
      </c>
      <c r="M6" s="7">
        <v>21900</v>
      </c>
      <c r="O6" s="7">
        <f t="shared" si="0"/>
        <v>26280</v>
      </c>
      <c r="P6" s="7">
        <v>0</v>
      </c>
      <c r="Q6" s="8">
        <v>0</v>
      </c>
      <c r="R6" s="7">
        <v>0</v>
      </c>
      <c r="S6" s="9">
        <v>0</v>
      </c>
      <c r="T6" s="7">
        <f>IF(C6="Mediana Complejidad",M6,0)</f>
        <v>21900</v>
      </c>
      <c r="U6" s="8">
        <v>0.2</v>
      </c>
      <c r="V6" s="7">
        <f t="shared" si="1"/>
        <v>26280</v>
      </c>
      <c r="W6" s="10">
        <f>IFERROR(((V6-T6)/V6),0)</f>
        <v>0.16666666666666666</v>
      </c>
      <c r="X6" s="7">
        <v>0</v>
      </c>
      <c r="Y6" s="8">
        <v>0</v>
      </c>
      <c r="Z6" s="7">
        <v>0</v>
      </c>
      <c r="AA6" s="8">
        <v>0</v>
      </c>
      <c r="AB6" s="8">
        <v>0.1</v>
      </c>
    </row>
    <row r="7" spans="1:28" x14ac:dyDescent="0.25">
      <c r="A7">
        <v>2026</v>
      </c>
      <c r="B7" t="s">
        <v>28</v>
      </c>
      <c r="C7" t="s">
        <v>60</v>
      </c>
      <c r="D7" t="s">
        <v>61</v>
      </c>
      <c r="G7" t="s">
        <v>63</v>
      </c>
      <c r="H7" t="s">
        <v>63</v>
      </c>
      <c r="I7" t="s">
        <v>72</v>
      </c>
      <c r="J7" t="s">
        <v>69</v>
      </c>
      <c r="K7" t="s">
        <v>33</v>
      </c>
      <c r="L7">
        <v>114900</v>
      </c>
      <c r="M7" s="7">
        <v>114900</v>
      </c>
      <c r="O7" s="7">
        <f t="shared" si="0"/>
        <v>137880</v>
      </c>
      <c r="P7" s="7">
        <v>0</v>
      </c>
      <c r="Q7" s="8">
        <v>0</v>
      </c>
      <c r="R7" s="7">
        <v>0</v>
      </c>
      <c r="S7" s="9">
        <v>0</v>
      </c>
      <c r="T7" s="7">
        <f>IF(C7="Mediana Complejidad",M7,0)</f>
        <v>114900</v>
      </c>
      <c r="U7" s="8">
        <v>0.2</v>
      </c>
      <c r="V7" s="7">
        <f t="shared" si="1"/>
        <v>137880</v>
      </c>
      <c r="W7" s="10">
        <f>IFERROR(((V7-T7)/V7),0)</f>
        <v>0.16666666666666666</v>
      </c>
      <c r="X7" s="7">
        <v>0</v>
      </c>
      <c r="Y7" s="8">
        <v>0</v>
      </c>
      <c r="Z7" s="7">
        <v>0</v>
      </c>
      <c r="AA7" s="8">
        <v>0</v>
      </c>
      <c r="AB7" s="8">
        <v>0.1</v>
      </c>
    </row>
    <row r="8" spans="1:28" x14ac:dyDescent="0.25">
      <c r="A8">
        <v>2026</v>
      </c>
      <c r="B8" t="s">
        <v>28</v>
      </c>
      <c r="C8" t="s">
        <v>60</v>
      </c>
      <c r="D8" t="s">
        <v>61</v>
      </c>
      <c r="G8" t="s">
        <v>63</v>
      </c>
      <c r="H8" t="s">
        <v>63</v>
      </c>
      <c r="I8" t="s">
        <v>73</v>
      </c>
      <c r="J8" t="s">
        <v>69</v>
      </c>
      <c r="K8" t="s">
        <v>33</v>
      </c>
      <c r="L8">
        <v>28000</v>
      </c>
      <c r="M8" s="7">
        <v>28000</v>
      </c>
      <c r="O8" s="7">
        <f t="shared" si="0"/>
        <v>33600</v>
      </c>
      <c r="P8" s="7">
        <v>0</v>
      </c>
      <c r="Q8" s="8">
        <v>0</v>
      </c>
      <c r="R8" s="7">
        <v>0</v>
      </c>
      <c r="S8" s="9">
        <v>0</v>
      </c>
      <c r="T8" s="7">
        <f>IF(C8="Mediana Complejidad",M8,0)</f>
        <v>28000</v>
      </c>
      <c r="U8" s="8">
        <v>0.2</v>
      </c>
      <c r="V8" s="7">
        <f t="shared" si="1"/>
        <v>33600</v>
      </c>
      <c r="W8" s="10">
        <f>IFERROR(((V8-T8)/V8),0)</f>
        <v>0.16666666666666666</v>
      </c>
      <c r="X8" s="7">
        <v>0</v>
      </c>
      <c r="Y8" s="8">
        <v>0</v>
      </c>
      <c r="Z8" s="7">
        <v>0</v>
      </c>
      <c r="AA8" s="8">
        <v>0</v>
      </c>
      <c r="AB8" s="8">
        <v>0.1</v>
      </c>
    </row>
    <row r="9" spans="1:28" x14ac:dyDescent="0.25">
      <c r="A9">
        <v>2026</v>
      </c>
      <c r="B9" t="s">
        <v>28</v>
      </c>
      <c r="C9" t="s">
        <v>60</v>
      </c>
      <c r="D9" t="s">
        <v>61</v>
      </c>
      <c r="G9" t="s">
        <v>63</v>
      </c>
      <c r="H9" t="s">
        <v>63</v>
      </c>
      <c r="I9" t="s">
        <v>74</v>
      </c>
      <c r="J9" t="s">
        <v>69</v>
      </c>
      <c r="K9" t="s">
        <v>33</v>
      </c>
      <c r="L9">
        <v>49200</v>
      </c>
      <c r="M9" s="7">
        <v>49200</v>
      </c>
      <c r="O9" s="7">
        <f t="shared" si="0"/>
        <v>59040</v>
      </c>
      <c r="P9" s="7">
        <v>0</v>
      </c>
      <c r="Q9" s="8">
        <v>0</v>
      </c>
      <c r="R9" s="7">
        <v>0</v>
      </c>
      <c r="S9" s="9">
        <v>0</v>
      </c>
      <c r="T9" s="7">
        <f>IF(C9="Mediana Complejidad",M9,0)</f>
        <v>49200</v>
      </c>
      <c r="U9" s="8">
        <v>0.2</v>
      </c>
      <c r="V9" s="7">
        <f t="shared" si="1"/>
        <v>59040</v>
      </c>
      <c r="W9" s="10">
        <f>IFERROR(((V9-T9)/V9),0)</f>
        <v>0.16666666666666666</v>
      </c>
      <c r="X9" s="7">
        <v>0</v>
      </c>
      <c r="Y9" s="8">
        <v>0</v>
      </c>
      <c r="Z9" s="7">
        <v>0</v>
      </c>
      <c r="AA9" s="8">
        <v>0</v>
      </c>
      <c r="AB9" s="8">
        <v>0.1</v>
      </c>
    </row>
    <row r="10" spans="1:28" x14ac:dyDescent="0.25">
      <c r="A10">
        <v>2026</v>
      </c>
      <c r="B10" t="s">
        <v>28</v>
      </c>
      <c r="C10" t="s">
        <v>60</v>
      </c>
      <c r="D10" t="s">
        <v>61</v>
      </c>
      <c r="G10" t="s">
        <v>63</v>
      </c>
      <c r="H10" t="s">
        <v>63</v>
      </c>
      <c r="I10" t="s">
        <v>75</v>
      </c>
      <c r="J10" t="s">
        <v>69</v>
      </c>
      <c r="K10" t="s">
        <v>33</v>
      </c>
      <c r="L10">
        <v>141600</v>
      </c>
      <c r="M10" s="7">
        <v>141600</v>
      </c>
      <c r="O10" s="7">
        <f t="shared" si="0"/>
        <v>169920</v>
      </c>
      <c r="P10" s="7">
        <v>0</v>
      </c>
      <c r="Q10" s="8">
        <v>0</v>
      </c>
      <c r="R10" s="7">
        <v>0</v>
      </c>
      <c r="S10" s="9">
        <v>0</v>
      </c>
      <c r="T10" s="7">
        <f>IF(C10="Mediana Complejidad",M10,0)</f>
        <v>141600</v>
      </c>
      <c r="U10" s="8">
        <v>0.2</v>
      </c>
      <c r="V10" s="7">
        <f t="shared" si="1"/>
        <v>169920</v>
      </c>
      <c r="W10" s="10">
        <f>IFERROR(((V10-T10)/V10),0)</f>
        <v>0.16666666666666666</v>
      </c>
      <c r="X10" s="7">
        <v>0</v>
      </c>
      <c r="Y10" s="8">
        <v>0</v>
      </c>
      <c r="Z10" s="7">
        <v>0</v>
      </c>
      <c r="AA10" s="8">
        <v>0</v>
      </c>
      <c r="AB10" s="8">
        <v>0.1</v>
      </c>
    </row>
    <row r="11" spans="1:28" x14ac:dyDescent="0.25">
      <c r="A11">
        <v>2026</v>
      </c>
      <c r="B11" t="s">
        <v>28</v>
      </c>
      <c r="C11" t="s">
        <v>60</v>
      </c>
      <c r="D11" t="s">
        <v>61</v>
      </c>
      <c r="G11" t="s">
        <v>63</v>
      </c>
      <c r="H11" t="s">
        <v>63</v>
      </c>
      <c r="I11" t="s">
        <v>76</v>
      </c>
      <c r="J11" t="s">
        <v>69</v>
      </c>
      <c r="K11" t="s">
        <v>33</v>
      </c>
      <c r="L11">
        <v>174700</v>
      </c>
      <c r="M11" s="7">
        <v>174700</v>
      </c>
      <c r="O11" s="7">
        <f t="shared" si="0"/>
        <v>209640</v>
      </c>
      <c r="P11" s="7">
        <v>0</v>
      </c>
      <c r="Q11" s="8">
        <v>0</v>
      </c>
      <c r="R11" s="7">
        <v>0</v>
      </c>
      <c r="S11" s="9">
        <v>0</v>
      </c>
      <c r="T11" s="7">
        <f>IF(C11="Mediana Complejidad",M11,0)</f>
        <v>174700</v>
      </c>
      <c r="U11" s="8">
        <v>0.2</v>
      </c>
      <c r="V11" s="7">
        <f t="shared" si="1"/>
        <v>209640</v>
      </c>
      <c r="W11" s="10">
        <f>IFERROR(((V11-T11)/V11),0)</f>
        <v>0.16666666666666666</v>
      </c>
      <c r="X11" s="7">
        <v>0</v>
      </c>
      <c r="Y11" s="8">
        <v>0</v>
      </c>
      <c r="Z11" s="7">
        <v>0</v>
      </c>
      <c r="AA11" s="8">
        <v>0</v>
      </c>
      <c r="AB11" s="8">
        <v>0.1</v>
      </c>
    </row>
    <row r="12" spans="1:28" x14ac:dyDescent="0.25">
      <c r="A12">
        <v>2026</v>
      </c>
      <c r="B12" t="s">
        <v>28</v>
      </c>
      <c r="C12" t="s">
        <v>60</v>
      </c>
      <c r="D12" t="s">
        <v>61</v>
      </c>
      <c r="G12" t="s">
        <v>63</v>
      </c>
      <c r="H12" t="s">
        <v>63</v>
      </c>
      <c r="I12" t="s">
        <v>77</v>
      </c>
      <c r="J12" t="s">
        <v>69</v>
      </c>
      <c r="K12" t="s">
        <v>33</v>
      </c>
      <c r="L12">
        <v>204000</v>
      </c>
      <c r="M12" s="7">
        <v>204000</v>
      </c>
      <c r="O12" s="7">
        <f t="shared" si="0"/>
        <v>244800</v>
      </c>
      <c r="P12" s="7">
        <v>0</v>
      </c>
      <c r="Q12" s="8">
        <v>0</v>
      </c>
      <c r="R12" s="7">
        <v>0</v>
      </c>
      <c r="S12" s="9">
        <v>0</v>
      </c>
      <c r="T12" s="7">
        <f>IF(C12="Mediana Complejidad",M12,0)</f>
        <v>204000</v>
      </c>
      <c r="U12" s="8">
        <v>0.2</v>
      </c>
      <c r="V12" s="7">
        <f t="shared" si="1"/>
        <v>244800</v>
      </c>
      <c r="W12" s="10">
        <f>IFERROR(((V12-T12)/V12),0)</f>
        <v>0.16666666666666666</v>
      </c>
      <c r="X12" s="7">
        <v>0</v>
      </c>
      <c r="Y12" s="8">
        <v>0</v>
      </c>
      <c r="Z12" s="7">
        <v>0</v>
      </c>
      <c r="AA12" s="8">
        <v>0</v>
      </c>
      <c r="AB12" s="8">
        <v>0.1</v>
      </c>
    </row>
    <row r="13" spans="1:28" x14ac:dyDescent="0.25">
      <c r="A13">
        <v>2026</v>
      </c>
      <c r="B13" t="s">
        <v>28</v>
      </c>
      <c r="C13" t="s">
        <v>60</v>
      </c>
      <c r="D13" t="s">
        <v>61</v>
      </c>
      <c r="G13" t="s">
        <v>63</v>
      </c>
      <c r="H13" t="s">
        <v>63</v>
      </c>
      <c r="I13" t="s">
        <v>78</v>
      </c>
      <c r="J13" t="s">
        <v>69</v>
      </c>
      <c r="K13" t="s">
        <v>33</v>
      </c>
      <c r="L13">
        <v>49000</v>
      </c>
      <c r="M13" s="7">
        <v>49000</v>
      </c>
      <c r="O13" s="7">
        <f t="shared" si="0"/>
        <v>58800</v>
      </c>
      <c r="P13" s="7">
        <v>0</v>
      </c>
      <c r="Q13" s="8">
        <v>0</v>
      </c>
      <c r="R13" s="7">
        <v>0</v>
      </c>
      <c r="S13" s="9">
        <v>0</v>
      </c>
      <c r="T13" s="7">
        <f>IF(C13="Mediana Complejidad",M13,0)</f>
        <v>49000</v>
      </c>
      <c r="U13" s="8">
        <v>0.2</v>
      </c>
      <c r="V13" s="7">
        <f t="shared" si="1"/>
        <v>58800</v>
      </c>
      <c r="W13" s="10">
        <f>IFERROR(((V13-T13)/V13),0)</f>
        <v>0.16666666666666666</v>
      </c>
      <c r="X13" s="7">
        <v>0</v>
      </c>
      <c r="Y13" s="8">
        <v>0</v>
      </c>
      <c r="Z13" s="7">
        <v>0</v>
      </c>
      <c r="AA13" s="8">
        <v>0</v>
      </c>
      <c r="AB13" s="8">
        <v>0.1</v>
      </c>
    </row>
    <row r="14" spans="1:28" x14ac:dyDescent="0.25">
      <c r="A14">
        <v>2026</v>
      </c>
      <c r="B14" t="s">
        <v>28</v>
      </c>
      <c r="C14" t="s">
        <v>60</v>
      </c>
      <c r="D14" t="s">
        <v>61</v>
      </c>
      <c r="G14" t="s">
        <v>63</v>
      </c>
      <c r="H14" t="s">
        <v>63</v>
      </c>
      <c r="I14" t="s">
        <v>79</v>
      </c>
      <c r="J14" t="s">
        <v>66</v>
      </c>
      <c r="K14" t="s">
        <v>33</v>
      </c>
      <c r="L14">
        <v>224100</v>
      </c>
      <c r="M14" s="7">
        <v>224100</v>
      </c>
      <c r="O14" s="7">
        <f t="shared" si="0"/>
        <v>268920</v>
      </c>
      <c r="P14" s="7">
        <v>0</v>
      </c>
      <c r="Q14" s="8">
        <v>0</v>
      </c>
      <c r="R14" s="7">
        <v>0</v>
      </c>
      <c r="S14" s="9">
        <v>0</v>
      </c>
      <c r="T14" s="7">
        <f>IF(C14="Mediana Complejidad",M14,0)</f>
        <v>224100</v>
      </c>
      <c r="U14" s="8">
        <v>0.2</v>
      </c>
      <c r="V14" s="7">
        <f t="shared" si="1"/>
        <v>268920</v>
      </c>
      <c r="W14" s="10">
        <f>IFERROR(((V14-T14)/V14),0)</f>
        <v>0.16666666666666666</v>
      </c>
      <c r="X14" s="7">
        <v>0</v>
      </c>
      <c r="Y14" s="8">
        <v>0</v>
      </c>
      <c r="Z14" s="7">
        <v>0</v>
      </c>
      <c r="AA14" s="8">
        <v>0</v>
      </c>
      <c r="AB14" s="8">
        <v>0.1</v>
      </c>
    </row>
    <row r="15" spans="1:28" x14ac:dyDescent="0.25">
      <c r="A15">
        <v>2026</v>
      </c>
      <c r="B15" t="s">
        <v>28</v>
      </c>
      <c r="C15" t="s">
        <v>60</v>
      </c>
      <c r="D15" t="s">
        <v>61</v>
      </c>
      <c r="G15" t="s">
        <v>63</v>
      </c>
      <c r="H15" t="s">
        <v>63</v>
      </c>
      <c r="I15" t="s">
        <v>80</v>
      </c>
      <c r="J15" t="s">
        <v>66</v>
      </c>
      <c r="K15" t="s">
        <v>33</v>
      </c>
      <c r="L15">
        <v>38000</v>
      </c>
      <c r="M15" s="7">
        <v>38000</v>
      </c>
      <c r="O15" s="7">
        <f t="shared" si="0"/>
        <v>45600</v>
      </c>
      <c r="P15" s="7">
        <v>0</v>
      </c>
      <c r="Q15" s="8">
        <v>0</v>
      </c>
      <c r="R15" s="7">
        <v>0</v>
      </c>
      <c r="S15" s="9">
        <v>0</v>
      </c>
      <c r="T15" s="7">
        <f>IF(C15="Mediana Complejidad",M15,0)</f>
        <v>38000</v>
      </c>
      <c r="U15" s="8">
        <v>0.2</v>
      </c>
      <c r="V15" s="7">
        <f t="shared" si="1"/>
        <v>45600</v>
      </c>
      <c r="W15" s="10">
        <f>IFERROR(((V15-T15)/V15),0)</f>
        <v>0.16666666666666666</v>
      </c>
      <c r="X15" s="7">
        <v>0</v>
      </c>
      <c r="Y15" s="8">
        <v>0</v>
      </c>
      <c r="Z15" s="7">
        <v>0</v>
      </c>
      <c r="AA15" s="8">
        <v>0</v>
      </c>
      <c r="AB15" s="8">
        <v>0.1</v>
      </c>
    </row>
    <row r="16" spans="1:28" x14ac:dyDescent="0.25">
      <c r="A16">
        <v>2026</v>
      </c>
      <c r="B16" t="s">
        <v>28</v>
      </c>
      <c r="C16" t="s">
        <v>60</v>
      </c>
      <c r="D16" t="s">
        <v>61</v>
      </c>
      <c r="G16" t="s">
        <v>63</v>
      </c>
      <c r="H16" t="s">
        <v>63</v>
      </c>
      <c r="I16" t="s">
        <v>81</v>
      </c>
      <c r="J16" t="s">
        <v>66</v>
      </c>
      <c r="K16" t="s">
        <v>33</v>
      </c>
      <c r="L16">
        <v>39800</v>
      </c>
      <c r="M16" s="7">
        <v>39800</v>
      </c>
      <c r="O16" s="7">
        <f t="shared" si="0"/>
        <v>47760</v>
      </c>
      <c r="P16" s="7">
        <v>0</v>
      </c>
      <c r="Q16" s="8">
        <v>0</v>
      </c>
      <c r="R16" s="7">
        <v>0</v>
      </c>
      <c r="S16" s="9">
        <v>0</v>
      </c>
      <c r="T16" s="7">
        <f>IF(C16="Mediana Complejidad",M16,0)</f>
        <v>39800</v>
      </c>
      <c r="U16" s="8">
        <v>0.2</v>
      </c>
      <c r="V16" s="7">
        <f t="shared" si="1"/>
        <v>47760</v>
      </c>
      <c r="W16" s="10">
        <f>IFERROR(((V16-T16)/V16),0)</f>
        <v>0.16666666666666666</v>
      </c>
      <c r="X16" s="7">
        <v>0</v>
      </c>
      <c r="Y16" s="8">
        <v>0</v>
      </c>
      <c r="Z16" s="7">
        <v>0</v>
      </c>
      <c r="AA16" s="8">
        <v>0</v>
      </c>
      <c r="AB16" s="8">
        <v>0.1</v>
      </c>
    </row>
    <row r="17" spans="1:28" x14ac:dyDescent="0.25">
      <c r="A17">
        <v>2026</v>
      </c>
      <c r="B17" t="s">
        <v>51</v>
      </c>
      <c r="C17" t="s">
        <v>60</v>
      </c>
      <c r="D17" t="s">
        <v>61</v>
      </c>
      <c r="G17" t="s">
        <v>63</v>
      </c>
      <c r="H17" t="s">
        <v>63</v>
      </c>
      <c r="I17" t="s">
        <v>65</v>
      </c>
      <c r="J17" t="s">
        <v>66</v>
      </c>
      <c r="K17" t="s">
        <v>33</v>
      </c>
      <c r="L17">
        <v>28800</v>
      </c>
      <c r="M17" s="7">
        <v>28800</v>
      </c>
      <c r="O17" s="7">
        <f>V17</f>
        <v>34560</v>
      </c>
      <c r="P17" s="7">
        <v>0</v>
      </c>
      <c r="Q17" s="8">
        <v>0</v>
      </c>
      <c r="R17" s="7">
        <v>0</v>
      </c>
      <c r="S17" s="9">
        <v>0</v>
      </c>
      <c r="T17" s="7">
        <f>IF(C17="Mediana Complejidad",M17,0)</f>
        <v>28800</v>
      </c>
      <c r="U17" s="8">
        <v>0.2</v>
      </c>
      <c r="V17" s="7">
        <f>T17+(U17*T17)</f>
        <v>34560</v>
      </c>
      <c r="W17" s="10">
        <f>IFERROR(((V17-T17)/V17),0)</f>
        <v>0.16666666666666666</v>
      </c>
      <c r="X17" s="7">
        <v>0</v>
      </c>
      <c r="Y17" s="8">
        <v>0</v>
      </c>
      <c r="Z17" s="7">
        <v>0</v>
      </c>
      <c r="AA17" s="8">
        <v>0</v>
      </c>
      <c r="AB17" s="8">
        <v>0.1</v>
      </c>
    </row>
    <row r="18" spans="1:28" x14ac:dyDescent="0.25">
      <c r="A18">
        <v>2026</v>
      </c>
      <c r="B18" t="s">
        <v>51</v>
      </c>
      <c r="C18" t="s">
        <v>60</v>
      </c>
      <c r="D18" t="s">
        <v>61</v>
      </c>
      <c r="G18" t="s">
        <v>63</v>
      </c>
      <c r="H18" t="s">
        <v>63</v>
      </c>
      <c r="I18" t="s">
        <v>67</v>
      </c>
      <c r="J18" t="s">
        <v>66</v>
      </c>
      <c r="K18" t="s">
        <v>33</v>
      </c>
      <c r="L18">
        <v>36700</v>
      </c>
      <c r="M18" s="7">
        <v>36700</v>
      </c>
      <c r="O18" s="7">
        <f t="shared" ref="O18:O31" si="2">V18</f>
        <v>44040</v>
      </c>
      <c r="P18" s="7">
        <v>0</v>
      </c>
      <c r="Q18" s="8">
        <v>0</v>
      </c>
      <c r="R18" s="7">
        <v>0</v>
      </c>
      <c r="S18" s="9">
        <v>0</v>
      </c>
      <c r="T18" s="7">
        <f>IF(C18="Mediana Complejidad",M18,0)</f>
        <v>36700</v>
      </c>
      <c r="U18" s="8">
        <v>0.2</v>
      </c>
      <c r="V18" s="7">
        <f t="shared" ref="V18:V31" si="3">T18+(U18*T18)</f>
        <v>44040</v>
      </c>
      <c r="W18" s="10">
        <f>IFERROR(((V18-T18)/V18),0)</f>
        <v>0.16666666666666666</v>
      </c>
      <c r="X18" s="7">
        <v>0</v>
      </c>
      <c r="Y18" s="8">
        <v>0</v>
      </c>
      <c r="Z18" s="7">
        <v>0</v>
      </c>
      <c r="AA18" s="8">
        <v>0</v>
      </c>
      <c r="AB18" s="8">
        <v>0.1</v>
      </c>
    </row>
    <row r="19" spans="1:28" x14ac:dyDescent="0.25">
      <c r="A19">
        <v>2026</v>
      </c>
      <c r="B19" t="s">
        <v>51</v>
      </c>
      <c r="C19" t="s">
        <v>60</v>
      </c>
      <c r="D19" t="s">
        <v>61</v>
      </c>
      <c r="G19" t="s">
        <v>63</v>
      </c>
      <c r="H19" t="s">
        <v>63</v>
      </c>
      <c r="I19" t="s">
        <v>68</v>
      </c>
      <c r="J19" t="s">
        <v>69</v>
      </c>
      <c r="K19" t="s">
        <v>33</v>
      </c>
      <c r="L19">
        <v>28000</v>
      </c>
      <c r="M19" s="7">
        <v>28000</v>
      </c>
      <c r="O19" s="7">
        <f t="shared" si="2"/>
        <v>33600</v>
      </c>
      <c r="P19" s="7">
        <v>0</v>
      </c>
      <c r="Q19" s="8">
        <v>0</v>
      </c>
      <c r="R19" s="7">
        <v>0</v>
      </c>
      <c r="S19" s="9">
        <v>0</v>
      </c>
      <c r="T19" s="7">
        <f>IF(C19="Mediana Complejidad",M19,0)</f>
        <v>28000</v>
      </c>
      <c r="U19" s="8">
        <v>0.2</v>
      </c>
      <c r="V19" s="7">
        <f t="shared" si="3"/>
        <v>33600</v>
      </c>
      <c r="W19" s="10">
        <f>IFERROR(((V19-T19)/V19),0)</f>
        <v>0.16666666666666666</v>
      </c>
      <c r="X19" s="7">
        <v>0</v>
      </c>
      <c r="Y19" s="8">
        <v>0</v>
      </c>
      <c r="Z19" s="7">
        <v>0</v>
      </c>
      <c r="AA19" s="8">
        <v>0</v>
      </c>
      <c r="AB19" s="8">
        <v>0.1</v>
      </c>
    </row>
    <row r="20" spans="1:28" x14ac:dyDescent="0.25">
      <c r="A20">
        <v>2026</v>
      </c>
      <c r="B20" t="s">
        <v>51</v>
      </c>
      <c r="C20" t="s">
        <v>60</v>
      </c>
      <c r="D20" t="s">
        <v>61</v>
      </c>
      <c r="G20" t="s">
        <v>63</v>
      </c>
      <c r="H20" t="s">
        <v>63</v>
      </c>
      <c r="I20" t="s">
        <v>70</v>
      </c>
      <c r="J20" t="s">
        <v>69</v>
      </c>
      <c r="K20" t="s">
        <v>33</v>
      </c>
      <c r="L20">
        <v>36700</v>
      </c>
      <c r="M20" s="7">
        <v>36700</v>
      </c>
      <c r="O20" s="7">
        <f t="shared" si="2"/>
        <v>44040</v>
      </c>
      <c r="P20" s="7">
        <v>0</v>
      </c>
      <c r="Q20" s="8">
        <v>0</v>
      </c>
      <c r="R20" s="7">
        <v>0</v>
      </c>
      <c r="S20" s="9">
        <v>0</v>
      </c>
      <c r="T20" s="7">
        <f>IF(C20="Mediana Complejidad",M20,0)</f>
        <v>36700</v>
      </c>
      <c r="U20" s="8">
        <v>0.2</v>
      </c>
      <c r="V20" s="7">
        <f t="shared" si="3"/>
        <v>44040</v>
      </c>
      <c r="W20" s="10">
        <f>IFERROR(((V20-T20)/V20),0)</f>
        <v>0.16666666666666666</v>
      </c>
      <c r="X20" s="7">
        <v>0</v>
      </c>
      <c r="Y20" s="8">
        <v>0</v>
      </c>
      <c r="Z20" s="7">
        <v>0</v>
      </c>
      <c r="AA20" s="8">
        <v>0</v>
      </c>
      <c r="AB20" s="8">
        <v>0.1</v>
      </c>
    </row>
    <row r="21" spans="1:28" x14ac:dyDescent="0.25">
      <c r="A21">
        <v>2026</v>
      </c>
      <c r="B21" t="s">
        <v>51</v>
      </c>
      <c r="C21" t="s">
        <v>60</v>
      </c>
      <c r="D21" t="s">
        <v>61</v>
      </c>
      <c r="G21" t="s">
        <v>63</v>
      </c>
      <c r="H21" t="s">
        <v>63</v>
      </c>
      <c r="I21" t="s">
        <v>71</v>
      </c>
      <c r="J21" t="s">
        <v>69</v>
      </c>
      <c r="K21" t="s">
        <v>33</v>
      </c>
      <c r="L21">
        <v>21900</v>
      </c>
      <c r="M21" s="7">
        <v>21900</v>
      </c>
      <c r="O21" s="7">
        <f t="shared" si="2"/>
        <v>26280</v>
      </c>
      <c r="P21" s="7">
        <v>0</v>
      </c>
      <c r="Q21" s="8">
        <v>0</v>
      </c>
      <c r="R21" s="7">
        <v>0</v>
      </c>
      <c r="S21" s="9">
        <v>0</v>
      </c>
      <c r="T21" s="7">
        <f>IF(C21="Mediana Complejidad",M21,0)</f>
        <v>21900</v>
      </c>
      <c r="U21" s="8">
        <v>0.2</v>
      </c>
      <c r="V21" s="7">
        <f t="shared" si="3"/>
        <v>26280</v>
      </c>
      <c r="W21" s="10">
        <f>IFERROR(((V21-T21)/V21),0)</f>
        <v>0.16666666666666666</v>
      </c>
      <c r="X21" s="7">
        <v>0</v>
      </c>
      <c r="Y21" s="8">
        <v>0</v>
      </c>
      <c r="Z21" s="7">
        <v>0</v>
      </c>
      <c r="AA21" s="8">
        <v>0</v>
      </c>
      <c r="AB21" s="8">
        <v>0.1</v>
      </c>
    </row>
    <row r="22" spans="1:28" x14ac:dyDescent="0.25">
      <c r="A22">
        <v>2026</v>
      </c>
      <c r="B22" t="s">
        <v>51</v>
      </c>
      <c r="C22" t="s">
        <v>60</v>
      </c>
      <c r="D22" t="s">
        <v>61</v>
      </c>
      <c r="G22" t="s">
        <v>63</v>
      </c>
      <c r="H22" t="s">
        <v>63</v>
      </c>
      <c r="I22" t="s">
        <v>72</v>
      </c>
      <c r="J22" t="s">
        <v>69</v>
      </c>
      <c r="K22" t="s">
        <v>33</v>
      </c>
      <c r="L22">
        <v>114900</v>
      </c>
      <c r="M22" s="7">
        <v>114900</v>
      </c>
      <c r="O22" s="7">
        <f t="shared" si="2"/>
        <v>137880</v>
      </c>
      <c r="P22" s="7">
        <v>0</v>
      </c>
      <c r="Q22" s="8">
        <v>0</v>
      </c>
      <c r="R22" s="7">
        <v>0</v>
      </c>
      <c r="S22" s="9">
        <v>0</v>
      </c>
      <c r="T22" s="7">
        <f>IF(C22="Mediana Complejidad",M22,0)</f>
        <v>114900</v>
      </c>
      <c r="U22" s="8">
        <v>0.2</v>
      </c>
      <c r="V22" s="7">
        <f t="shared" si="3"/>
        <v>137880</v>
      </c>
      <c r="W22" s="10">
        <f>IFERROR(((V22-T22)/V22),0)</f>
        <v>0.16666666666666666</v>
      </c>
      <c r="X22" s="7">
        <v>0</v>
      </c>
      <c r="Y22" s="8">
        <v>0</v>
      </c>
      <c r="Z22" s="7">
        <v>0</v>
      </c>
      <c r="AA22" s="8">
        <v>0</v>
      </c>
      <c r="AB22" s="8">
        <v>0.1</v>
      </c>
    </row>
    <row r="23" spans="1:28" x14ac:dyDescent="0.25">
      <c r="A23">
        <v>2026</v>
      </c>
      <c r="B23" t="s">
        <v>51</v>
      </c>
      <c r="C23" t="s">
        <v>60</v>
      </c>
      <c r="D23" t="s">
        <v>61</v>
      </c>
      <c r="G23" t="s">
        <v>63</v>
      </c>
      <c r="H23" t="s">
        <v>63</v>
      </c>
      <c r="I23" t="s">
        <v>73</v>
      </c>
      <c r="J23" t="s">
        <v>69</v>
      </c>
      <c r="K23" t="s">
        <v>33</v>
      </c>
      <c r="L23">
        <v>28000</v>
      </c>
      <c r="M23" s="7">
        <v>28000</v>
      </c>
      <c r="O23" s="7">
        <f t="shared" si="2"/>
        <v>33600</v>
      </c>
      <c r="P23" s="7">
        <v>0</v>
      </c>
      <c r="Q23" s="8">
        <v>0</v>
      </c>
      <c r="R23" s="7">
        <v>0</v>
      </c>
      <c r="S23" s="9">
        <v>0</v>
      </c>
      <c r="T23" s="7">
        <f>IF(C23="Mediana Complejidad",M23,0)</f>
        <v>28000</v>
      </c>
      <c r="U23" s="8">
        <v>0.2</v>
      </c>
      <c r="V23" s="7">
        <f t="shared" si="3"/>
        <v>33600</v>
      </c>
      <c r="W23" s="10">
        <f>IFERROR(((V23-T23)/V23),0)</f>
        <v>0.16666666666666666</v>
      </c>
      <c r="X23" s="7">
        <v>0</v>
      </c>
      <c r="Y23" s="8">
        <v>0</v>
      </c>
      <c r="Z23" s="7">
        <v>0</v>
      </c>
      <c r="AA23" s="8">
        <v>0</v>
      </c>
      <c r="AB23" s="8">
        <v>0.1</v>
      </c>
    </row>
    <row r="24" spans="1:28" x14ac:dyDescent="0.25">
      <c r="A24">
        <v>2026</v>
      </c>
      <c r="B24" t="s">
        <v>51</v>
      </c>
      <c r="C24" t="s">
        <v>60</v>
      </c>
      <c r="D24" t="s">
        <v>61</v>
      </c>
      <c r="G24" t="s">
        <v>63</v>
      </c>
      <c r="H24" t="s">
        <v>63</v>
      </c>
      <c r="I24" t="s">
        <v>74</v>
      </c>
      <c r="J24" t="s">
        <v>69</v>
      </c>
      <c r="K24" t="s">
        <v>33</v>
      </c>
      <c r="L24">
        <v>49200</v>
      </c>
      <c r="M24" s="7">
        <v>49200</v>
      </c>
      <c r="O24" s="7">
        <f t="shared" si="2"/>
        <v>59040</v>
      </c>
      <c r="P24" s="7">
        <v>0</v>
      </c>
      <c r="Q24" s="8">
        <v>0</v>
      </c>
      <c r="R24" s="7">
        <v>0</v>
      </c>
      <c r="S24" s="9">
        <v>0</v>
      </c>
      <c r="T24" s="7">
        <f>IF(C24="Mediana Complejidad",M24,0)</f>
        <v>49200</v>
      </c>
      <c r="U24" s="8">
        <v>0.2</v>
      </c>
      <c r="V24" s="7">
        <f t="shared" si="3"/>
        <v>59040</v>
      </c>
      <c r="W24" s="10">
        <f>IFERROR(((V24-T24)/V24),0)</f>
        <v>0.16666666666666666</v>
      </c>
      <c r="X24" s="7">
        <v>0</v>
      </c>
      <c r="Y24" s="8">
        <v>0</v>
      </c>
      <c r="Z24" s="7">
        <v>0</v>
      </c>
      <c r="AA24" s="8">
        <v>0</v>
      </c>
      <c r="AB24" s="8">
        <v>0.1</v>
      </c>
    </row>
    <row r="25" spans="1:28" x14ac:dyDescent="0.25">
      <c r="A25">
        <v>2026</v>
      </c>
      <c r="B25" t="s">
        <v>51</v>
      </c>
      <c r="C25" t="s">
        <v>60</v>
      </c>
      <c r="D25" t="s">
        <v>61</v>
      </c>
      <c r="G25" t="s">
        <v>63</v>
      </c>
      <c r="H25" t="s">
        <v>63</v>
      </c>
      <c r="I25" t="s">
        <v>75</v>
      </c>
      <c r="J25" t="s">
        <v>69</v>
      </c>
      <c r="K25" t="s">
        <v>33</v>
      </c>
      <c r="L25">
        <v>141600</v>
      </c>
      <c r="M25" s="7">
        <v>141600</v>
      </c>
      <c r="O25" s="7">
        <f t="shared" si="2"/>
        <v>169920</v>
      </c>
      <c r="P25" s="7">
        <v>0</v>
      </c>
      <c r="Q25" s="8">
        <v>0</v>
      </c>
      <c r="R25" s="7">
        <v>0</v>
      </c>
      <c r="S25" s="9">
        <v>0</v>
      </c>
      <c r="T25" s="7">
        <f>IF(C25="Mediana Complejidad",M25,0)</f>
        <v>141600</v>
      </c>
      <c r="U25" s="8">
        <v>0.2</v>
      </c>
      <c r="V25" s="7">
        <f t="shared" si="3"/>
        <v>169920</v>
      </c>
      <c r="W25" s="10">
        <f>IFERROR(((V25-T25)/V25),0)</f>
        <v>0.16666666666666666</v>
      </c>
      <c r="X25" s="7">
        <v>0</v>
      </c>
      <c r="Y25" s="8">
        <v>0</v>
      </c>
      <c r="Z25" s="7">
        <v>0</v>
      </c>
      <c r="AA25" s="8">
        <v>0</v>
      </c>
      <c r="AB25" s="8">
        <v>0.1</v>
      </c>
    </row>
    <row r="26" spans="1:28" x14ac:dyDescent="0.25">
      <c r="A26">
        <v>2026</v>
      </c>
      <c r="B26" t="s">
        <v>51</v>
      </c>
      <c r="C26" t="s">
        <v>60</v>
      </c>
      <c r="D26" t="s">
        <v>61</v>
      </c>
      <c r="G26" t="s">
        <v>63</v>
      </c>
      <c r="H26" t="s">
        <v>63</v>
      </c>
      <c r="I26" t="s">
        <v>76</v>
      </c>
      <c r="J26" t="s">
        <v>69</v>
      </c>
      <c r="K26" t="s">
        <v>33</v>
      </c>
      <c r="L26">
        <v>174700</v>
      </c>
      <c r="M26" s="7">
        <v>174700</v>
      </c>
      <c r="O26" s="7">
        <f t="shared" si="2"/>
        <v>209640</v>
      </c>
      <c r="P26" s="7">
        <v>0</v>
      </c>
      <c r="Q26" s="8">
        <v>0</v>
      </c>
      <c r="R26" s="7">
        <v>0</v>
      </c>
      <c r="S26" s="9">
        <v>0</v>
      </c>
      <c r="T26" s="7">
        <f>IF(C26="Mediana Complejidad",M26,0)</f>
        <v>174700</v>
      </c>
      <c r="U26" s="8">
        <v>0.2</v>
      </c>
      <c r="V26" s="7">
        <f t="shared" si="3"/>
        <v>209640</v>
      </c>
      <c r="W26" s="10">
        <f>IFERROR(((V26-T26)/V26),0)</f>
        <v>0.16666666666666666</v>
      </c>
      <c r="X26" s="7">
        <v>0</v>
      </c>
      <c r="Y26" s="8">
        <v>0</v>
      </c>
      <c r="Z26" s="7">
        <v>0</v>
      </c>
      <c r="AA26" s="8">
        <v>0</v>
      </c>
      <c r="AB26" s="8">
        <v>0.1</v>
      </c>
    </row>
    <row r="27" spans="1:28" x14ac:dyDescent="0.25">
      <c r="A27">
        <v>2026</v>
      </c>
      <c r="B27" t="s">
        <v>51</v>
      </c>
      <c r="C27" t="s">
        <v>60</v>
      </c>
      <c r="D27" t="s">
        <v>61</v>
      </c>
      <c r="G27" t="s">
        <v>63</v>
      </c>
      <c r="H27" t="s">
        <v>63</v>
      </c>
      <c r="I27" t="s">
        <v>77</v>
      </c>
      <c r="J27" t="s">
        <v>69</v>
      </c>
      <c r="K27" t="s">
        <v>33</v>
      </c>
      <c r="L27">
        <v>204000</v>
      </c>
      <c r="M27" s="7">
        <v>204000</v>
      </c>
      <c r="O27" s="7">
        <f t="shared" si="2"/>
        <v>244800</v>
      </c>
      <c r="P27" s="7">
        <v>0</v>
      </c>
      <c r="Q27" s="8">
        <v>0</v>
      </c>
      <c r="R27" s="7">
        <v>0</v>
      </c>
      <c r="S27" s="9">
        <v>0</v>
      </c>
      <c r="T27" s="7">
        <f>IF(C27="Mediana Complejidad",M27,0)</f>
        <v>204000</v>
      </c>
      <c r="U27" s="8">
        <v>0.2</v>
      </c>
      <c r="V27" s="7">
        <f t="shared" si="3"/>
        <v>244800</v>
      </c>
      <c r="W27" s="10">
        <f>IFERROR(((V27-T27)/V27),0)</f>
        <v>0.16666666666666666</v>
      </c>
      <c r="X27" s="7">
        <v>0</v>
      </c>
      <c r="Y27" s="8">
        <v>0</v>
      </c>
      <c r="Z27" s="7">
        <v>0</v>
      </c>
      <c r="AA27" s="8">
        <v>0</v>
      </c>
      <c r="AB27" s="8">
        <v>0.1</v>
      </c>
    </row>
    <row r="28" spans="1:28" x14ac:dyDescent="0.25">
      <c r="A28">
        <v>2026</v>
      </c>
      <c r="B28" t="s">
        <v>51</v>
      </c>
      <c r="C28" t="s">
        <v>60</v>
      </c>
      <c r="D28" t="s">
        <v>61</v>
      </c>
      <c r="G28" t="s">
        <v>63</v>
      </c>
      <c r="H28" t="s">
        <v>63</v>
      </c>
      <c r="I28" t="s">
        <v>78</v>
      </c>
      <c r="J28" t="s">
        <v>69</v>
      </c>
      <c r="K28" t="s">
        <v>33</v>
      </c>
      <c r="L28">
        <v>49000</v>
      </c>
      <c r="M28" s="7">
        <v>49000</v>
      </c>
      <c r="O28" s="7">
        <f t="shared" si="2"/>
        <v>58800</v>
      </c>
      <c r="P28" s="7">
        <v>0</v>
      </c>
      <c r="Q28" s="8">
        <v>0</v>
      </c>
      <c r="R28" s="7">
        <v>0</v>
      </c>
      <c r="S28" s="9">
        <v>0</v>
      </c>
      <c r="T28" s="7">
        <f>IF(C28="Mediana Complejidad",M28,0)</f>
        <v>49000</v>
      </c>
      <c r="U28" s="8">
        <v>0.2</v>
      </c>
      <c r="V28" s="7">
        <f t="shared" si="3"/>
        <v>58800</v>
      </c>
      <c r="W28" s="10">
        <f>IFERROR(((V28-T28)/V28),0)</f>
        <v>0.16666666666666666</v>
      </c>
      <c r="X28" s="7">
        <v>0</v>
      </c>
      <c r="Y28" s="8">
        <v>0</v>
      </c>
      <c r="Z28" s="7">
        <v>0</v>
      </c>
      <c r="AA28" s="8">
        <v>0</v>
      </c>
      <c r="AB28" s="8">
        <v>0.1</v>
      </c>
    </row>
    <row r="29" spans="1:28" x14ac:dyDescent="0.25">
      <c r="A29">
        <v>2026</v>
      </c>
      <c r="B29" t="s">
        <v>51</v>
      </c>
      <c r="C29" t="s">
        <v>60</v>
      </c>
      <c r="D29" t="s">
        <v>61</v>
      </c>
      <c r="G29" t="s">
        <v>63</v>
      </c>
      <c r="H29" t="s">
        <v>63</v>
      </c>
      <c r="I29" t="s">
        <v>79</v>
      </c>
      <c r="J29" t="s">
        <v>66</v>
      </c>
      <c r="K29" t="s">
        <v>33</v>
      </c>
      <c r="L29">
        <v>224100</v>
      </c>
      <c r="M29" s="7">
        <v>224100</v>
      </c>
      <c r="O29" s="7">
        <f t="shared" si="2"/>
        <v>268920</v>
      </c>
      <c r="P29" s="7">
        <v>0</v>
      </c>
      <c r="Q29" s="8">
        <v>0</v>
      </c>
      <c r="R29" s="7">
        <v>0</v>
      </c>
      <c r="S29" s="9">
        <v>0</v>
      </c>
      <c r="T29" s="7">
        <f>IF(C29="Mediana Complejidad",M29,0)</f>
        <v>224100</v>
      </c>
      <c r="U29" s="8">
        <v>0.2</v>
      </c>
      <c r="V29" s="7">
        <f t="shared" si="3"/>
        <v>268920</v>
      </c>
      <c r="W29" s="10">
        <f>IFERROR(((V29-T29)/V29),0)</f>
        <v>0.16666666666666666</v>
      </c>
      <c r="X29" s="7">
        <v>0</v>
      </c>
      <c r="Y29" s="8">
        <v>0</v>
      </c>
      <c r="Z29" s="7">
        <v>0</v>
      </c>
      <c r="AA29" s="8">
        <v>0</v>
      </c>
      <c r="AB29" s="8">
        <v>0.1</v>
      </c>
    </row>
    <row r="30" spans="1:28" x14ac:dyDescent="0.25">
      <c r="A30">
        <v>2026</v>
      </c>
      <c r="B30" t="s">
        <v>51</v>
      </c>
      <c r="C30" t="s">
        <v>60</v>
      </c>
      <c r="D30" t="s">
        <v>61</v>
      </c>
      <c r="G30" t="s">
        <v>63</v>
      </c>
      <c r="H30" t="s">
        <v>63</v>
      </c>
      <c r="I30" t="s">
        <v>80</v>
      </c>
      <c r="J30" t="s">
        <v>66</v>
      </c>
      <c r="K30" t="s">
        <v>33</v>
      </c>
      <c r="L30">
        <v>38000</v>
      </c>
      <c r="M30" s="7">
        <v>38000</v>
      </c>
      <c r="O30" s="7">
        <f t="shared" si="2"/>
        <v>45600</v>
      </c>
      <c r="P30" s="7">
        <v>0</v>
      </c>
      <c r="Q30" s="8">
        <v>0</v>
      </c>
      <c r="R30" s="7">
        <v>0</v>
      </c>
      <c r="S30" s="9">
        <v>0</v>
      </c>
      <c r="T30" s="7">
        <f>IF(C30="Mediana Complejidad",M30,0)</f>
        <v>38000</v>
      </c>
      <c r="U30" s="8">
        <v>0.2</v>
      </c>
      <c r="V30" s="7">
        <f t="shared" si="3"/>
        <v>45600</v>
      </c>
      <c r="W30" s="10">
        <f>IFERROR(((V30-T30)/V30),0)</f>
        <v>0.16666666666666666</v>
      </c>
      <c r="X30" s="7">
        <v>0</v>
      </c>
      <c r="Y30" s="8">
        <v>0</v>
      </c>
      <c r="Z30" s="7">
        <v>0</v>
      </c>
      <c r="AA30" s="8">
        <v>0</v>
      </c>
      <c r="AB30" s="8">
        <v>0.1</v>
      </c>
    </row>
    <row r="31" spans="1:28" x14ac:dyDescent="0.25">
      <c r="A31">
        <v>2026</v>
      </c>
      <c r="B31" t="s">
        <v>51</v>
      </c>
      <c r="C31" t="s">
        <v>60</v>
      </c>
      <c r="D31" t="s">
        <v>61</v>
      </c>
      <c r="G31" t="s">
        <v>63</v>
      </c>
      <c r="H31" t="s">
        <v>63</v>
      </c>
      <c r="I31" t="s">
        <v>81</v>
      </c>
      <c r="J31" t="s">
        <v>66</v>
      </c>
      <c r="K31" t="s">
        <v>33</v>
      </c>
      <c r="L31">
        <v>39800</v>
      </c>
      <c r="M31" s="7">
        <v>39800</v>
      </c>
      <c r="O31" s="7">
        <f t="shared" si="2"/>
        <v>47760</v>
      </c>
      <c r="P31" s="7">
        <v>0</v>
      </c>
      <c r="Q31" s="8">
        <v>0</v>
      </c>
      <c r="R31" s="7">
        <v>0</v>
      </c>
      <c r="S31" s="9">
        <v>0</v>
      </c>
      <c r="T31" s="7">
        <f>IF(C31="Mediana Complejidad",M31,0)</f>
        <v>39800</v>
      </c>
      <c r="U31" s="8">
        <v>0.2</v>
      </c>
      <c r="V31" s="7">
        <f t="shared" si="3"/>
        <v>47760</v>
      </c>
      <c r="W31" s="10">
        <f>IFERROR(((V31-T31)/V31),0)</f>
        <v>0.16666666666666666</v>
      </c>
      <c r="X31" s="7">
        <v>0</v>
      </c>
      <c r="Y31" s="8">
        <v>0</v>
      </c>
      <c r="Z31" s="7">
        <v>0</v>
      </c>
      <c r="AA31" s="8">
        <v>0</v>
      </c>
      <c r="AB31" s="8">
        <v>0.1</v>
      </c>
    </row>
    <row r="32" spans="1:28" x14ac:dyDescent="0.25">
      <c r="A32">
        <v>2026</v>
      </c>
      <c r="B32" t="s">
        <v>52</v>
      </c>
      <c r="C32" t="s">
        <v>60</v>
      </c>
      <c r="D32" t="s">
        <v>61</v>
      </c>
      <c r="G32" t="s">
        <v>63</v>
      </c>
      <c r="H32" t="s">
        <v>63</v>
      </c>
      <c r="I32" t="s">
        <v>65</v>
      </c>
      <c r="J32" t="s">
        <v>66</v>
      </c>
      <c r="K32" t="s">
        <v>33</v>
      </c>
      <c r="L32">
        <v>28800</v>
      </c>
      <c r="M32" s="7">
        <v>28800</v>
      </c>
      <c r="O32" s="7">
        <f>V32</f>
        <v>34560</v>
      </c>
      <c r="P32" s="7">
        <v>0</v>
      </c>
      <c r="Q32" s="8">
        <v>0</v>
      </c>
      <c r="R32" s="7">
        <v>0</v>
      </c>
      <c r="S32" s="9">
        <v>0</v>
      </c>
      <c r="T32" s="7">
        <f>IF(C32="Mediana Complejidad",M32,0)</f>
        <v>28800</v>
      </c>
      <c r="U32" s="8">
        <v>0.2</v>
      </c>
      <c r="V32" s="7">
        <f>T32+(U32*T32)</f>
        <v>34560</v>
      </c>
      <c r="W32" s="10">
        <f>IFERROR(((V32-T32)/V32),0)</f>
        <v>0.16666666666666666</v>
      </c>
      <c r="X32" s="7">
        <v>0</v>
      </c>
      <c r="Y32" s="8">
        <v>0</v>
      </c>
      <c r="Z32" s="7">
        <v>0</v>
      </c>
      <c r="AA32" s="8">
        <v>0</v>
      </c>
      <c r="AB32" s="8">
        <v>0.1</v>
      </c>
    </row>
    <row r="33" spans="1:28" x14ac:dyDescent="0.25">
      <c r="A33">
        <v>2026</v>
      </c>
      <c r="B33" t="s">
        <v>52</v>
      </c>
      <c r="C33" t="s">
        <v>60</v>
      </c>
      <c r="D33" t="s">
        <v>61</v>
      </c>
      <c r="G33" t="s">
        <v>63</v>
      </c>
      <c r="H33" t="s">
        <v>63</v>
      </c>
      <c r="I33" t="s">
        <v>67</v>
      </c>
      <c r="J33" t="s">
        <v>66</v>
      </c>
      <c r="K33" t="s">
        <v>33</v>
      </c>
      <c r="L33">
        <v>36700</v>
      </c>
      <c r="M33" s="7">
        <v>36700</v>
      </c>
      <c r="O33" s="7">
        <f t="shared" ref="O33:O46" si="4">V33</f>
        <v>44040</v>
      </c>
      <c r="P33" s="7">
        <v>0</v>
      </c>
      <c r="Q33" s="8">
        <v>0</v>
      </c>
      <c r="R33" s="7">
        <v>0</v>
      </c>
      <c r="S33" s="9">
        <v>0</v>
      </c>
      <c r="T33" s="7">
        <f>IF(C33="Mediana Complejidad",M33,0)</f>
        <v>36700</v>
      </c>
      <c r="U33" s="8">
        <v>0.2</v>
      </c>
      <c r="V33" s="7">
        <f t="shared" ref="V33:V46" si="5">T33+(U33*T33)</f>
        <v>44040</v>
      </c>
      <c r="W33" s="10">
        <f>IFERROR(((V33-T33)/V33),0)</f>
        <v>0.16666666666666666</v>
      </c>
      <c r="X33" s="7">
        <v>0</v>
      </c>
      <c r="Y33" s="8">
        <v>0</v>
      </c>
      <c r="Z33" s="7">
        <v>0</v>
      </c>
      <c r="AA33" s="8">
        <v>0</v>
      </c>
      <c r="AB33" s="8">
        <v>0.1</v>
      </c>
    </row>
    <row r="34" spans="1:28" x14ac:dyDescent="0.25">
      <c r="A34">
        <v>2026</v>
      </c>
      <c r="B34" t="s">
        <v>52</v>
      </c>
      <c r="C34" t="s">
        <v>60</v>
      </c>
      <c r="D34" t="s">
        <v>61</v>
      </c>
      <c r="G34" t="s">
        <v>63</v>
      </c>
      <c r="H34" t="s">
        <v>63</v>
      </c>
      <c r="I34" t="s">
        <v>68</v>
      </c>
      <c r="J34" t="s">
        <v>69</v>
      </c>
      <c r="K34" t="s">
        <v>33</v>
      </c>
      <c r="L34">
        <v>28000</v>
      </c>
      <c r="M34" s="7">
        <v>28000</v>
      </c>
      <c r="O34" s="7">
        <f t="shared" si="4"/>
        <v>33600</v>
      </c>
      <c r="P34" s="7">
        <v>0</v>
      </c>
      <c r="Q34" s="8">
        <v>0</v>
      </c>
      <c r="R34" s="7">
        <v>0</v>
      </c>
      <c r="S34" s="9">
        <v>0</v>
      </c>
      <c r="T34" s="7">
        <f>IF(C34="Mediana Complejidad",M34,0)</f>
        <v>28000</v>
      </c>
      <c r="U34" s="8">
        <v>0.2</v>
      </c>
      <c r="V34" s="7">
        <f t="shared" si="5"/>
        <v>33600</v>
      </c>
      <c r="W34" s="10">
        <f>IFERROR(((V34-T34)/V34),0)</f>
        <v>0.16666666666666666</v>
      </c>
      <c r="X34" s="7">
        <v>0</v>
      </c>
      <c r="Y34" s="8">
        <v>0</v>
      </c>
      <c r="Z34" s="7">
        <v>0</v>
      </c>
      <c r="AA34" s="8">
        <v>0</v>
      </c>
      <c r="AB34" s="8">
        <v>0.1</v>
      </c>
    </row>
    <row r="35" spans="1:28" x14ac:dyDescent="0.25">
      <c r="A35">
        <v>2026</v>
      </c>
      <c r="B35" t="s">
        <v>52</v>
      </c>
      <c r="C35" t="s">
        <v>60</v>
      </c>
      <c r="D35" t="s">
        <v>61</v>
      </c>
      <c r="G35" t="s">
        <v>63</v>
      </c>
      <c r="H35" t="s">
        <v>63</v>
      </c>
      <c r="I35" t="s">
        <v>70</v>
      </c>
      <c r="J35" t="s">
        <v>69</v>
      </c>
      <c r="K35" t="s">
        <v>33</v>
      </c>
      <c r="L35">
        <v>36700</v>
      </c>
      <c r="M35" s="7">
        <v>36700</v>
      </c>
      <c r="O35" s="7">
        <f t="shared" si="4"/>
        <v>44040</v>
      </c>
      <c r="P35" s="7">
        <v>0</v>
      </c>
      <c r="Q35" s="8">
        <v>0</v>
      </c>
      <c r="R35" s="7">
        <v>0</v>
      </c>
      <c r="S35" s="9">
        <v>0</v>
      </c>
      <c r="T35" s="7">
        <f>IF(C35="Mediana Complejidad",M35,0)</f>
        <v>36700</v>
      </c>
      <c r="U35" s="8">
        <v>0.2</v>
      </c>
      <c r="V35" s="7">
        <f t="shared" si="5"/>
        <v>44040</v>
      </c>
      <c r="W35" s="10">
        <f>IFERROR(((V35-T35)/V35),0)</f>
        <v>0.16666666666666666</v>
      </c>
      <c r="X35" s="7">
        <v>0</v>
      </c>
      <c r="Y35" s="8">
        <v>0</v>
      </c>
      <c r="Z35" s="7">
        <v>0</v>
      </c>
      <c r="AA35" s="8">
        <v>0</v>
      </c>
      <c r="AB35" s="8">
        <v>0.1</v>
      </c>
    </row>
    <row r="36" spans="1:28" x14ac:dyDescent="0.25">
      <c r="A36">
        <v>2026</v>
      </c>
      <c r="B36" t="s">
        <v>52</v>
      </c>
      <c r="C36" t="s">
        <v>60</v>
      </c>
      <c r="D36" t="s">
        <v>61</v>
      </c>
      <c r="G36" t="s">
        <v>63</v>
      </c>
      <c r="H36" t="s">
        <v>63</v>
      </c>
      <c r="I36" t="s">
        <v>71</v>
      </c>
      <c r="J36" t="s">
        <v>69</v>
      </c>
      <c r="K36" t="s">
        <v>33</v>
      </c>
      <c r="L36">
        <v>21900</v>
      </c>
      <c r="M36" s="7">
        <v>21900</v>
      </c>
      <c r="O36" s="7">
        <f t="shared" si="4"/>
        <v>26280</v>
      </c>
      <c r="P36" s="7">
        <v>0</v>
      </c>
      <c r="Q36" s="8">
        <v>0</v>
      </c>
      <c r="R36" s="7">
        <v>0</v>
      </c>
      <c r="S36" s="9">
        <v>0</v>
      </c>
      <c r="T36" s="7">
        <f>IF(C36="Mediana Complejidad",M36,0)</f>
        <v>21900</v>
      </c>
      <c r="U36" s="8">
        <v>0.2</v>
      </c>
      <c r="V36" s="7">
        <f t="shared" si="5"/>
        <v>26280</v>
      </c>
      <c r="W36" s="10">
        <f>IFERROR(((V36-T36)/V36),0)</f>
        <v>0.16666666666666666</v>
      </c>
      <c r="X36" s="7">
        <v>0</v>
      </c>
      <c r="Y36" s="8">
        <v>0</v>
      </c>
      <c r="Z36" s="7">
        <v>0</v>
      </c>
      <c r="AA36" s="8">
        <v>0</v>
      </c>
      <c r="AB36" s="8">
        <v>0.1</v>
      </c>
    </row>
    <row r="37" spans="1:28" x14ac:dyDescent="0.25">
      <c r="A37">
        <v>2026</v>
      </c>
      <c r="B37" t="s">
        <v>52</v>
      </c>
      <c r="C37" t="s">
        <v>60</v>
      </c>
      <c r="D37" t="s">
        <v>61</v>
      </c>
      <c r="G37" t="s">
        <v>63</v>
      </c>
      <c r="H37" t="s">
        <v>63</v>
      </c>
      <c r="I37" t="s">
        <v>72</v>
      </c>
      <c r="J37" t="s">
        <v>69</v>
      </c>
      <c r="K37" t="s">
        <v>33</v>
      </c>
      <c r="L37">
        <v>114900</v>
      </c>
      <c r="M37" s="7">
        <v>114900</v>
      </c>
      <c r="O37" s="7">
        <f t="shared" si="4"/>
        <v>137880</v>
      </c>
      <c r="P37" s="7">
        <v>0</v>
      </c>
      <c r="Q37" s="8">
        <v>0</v>
      </c>
      <c r="R37" s="7">
        <v>0</v>
      </c>
      <c r="S37" s="9">
        <v>0</v>
      </c>
      <c r="T37" s="7">
        <f>IF(C37="Mediana Complejidad",M37,0)</f>
        <v>114900</v>
      </c>
      <c r="U37" s="8">
        <v>0.2</v>
      </c>
      <c r="V37" s="7">
        <f t="shared" si="5"/>
        <v>137880</v>
      </c>
      <c r="W37" s="10">
        <f>IFERROR(((V37-T37)/V37),0)</f>
        <v>0.16666666666666666</v>
      </c>
      <c r="X37" s="7">
        <v>0</v>
      </c>
      <c r="Y37" s="8">
        <v>0</v>
      </c>
      <c r="Z37" s="7">
        <v>0</v>
      </c>
      <c r="AA37" s="8">
        <v>0</v>
      </c>
      <c r="AB37" s="8">
        <v>0.1</v>
      </c>
    </row>
    <row r="38" spans="1:28" x14ac:dyDescent="0.25">
      <c r="A38">
        <v>2026</v>
      </c>
      <c r="B38" t="s">
        <v>52</v>
      </c>
      <c r="C38" t="s">
        <v>60</v>
      </c>
      <c r="D38" t="s">
        <v>61</v>
      </c>
      <c r="G38" t="s">
        <v>63</v>
      </c>
      <c r="H38" t="s">
        <v>63</v>
      </c>
      <c r="I38" t="s">
        <v>73</v>
      </c>
      <c r="J38" t="s">
        <v>69</v>
      </c>
      <c r="K38" t="s">
        <v>33</v>
      </c>
      <c r="L38">
        <v>28000</v>
      </c>
      <c r="M38" s="7">
        <v>28000</v>
      </c>
      <c r="O38" s="7">
        <f t="shared" si="4"/>
        <v>33600</v>
      </c>
      <c r="P38" s="7">
        <v>0</v>
      </c>
      <c r="Q38" s="8">
        <v>0</v>
      </c>
      <c r="R38" s="7">
        <v>0</v>
      </c>
      <c r="S38" s="9">
        <v>0</v>
      </c>
      <c r="T38" s="7">
        <f>IF(C38="Mediana Complejidad",M38,0)</f>
        <v>28000</v>
      </c>
      <c r="U38" s="8">
        <v>0.2</v>
      </c>
      <c r="V38" s="7">
        <f t="shared" si="5"/>
        <v>33600</v>
      </c>
      <c r="W38" s="10">
        <f>IFERROR(((V38-T38)/V38),0)</f>
        <v>0.16666666666666666</v>
      </c>
      <c r="X38" s="7">
        <v>0</v>
      </c>
      <c r="Y38" s="8">
        <v>0</v>
      </c>
      <c r="Z38" s="7">
        <v>0</v>
      </c>
      <c r="AA38" s="8">
        <v>0</v>
      </c>
      <c r="AB38" s="8">
        <v>0.1</v>
      </c>
    </row>
    <row r="39" spans="1:28" x14ac:dyDescent="0.25">
      <c r="A39">
        <v>2026</v>
      </c>
      <c r="B39" t="s">
        <v>52</v>
      </c>
      <c r="C39" t="s">
        <v>60</v>
      </c>
      <c r="D39" t="s">
        <v>61</v>
      </c>
      <c r="G39" t="s">
        <v>63</v>
      </c>
      <c r="H39" t="s">
        <v>63</v>
      </c>
      <c r="I39" t="s">
        <v>74</v>
      </c>
      <c r="J39" t="s">
        <v>69</v>
      </c>
      <c r="K39" t="s">
        <v>33</v>
      </c>
      <c r="L39">
        <v>49200</v>
      </c>
      <c r="M39" s="7">
        <v>49200</v>
      </c>
      <c r="O39" s="7">
        <f t="shared" si="4"/>
        <v>59040</v>
      </c>
      <c r="P39" s="7">
        <v>0</v>
      </c>
      <c r="Q39" s="8">
        <v>0</v>
      </c>
      <c r="R39" s="7">
        <v>0</v>
      </c>
      <c r="S39" s="9">
        <v>0</v>
      </c>
      <c r="T39" s="7">
        <f>IF(C39="Mediana Complejidad",M39,0)</f>
        <v>49200</v>
      </c>
      <c r="U39" s="8">
        <v>0.2</v>
      </c>
      <c r="V39" s="7">
        <f t="shared" si="5"/>
        <v>59040</v>
      </c>
      <c r="W39" s="10">
        <f>IFERROR(((V39-T39)/V39),0)</f>
        <v>0.16666666666666666</v>
      </c>
      <c r="X39" s="7">
        <v>0</v>
      </c>
      <c r="Y39" s="8">
        <v>0</v>
      </c>
      <c r="Z39" s="7">
        <v>0</v>
      </c>
      <c r="AA39" s="8">
        <v>0</v>
      </c>
      <c r="AB39" s="8">
        <v>0.1</v>
      </c>
    </row>
    <row r="40" spans="1:28" x14ac:dyDescent="0.25">
      <c r="A40">
        <v>2026</v>
      </c>
      <c r="B40" t="s">
        <v>52</v>
      </c>
      <c r="C40" t="s">
        <v>60</v>
      </c>
      <c r="D40" t="s">
        <v>61</v>
      </c>
      <c r="G40" t="s">
        <v>63</v>
      </c>
      <c r="H40" t="s">
        <v>63</v>
      </c>
      <c r="I40" t="s">
        <v>75</v>
      </c>
      <c r="J40" t="s">
        <v>69</v>
      </c>
      <c r="K40" t="s">
        <v>33</v>
      </c>
      <c r="L40">
        <v>141600</v>
      </c>
      <c r="M40" s="7">
        <v>141600</v>
      </c>
      <c r="O40" s="7">
        <f t="shared" si="4"/>
        <v>169920</v>
      </c>
      <c r="P40" s="7">
        <v>0</v>
      </c>
      <c r="Q40" s="8">
        <v>0</v>
      </c>
      <c r="R40" s="7">
        <v>0</v>
      </c>
      <c r="S40" s="9">
        <v>0</v>
      </c>
      <c r="T40" s="7">
        <f>IF(C40="Mediana Complejidad",M40,0)</f>
        <v>141600</v>
      </c>
      <c r="U40" s="8">
        <v>0.2</v>
      </c>
      <c r="V40" s="7">
        <f t="shared" si="5"/>
        <v>169920</v>
      </c>
      <c r="W40" s="10">
        <f>IFERROR(((V40-T40)/V40),0)</f>
        <v>0.16666666666666666</v>
      </c>
      <c r="X40" s="7">
        <v>0</v>
      </c>
      <c r="Y40" s="8">
        <v>0</v>
      </c>
      <c r="Z40" s="7">
        <v>0</v>
      </c>
      <c r="AA40" s="8">
        <v>0</v>
      </c>
      <c r="AB40" s="8">
        <v>0.1</v>
      </c>
    </row>
    <row r="41" spans="1:28" x14ac:dyDescent="0.25">
      <c r="A41">
        <v>2026</v>
      </c>
      <c r="B41" t="s">
        <v>52</v>
      </c>
      <c r="C41" t="s">
        <v>60</v>
      </c>
      <c r="D41" t="s">
        <v>61</v>
      </c>
      <c r="G41" t="s">
        <v>63</v>
      </c>
      <c r="H41" t="s">
        <v>63</v>
      </c>
      <c r="I41" t="s">
        <v>76</v>
      </c>
      <c r="J41" t="s">
        <v>69</v>
      </c>
      <c r="K41" t="s">
        <v>33</v>
      </c>
      <c r="L41">
        <v>174700</v>
      </c>
      <c r="M41" s="7">
        <v>174700</v>
      </c>
      <c r="O41" s="7">
        <f t="shared" si="4"/>
        <v>209640</v>
      </c>
      <c r="P41" s="7">
        <v>0</v>
      </c>
      <c r="Q41" s="8">
        <v>0</v>
      </c>
      <c r="R41" s="7">
        <v>0</v>
      </c>
      <c r="S41" s="9">
        <v>0</v>
      </c>
      <c r="T41" s="7">
        <f>IF(C41="Mediana Complejidad",M41,0)</f>
        <v>174700</v>
      </c>
      <c r="U41" s="8">
        <v>0.2</v>
      </c>
      <c r="V41" s="7">
        <f t="shared" si="5"/>
        <v>209640</v>
      </c>
      <c r="W41" s="10">
        <f>IFERROR(((V41-T41)/V41),0)</f>
        <v>0.16666666666666666</v>
      </c>
      <c r="X41" s="7">
        <v>0</v>
      </c>
      <c r="Y41" s="8">
        <v>0</v>
      </c>
      <c r="Z41" s="7">
        <v>0</v>
      </c>
      <c r="AA41" s="8">
        <v>0</v>
      </c>
      <c r="AB41" s="8">
        <v>0.1</v>
      </c>
    </row>
    <row r="42" spans="1:28" x14ac:dyDescent="0.25">
      <c r="A42">
        <v>2026</v>
      </c>
      <c r="B42" t="s">
        <v>52</v>
      </c>
      <c r="C42" t="s">
        <v>60</v>
      </c>
      <c r="D42" t="s">
        <v>61</v>
      </c>
      <c r="G42" t="s">
        <v>63</v>
      </c>
      <c r="H42" t="s">
        <v>63</v>
      </c>
      <c r="I42" t="s">
        <v>77</v>
      </c>
      <c r="J42" t="s">
        <v>69</v>
      </c>
      <c r="K42" t="s">
        <v>33</v>
      </c>
      <c r="L42">
        <v>204000</v>
      </c>
      <c r="M42" s="7">
        <v>204000</v>
      </c>
      <c r="O42" s="7">
        <f t="shared" si="4"/>
        <v>244800</v>
      </c>
      <c r="P42" s="7">
        <v>0</v>
      </c>
      <c r="Q42" s="8">
        <v>0</v>
      </c>
      <c r="R42" s="7">
        <v>0</v>
      </c>
      <c r="S42" s="9">
        <v>0</v>
      </c>
      <c r="T42" s="7">
        <f>IF(C42="Mediana Complejidad",M42,0)</f>
        <v>204000</v>
      </c>
      <c r="U42" s="8">
        <v>0.2</v>
      </c>
      <c r="V42" s="7">
        <f t="shared" si="5"/>
        <v>244800</v>
      </c>
      <c r="W42" s="10">
        <f>IFERROR(((V42-T42)/V42),0)</f>
        <v>0.16666666666666666</v>
      </c>
      <c r="X42" s="7">
        <v>0</v>
      </c>
      <c r="Y42" s="8">
        <v>0</v>
      </c>
      <c r="Z42" s="7">
        <v>0</v>
      </c>
      <c r="AA42" s="8">
        <v>0</v>
      </c>
      <c r="AB42" s="8">
        <v>0.1</v>
      </c>
    </row>
    <row r="43" spans="1:28" x14ac:dyDescent="0.25">
      <c r="A43">
        <v>2026</v>
      </c>
      <c r="B43" t="s">
        <v>52</v>
      </c>
      <c r="C43" t="s">
        <v>60</v>
      </c>
      <c r="D43" t="s">
        <v>61</v>
      </c>
      <c r="G43" t="s">
        <v>63</v>
      </c>
      <c r="H43" t="s">
        <v>63</v>
      </c>
      <c r="I43" t="s">
        <v>78</v>
      </c>
      <c r="J43" t="s">
        <v>69</v>
      </c>
      <c r="K43" t="s">
        <v>33</v>
      </c>
      <c r="L43">
        <v>49000</v>
      </c>
      <c r="M43" s="7">
        <v>49000</v>
      </c>
      <c r="O43" s="7">
        <f t="shared" si="4"/>
        <v>58800</v>
      </c>
      <c r="P43" s="7">
        <v>0</v>
      </c>
      <c r="Q43" s="8">
        <v>0</v>
      </c>
      <c r="R43" s="7">
        <v>0</v>
      </c>
      <c r="S43" s="9">
        <v>0</v>
      </c>
      <c r="T43" s="7">
        <f>IF(C43="Mediana Complejidad",M43,0)</f>
        <v>49000</v>
      </c>
      <c r="U43" s="8">
        <v>0.2</v>
      </c>
      <c r="V43" s="7">
        <f t="shared" si="5"/>
        <v>58800</v>
      </c>
      <c r="W43" s="10">
        <f>IFERROR(((V43-T43)/V43),0)</f>
        <v>0.16666666666666666</v>
      </c>
      <c r="X43" s="7">
        <v>0</v>
      </c>
      <c r="Y43" s="8">
        <v>0</v>
      </c>
      <c r="Z43" s="7">
        <v>0</v>
      </c>
      <c r="AA43" s="8">
        <v>0</v>
      </c>
      <c r="AB43" s="8">
        <v>0.1</v>
      </c>
    </row>
    <row r="44" spans="1:28" x14ac:dyDescent="0.25">
      <c r="A44">
        <v>2026</v>
      </c>
      <c r="B44" t="s">
        <v>52</v>
      </c>
      <c r="C44" t="s">
        <v>60</v>
      </c>
      <c r="D44" t="s">
        <v>61</v>
      </c>
      <c r="G44" t="s">
        <v>63</v>
      </c>
      <c r="H44" t="s">
        <v>63</v>
      </c>
      <c r="I44" t="s">
        <v>79</v>
      </c>
      <c r="J44" t="s">
        <v>66</v>
      </c>
      <c r="K44" t="s">
        <v>33</v>
      </c>
      <c r="L44">
        <v>224100</v>
      </c>
      <c r="M44" s="7">
        <v>224100</v>
      </c>
      <c r="O44" s="7">
        <f t="shared" si="4"/>
        <v>268920</v>
      </c>
      <c r="P44" s="7">
        <v>0</v>
      </c>
      <c r="Q44" s="8">
        <v>0</v>
      </c>
      <c r="R44" s="7">
        <v>0</v>
      </c>
      <c r="S44" s="9">
        <v>0</v>
      </c>
      <c r="T44" s="7">
        <f>IF(C44="Mediana Complejidad",M44,0)</f>
        <v>224100</v>
      </c>
      <c r="U44" s="8">
        <v>0.2</v>
      </c>
      <c r="V44" s="7">
        <f t="shared" si="5"/>
        <v>268920</v>
      </c>
      <c r="W44" s="10">
        <f>IFERROR(((V44-T44)/V44),0)</f>
        <v>0.16666666666666666</v>
      </c>
      <c r="X44" s="7">
        <v>0</v>
      </c>
      <c r="Y44" s="8">
        <v>0</v>
      </c>
      <c r="Z44" s="7">
        <v>0</v>
      </c>
      <c r="AA44" s="8">
        <v>0</v>
      </c>
      <c r="AB44" s="8">
        <v>0.1</v>
      </c>
    </row>
    <row r="45" spans="1:28" x14ac:dyDescent="0.25">
      <c r="A45">
        <v>2026</v>
      </c>
      <c r="B45" t="s">
        <v>52</v>
      </c>
      <c r="C45" t="s">
        <v>60</v>
      </c>
      <c r="D45" t="s">
        <v>61</v>
      </c>
      <c r="G45" t="s">
        <v>63</v>
      </c>
      <c r="H45" t="s">
        <v>63</v>
      </c>
      <c r="I45" t="s">
        <v>80</v>
      </c>
      <c r="J45" t="s">
        <v>66</v>
      </c>
      <c r="K45" t="s">
        <v>33</v>
      </c>
      <c r="L45">
        <v>38000</v>
      </c>
      <c r="M45" s="7">
        <v>38000</v>
      </c>
      <c r="O45" s="7">
        <f t="shared" si="4"/>
        <v>45600</v>
      </c>
      <c r="P45" s="7">
        <v>0</v>
      </c>
      <c r="Q45" s="8">
        <v>0</v>
      </c>
      <c r="R45" s="7">
        <v>0</v>
      </c>
      <c r="S45" s="9">
        <v>0</v>
      </c>
      <c r="T45" s="7">
        <f>IF(C45="Mediana Complejidad",M45,0)</f>
        <v>38000</v>
      </c>
      <c r="U45" s="8">
        <v>0.2</v>
      </c>
      <c r="V45" s="7">
        <f t="shared" si="5"/>
        <v>45600</v>
      </c>
      <c r="W45" s="10">
        <f>IFERROR(((V45-T45)/V45),0)</f>
        <v>0.16666666666666666</v>
      </c>
      <c r="X45" s="7">
        <v>0</v>
      </c>
      <c r="Y45" s="8">
        <v>0</v>
      </c>
      <c r="Z45" s="7">
        <v>0</v>
      </c>
      <c r="AA45" s="8">
        <v>0</v>
      </c>
      <c r="AB45" s="8">
        <v>0.1</v>
      </c>
    </row>
    <row r="46" spans="1:28" x14ac:dyDescent="0.25">
      <c r="A46">
        <v>2026</v>
      </c>
      <c r="B46" t="s">
        <v>52</v>
      </c>
      <c r="C46" t="s">
        <v>60</v>
      </c>
      <c r="D46" t="s">
        <v>61</v>
      </c>
      <c r="G46" t="s">
        <v>63</v>
      </c>
      <c r="H46" t="s">
        <v>63</v>
      </c>
      <c r="I46" t="s">
        <v>81</v>
      </c>
      <c r="J46" t="s">
        <v>66</v>
      </c>
      <c r="K46" t="s">
        <v>33</v>
      </c>
      <c r="L46">
        <v>39800</v>
      </c>
      <c r="M46" s="7">
        <v>39800</v>
      </c>
      <c r="O46" s="7">
        <f t="shared" si="4"/>
        <v>47760</v>
      </c>
      <c r="P46" s="7">
        <v>0</v>
      </c>
      <c r="Q46" s="8">
        <v>0</v>
      </c>
      <c r="R46" s="7">
        <v>0</v>
      </c>
      <c r="S46" s="9">
        <v>0</v>
      </c>
      <c r="T46" s="7">
        <f>IF(C46="Mediana Complejidad",M46,0)</f>
        <v>39800</v>
      </c>
      <c r="U46" s="8">
        <v>0.2</v>
      </c>
      <c r="V46" s="7">
        <f t="shared" si="5"/>
        <v>47760</v>
      </c>
      <c r="W46" s="10">
        <f>IFERROR(((V46-T46)/V46),0)</f>
        <v>0.16666666666666666</v>
      </c>
      <c r="X46" s="7">
        <v>0</v>
      </c>
      <c r="Y46" s="8">
        <v>0</v>
      </c>
      <c r="Z46" s="7">
        <v>0</v>
      </c>
      <c r="AA46" s="8">
        <v>0</v>
      </c>
      <c r="AB46" s="8">
        <v>0.1</v>
      </c>
    </row>
    <row r="47" spans="1:28" x14ac:dyDescent="0.25">
      <c r="A47">
        <v>2026</v>
      </c>
      <c r="B47" t="s">
        <v>53</v>
      </c>
      <c r="C47" t="s">
        <v>60</v>
      </c>
      <c r="D47" t="s">
        <v>61</v>
      </c>
      <c r="G47" t="s">
        <v>63</v>
      </c>
      <c r="H47" t="s">
        <v>63</v>
      </c>
      <c r="I47" t="s">
        <v>65</v>
      </c>
      <c r="J47" t="s">
        <v>66</v>
      </c>
      <c r="K47" t="s">
        <v>33</v>
      </c>
      <c r="L47">
        <v>28800</v>
      </c>
      <c r="M47" s="7">
        <v>28800</v>
      </c>
      <c r="O47" s="7">
        <f>V47</f>
        <v>34560</v>
      </c>
      <c r="P47" s="7">
        <v>0</v>
      </c>
      <c r="Q47" s="8">
        <v>0</v>
      </c>
      <c r="R47" s="7">
        <v>0</v>
      </c>
      <c r="S47" s="9">
        <v>0</v>
      </c>
      <c r="T47" s="7">
        <f>IF(C47="Mediana Complejidad",M47,0)</f>
        <v>28800</v>
      </c>
      <c r="U47" s="8">
        <v>0.2</v>
      </c>
      <c r="V47" s="7">
        <f>T47+(U47*T47)</f>
        <v>34560</v>
      </c>
      <c r="W47" s="10">
        <f>IFERROR(((V47-T47)/V47),0)</f>
        <v>0.16666666666666666</v>
      </c>
      <c r="X47" s="7">
        <v>0</v>
      </c>
      <c r="Y47" s="8">
        <v>0</v>
      </c>
      <c r="Z47" s="7">
        <v>0</v>
      </c>
      <c r="AA47" s="8">
        <v>0</v>
      </c>
      <c r="AB47" s="8">
        <v>0.1</v>
      </c>
    </row>
    <row r="48" spans="1:28" x14ac:dyDescent="0.25">
      <c r="A48">
        <v>2026</v>
      </c>
      <c r="B48" t="s">
        <v>53</v>
      </c>
      <c r="C48" t="s">
        <v>60</v>
      </c>
      <c r="D48" t="s">
        <v>61</v>
      </c>
      <c r="G48" t="s">
        <v>63</v>
      </c>
      <c r="H48" t="s">
        <v>63</v>
      </c>
      <c r="I48" t="s">
        <v>67</v>
      </c>
      <c r="J48" t="s">
        <v>66</v>
      </c>
      <c r="K48" t="s">
        <v>33</v>
      </c>
      <c r="L48">
        <v>36700</v>
      </c>
      <c r="M48" s="7">
        <v>36700</v>
      </c>
      <c r="O48" s="7">
        <f t="shared" ref="O48:O61" si="6">V48</f>
        <v>44040</v>
      </c>
      <c r="P48" s="7">
        <v>0</v>
      </c>
      <c r="Q48" s="8">
        <v>0</v>
      </c>
      <c r="R48" s="7">
        <v>0</v>
      </c>
      <c r="S48" s="9">
        <v>0</v>
      </c>
      <c r="T48" s="7">
        <f>IF(C48="Mediana Complejidad",M48,0)</f>
        <v>36700</v>
      </c>
      <c r="U48" s="8">
        <v>0.2</v>
      </c>
      <c r="V48" s="7">
        <f t="shared" ref="V48:V61" si="7">T48+(U48*T48)</f>
        <v>44040</v>
      </c>
      <c r="W48" s="10">
        <f>IFERROR(((V48-T48)/V48),0)</f>
        <v>0.16666666666666666</v>
      </c>
      <c r="X48" s="7">
        <v>0</v>
      </c>
      <c r="Y48" s="8">
        <v>0</v>
      </c>
      <c r="Z48" s="7">
        <v>0</v>
      </c>
      <c r="AA48" s="8">
        <v>0</v>
      </c>
      <c r="AB48" s="8">
        <v>0.1</v>
      </c>
    </row>
    <row r="49" spans="1:28" x14ac:dyDescent="0.25">
      <c r="A49">
        <v>2026</v>
      </c>
      <c r="B49" t="s">
        <v>53</v>
      </c>
      <c r="C49" t="s">
        <v>60</v>
      </c>
      <c r="D49" t="s">
        <v>61</v>
      </c>
      <c r="G49" t="s">
        <v>63</v>
      </c>
      <c r="H49" t="s">
        <v>63</v>
      </c>
      <c r="I49" t="s">
        <v>68</v>
      </c>
      <c r="J49" t="s">
        <v>69</v>
      </c>
      <c r="K49" t="s">
        <v>33</v>
      </c>
      <c r="L49">
        <v>28000</v>
      </c>
      <c r="M49" s="7">
        <v>28000</v>
      </c>
      <c r="O49" s="7">
        <f t="shared" si="6"/>
        <v>33600</v>
      </c>
      <c r="P49" s="7">
        <v>0</v>
      </c>
      <c r="Q49" s="8">
        <v>0</v>
      </c>
      <c r="R49" s="7">
        <v>0</v>
      </c>
      <c r="S49" s="9">
        <v>0</v>
      </c>
      <c r="T49" s="7">
        <f>IF(C49="Mediana Complejidad",M49,0)</f>
        <v>28000</v>
      </c>
      <c r="U49" s="8">
        <v>0.2</v>
      </c>
      <c r="V49" s="7">
        <f t="shared" si="7"/>
        <v>33600</v>
      </c>
      <c r="W49" s="10">
        <f>IFERROR(((V49-T49)/V49),0)</f>
        <v>0.16666666666666666</v>
      </c>
      <c r="X49" s="7">
        <v>0</v>
      </c>
      <c r="Y49" s="8">
        <v>0</v>
      </c>
      <c r="Z49" s="7">
        <v>0</v>
      </c>
      <c r="AA49" s="8">
        <v>0</v>
      </c>
      <c r="AB49" s="8">
        <v>0.1</v>
      </c>
    </row>
    <row r="50" spans="1:28" x14ac:dyDescent="0.25">
      <c r="A50">
        <v>2026</v>
      </c>
      <c r="B50" t="s">
        <v>53</v>
      </c>
      <c r="C50" t="s">
        <v>60</v>
      </c>
      <c r="D50" t="s">
        <v>61</v>
      </c>
      <c r="G50" t="s">
        <v>63</v>
      </c>
      <c r="H50" t="s">
        <v>63</v>
      </c>
      <c r="I50" t="s">
        <v>70</v>
      </c>
      <c r="J50" t="s">
        <v>69</v>
      </c>
      <c r="K50" t="s">
        <v>33</v>
      </c>
      <c r="L50">
        <v>36700</v>
      </c>
      <c r="M50" s="7">
        <v>36700</v>
      </c>
      <c r="O50" s="7">
        <f t="shared" si="6"/>
        <v>44040</v>
      </c>
      <c r="P50" s="7">
        <v>0</v>
      </c>
      <c r="Q50" s="8">
        <v>0</v>
      </c>
      <c r="R50" s="7">
        <v>0</v>
      </c>
      <c r="S50" s="9">
        <v>0</v>
      </c>
      <c r="T50" s="7">
        <f>IF(C50="Mediana Complejidad",M50,0)</f>
        <v>36700</v>
      </c>
      <c r="U50" s="8">
        <v>0.2</v>
      </c>
      <c r="V50" s="7">
        <f t="shared" si="7"/>
        <v>44040</v>
      </c>
      <c r="W50" s="10">
        <f>IFERROR(((V50-T50)/V50),0)</f>
        <v>0.16666666666666666</v>
      </c>
      <c r="X50" s="7">
        <v>0</v>
      </c>
      <c r="Y50" s="8">
        <v>0</v>
      </c>
      <c r="Z50" s="7">
        <v>0</v>
      </c>
      <c r="AA50" s="8">
        <v>0</v>
      </c>
      <c r="AB50" s="8">
        <v>0.1</v>
      </c>
    </row>
    <row r="51" spans="1:28" x14ac:dyDescent="0.25">
      <c r="A51">
        <v>2026</v>
      </c>
      <c r="B51" t="s">
        <v>53</v>
      </c>
      <c r="C51" t="s">
        <v>60</v>
      </c>
      <c r="D51" t="s">
        <v>61</v>
      </c>
      <c r="G51" t="s">
        <v>63</v>
      </c>
      <c r="H51" t="s">
        <v>63</v>
      </c>
      <c r="I51" t="s">
        <v>71</v>
      </c>
      <c r="J51" t="s">
        <v>69</v>
      </c>
      <c r="K51" t="s">
        <v>33</v>
      </c>
      <c r="L51">
        <v>21900</v>
      </c>
      <c r="M51" s="7">
        <v>21900</v>
      </c>
      <c r="O51" s="7">
        <f t="shared" si="6"/>
        <v>26280</v>
      </c>
      <c r="P51" s="7">
        <v>0</v>
      </c>
      <c r="Q51" s="8">
        <v>0</v>
      </c>
      <c r="R51" s="7">
        <v>0</v>
      </c>
      <c r="S51" s="9">
        <v>0</v>
      </c>
      <c r="T51" s="7">
        <f>IF(C51="Mediana Complejidad",M51,0)</f>
        <v>21900</v>
      </c>
      <c r="U51" s="8">
        <v>0.2</v>
      </c>
      <c r="V51" s="7">
        <f t="shared" si="7"/>
        <v>26280</v>
      </c>
      <c r="W51" s="10">
        <f>IFERROR(((V51-T51)/V51),0)</f>
        <v>0.16666666666666666</v>
      </c>
      <c r="X51" s="7">
        <v>0</v>
      </c>
      <c r="Y51" s="8">
        <v>0</v>
      </c>
      <c r="Z51" s="7">
        <v>0</v>
      </c>
      <c r="AA51" s="8">
        <v>0</v>
      </c>
      <c r="AB51" s="8">
        <v>0.1</v>
      </c>
    </row>
    <row r="52" spans="1:28" x14ac:dyDescent="0.25">
      <c r="A52">
        <v>2026</v>
      </c>
      <c r="B52" t="s">
        <v>53</v>
      </c>
      <c r="C52" t="s">
        <v>60</v>
      </c>
      <c r="D52" t="s">
        <v>61</v>
      </c>
      <c r="G52" t="s">
        <v>63</v>
      </c>
      <c r="H52" t="s">
        <v>63</v>
      </c>
      <c r="I52" t="s">
        <v>72</v>
      </c>
      <c r="J52" t="s">
        <v>69</v>
      </c>
      <c r="K52" t="s">
        <v>33</v>
      </c>
      <c r="L52">
        <v>114900</v>
      </c>
      <c r="M52" s="7">
        <v>114900</v>
      </c>
      <c r="O52" s="7">
        <f t="shared" si="6"/>
        <v>137880</v>
      </c>
      <c r="P52" s="7">
        <v>0</v>
      </c>
      <c r="Q52" s="8">
        <v>0</v>
      </c>
      <c r="R52" s="7">
        <v>0</v>
      </c>
      <c r="S52" s="9">
        <v>0</v>
      </c>
      <c r="T52" s="7">
        <f>IF(C52="Mediana Complejidad",M52,0)</f>
        <v>114900</v>
      </c>
      <c r="U52" s="8">
        <v>0.2</v>
      </c>
      <c r="V52" s="7">
        <f t="shared" si="7"/>
        <v>137880</v>
      </c>
      <c r="W52" s="10">
        <f>IFERROR(((V52-T52)/V52),0)</f>
        <v>0.16666666666666666</v>
      </c>
      <c r="X52" s="7">
        <v>0</v>
      </c>
      <c r="Y52" s="8">
        <v>0</v>
      </c>
      <c r="Z52" s="7">
        <v>0</v>
      </c>
      <c r="AA52" s="8">
        <v>0</v>
      </c>
      <c r="AB52" s="8">
        <v>0.1</v>
      </c>
    </row>
    <row r="53" spans="1:28" x14ac:dyDescent="0.25">
      <c r="A53">
        <v>2026</v>
      </c>
      <c r="B53" t="s">
        <v>53</v>
      </c>
      <c r="C53" t="s">
        <v>60</v>
      </c>
      <c r="D53" t="s">
        <v>61</v>
      </c>
      <c r="G53" t="s">
        <v>63</v>
      </c>
      <c r="H53" t="s">
        <v>63</v>
      </c>
      <c r="I53" t="s">
        <v>73</v>
      </c>
      <c r="J53" t="s">
        <v>69</v>
      </c>
      <c r="K53" t="s">
        <v>33</v>
      </c>
      <c r="L53">
        <v>28000</v>
      </c>
      <c r="M53" s="7">
        <v>28000</v>
      </c>
      <c r="O53" s="7">
        <f t="shared" si="6"/>
        <v>33600</v>
      </c>
      <c r="P53" s="7">
        <v>0</v>
      </c>
      <c r="Q53" s="8">
        <v>0</v>
      </c>
      <c r="R53" s="7">
        <v>0</v>
      </c>
      <c r="S53" s="9">
        <v>0</v>
      </c>
      <c r="T53" s="7">
        <f>IF(C53="Mediana Complejidad",M53,0)</f>
        <v>28000</v>
      </c>
      <c r="U53" s="8">
        <v>0.2</v>
      </c>
      <c r="V53" s="7">
        <f t="shared" si="7"/>
        <v>33600</v>
      </c>
      <c r="W53" s="10">
        <f>IFERROR(((V53-T53)/V53),0)</f>
        <v>0.16666666666666666</v>
      </c>
      <c r="X53" s="7">
        <v>0</v>
      </c>
      <c r="Y53" s="8">
        <v>0</v>
      </c>
      <c r="Z53" s="7">
        <v>0</v>
      </c>
      <c r="AA53" s="8">
        <v>0</v>
      </c>
      <c r="AB53" s="8">
        <v>0.1</v>
      </c>
    </row>
    <row r="54" spans="1:28" x14ac:dyDescent="0.25">
      <c r="A54">
        <v>2026</v>
      </c>
      <c r="B54" t="s">
        <v>53</v>
      </c>
      <c r="C54" t="s">
        <v>60</v>
      </c>
      <c r="D54" t="s">
        <v>61</v>
      </c>
      <c r="G54" t="s">
        <v>63</v>
      </c>
      <c r="H54" t="s">
        <v>63</v>
      </c>
      <c r="I54" t="s">
        <v>74</v>
      </c>
      <c r="J54" t="s">
        <v>69</v>
      </c>
      <c r="K54" t="s">
        <v>33</v>
      </c>
      <c r="L54">
        <v>49200</v>
      </c>
      <c r="M54" s="7">
        <v>49200</v>
      </c>
      <c r="O54" s="7">
        <f t="shared" si="6"/>
        <v>59040</v>
      </c>
      <c r="P54" s="7">
        <v>0</v>
      </c>
      <c r="Q54" s="8">
        <v>0</v>
      </c>
      <c r="R54" s="7">
        <v>0</v>
      </c>
      <c r="S54" s="9">
        <v>0</v>
      </c>
      <c r="T54" s="7">
        <f>IF(C54="Mediana Complejidad",M54,0)</f>
        <v>49200</v>
      </c>
      <c r="U54" s="8">
        <v>0.2</v>
      </c>
      <c r="V54" s="7">
        <f t="shared" si="7"/>
        <v>59040</v>
      </c>
      <c r="W54" s="10">
        <f>IFERROR(((V54-T54)/V54),0)</f>
        <v>0.16666666666666666</v>
      </c>
      <c r="X54" s="7">
        <v>0</v>
      </c>
      <c r="Y54" s="8">
        <v>0</v>
      </c>
      <c r="Z54" s="7">
        <v>0</v>
      </c>
      <c r="AA54" s="8">
        <v>0</v>
      </c>
      <c r="AB54" s="8">
        <v>0.1</v>
      </c>
    </row>
    <row r="55" spans="1:28" x14ac:dyDescent="0.25">
      <c r="A55">
        <v>2026</v>
      </c>
      <c r="B55" t="s">
        <v>53</v>
      </c>
      <c r="C55" t="s">
        <v>60</v>
      </c>
      <c r="D55" t="s">
        <v>61</v>
      </c>
      <c r="G55" t="s">
        <v>63</v>
      </c>
      <c r="H55" t="s">
        <v>63</v>
      </c>
      <c r="I55" t="s">
        <v>75</v>
      </c>
      <c r="J55" t="s">
        <v>69</v>
      </c>
      <c r="K55" t="s">
        <v>33</v>
      </c>
      <c r="L55">
        <v>141600</v>
      </c>
      <c r="M55" s="7">
        <v>141600</v>
      </c>
      <c r="O55" s="7">
        <f t="shared" si="6"/>
        <v>169920</v>
      </c>
      <c r="P55" s="7">
        <v>0</v>
      </c>
      <c r="Q55" s="8">
        <v>0</v>
      </c>
      <c r="R55" s="7">
        <v>0</v>
      </c>
      <c r="S55" s="9">
        <v>0</v>
      </c>
      <c r="T55" s="7">
        <f>IF(C55="Mediana Complejidad",M55,0)</f>
        <v>141600</v>
      </c>
      <c r="U55" s="8">
        <v>0.2</v>
      </c>
      <c r="V55" s="7">
        <f t="shared" si="7"/>
        <v>169920</v>
      </c>
      <c r="W55" s="10">
        <f>IFERROR(((V55-T55)/V55),0)</f>
        <v>0.16666666666666666</v>
      </c>
      <c r="X55" s="7">
        <v>0</v>
      </c>
      <c r="Y55" s="8">
        <v>0</v>
      </c>
      <c r="Z55" s="7">
        <v>0</v>
      </c>
      <c r="AA55" s="8">
        <v>0</v>
      </c>
      <c r="AB55" s="8">
        <v>0.1</v>
      </c>
    </row>
    <row r="56" spans="1:28" x14ac:dyDescent="0.25">
      <c r="A56">
        <v>2026</v>
      </c>
      <c r="B56" t="s">
        <v>53</v>
      </c>
      <c r="C56" t="s">
        <v>60</v>
      </c>
      <c r="D56" t="s">
        <v>61</v>
      </c>
      <c r="G56" t="s">
        <v>63</v>
      </c>
      <c r="H56" t="s">
        <v>63</v>
      </c>
      <c r="I56" t="s">
        <v>76</v>
      </c>
      <c r="J56" t="s">
        <v>69</v>
      </c>
      <c r="K56" t="s">
        <v>33</v>
      </c>
      <c r="L56">
        <v>174700</v>
      </c>
      <c r="M56" s="7">
        <v>174700</v>
      </c>
      <c r="O56" s="7">
        <f t="shared" si="6"/>
        <v>209640</v>
      </c>
      <c r="P56" s="7">
        <v>0</v>
      </c>
      <c r="Q56" s="8">
        <v>0</v>
      </c>
      <c r="R56" s="7">
        <v>0</v>
      </c>
      <c r="S56" s="9">
        <v>0</v>
      </c>
      <c r="T56" s="7">
        <f>IF(C56="Mediana Complejidad",M56,0)</f>
        <v>174700</v>
      </c>
      <c r="U56" s="8">
        <v>0.2</v>
      </c>
      <c r="V56" s="7">
        <f t="shared" si="7"/>
        <v>209640</v>
      </c>
      <c r="W56" s="10">
        <f>IFERROR(((V56-T56)/V56),0)</f>
        <v>0.16666666666666666</v>
      </c>
      <c r="X56" s="7">
        <v>0</v>
      </c>
      <c r="Y56" s="8">
        <v>0</v>
      </c>
      <c r="Z56" s="7">
        <v>0</v>
      </c>
      <c r="AA56" s="8">
        <v>0</v>
      </c>
      <c r="AB56" s="8">
        <v>0.1</v>
      </c>
    </row>
    <row r="57" spans="1:28" x14ac:dyDescent="0.25">
      <c r="A57">
        <v>2026</v>
      </c>
      <c r="B57" t="s">
        <v>53</v>
      </c>
      <c r="C57" t="s">
        <v>60</v>
      </c>
      <c r="D57" t="s">
        <v>61</v>
      </c>
      <c r="G57" t="s">
        <v>63</v>
      </c>
      <c r="H57" t="s">
        <v>63</v>
      </c>
      <c r="I57" t="s">
        <v>77</v>
      </c>
      <c r="J57" t="s">
        <v>69</v>
      </c>
      <c r="K57" t="s">
        <v>33</v>
      </c>
      <c r="L57">
        <v>204000</v>
      </c>
      <c r="M57" s="7">
        <v>204000</v>
      </c>
      <c r="O57" s="7">
        <f t="shared" si="6"/>
        <v>244800</v>
      </c>
      <c r="P57" s="7">
        <v>0</v>
      </c>
      <c r="Q57" s="8">
        <v>0</v>
      </c>
      <c r="R57" s="7">
        <v>0</v>
      </c>
      <c r="S57" s="9">
        <v>0</v>
      </c>
      <c r="T57" s="7">
        <f>IF(C57="Mediana Complejidad",M57,0)</f>
        <v>204000</v>
      </c>
      <c r="U57" s="8">
        <v>0.2</v>
      </c>
      <c r="V57" s="7">
        <f t="shared" si="7"/>
        <v>244800</v>
      </c>
      <c r="W57" s="10">
        <f>IFERROR(((V57-T57)/V57),0)</f>
        <v>0.16666666666666666</v>
      </c>
      <c r="X57" s="7">
        <v>0</v>
      </c>
      <c r="Y57" s="8">
        <v>0</v>
      </c>
      <c r="Z57" s="7">
        <v>0</v>
      </c>
      <c r="AA57" s="8">
        <v>0</v>
      </c>
      <c r="AB57" s="8">
        <v>0.1</v>
      </c>
    </row>
    <row r="58" spans="1:28" x14ac:dyDescent="0.25">
      <c r="A58">
        <v>2026</v>
      </c>
      <c r="B58" t="s">
        <v>53</v>
      </c>
      <c r="C58" t="s">
        <v>60</v>
      </c>
      <c r="D58" t="s">
        <v>61</v>
      </c>
      <c r="G58" t="s">
        <v>63</v>
      </c>
      <c r="H58" t="s">
        <v>63</v>
      </c>
      <c r="I58" t="s">
        <v>78</v>
      </c>
      <c r="J58" t="s">
        <v>69</v>
      </c>
      <c r="K58" t="s">
        <v>33</v>
      </c>
      <c r="L58">
        <v>49000</v>
      </c>
      <c r="M58" s="7">
        <v>49000</v>
      </c>
      <c r="O58" s="7">
        <f t="shared" si="6"/>
        <v>58800</v>
      </c>
      <c r="P58" s="7">
        <v>0</v>
      </c>
      <c r="Q58" s="8">
        <v>0</v>
      </c>
      <c r="R58" s="7">
        <v>0</v>
      </c>
      <c r="S58" s="9">
        <v>0</v>
      </c>
      <c r="T58" s="7">
        <f>IF(C58="Mediana Complejidad",M58,0)</f>
        <v>49000</v>
      </c>
      <c r="U58" s="8">
        <v>0.2</v>
      </c>
      <c r="V58" s="7">
        <f t="shared" si="7"/>
        <v>58800</v>
      </c>
      <c r="W58" s="10">
        <f>IFERROR(((V58-T58)/V58),0)</f>
        <v>0.16666666666666666</v>
      </c>
      <c r="X58" s="7">
        <v>0</v>
      </c>
      <c r="Y58" s="8">
        <v>0</v>
      </c>
      <c r="Z58" s="7">
        <v>0</v>
      </c>
      <c r="AA58" s="8">
        <v>0</v>
      </c>
      <c r="AB58" s="8">
        <v>0.1</v>
      </c>
    </row>
    <row r="59" spans="1:28" x14ac:dyDescent="0.25">
      <c r="A59">
        <v>2026</v>
      </c>
      <c r="B59" t="s">
        <v>53</v>
      </c>
      <c r="C59" t="s">
        <v>60</v>
      </c>
      <c r="D59" t="s">
        <v>61</v>
      </c>
      <c r="G59" t="s">
        <v>63</v>
      </c>
      <c r="H59" t="s">
        <v>63</v>
      </c>
      <c r="I59" t="s">
        <v>79</v>
      </c>
      <c r="J59" t="s">
        <v>66</v>
      </c>
      <c r="K59" t="s">
        <v>33</v>
      </c>
      <c r="L59">
        <v>224100</v>
      </c>
      <c r="M59" s="7">
        <v>224100</v>
      </c>
      <c r="O59" s="7">
        <f t="shared" si="6"/>
        <v>268920</v>
      </c>
      <c r="P59" s="7">
        <v>0</v>
      </c>
      <c r="Q59" s="8">
        <v>0</v>
      </c>
      <c r="R59" s="7">
        <v>0</v>
      </c>
      <c r="S59" s="9">
        <v>0</v>
      </c>
      <c r="T59" s="7">
        <f>IF(C59="Mediana Complejidad",M59,0)</f>
        <v>224100</v>
      </c>
      <c r="U59" s="8">
        <v>0.2</v>
      </c>
      <c r="V59" s="7">
        <f t="shared" si="7"/>
        <v>268920</v>
      </c>
      <c r="W59" s="10">
        <f>IFERROR(((V59-T59)/V59),0)</f>
        <v>0.16666666666666666</v>
      </c>
      <c r="X59" s="7">
        <v>0</v>
      </c>
      <c r="Y59" s="8">
        <v>0</v>
      </c>
      <c r="Z59" s="7">
        <v>0</v>
      </c>
      <c r="AA59" s="8">
        <v>0</v>
      </c>
      <c r="AB59" s="8">
        <v>0.1</v>
      </c>
    </row>
    <row r="60" spans="1:28" x14ac:dyDescent="0.25">
      <c r="A60">
        <v>2026</v>
      </c>
      <c r="B60" t="s">
        <v>53</v>
      </c>
      <c r="C60" t="s">
        <v>60</v>
      </c>
      <c r="D60" t="s">
        <v>61</v>
      </c>
      <c r="G60" t="s">
        <v>63</v>
      </c>
      <c r="H60" t="s">
        <v>63</v>
      </c>
      <c r="I60" t="s">
        <v>80</v>
      </c>
      <c r="J60" t="s">
        <v>66</v>
      </c>
      <c r="K60" t="s">
        <v>33</v>
      </c>
      <c r="L60">
        <v>38000</v>
      </c>
      <c r="M60" s="7">
        <v>38000</v>
      </c>
      <c r="O60" s="7">
        <f t="shared" si="6"/>
        <v>45600</v>
      </c>
      <c r="P60" s="7">
        <v>0</v>
      </c>
      <c r="Q60" s="8">
        <v>0</v>
      </c>
      <c r="R60" s="7">
        <v>0</v>
      </c>
      <c r="S60" s="9">
        <v>0</v>
      </c>
      <c r="T60" s="7">
        <f>IF(C60="Mediana Complejidad",M60,0)</f>
        <v>38000</v>
      </c>
      <c r="U60" s="8">
        <v>0.2</v>
      </c>
      <c r="V60" s="7">
        <f t="shared" si="7"/>
        <v>45600</v>
      </c>
      <c r="W60" s="10">
        <f>IFERROR(((V60-T60)/V60),0)</f>
        <v>0.16666666666666666</v>
      </c>
      <c r="X60" s="7">
        <v>0</v>
      </c>
      <c r="Y60" s="8">
        <v>0</v>
      </c>
      <c r="Z60" s="7">
        <v>0</v>
      </c>
      <c r="AA60" s="8">
        <v>0</v>
      </c>
      <c r="AB60" s="8">
        <v>0.1</v>
      </c>
    </row>
    <row r="61" spans="1:28" x14ac:dyDescent="0.25">
      <c r="A61">
        <v>2026</v>
      </c>
      <c r="B61" t="s">
        <v>53</v>
      </c>
      <c r="C61" t="s">
        <v>60</v>
      </c>
      <c r="D61" t="s">
        <v>61</v>
      </c>
      <c r="G61" t="s">
        <v>63</v>
      </c>
      <c r="H61" t="s">
        <v>63</v>
      </c>
      <c r="I61" t="s">
        <v>81</v>
      </c>
      <c r="J61" t="s">
        <v>66</v>
      </c>
      <c r="K61" t="s">
        <v>33</v>
      </c>
      <c r="L61">
        <v>39800</v>
      </c>
      <c r="M61" s="7">
        <v>39800</v>
      </c>
      <c r="O61" s="7">
        <f t="shared" si="6"/>
        <v>47760</v>
      </c>
      <c r="P61" s="7">
        <v>0</v>
      </c>
      <c r="Q61" s="8">
        <v>0</v>
      </c>
      <c r="R61" s="7">
        <v>0</v>
      </c>
      <c r="S61" s="9">
        <v>0</v>
      </c>
      <c r="T61" s="7">
        <f>IF(C61="Mediana Complejidad",M61,0)</f>
        <v>39800</v>
      </c>
      <c r="U61" s="8">
        <v>0.2</v>
      </c>
      <c r="V61" s="7">
        <f t="shared" si="7"/>
        <v>47760</v>
      </c>
      <c r="W61" s="10">
        <f>IFERROR(((V61-T61)/V61),0)</f>
        <v>0.16666666666666666</v>
      </c>
      <c r="X61" s="7">
        <v>0</v>
      </c>
      <c r="Y61" s="8">
        <v>0</v>
      </c>
      <c r="Z61" s="7">
        <v>0</v>
      </c>
      <c r="AA61" s="8">
        <v>0</v>
      </c>
      <c r="AB61" s="8">
        <v>0.1</v>
      </c>
    </row>
    <row r="62" spans="1:28" x14ac:dyDescent="0.25">
      <c r="A62">
        <v>2026</v>
      </c>
      <c r="B62" t="s">
        <v>54</v>
      </c>
      <c r="C62" t="s">
        <v>60</v>
      </c>
      <c r="D62" t="s">
        <v>61</v>
      </c>
      <c r="G62" t="s">
        <v>63</v>
      </c>
      <c r="H62" t="s">
        <v>63</v>
      </c>
      <c r="I62" t="s">
        <v>65</v>
      </c>
      <c r="J62" t="s">
        <v>66</v>
      </c>
      <c r="K62" t="s">
        <v>33</v>
      </c>
      <c r="L62">
        <v>28800</v>
      </c>
      <c r="M62" s="7">
        <v>28800</v>
      </c>
      <c r="O62" s="7">
        <f>V62</f>
        <v>34560</v>
      </c>
      <c r="P62" s="7">
        <v>0</v>
      </c>
      <c r="Q62" s="8">
        <v>0</v>
      </c>
      <c r="R62" s="7">
        <v>0</v>
      </c>
      <c r="S62" s="9">
        <v>0</v>
      </c>
      <c r="T62" s="7">
        <f>IF(C62="Mediana Complejidad",M62,0)</f>
        <v>28800</v>
      </c>
      <c r="U62" s="8">
        <v>0.2</v>
      </c>
      <c r="V62" s="7">
        <f>T62+(U62*T62)</f>
        <v>34560</v>
      </c>
      <c r="W62" s="10">
        <f>IFERROR(((V62-T62)/V62),0)</f>
        <v>0.16666666666666666</v>
      </c>
      <c r="X62" s="7">
        <v>0</v>
      </c>
      <c r="Y62" s="8">
        <v>0</v>
      </c>
      <c r="Z62" s="7">
        <v>0</v>
      </c>
      <c r="AA62" s="8">
        <v>0</v>
      </c>
      <c r="AB62" s="8">
        <v>0.1</v>
      </c>
    </row>
    <row r="63" spans="1:28" x14ac:dyDescent="0.25">
      <c r="A63">
        <v>2026</v>
      </c>
      <c r="B63" t="s">
        <v>54</v>
      </c>
      <c r="C63" t="s">
        <v>60</v>
      </c>
      <c r="D63" t="s">
        <v>61</v>
      </c>
      <c r="G63" t="s">
        <v>63</v>
      </c>
      <c r="H63" t="s">
        <v>63</v>
      </c>
      <c r="I63" t="s">
        <v>67</v>
      </c>
      <c r="J63" t="s">
        <v>66</v>
      </c>
      <c r="K63" t="s">
        <v>33</v>
      </c>
      <c r="L63">
        <v>36700</v>
      </c>
      <c r="M63" s="7">
        <v>36700</v>
      </c>
      <c r="O63" s="7">
        <f t="shared" ref="O63:O76" si="8">V63</f>
        <v>44040</v>
      </c>
      <c r="P63" s="7">
        <v>0</v>
      </c>
      <c r="Q63" s="8">
        <v>0</v>
      </c>
      <c r="R63" s="7">
        <v>0</v>
      </c>
      <c r="S63" s="9">
        <v>0</v>
      </c>
      <c r="T63" s="7">
        <f>IF(C63="Mediana Complejidad",M63,0)</f>
        <v>36700</v>
      </c>
      <c r="U63" s="8">
        <v>0.2</v>
      </c>
      <c r="V63" s="7">
        <f t="shared" ref="V63:V76" si="9">T63+(U63*T63)</f>
        <v>44040</v>
      </c>
      <c r="W63" s="10">
        <f>IFERROR(((V63-T63)/V63),0)</f>
        <v>0.16666666666666666</v>
      </c>
      <c r="X63" s="7">
        <v>0</v>
      </c>
      <c r="Y63" s="8">
        <v>0</v>
      </c>
      <c r="Z63" s="7">
        <v>0</v>
      </c>
      <c r="AA63" s="8">
        <v>0</v>
      </c>
      <c r="AB63" s="8">
        <v>0.1</v>
      </c>
    </row>
    <row r="64" spans="1:28" x14ac:dyDescent="0.25">
      <c r="A64">
        <v>2026</v>
      </c>
      <c r="B64" t="s">
        <v>54</v>
      </c>
      <c r="C64" t="s">
        <v>60</v>
      </c>
      <c r="D64" t="s">
        <v>61</v>
      </c>
      <c r="G64" t="s">
        <v>63</v>
      </c>
      <c r="H64" t="s">
        <v>63</v>
      </c>
      <c r="I64" t="s">
        <v>68</v>
      </c>
      <c r="J64" t="s">
        <v>69</v>
      </c>
      <c r="K64" t="s">
        <v>33</v>
      </c>
      <c r="L64">
        <v>28000</v>
      </c>
      <c r="M64" s="7">
        <v>28000</v>
      </c>
      <c r="O64" s="7">
        <f t="shared" si="8"/>
        <v>33600</v>
      </c>
      <c r="P64" s="7">
        <v>0</v>
      </c>
      <c r="Q64" s="8">
        <v>0</v>
      </c>
      <c r="R64" s="7">
        <v>0</v>
      </c>
      <c r="S64" s="9">
        <v>0</v>
      </c>
      <c r="T64" s="7">
        <f>IF(C64="Mediana Complejidad",M64,0)</f>
        <v>28000</v>
      </c>
      <c r="U64" s="8">
        <v>0.2</v>
      </c>
      <c r="V64" s="7">
        <f t="shared" si="9"/>
        <v>33600</v>
      </c>
      <c r="W64" s="10">
        <f>IFERROR(((V64-T64)/V64),0)</f>
        <v>0.16666666666666666</v>
      </c>
      <c r="X64" s="7">
        <v>0</v>
      </c>
      <c r="Y64" s="8">
        <v>0</v>
      </c>
      <c r="Z64" s="7">
        <v>0</v>
      </c>
      <c r="AA64" s="8">
        <v>0</v>
      </c>
      <c r="AB64" s="8">
        <v>0.1</v>
      </c>
    </row>
    <row r="65" spans="1:28" x14ac:dyDescent="0.25">
      <c r="A65">
        <v>2026</v>
      </c>
      <c r="B65" t="s">
        <v>54</v>
      </c>
      <c r="C65" t="s">
        <v>60</v>
      </c>
      <c r="D65" t="s">
        <v>61</v>
      </c>
      <c r="G65" t="s">
        <v>63</v>
      </c>
      <c r="H65" t="s">
        <v>63</v>
      </c>
      <c r="I65" t="s">
        <v>70</v>
      </c>
      <c r="J65" t="s">
        <v>69</v>
      </c>
      <c r="K65" t="s">
        <v>33</v>
      </c>
      <c r="L65">
        <v>36700</v>
      </c>
      <c r="M65" s="7">
        <v>36700</v>
      </c>
      <c r="O65" s="7">
        <f t="shared" si="8"/>
        <v>44040</v>
      </c>
      <c r="P65" s="7">
        <v>0</v>
      </c>
      <c r="Q65" s="8">
        <v>0</v>
      </c>
      <c r="R65" s="7">
        <v>0</v>
      </c>
      <c r="S65" s="9">
        <v>0</v>
      </c>
      <c r="T65" s="7">
        <f>IF(C65="Mediana Complejidad",M65,0)</f>
        <v>36700</v>
      </c>
      <c r="U65" s="8">
        <v>0.2</v>
      </c>
      <c r="V65" s="7">
        <f t="shared" si="9"/>
        <v>44040</v>
      </c>
      <c r="W65" s="10">
        <f>IFERROR(((V65-T65)/V65),0)</f>
        <v>0.16666666666666666</v>
      </c>
      <c r="X65" s="7">
        <v>0</v>
      </c>
      <c r="Y65" s="8">
        <v>0</v>
      </c>
      <c r="Z65" s="7">
        <v>0</v>
      </c>
      <c r="AA65" s="8">
        <v>0</v>
      </c>
      <c r="AB65" s="8">
        <v>0.1</v>
      </c>
    </row>
    <row r="66" spans="1:28" x14ac:dyDescent="0.25">
      <c r="A66">
        <v>2026</v>
      </c>
      <c r="B66" t="s">
        <v>54</v>
      </c>
      <c r="C66" t="s">
        <v>60</v>
      </c>
      <c r="D66" t="s">
        <v>61</v>
      </c>
      <c r="G66" t="s">
        <v>63</v>
      </c>
      <c r="H66" t="s">
        <v>63</v>
      </c>
      <c r="I66" t="s">
        <v>71</v>
      </c>
      <c r="J66" t="s">
        <v>69</v>
      </c>
      <c r="K66" t="s">
        <v>33</v>
      </c>
      <c r="L66">
        <v>21900</v>
      </c>
      <c r="M66" s="7">
        <v>21900</v>
      </c>
      <c r="O66" s="7">
        <f t="shared" si="8"/>
        <v>26280</v>
      </c>
      <c r="P66" s="7">
        <v>0</v>
      </c>
      <c r="Q66" s="8">
        <v>0</v>
      </c>
      <c r="R66" s="7">
        <v>0</v>
      </c>
      <c r="S66" s="9">
        <v>0</v>
      </c>
      <c r="T66" s="7">
        <f>IF(C66="Mediana Complejidad",M66,0)</f>
        <v>21900</v>
      </c>
      <c r="U66" s="8">
        <v>0.2</v>
      </c>
      <c r="V66" s="7">
        <f t="shared" si="9"/>
        <v>26280</v>
      </c>
      <c r="W66" s="10">
        <f>IFERROR(((V66-T66)/V66),0)</f>
        <v>0.16666666666666666</v>
      </c>
      <c r="X66" s="7">
        <v>0</v>
      </c>
      <c r="Y66" s="8">
        <v>0</v>
      </c>
      <c r="Z66" s="7">
        <v>0</v>
      </c>
      <c r="AA66" s="8">
        <v>0</v>
      </c>
      <c r="AB66" s="8">
        <v>0.1</v>
      </c>
    </row>
    <row r="67" spans="1:28" x14ac:dyDescent="0.25">
      <c r="A67">
        <v>2026</v>
      </c>
      <c r="B67" t="s">
        <v>54</v>
      </c>
      <c r="C67" t="s">
        <v>60</v>
      </c>
      <c r="D67" t="s">
        <v>61</v>
      </c>
      <c r="G67" t="s">
        <v>63</v>
      </c>
      <c r="H67" t="s">
        <v>63</v>
      </c>
      <c r="I67" t="s">
        <v>72</v>
      </c>
      <c r="J67" t="s">
        <v>69</v>
      </c>
      <c r="K67" t="s">
        <v>33</v>
      </c>
      <c r="L67">
        <v>114900</v>
      </c>
      <c r="M67" s="7">
        <v>114900</v>
      </c>
      <c r="O67" s="7">
        <f t="shared" si="8"/>
        <v>137880</v>
      </c>
      <c r="P67" s="7">
        <v>0</v>
      </c>
      <c r="Q67" s="8">
        <v>0</v>
      </c>
      <c r="R67" s="7">
        <v>0</v>
      </c>
      <c r="S67" s="9">
        <v>0</v>
      </c>
      <c r="T67" s="7">
        <f>IF(C67="Mediana Complejidad",M67,0)</f>
        <v>114900</v>
      </c>
      <c r="U67" s="8">
        <v>0.2</v>
      </c>
      <c r="V67" s="7">
        <f t="shared" si="9"/>
        <v>137880</v>
      </c>
      <c r="W67" s="10">
        <f>IFERROR(((V67-T67)/V67),0)</f>
        <v>0.16666666666666666</v>
      </c>
      <c r="X67" s="7">
        <v>0</v>
      </c>
      <c r="Y67" s="8">
        <v>0</v>
      </c>
      <c r="Z67" s="7">
        <v>0</v>
      </c>
      <c r="AA67" s="8">
        <v>0</v>
      </c>
      <c r="AB67" s="8">
        <v>0.1</v>
      </c>
    </row>
    <row r="68" spans="1:28" x14ac:dyDescent="0.25">
      <c r="A68">
        <v>2026</v>
      </c>
      <c r="B68" t="s">
        <v>54</v>
      </c>
      <c r="C68" t="s">
        <v>60</v>
      </c>
      <c r="D68" t="s">
        <v>61</v>
      </c>
      <c r="G68" t="s">
        <v>63</v>
      </c>
      <c r="H68" t="s">
        <v>63</v>
      </c>
      <c r="I68" t="s">
        <v>73</v>
      </c>
      <c r="J68" t="s">
        <v>69</v>
      </c>
      <c r="K68" t="s">
        <v>33</v>
      </c>
      <c r="L68">
        <v>28000</v>
      </c>
      <c r="M68" s="7">
        <v>28000</v>
      </c>
      <c r="O68" s="7">
        <f t="shared" si="8"/>
        <v>33600</v>
      </c>
      <c r="P68" s="7">
        <v>0</v>
      </c>
      <c r="Q68" s="8">
        <v>0</v>
      </c>
      <c r="R68" s="7">
        <v>0</v>
      </c>
      <c r="S68" s="9">
        <v>0</v>
      </c>
      <c r="T68" s="7">
        <f>IF(C68="Mediana Complejidad",M68,0)</f>
        <v>28000</v>
      </c>
      <c r="U68" s="8">
        <v>0.2</v>
      </c>
      <c r="V68" s="7">
        <f t="shared" si="9"/>
        <v>33600</v>
      </c>
      <c r="W68" s="10">
        <f>IFERROR(((V68-T68)/V68),0)</f>
        <v>0.16666666666666666</v>
      </c>
      <c r="X68" s="7">
        <v>0</v>
      </c>
      <c r="Y68" s="8">
        <v>0</v>
      </c>
      <c r="Z68" s="7">
        <v>0</v>
      </c>
      <c r="AA68" s="8">
        <v>0</v>
      </c>
      <c r="AB68" s="8">
        <v>0.1</v>
      </c>
    </row>
    <row r="69" spans="1:28" x14ac:dyDescent="0.25">
      <c r="A69">
        <v>2026</v>
      </c>
      <c r="B69" t="s">
        <v>54</v>
      </c>
      <c r="C69" t="s">
        <v>60</v>
      </c>
      <c r="D69" t="s">
        <v>61</v>
      </c>
      <c r="G69" t="s">
        <v>63</v>
      </c>
      <c r="H69" t="s">
        <v>63</v>
      </c>
      <c r="I69" t="s">
        <v>74</v>
      </c>
      <c r="J69" t="s">
        <v>69</v>
      </c>
      <c r="K69" t="s">
        <v>33</v>
      </c>
      <c r="L69">
        <v>49200</v>
      </c>
      <c r="M69" s="7">
        <v>49200</v>
      </c>
      <c r="O69" s="7">
        <f t="shared" si="8"/>
        <v>59040</v>
      </c>
      <c r="P69" s="7">
        <v>0</v>
      </c>
      <c r="Q69" s="8">
        <v>0</v>
      </c>
      <c r="R69" s="7">
        <v>0</v>
      </c>
      <c r="S69" s="9">
        <v>0</v>
      </c>
      <c r="T69" s="7">
        <f>IF(C69="Mediana Complejidad",M69,0)</f>
        <v>49200</v>
      </c>
      <c r="U69" s="8">
        <v>0.2</v>
      </c>
      <c r="V69" s="7">
        <f t="shared" si="9"/>
        <v>59040</v>
      </c>
      <c r="W69" s="10">
        <f>IFERROR(((V69-T69)/V69),0)</f>
        <v>0.16666666666666666</v>
      </c>
      <c r="X69" s="7">
        <v>0</v>
      </c>
      <c r="Y69" s="8">
        <v>0</v>
      </c>
      <c r="Z69" s="7">
        <v>0</v>
      </c>
      <c r="AA69" s="8">
        <v>0</v>
      </c>
      <c r="AB69" s="8">
        <v>0.1</v>
      </c>
    </row>
    <row r="70" spans="1:28" x14ac:dyDescent="0.25">
      <c r="A70">
        <v>2026</v>
      </c>
      <c r="B70" t="s">
        <v>54</v>
      </c>
      <c r="C70" t="s">
        <v>60</v>
      </c>
      <c r="D70" t="s">
        <v>61</v>
      </c>
      <c r="G70" t="s">
        <v>63</v>
      </c>
      <c r="H70" t="s">
        <v>63</v>
      </c>
      <c r="I70" t="s">
        <v>75</v>
      </c>
      <c r="J70" t="s">
        <v>69</v>
      </c>
      <c r="K70" t="s">
        <v>33</v>
      </c>
      <c r="L70">
        <v>141600</v>
      </c>
      <c r="M70" s="7">
        <v>141600</v>
      </c>
      <c r="O70" s="7">
        <f t="shared" si="8"/>
        <v>169920</v>
      </c>
      <c r="P70" s="7">
        <v>0</v>
      </c>
      <c r="Q70" s="8">
        <v>0</v>
      </c>
      <c r="R70" s="7">
        <v>0</v>
      </c>
      <c r="S70" s="9">
        <v>0</v>
      </c>
      <c r="T70" s="7">
        <f>IF(C70="Mediana Complejidad",M70,0)</f>
        <v>141600</v>
      </c>
      <c r="U70" s="8">
        <v>0.2</v>
      </c>
      <c r="V70" s="7">
        <f t="shared" si="9"/>
        <v>169920</v>
      </c>
      <c r="W70" s="10">
        <f>IFERROR(((V70-T70)/V70),0)</f>
        <v>0.16666666666666666</v>
      </c>
      <c r="X70" s="7">
        <v>0</v>
      </c>
      <c r="Y70" s="8">
        <v>0</v>
      </c>
      <c r="Z70" s="7">
        <v>0</v>
      </c>
      <c r="AA70" s="8">
        <v>0</v>
      </c>
      <c r="AB70" s="8">
        <v>0.1</v>
      </c>
    </row>
    <row r="71" spans="1:28" x14ac:dyDescent="0.25">
      <c r="A71">
        <v>2026</v>
      </c>
      <c r="B71" t="s">
        <v>54</v>
      </c>
      <c r="C71" t="s">
        <v>60</v>
      </c>
      <c r="D71" t="s">
        <v>61</v>
      </c>
      <c r="G71" t="s">
        <v>63</v>
      </c>
      <c r="H71" t="s">
        <v>63</v>
      </c>
      <c r="I71" t="s">
        <v>76</v>
      </c>
      <c r="J71" t="s">
        <v>69</v>
      </c>
      <c r="K71" t="s">
        <v>33</v>
      </c>
      <c r="L71">
        <v>174700</v>
      </c>
      <c r="M71" s="7">
        <v>174700</v>
      </c>
      <c r="O71" s="7">
        <f t="shared" si="8"/>
        <v>209640</v>
      </c>
      <c r="P71" s="7">
        <v>0</v>
      </c>
      <c r="Q71" s="8">
        <v>0</v>
      </c>
      <c r="R71" s="7">
        <v>0</v>
      </c>
      <c r="S71" s="9">
        <v>0</v>
      </c>
      <c r="T71" s="7">
        <f>IF(C71="Mediana Complejidad",M71,0)</f>
        <v>174700</v>
      </c>
      <c r="U71" s="8">
        <v>0.2</v>
      </c>
      <c r="V71" s="7">
        <f t="shared" si="9"/>
        <v>209640</v>
      </c>
      <c r="W71" s="10">
        <f>IFERROR(((V71-T71)/V71),0)</f>
        <v>0.16666666666666666</v>
      </c>
      <c r="X71" s="7">
        <v>0</v>
      </c>
      <c r="Y71" s="8">
        <v>0</v>
      </c>
      <c r="Z71" s="7">
        <v>0</v>
      </c>
      <c r="AA71" s="8">
        <v>0</v>
      </c>
      <c r="AB71" s="8">
        <v>0.1</v>
      </c>
    </row>
    <row r="72" spans="1:28" x14ac:dyDescent="0.25">
      <c r="A72">
        <v>2026</v>
      </c>
      <c r="B72" t="s">
        <v>54</v>
      </c>
      <c r="C72" t="s">
        <v>60</v>
      </c>
      <c r="D72" t="s">
        <v>61</v>
      </c>
      <c r="G72" t="s">
        <v>63</v>
      </c>
      <c r="H72" t="s">
        <v>63</v>
      </c>
      <c r="I72" t="s">
        <v>77</v>
      </c>
      <c r="J72" t="s">
        <v>69</v>
      </c>
      <c r="K72" t="s">
        <v>33</v>
      </c>
      <c r="L72">
        <v>204000</v>
      </c>
      <c r="M72" s="7">
        <v>204000</v>
      </c>
      <c r="O72" s="7">
        <f t="shared" si="8"/>
        <v>244800</v>
      </c>
      <c r="P72" s="7">
        <v>0</v>
      </c>
      <c r="Q72" s="8">
        <v>0</v>
      </c>
      <c r="R72" s="7">
        <v>0</v>
      </c>
      <c r="S72" s="9">
        <v>0</v>
      </c>
      <c r="T72" s="7">
        <f>IF(C72="Mediana Complejidad",M72,0)</f>
        <v>204000</v>
      </c>
      <c r="U72" s="8">
        <v>0.2</v>
      </c>
      <c r="V72" s="7">
        <f t="shared" si="9"/>
        <v>244800</v>
      </c>
      <c r="W72" s="10">
        <f>IFERROR(((V72-T72)/V72),0)</f>
        <v>0.16666666666666666</v>
      </c>
      <c r="X72" s="7">
        <v>0</v>
      </c>
      <c r="Y72" s="8">
        <v>0</v>
      </c>
      <c r="Z72" s="7">
        <v>0</v>
      </c>
      <c r="AA72" s="8">
        <v>0</v>
      </c>
      <c r="AB72" s="8">
        <v>0.1</v>
      </c>
    </row>
    <row r="73" spans="1:28" x14ac:dyDescent="0.25">
      <c r="A73">
        <v>2026</v>
      </c>
      <c r="B73" t="s">
        <v>54</v>
      </c>
      <c r="C73" t="s">
        <v>60</v>
      </c>
      <c r="D73" t="s">
        <v>61</v>
      </c>
      <c r="G73" t="s">
        <v>63</v>
      </c>
      <c r="H73" t="s">
        <v>63</v>
      </c>
      <c r="I73" t="s">
        <v>78</v>
      </c>
      <c r="J73" t="s">
        <v>69</v>
      </c>
      <c r="K73" t="s">
        <v>33</v>
      </c>
      <c r="L73">
        <v>49000</v>
      </c>
      <c r="M73" s="7">
        <v>49000</v>
      </c>
      <c r="O73" s="7">
        <f t="shared" si="8"/>
        <v>58800</v>
      </c>
      <c r="P73" s="7">
        <v>0</v>
      </c>
      <c r="Q73" s="8">
        <v>0</v>
      </c>
      <c r="R73" s="7">
        <v>0</v>
      </c>
      <c r="S73" s="9">
        <v>0</v>
      </c>
      <c r="T73" s="7">
        <f>IF(C73="Mediana Complejidad",M73,0)</f>
        <v>49000</v>
      </c>
      <c r="U73" s="8">
        <v>0.2</v>
      </c>
      <c r="V73" s="7">
        <f t="shared" si="9"/>
        <v>58800</v>
      </c>
      <c r="W73" s="10">
        <f>IFERROR(((V73-T73)/V73),0)</f>
        <v>0.16666666666666666</v>
      </c>
      <c r="X73" s="7">
        <v>0</v>
      </c>
      <c r="Y73" s="8">
        <v>0</v>
      </c>
      <c r="Z73" s="7">
        <v>0</v>
      </c>
      <c r="AA73" s="8">
        <v>0</v>
      </c>
      <c r="AB73" s="8">
        <v>0.1</v>
      </c>
    </row>
    <row r="74" spans="1:28" x14ac:dyDescent="0.25">
      <c r="A74">
        <v>2026</v>
      </c>
      <c r="B74" t="s">
        <v>54</v>
      </c>
      <c r="C74" t="s">
        <v>60</v>
      </c>
      <c r="D74" t="s">
        <v>61</v>
      </c>
      <c r="G74" t="s">
        <v>63</v>
      </c>
      <c r="H74" t="s">
        <v>63</v>
      </c>
      <c r="I74" t="s">
        <v>79</v>
      </c>
      <c r="J74" t="s">
        <v>66</v>
      </c>
      <c r="K74" t="s">
        <v>33</v>
      </c>
      <c r="L74">
        <v>224100</v>
      </c>
      <c r="M74" s="7">
        <v>224100</v>
      </c>
      <c r="O74" s="7">
        <f t="shared" si="8"/>
        <v>268920</v>
      </c>
      <c r="P74" s="7">
        <v>0</v>
      </c>
      <c r="Q74" s="8">
        <v>0</v>
      </c>
      <c r="R74" s="7">
        <v>0</v>
      </c>
      <c r="S74" s="9">
        <v>0</v>
      </c>
      <c r="T74" s="7">
        <f>IF(C74="Mediana Complejidad",M74,0)</f>
        <v>224100</v>
      </c>
      <c r="U74" s="8">
        <v>0.2</v>
      </c>
      <c r="V74" s="7">
        <f t="shared" si="9"/>
        <v>268920</v>
      </c>
      <c r="W74" s="10">
        <f>IFERROR(((V74-T74)/V74),0)</f>
        <v>0.16666666666666666</v>
      </c>
      <c r="X74" s="7">
        <v>0</v>
      </c>
      <c r="Y74" s="8">
        <v>0</v>
      </c>
      <c r="Z74" s="7">
        <v>0</v>
      </c>
      <c r="AA74" s="8">
        <v>0</v>
      </c>
      <c r="AB74" s="8">
        <v>0.1</v>
      </c>
    </row>
    <row r="75" spans="1:28" x14ac:dyDescent="0.25">
      <c r="A75">
        <v>2026</v>
      </c>
      <c r="B75" t="s">
        <v>54</v>
      </c>
      <c r="C75" t="s">
        <v>60</v>
      </c>
      <c r="D75" t="s">
        <v>61</v>
      </c>
      <c r="G75" t="s">
        <v>63</v>
      </c>
      <c r="H75" t="s">
        <v>63</v>
      </c>
      <c r="I75" t="s">
        <v>80</v>
      </c>
      <c r="J75" t="s">
        <v>66</v>
      </c>
      <c r="K75" t="s">
        <v>33</v>
      </c>
      <c r="L75">
        <v>38000</v>
      </c>
      <c r="M75" s="7">
        <v>38000</v>
      </c>
      <c r="O75" s="7">
        <f t="shared" si="8"/>
        <v>45600</v>
      </c>
      <c r="P75" s="7">
        <v>0</v>
      </c>
      <c r="Q75" s="8">
        <v>0</v>
      </c>
      <c r="R75" s="7">
        <v>0</v>
      </c>
      <c r="S75" s="9">
        <v>0</v>
      </c>
      <c r="T75" s="7">
        <f>IF(C75="Mediana Complejidad",M75,0)</f>
        <v>38000</v>
      </c>
      <c r="U75" s="8">
        <v>0.2</v>
      </c>
      <c r="V75" s="7">
        <f t="shared" si="9"/>
        <v>45600</v>
      </c>
      <c r="W75" s="10">
        <f>IFERROR(((V75-T75)/V75),0)</f>
        <v>0.16666666666666666</v>
      </c>
      <c r="X75" s="7">
        <v>0</v>
      </c>
      <c r="Y75" s="8">
        <v>0</v>
      </c>
      <c r="Z75" s="7">
        <v>0</v>
      </c>
      <c r="AA75" s="8">
        <v>0</v>
      </c>
      <c r="AB75" s="8">
        <v>0.1</v>
      </c>
    </row>
    <row r="76" spans="1:28" x14ac:dyDescent="0.25">
      <c r="A76">
        <v>2026</v>
      </c>
      <c r="B76" t="s">
        <v>54</v>
      </c>
      <c r="C76" t="s">
        <v>60</v>
      </c>
      <c r="D76" t="s">
        <v>61</v>
      </c>
      <c r="G76" t="s">
        <v>63</v>
      </c>
      <c r="H76" t="s">
        <v>63</v>
      </c>
      <c r="I76" t="s">
        <v>81</v>
      </c>
      <c r="J76" t="s">
        <v>66</v>
      </c>
      <c r="K76" t="s">
        <v>33</v>
      </c>
      <c r="L76">
        <v>39800</v>
      </c>
      <c r="M76" s="7">
        <v>39800</v>
      </c>
      <c r="O76" s="7">
        <f t="shared" si="8"/>
        <v>47760</v>
      </c>
      <c r="P76" s="7">
        <v>0</v>
      </c>
      <c r="Q76" s="8">
        <v>0</v>
      </c>
      <c r="R76" s="7">
        <v>0</v>
      </c>
      <c r="S76" s="9">
        <v>0</v>
      </c>
      <c r="T76" s="7">
        <f>IF(C76="Mediana Complejidad",M76,0)</f>
        <v>39800</v>
      </c>
      <c r="U76" s="8">
        <v>0.2</v>
      </c>
      <c r="V76" s="7">
        <f t="shared" si="9"/>
        <v>47760</v>
      </c>
      <c r="W76" s="10">
        <f>IFERROR(((V76-T76)/V76),0)</f>
        <v>0.16666666666666666</v>
      </c>
      <c r="X76" s="7">
        <v>0</v>
      </c>
      <c r="Y76" s="8">
        <v>0</v>
      </c>
      <c r="Z76" s="7">
        <v>0</v>
      </c>
      <c r="AA76" s="8">
        <v>0</v>
      </c>
      <c r="AB76" s="8">
        <v>0.1</v>
      </c>
    </row>
    <row r="77" spans="1:28" x14ac:dyDescent="0.25">
      <c r="A77">
        <v>2026</v>
      </c>
      <c r="B77" t="s">
        <v>55</v>
      </c>
      <c r="C77" t="s">
        <v>60</v>
      </c>
      <c r="D77" t="s">
        <v>61</v>
      </c>
      <c r="G77" t="s">
        <v>63</v>
      </c>
      <c r="H77" t="s">
        <v>63</v>
      </c>
      <c r="I77" t="s">
        <v>65</v>
      </c>
      <c r="J77" t="s">
        <v>66</v>
      </c>
      <c r="K77" t="s">
        <v>33</v>
      </c>
      <c r="L77">
        <v>28800</v>
      </c>
      <c r="M77" s="7">
        <v>28800</v>
      </c>
      <c r="O77" s="7">
        <f>V77</f>
        <v>34560</v>
      </c>
      <c r="P77" s="7">
        <v>0</v>
      </c>
      <c r="Q77" s="8">
        <v>0</v>
      </c>
      <c r="R77" s="7">
        <v>0</v>
      </c>
      <c r="S77" s="9">
        <v>0</v>
      </c>
      <c r="T77" s="7">
        <f>IF(C77="Mediana Complejidad",M77,0)</f>
        <v>28800</v>
      </c>
      <c r="U77" s="8">
        <v>0.2</v>
      </c>
      <c r="V77" s="7">
        <f>T77+(U77*T77)</f>
        <v>34560</v>
      </c>
      <c r="W77" s="10">
        <f>IFERROR(((V77-T77)/V77),0)</f>
        <v>0.16666666666666666</v>
      </c>
      <c r="X77" s="7">
        <v>0</v>
      </c>
      <c r="Y77" s="8">
        <v>0</v>
      </c>
      <c r="Z77" s="7">
        <v>0</v>
      </c>
      <c r="AA77" s="8">
        <v>0</v>
      </c>
      <c r="AB77" s="8">
        <v>0.1</v>
      </c>
    </row>
    <row r="78" spans="1:28" x14ac:dyDescent="0.25">
      <c r="A78">
        <v>2026</v>
      </c>
      <c r="B78" t="s">
        <v>55</v>
      </c>
      <c r="C78" t="s">
        <v>60</v>
      </c>
      <c r="D78" t="s">
        <v>61</v>
      </c>
      <c r="G78" t="s">
        <v>63</v>
      </c>
      <c r="H78" t="s">
        <v>63</v>
      </c>
      <c r="I78" t="s">
        <v>67</v>
      </c>
      <c r="J78" t="s">
        <v>66</v>
      </c>
      <c r="K78" t="s">
        <v>33</v>
      </c>
      <c r="L78">
        <v>36700</v>
      </c>
      <c r="M78" s="7">
        <v>36700</v>
      </c>
      <c r="O78" s="7">
        <f t="shared" ref="O78:O91" si="10">V78</f>
        <v>44040</v>
      </c>
      <c r="P78" s="7">
        <v>0</v>
      </c>
      <c r="Q78" s="8">
        <v>0</v>
      </c>
      <c r="R78" s="7">
        <v>0</v>
      </c>
      <c r="S78" s="9">
        <v>0</v>
      </c>
      <c r="T78" s="7">
        <f>IF(C78="Mediana Complejidad",M78,0)</f>
        <v>36700</v>
      </c>
      <c r="U78" s="8">
        <v>0.2</v>
      </c>
      <c r="V78" s="7">
        <f t="shared" ref="V78:V91" si="11">T78+(U78*T78)</f>
        <v>44040</v>
      </c>
      <c r="W78" s="10">
        <f>IFERROR(((V78-T78)/V78),0)</f>
        <v>0.16666666666666666</v>
      </c>
      <c r="X78" s="7">
        <v>0</v>
      </c>
      <c r="Y78" s="8">
        <v>0</v>
      </c>
      <c r="Z78" s="7">
        <v>0</v>
      </c>
      <c r="AA78" s="8">
        <v>0</v>
      </c>
      <c r="AB78" s="8">
        <v>0.1</v>
      </c>
    </row>
    <row r="79" spans="1:28" x14ac:dyDescent="0.25">
      <c r="A79">
        <v>2026</v>
      </c>
      <c r="B79" t="s">
        <v>55</v>
      </c>
      <c r="C79" t="s">
        <v>60</v>
      </c>
      <c r="D79" t="s">
        <v>61</v>
      </c>
      <c r="G79" t="s">
        <v>63</v>
      </c>
      <c r="H79" t="s">
        <v>63</v>
      </c>
      <c r="I79" t="s">
        <v>68</v>
      </c>
      <c r="J79" t="s">
        <v>69</v>
      </c>
      <c r="K79" t="s">
        <v>33</v>
      </c>
      <c r="L79">
        <v>28000</v>
      </c>
      <c r="M79" s="7">
        <v>28000</v>
      </c>
      <c r="O79" s="7">
        <f t="shared" si="10"/>
        <v>33600</v>
      </c>
      <c r="P79" s="7">
        <v>0</v>
      </c>
      <c r="Q79" s="8">
        <v>0</v>
      </c>
      <c r="R79" s="7">
        <v>0</v>
      </c>
      <c r="S79" s="9">
        <v>0</v>
      </c>
      <c r="T79" s="7">
        <f>IF(C79="Mediana Complejidad",M79,0)</f>
        <v>28000</v>
      </c>
      <c r="U79" s="8">
        <v>0.2</v>
      </c>
      <c r="V79" s="7">
        <f t="shared" si="11"/>
        <v>33600</v>
      </c>
      <c r="W79" s="10">
        <f>IFERROR(((V79-T79)/V79),0)</f>
        <v>0.16666666666666666</v>
      </c>
      <c r="X79" s="7">
        <v>0</v>
      </c>
      <c r="Y79" s="8">
        <v>0</v>
      </c>
      <c r="Z79" s="7">
        <v>0</v>
      </c>
      <c r="AA79" s="8">
        <v>0</v>
      </c>
      <c r="AB79" s="8">
        <v>0.1</v>
      </c>
    </row>
    <row r="80" spans="1:28" x14ac:dyDescent="0.25">
      <c r="A80">
        <v>2026</v>
      </c>
      <c r="B80" t="s">
        <v>55</v>
      </c>
      <c r="C80" t="s">
        <v>60</v>
      </c>
      <c r="D80" t="s">
        <v>61</v>
      </c>
      <c r="G80" t="s">
        <v>63</v>
      </c>
      <c r="H80" t="s">
        <v>63</v>
      </c>
      <c r="I80" t="s">
        <v>70</v>
      </c>
      <c r="J80" t="s">
        <v>69</v>
      </c>
      <c r="K80" t="s">
        <v>33</v>
      </c>
      <c r="L80">
        <v>36700</v>
      </c>
      <c r="M80" s="7">
        <v>36700</v>
      </c>
      <c r="O80" s="7">
        <f t="shared" si="10"/>
        <v>44040</v>
      </c>
      <c r="P80" s="7">
        <v>0</v>
      </c>
      <c r="Q80" s="8">
        <v>0</v>
      </c>
      <c r="R80" s="7">
        <v>0</v>
      </c>
      <c r="S80" s="9">
        <v>0</v>
      </c>
      <c r="T80" s="7">
        <f>IF(C80="Mediana Complejidad",M80,0)</f>
        <v>36700</v>
      </c>
      <c r="U80" s="8">
        <v>0.2</v>
      </c>
      <c r="V80" s="7">
        <f t="shared" si="11"/>
        <v>44040</v>
      </c>
      <c r="W80" s="10">
        <f>IFERROR(((V80-T80)/V80),0)</f>
        <v>0.16666666666666666</v>
      </c>
      <c r="X80" s="7">
        <v>0</v>
      </c>
      <c r="Y80" s="8">
        <v>0</v>
      </c>
      <c r="Z80" s="7">
        <v>0</v>
      </c>
      <c r="AA80" s="8">
        <v>0</v>
      </c>
      <c r="AB80" s="8">
        <v>0.1</v>
      </c>
    </row>
    <row r="81" spans="1:28" x14ac:dyDescent="0.25">
      <c r="A81">
        <v>2026</v>
      </c>
      <c r="B81" t="s">
        <v>55</v>
      </c>
      <c r="C81" t="s">
        <v>60</v>
      </c>
      <c r="D81" t="s">
        <v>61</v>
      </c>
      <c r="G81" t="s">
        <v>63</v>
      </c>
      <c r="H81" t="s">
        <v>63</v>
      </c>
      <c r="I81" t="s">
        <v>71</v>
      </c>
      <c r="J81" t="s">
        <v>69</v>
      </c>
      <c r="K81" t="s">
        <v>33</v>
      </c>
      <c r="L81">
        <v>21900</v>
      </c>
      <c r="M81" s="7">
        <v>21900</v>
      </c>
      <c r="O81" s="7">
        <f t="shared" si="10"/>
        <v>26280</v>
      </c>
      <c r="P81" s="7">
        <v>0</v>
      </c>
      <c r="Q81" s="8">
        <v>0</v>
      </c>
      <c r="R81" s="7">
        <v>0</v>
      </c>
      <c r="S81" s="9">
        <v>0</v>
      </c>
      <c r="T81" s="7">
        <f>IF(C81="Mediana Complejidad",M81,0)</f>
        <v>21900</v>
      </c>
      <c r="U81" s="8">
        <v>0.2</v>
      </c>
      <c r="V81" s="7">
        <f t="shared" si="11"/>
        <v>26280</v>
      </c>
      <c r="W81" s="10">
        <f>IFERROR(((V81-T81)/V81),0)</f>
        <v>0.16666666666666666</v>
      </c>
      <c r="X81" s="7">
        <v>0</v>
      </c>
      <c r="Y81" s="8">
        <v>0</v>
      </c>
      <c r="Z81" s="7">
        <v>0</v>
      </c>
      <c r="AA81" s="8">
        <v>0</v>
      </c>
      <c r="AB81" s="8">
        <v>0.1</v>
      </c>
    </row>
    <row r="82" spans="1:28" x14ac:dyDescent="0.25">
      <c r="A82">
        <v>2026</v>
      </c>
      <c r="B82" t="s">
        <v>55</v>
      </c>
      <c r="C82" t="s">
        <v>60</v>
      </c>
      <c r="D82" t="s">
        <v>61</v>
      </c>
      <c r="G82" t="s">
        <v>63</v>
      </c>
      <c r="H82" t="s">
        <v>63</v>
      </c>
      <c r="I82" t="s">
        <v>72</v>
      </c>
      <c r="J82" t="s">
        <v>69</v>
      </c>
      <c r="K82" t="s">
        <v>33</v>
      </c>
      <c r="L82">
        <v>114900</v>
      </c>
      <c r="M82" s="7">
        <v>114900</v>
      </c>
      <c r="O82" s="7">
        <f t="shared" si="10"/>
        <v>137880</v>
      </c>
      <c r="P82" s="7">
        <v>0</v>
      </c>
      <c r="Q82" s="8">
        <v>0</v>
      </c>
      <c r="R82" s="7">
        <v>0</v>
      </c>
      <c r="S82" s="9">
        <v>0</v>
      </c>
      <c r="T82" s="7">
        <f>IF(C82="Mediana Complejidad",M82,0)</f>
        <v>114900</v>
      </c>
      <c r="U82" s="8">
        <v>0.2</v>
      </c>
      <c r="V82" s="7">
        <f t="shared" si="11"/>
        <v>137880</v>
      </c>
      <c r="W82" s="10">
        <f>IFERROR(((V82-T82)/V82),0)</f>
        <v>0.16666666666666666</v>
      </c>
      <c r="X82" s="7">
        <v>0</v>
      </c>
      <c r="Y82" s="8">
        <v>0</v>
      </c>
      <c r="Z82" s="7">
        <v>0</v>
      </c>
      <c r="AA82" s="8">
        <v>0</v>
      </c>
      <c r="AB82" s="8">
        <v>0.1</v>
      </c>
    </row>
    <row r="83" spans="1:28" x14ac:dyDescent="0.25">
      <c r="A83">
        <v>2026</v>
      </c>
      <c r="B83" t="s">
        <v>55</v>
      </c>
      <c r="C83" t="s">
        <v>60</v>
      </c>
      <c r="D83" t="s">
        <v>61</v>
      </c>
      <c r="G83" t="s">
        <v>63</v>
      </c>
      <c r="H83" t="s">
        <v>63</v>
      </c>
      <c r="I83" t="s">
        <v>73</v>
      </c>
      <c r="J83" t="s">
        <v>69</v>
      </c>
      <c r="K83" t="s">
        <v>33</v>
      </c>
      <c r="L83">
        <v>28000</v>
      </c>
      <c r="M83" s="7">
        <v>28000</v>
      </c>
      <c r="O83" s="7">
        <f t="shared" si="10"/>
        <v>33600</v>
      </c>
      <c r="P83" s="7">
        <v>0</v>
      </c>
      <c r="Q83" s="8">
        <v>0</v>
      </c>
      <c r="R83" s="7">
        <v>0</v>
      </c>
      <c r="S83" s="9">
        <v>0</v>
      </c>
      <c r="T83" s="7">
        <f>IF(C83="Mediana Complejidad",M83,0)</f>
        <v>28000</v>
      </c>
      <c r="U83" s="8">
        <v>0.2</v>
      </c>
      <c r="V83" s="7">
        <f t="shared" si="11"/>
        <v>33600</v>
      </c>
      <c r="W83" s="10">
        <f>IFERROR(((V83-T83)/V83),0)</f>
        <v>0.16666666666666666</v>
      </c>
      <c r="X83" s="7">
        <v>0</v>
      </c>
      <c r="Y83" s="8">
        <v>0</v>
      </c>
      <c r="Z83" s="7">
        <v>0</v>
      </c>
      <c r="AA83" s="8">
        <v>0</v>
      </c>
      <c r="AB83" s="8">
        <v>0.1</v>
      </c>
    </row>
    <row r="84" spans="1:28" x14ac:dyDescent="0.25">
      <c r="A84">
        <v>2026</v>
      </c>
      <c r="B84" t="s">
        <v>55</v>
      </c>
      <c r="C84" t="s">
        <v>60</v>
      </c>
      <c r="D84" t="s">
        <v>61</v>
      </c>
      <c r="G84" t="s">
        <v>63</v>
      </c>
      <c r="H84" t="s">
        <v>63</v>
      </c>
      <c r="I84" t="s">
        <v>74</v>
      </c>
      <c r="J84" t="s">
        <v>69</v>
      </c>
      <c r="K84" t="s">
        <v>33</v>
      </c>
      <c r="L84">
        <v>49200</v>
      </c>
      <c r="M84" s="7">
        <v>49200</v>
      </c>
      <c r="O84" s="7">
        <f t="shared" si="10"/>
        <v>59040</v>
      </c>
      <c r="P84" s="7">
        <v>0</v>
      </c>
      <c r="Q84" s="8">
        <v>0</v>
      </c>
      <c r="R84" s="7">
        <v>0</v>
      </c>
      <c r="S84" s="9">
        <v>0</v>
      </c>
      <c r="T84" s="7">
        <f>IF(C84="Mediana Complejidad",M84,0)</f>
        <v>49200</v>
      </c>
      <c r="U84" s="8">
        <v>0.2</v>
      </c>
      <c r="V84" s="7">
        <f t="shared" si="11"/>
        <v>59040</v>
      </c>
      <c r="W84" s="10">
        <f>IFERROR(((V84-T84)/V84),0)</f>
        <v>0.16666666666666666</v>
      </c>
      <c r="X84" s="7">
        <v>0</v>
      </c>
      <c r="Y84" s="8">
        <v>0</v>
      </c>
      <c r="Z84" s="7">
        <v>0</v>
      </c>
      <c r="AA84" s="8">
        <v>0</v>
      </c>
      <c r="AB84" s="8">
        <v>0.1</v>
      </c>
    </row>
    <row r="85" spans="1:28" x14ac:dyDescent="0.25">
      <c r="A85">
        <v>2026</v>
      </c>
      <c r="B85" t="s">
        <v>55</v>
      </c>
      <c r="C85" t="s">
        <v>60</v>
      </c>
      <c r="D85" t="s">
        <v>61</v>
      </c>
      <c r="G85" t="s">
        <v>63</v>
      </c>
      <c r="H85" t="s">
        <v>63</v>
      </c>
      <c r="I85" t="s">
        <v>75</v>
      </c>
      <c r="J85" t="s">
        <v>69</v>
      </c>
      <c r="K85" t="s">
        <v>33</v>
      </c>
      <c r="L85">
        <v>141600</v>
      </c>
      <c r="M85" s="7">
        <v>141600</v>
      </c>
      <c r="O85" s="7">
        <f t="shared" si="10"/>
        <v>169920</v>
      </c>
      <c r="P85" s="7">
        <v>0</v>
      </c>
      <c r="Q85" s="8">
        <v>0</v>
      </c>
      <c r="R85" s="7">
        <v>0</v>
      </c>
      <c r="S85" s="9">
        <v>0</v>
      </c>
      <c r="T85" s="7">
        <f>IF(C85="Mediana Complejidad",M85,0)</f>
        <v>141600</v>
      </c>
      <c r="U85" s="8">
        <v>0.2</v>
      </c>
      <c r="V85" s="7">
        <f t="shared" si="11"/>
        <v>169920</v>
      </c>
      <c r="W85" s="10">
        <f>IFERROR(((V85-T85)/V85),0)</f>
        <v>0.16666666666666666</v>
      </c>
      <c r="X85" s="7">
        <v>0</v>
      </c>
      <c r="Y85" s="8">
        <v>0</v>
      </c>
      <c r="Z85" s="7">
        <v>0</v>
      </c>
      <c r="AA85" s="8">
        <v>0</v>
      </c>
      <c r="AB85" s="8">
        <v>0.1</v>
      </c>
    </row>
    <row r="86" spans="1:28" x14ac:dyDescent="0.25">
      <c r="A86">
        <v>2026</v>
      </c>
      <c r="B86" t="s">
        <v>55</v>
      </c>
      <c r="C86" t="s">
        <v>60</v>
      </c>
      <c r="D86" t="s">
        <v>61</v>
      </c>
      <c r="G86" t="s">
        <v>63</v>
      </c>
      <c r="H86" t="s">
        <v>63</v>
      </c>
      <c r="I86" t="s">
        <v>76</v>
      </c>
      <c r="J86" t="s">
        <v>69</v>
      </c>
      <c r="K86" t="s">
        <v>33</v>
      </c>
      <c r="L86">
        <v>174700</v>
      </c>
      <c r="M86" s="7">
        <v>174700</v>
      </c>
      <c r="O86" s="7">
        <f t="shared" si="10"/>
        <v>209640</v>
      </c>
      <c r="P86" s="7">
        <v>0</v>
      </c>
      <c r="Q86" s="8">
        <v>0</v>
      </c>
      <c r="R86" s="7">
        <v>0</v>
      </c>
      <c r="S86" s="9">
        <v>0</v>
      </c>
      <c r="T86" s="7">
        <f>IF(C86="Mediana Complejidad",M86,0)</f>
        <v>174700</v>
      </c>
      <c r="U86" s="8">
        <v>0.2</v>
      </c>
      <c r="V86" s="7">
        <f t="shared" si="11"/>
        <v>209640</v>
      </c>
      <c r="W86" s="10">
        <f>IFERROR(((V86-T86)/V86),0)</f>
        <v>0.16666666666666666</v>
      </c>
      <c r="X86" s="7">
        <v>0</v>
      </c>
      <c r="Y86" s="8">
        <v>0</v>
      </c>
      <c r="Z86" s="7">
        <v>0</v>
      </c>
      <c r="AA86" s="8">
        <v>0</v>
      </c>
      <c r="AB86" s="8">
        <v>0.1</v>
      </c>
    </row>
    <row r="87" spans="1:28" x14ac:dyDescent="0.25">
      <c r="A87">
        <v>2026</v>
      </c>
      <c r="B87" t="s">
        <v>55</v>
      </c>
      <c r="C87" t="s">
        <v>60</v>
      </c>
      <c r="D87" t="s">
        <v>61</v>
      </c>
      <c r="G87" t="s">
        <v>63</v>
      </c>
      <c r="H87" t="s">
        <v>63</v>
      </c>
      <c r="I87" t="s">
        <v>77</v>
      </c>
      <c r="J87" t="s">
        <v>69</v>
      </c>
      <c r="K87" t="s">
        <v>33</v>
      </c>
      <c r="L87">
        <v>204000</v>
      </c>
      <c r="M87" s="7">
        <v>204000</v>
      </c>
      <c r="O87" s="7">
        <f t="shared" si="10"/>
        <v>244800</v>
      </c>
      <c r="P87" s="7">
        <v>0</v>
      </c>
      <c r="Q87" s="8">
        <v>0</v>
      </c>
      <c r="R87" s="7">
        <v>0</v>
      </c>
      <c r="S87" s="9">
        <v>0</v>
      </c>
      <c r="T87" s="7">
        <f>IF(C87="Mediana Complejidad",M87,0)</f>
        <v>204000</v>
      </c>
      <c r="U87" s="8">
        <v>0.2</v>
      </c>
      <c r="V87" s="7">
        <f t="shared" si="11"/>
        <v>244800</v>
      </c>
      <c r="W87" s="10">
        <f>IFERROR(((V87-T87)/V87),0)</f>
        <v>0.16666666666666666</v>
      </c>
      <c r="X87" s="7">
        <v>0</v>
      </c>
      <c r="Y87" s="8">
        <v>0</v>
      </c>
      <c r="Z87" s="7">
        <v>0</v>
      </c>
      <c r="AA87" s="8">
        <v>0</v>
      </c>
      <c r="AB87" s="8">
        <v>0.1</v>
      </c>
    </row>
    <row r="88" spans="1:28" x14ac:dyDescent="0.25">
      <c r="A88">
        <v>2026</v>
      </c>
      <c r="B88" t="s">
        <v>55</v>
      </c>
      <c r="C88" t="s">
        <v>60</v>
      </c>
      <c r="D88" t="s">
        <v>61</v>
      </c>
      <c r="G88" t="s">
        <v>63</v>
      </c>
      <c r="H88" t="s">
        <v>63</v>
      </c>
      <c r="I88" t="s">
        <v>78</v>
      </c>
      <c r="J88" t="s">
        <v>69</v>
      </c>
      <c r="K88" t="s">
        <v>33</v>
      </c>
      <c r="L88">
        <v>49000</v>
      </c>
      <c r="M88" s="7">
        <v>49000</v>
      </c>
      <c r="O88" s="7">
        <f t="shared" si="10"/>
        <v>58800</v>
      </c>
      <c r="P88" s="7">
        <v>0</v>
      </c>
      <c r="Q88" s="8">
        <v>0</v>
      </c>
      <c r="R88" s="7">
        <v>0</v>
      </c>
      <c r="S88" s="9">
        <v>0</v>
      </c>
      <c r="T88" s="7">
        <f>IF(C88="Mediana Complejidad",M88,0)</f>
        <v>49000</v>
      </c>
      <c r="U88" s="8">
        <v>0.2</v>
      </c>
      <c r="V88" s="7">
        <f t="shared" si="11"/>
        <v>58800</v>
      </c>
      <c r="W88" s="10">
        <f>IFERROR(((V88-T88)/V88),0)</f>
        <v>0.16666666666666666</v>
      </c>
      <c r="X88" s="7">
        <v>0</v>
      </c>
      <c r="Y88" s="8">
        <v>0</v>
      </c>
      <c r="Z88" s="7">
        <v>0</v>
      </c>
      <c r="AA88" s="8">
        <v>0</v>
      </c>
      <c r="AB88" s="8">
        <v>0.1</v>
      </c>
    </row>
    <row r="89" spans="1:28" x14ac:dyDescent="0.25">
      <c r="A89">
        <v>2026</v>
      </c>
      <c r="B89" t="s">
        <v>55</v>
      </c>
      <c r="C89" t="s">
        <v>60</v>
      </c>
      <c r="D89" t="s">
        <v>61</v>
      </c>
      <c r="G89" t="s">
        <v>63</v>
      </c>
      <c r="H89" t="s">
        <v>63</v>
      </c>
      <c r="I89" t="s">
        <v>79</v>
      </c>
      <c r="J89" t="s">
        <v>66</v>
      </c>
      <c r="K89" t="s">
        <v>33</v>
      </c>
      <c r="L89">
        <v>224100</v>
      </c>
      <c r="M89" s="7">
        <v>224100</v>
      </c>
      <c r="O89" s="7">
        <f t="shared" si="10"/>
        <v>268920</v>
      </c>
      <c r="P89" s="7">
        <v>0</v>
      </c>
      <c r="Q89" s="8">
        <v>0</v>
      </c>
      <c r="R89" s="7">
        <v>0</v>
      </c>
      <c r="S89" s="9">
        <v>0</v>
      </c>
      <c r="T89" s="7">
        <f>IF(C89="Mediana Complejidad",M89,0)</f>
        <v>224100</v>
      </c>
      <c r="U89" s="8">
        <v>0.2</v>
      </c>
      <c r="V89" s="7">
        <f t="shared" si="11"/>
        <v>268920</v>
      </c>
      <c r="W89" s="10">
        <f>IFERROR(((V89-T89)/V89),0)</f>
        <v>0.16666666666666666</v>
      </c>
      <c r="X89" s="7">
        <v>0</v>
      </c>
      <c r="Y89" s="8">
        <v>0</v>
      </c>
      <c r="Z89" s="7">
        <v>0</v>
      </c>
      <c r="AA89" s="8">
        <v>0</v>
      </c>
      <c r="AB89" s="8">
        <v>0.1</v>
      </c>
    </row>
    <row r="90" spans="1:28" x14ac:dyDescent="0.25">
      <c r="A90">
        <v>2026</v>
      </c>
      <c r="B90" t="s">
        <v>55</v>
      </c>
      <c r="C90" t="s">
        <v>60</v>
      </c>
      <c r="D90" t="s">
        <v>61</v>
      </c>
      <c r="G90" t="s">
        <v>63</v>
      </c>
      <c r="H90" t="s">
        <v>63</v>
      </c>
      <c r="I90" t="s">
        <v>80</v>
      </c>
      <c r="J90" t="s">
        <v>66</v>
      </c>
      <c r="K90" t="s">
        <v>33</v>
      </c>
      <c r="L90">
        <v>38000</v>
      </c>
      <c r="M90" s="7">
        <v>38000</v>
      </c>
      <c r="O90" s="7">
        <f t="shared" si="10"/>
        <v>45600</v>
      </c>
      <c r="P90" s="7">
        <v>0</v>
      </c>
      <c r="Q90" s="8">
        <v>0</v>
      </c>
      <c r="R90" s="7">
        <v>0</v>
      </c>
      <c r="S90" s="9">
        <v>0</v>
      </c>
      <c r="T90" s="7">
        <f>IF(C90="Mediana Complejidad",M90,0)</f>
        <v>38000</v>
      </c>
      <c r="U90" s="8">
        <v>0.2</v>
      </c>
      <c r="V90" s="7">
        <f t="shared" si="11"/>
        <v>45600</v>
      </c>
      <c r="W90" s="10">
        <f>IFERROR(((V90-T90)/V90),0)</f>
        <v>0.16666666666666666</v>
      </c>
      <c r="X90" s="7">
        <v>0</v>
      </c>
      <c r="Y90" s="8">
        <v>0</v>
      </c>
      <c r="Z90" s="7">
        <v>0</v>
      </c>
      <c r="AA90" s="8">
        <v>0</v>
      </c>
      <c r="AB90" s="8">
        <v>0.1</v>
      </c>
    </row>
    <row r="91" spans="1:28" x14ac:dyDescent="0.25">
      <c r="A91">
        <v>2026</v>
      </c>
      <c r="B91" t="s">
        <v>55</v>
      </c>
      <c r="C91" t="s">
        <v>60</v>
      </c>
      <c r="D91" t="s">
        <v>61</v>
      </c>
      <c r="G91" t="s">
        <v>63</v>
      </c>
      <c r="H91" t="s">
        <v>63</v>
      </c>
      <c r="I91" t="s">
        <v>81</v>
      </c>
      <c r="J91" t="s">
        <v>66</v>
      </c>
      <c r="K91" t="s">
        <v>33</v>
      </c>
      <c r="L91">
        <v>39800</v>
      </c>
      <c r="M91" s="7">
        <v>39800</v>
      </c>
      <c r="O91" s="7">
        <f t="shared" si="10"/>
        <v>47760</v>
      </c>
      <c r="P91" s="7">
        <v>0</v>
      </c>
      <c r="Q91" s="8">
        <v>0</v>
      </c>
      <c r="R91" s="7">
        <v>0</v>
      </c>
      <c r="S91" s="9">
        <v>0</v>
      </c>
      <c r="T91" s="7">
        <f>IF(C91="Mediana Complejidad",M91,0)</f>
        <v>39800</v>
      </c>
      <c r="U91" s="8">
        <v>0.2</v>
      </c>
      <c r="V91" s="7">
        <f t="shared" si="11"/>
        <v>47760</v>
      </c>
      <c r="W91" s="10">
        <f>IFERROR(((V91-T91)/V91),0)</f>
        <v>0.16666666666666666</v>
      </c>
      <c r="X91" s="7">
        <v>0</v>
      </c>
      <c r="Y91" s="8">
        <v>0</v>
      </c>
      <c r="Z91" s="7">
        <v>0</v>
      </c>
      <c r="AA91" s="8">
        <v>0</v>
      </c>
      <c r="AB91" s="8">
        <v>0.1</v>
      </c>
    </row>
    <row r="92" spans="1:28" x14ac:dyDescent="0.25">
      <c r="A92">
        <v>2026</v>
      </c>
      <c r="B92" t="s">
        <v>56</v>
      </c>
      <c r="C92" t="s">
        <v>60</v>
      </c>
      <c r="D92" t="s">
        <v>61</v>
      </c>
      <c r="G92" t="s">
        <v>63</v>
      </c>
      <c r="H92" t="s">
        <v>63</v>
      </c>
      <c r="I92" t="s">
        <v>65</v>
      </c>
      <c r="J92" t="s">
        <v>66</v>
      </c>
      <c r="K92" t="s">
        <v>33</v>
      </c>
      <c r="L92">
        <v>28800</v>
      </c>
      <c r="M92" s="7">
        <v>28800</v>
      </c>
      <c r="O92" s="7">
        <f>V92</f>
        <v>34560</v>
      </c>
      <c r="P92" s="7">
        <v>0</v>
      </c>
      <c r="Q92" s="8">
        <v>0</v>
      </c>
      <c r="R92" s="7">
        <v>0</v>
      </c>
      <c r="S92" s="9">
        <v>0</v>
      </c>
      <c r="T92" s="7">
        <f>IF(C92="Mediana Complejidad",M92,0)</f>
        <v>28800</v>
      </c>
      <c r="U92" s="8">
        <v>0.2</v>
      </c>
      <c r="V92" s="7">
        <f>T92+(U92*T92)</f>
        <v>34560</v>
      </c>
      <c r="W92" s="10">
        <f>IFERROR(((V92-T92)/V92),0)</f>
        <v>0.16666666666666666</v>
      </c>
      <c r="X92" s="7">
        <v>0</v>
      </c>
      <c r="Y92" s="8">
        <v>0</v>
      </c>
      <c r="Z92" s="7">
        <v>0</v>
      </c>
      <c r="AA92" s="8">
        <v>0</v>
      </c>
      <c r="AB92" s="8">
        <v>0.1</v>
      </c>
    </row>
    <row r="93" spans="1:28" x14ac:dyDescent="0.25">
      <c r="A93">
        <v>2026</v>
      </c>
      <c r="B93" t="s">
        <v>56</v>
      </c>
      <c r="C93" t="s">
        <v>60</v>
      </c>
      <c r="D93" t="s">
        <v>61</v>
      </c>
      <c r="G93" t="s">
        <v>63</v>
      </c>
      <c r="H93" t="s">
        <v>63</v>
      </c>
      <c r="I93" t="s">
        <v>67</v>
      </c>
      <c r="J93" t="s">
        <v>66</v>
      </c>
      <c r="K93" t="s">
        <v>33</v>
      </c>
      <c r="L93">
        <v>36700</v>
      </c>
      <c r="M93" s="7">
        <v>36700</v>
      </c>
      <c r="O93" s="7">
        <f t="shared" ref="O93:O106" si="12">V93</f>
        <v>44040</v>
      </c>
      <c r="P93" s="7">
        <v>0</v>
      </c>
      <c r="Q93" s="8">
        <v>0</v>
      </c>
      <c r="R93" s="7">
        <v>0</v>
      </c>
      <c r="S93" s="9">
        <v>0</v>
      </c>
      <c r="T93" s="7">
        <f>IF(C93="Mediana Complejidad",M93,0)</f>
        <v>36700</v>
      </c>
      <c r="U93" s="8">
        <v>0.2</v>
      </c>
      <c r="V93" s="7">
        <f t="shared" ref="V93:V106" si="13">T93+(U93*T93)</f>
        <v>44040</v>
      </c>
      <c r="W93" s="10">
        <f>IFERROR(((V93-T93)/V93),0)</f>
        <v>0.16666666666666666</v>
      </c>
      <c r="X93" s="7">
        <v>0</v>
      </c>
      <c r="Y93" s="8">
        <v>0</v>
      </c>
      <c r="Z93" s="7">
        <v>0</v>
      </c>
      <c r="AA93" s="8">
        <v>0</v>
      </c>
      <c r="AB93" s="8">
        <v>0.1</v>
      </c>
    </row>
    <row r="94" spans="1:28" x14ac:dyDescent="0.25">
      <c r="A94">
        <v>2026</v>
      </c>
      <c r="B94" t="s">
        <v>56</v>
      </c>
      <c r="C94" t="s">
        <v>60</v>
      </c>
      <c r="D94" t="s">
        <v>61</v>
      </c>
      <c r="G94" t="s">
        <v>63</v>
      </c>
      <c r="H94" t="s">
        <v>63</v>
      </c>
      <c r="I94" t="s">
        <v>68</v>
      </c>
      <c r="J94" t="s">
        <v>69</v>
      </c>
      <c r="K94" t="s">
        <v>33</v>
      </c>
      <c r="L94">
        <v>28000</v>
      </c>
      <c r="M94" s="7">
        <v>28000</v>
      </c>
      <c r="O94" s="7">
        <f t="shared" si="12"/>
        <v>33600</v>
      </c>
      <c r="P94" s="7">
        <v>0</v>
      </c>
      <c r="Q94" s="8">
        <v>0</v>
      </c>
      <c r="R94" s="7">
        <v>0</v>
      </c>
      <c r="S94" s="9">
        <v>0</v>
      </c>
      <c r="T94" s="7">
        <f>IF(C94="Mediana Complejidad",M94,0)</f>
        <v>28000</v>
      </c>
      <c r="U94" s="8">
        <v>0.2</v>
      </c>
      <c r="V94" s="7">
        <f t="shared" si="13"/>
        <v>33600</v>
      </c>
      <c r="W94" s="10">
        <f>IFERROR(((V94-T94)/V94),0)</f>
        <v>0.16666666666666666</v>
      </c>
      <c r="X94" s="7">
        <v>0</v>
      </c>
      <c r="Y94" s="8">
        <v>0</v>
      </c>
      <c r="Z94" s="7">
        <v>0</v>
      </c>
      <c r="AA94" s="8">
        <v>0</v>
      </c>
      <c r="AB94" s="8">
        <v>0.1</v>
      </c>
    </row>
    <row r="95" spans="1:28" x14ac:dyDescent="0.25">
      <c r="A95">
        <v>2026</v>
      </c>
      <c r="B95" t="s">
        <v>56</v>
      </c>
      <c r="C95" t="s">
        <v>60</v>
      </c>
      <c r="D95" t="s">
        <v>61</v>
      </c>
      <c r="G95" t="s">
        <v>63</v>
      </c>
      <c r="H95" t="s">
        <v>63</v>
      </c>
      <c r="I95" t="s">
        <v>70</v>
      </c>
      <c r="J95" t="s">
        <v>69</v>
      </c>
      <c r="K95" t="s">
        <v>33</v>
      </c>
      <c r="L95">
        <v>36700</v>
      </c>
      <c r="M95" s="7">
        <v>36700</v>
      </c>
      <c r="O95" s="7">
        <f t="shared" si="12"/>
        <v>44040</v>
      </c>
      <c r="P95" s="7">
        <v>0</v>
      </c>
      <c r="Q95" s="8">
        <v>0</v>
      </c>
      <c r="R95" s="7">
        <v>0</v>
      </c>
      <c r="S95" s="9">
        <v>0</v>
      </c>
      <c r="T95" s="7">
        <f>IF(C95="Mediana Complejidad",M95,0)</f>
        <v>36700</v>
      </c>
      <c r="U95" s="8">
        <v>0.2</v>
      </c>
      <c r="V95" s="7">
        <f t="shared" si="13"/>
        <v>44040</v>
      </c>
      <c r="W95" s="10">
        <f>IFERROR(((V95-T95)/V95),0)</f>
        <v>0.16666666666666666</v>
      </c>
      <c r="X95" s="7">
        <v>0</v>
      </c>
      <c r="Y95" s="8">
        <v>0</v>
      </c>
      <c r="Z95" s="7">
        <v>0</v>
      </c>
      <c r="AA95" s="8">
        <v>0</v>
      </c>
      <c r="AB95" s="8">
        <v>0.1</v>
      </c>
    </row>
    <row r="96" spans="1:28" x14ac:dyDescent="0.25">
      <c r="A96">
        <v>2026</v>
      </c>
      <c r="B96" t="s">
        <v>56</v>
      </c>
      <c r="C96" t="s">
        <v>60</v>
      </c>
      <c r="D96" t="s">
        <v>61</v>
      </c>
      <c r="G96" t="s">
        <v>63</v>
      </c>
      <c r="H96" t="s">
        <v>63</v>
      </c>
      <c r="I96" t="s">
        <v>71</v>
      </c>
      <c r="J96" t="s">
        <v>69</v>
      </c>
      <c r="K96" t="s">
        <v>33</v>
      </c>
      <c r="L96">
        <v>21900</v>
      </c>
      <c r="M96" s="7">
        <v>21900</v>
      </c>
      <c r="O96" s="7">
        <f t="shared" si="12"/>
        <v>26280</v>
      </c>
      <c r="P96" s="7">
        <v>0</v>
      </c>
      <c r="Q96" s="8">
        <v>0</v>
      </c>
      <c r="R96" s="7">
        <v>0</v>
      </c>
      <c r="S96" s="9">
        <v>0</v>
      </c>
      <c r="T96" s="7">
        <f>IF(C96="Mediana Complejidad",M96,0)</f>
        <v>21900</v>
      </c>
      <c r="U96" s="8">
        <v>0.2</v>
      </c>
      <c r="V96" s="7">
        <f t="shared" si="13"/>
        <v>26280</v>
      </c>
      <c r="W96" s="10">
        <f>IFERROR(((V96-T96)/V96),0)</f>
        <v>0.16666666666666666</v>
      </c>
      <c r="X96" s="7">
        <v>0</v>
      </c>
      <c r="Y96" s="8">
        <v>0</v>
      </c>
      <c r="Z96" s="7">
        <v>0</v>
      </c>
      <c r="AA96" s="8">
        <v>0</v>
      </c>
      <c r="AB96" s="8">
        <v>0.1</v>
      </c>
    </row>
    <row r="97" spans="1:28" x14ac:dyDescent="0.25">
      <c r="A97">
        <v>2026</v>
      </c>
      <c r="B97" t="s">
        <v>56</v>
      </c>
      <c r="C97" t="s">
        <v>60</v>
      </c>
      <c r="D97" t="s">
        <v>61</v>
      </c>
      <c r="G97" t="s">
        <v>63</v>
      </c>
      <c r="H97" t="s">
        <v>63</v>
      </c>
      <c r="I97" t="s">
        <v>72</v>
      </c>
      <c r="J97" t="s">
        <v>69</v>
      </c>
      <c r="K97" t="s">
        <v>33</v>
      </c>
      <c r="L97">
        <v>114900</v>
      </c>
      <c r="M97" s="7">
        <v>114900</v>
      </c>
      <c r="O97" s="7">
        <f t="shared" si="12"/>
        <v>137880</v>
      </c>
      <c r="P97" s="7">
        <v>0</v>
      </c>
      <c r="Q97" s="8">
        <v>0</v>
      </c>
      <c r="R97" s="7">
        <v>0</v>
      </c>
      <c r="S97" s="9">
        <v>0</v>
      </c>
      <c r="T97" s="7">
        <f>IF(C97="Mediana Complejidad",M97,0)</f>
        <v>114900</v>
      </c>
      <c r="U97" s="8">
        <v>0.2</v>
      </c>
      <c r="V97" s="7">
        <f t="shared" si="13"/>
        <v>137880</v>
      </c>
      <c r="W97" s="10">
        <f>IFERROR(((V97-T97)/V97),0)</f>
        <v>0.16666666666666666</v>
      </c>
      <c r="X97" s="7">
        <v>0</v>
      </c>
      <c r="Y97" s="8">
        <v>0</v>
      </c>
      <c r="Z97" s="7">
        <v>0</v>
      </c>
      <c r="AA97" s="8">
        <v>0</v>
      </c>
      <c r="AB97" s="8">
        <v>0.1</v>
      </c>
    </row>
    <row r="98" spans="1:28" x14ac:dyDescent="0.25">
      <c r="A98">
        <v>2026</v>
      </c>
      <c r="B98" t="s">
        <v>56</v>
      </c>
      <c r="C98" t="s">
        <v>60</v>
      </c>
      <c r="D98" t="s">
        <v>61</v>
      </c>
      <c r="G98" t="s">
        <v>63</v>
      </c>
      <c r="H98" t="s">
        <v>63</v>
      </c>
      <c r="I98" t="s">
        <v>73</v>
      </c>
      <c r="J98" t="s">
        <v>69</v>
      </c>
      <c r="K98" t="s">
        <v>33</v>
      </c>
      <c r="L98">
        <v>28000</v>
      </c>
      <c r="M98" s="7">
        <v>28000</v>
      </c>
      <c r="O98" s="7">
        <f t="shared" si="12"/>
        <v>33600</v>
      </c>
      <c r="P98" s="7">
        <v>0</v>
      </c>
      <c r="Q98" s="8">
        <v>0</v>
      </c>
      <c r="R98" s="7">
        <v>0</v>
      </c>
      <c r="S98" s="9">
        <v>0</v>
      </c>
      <c r="T98" s="7">
        <f>IF(C98="Mediana Complejidad",M98,0)</f>
        <v>28000</v>
      </c>
      <c r="U98" s="8">
        <v>0.2</v>
      </c>
      <c r="V98" s="7">
        <f t="shared" si="13"/>
        <v>33600</v>
      </c>
      <c r="W98" s="10">
        <f>IFERROR(((V98-T98)/V98),0)</f>
        <v>0.16666666666666666</v>
      </c>
      <c r="X98" s="7">
        <v>0</v>
      </c>
      <c r="Y98" s="8">
        <v>0</v>
      </c>
      <c r="Z98" s="7">
        <v>0</v>
      </c>
      <c r="AA98" s="8">
        <v>0</v>
      </c>
      <c r="AB98" s="8">
        <v>0.1</v>
      </c>
    </row>
    <row r="99" spans="1:28" x14ac:dyDescent="0.25">
      <c r="A99">
        <v>2026</v>
      </c>
      <c r="B99" t="s">
        <v>56</v>
      </c>
      <c r="C99" t="s">
        <v>60</v>
      </c>
      <c r="D99" t="s">
        <v>61</v>
      </c>
      <c r="G99" t="s">
        <v>63</v>
      </c>
      <c r="H99" t="s">
        <v>63</v>
      </c>
      <c r="I99" t="s">
        <v>74</v>
      </c>
      <c r="J99" t="s">
        <v>69</v>
      </c>
      <c r="K99" t="s">
        <v>33</v>
      </c>
      <c r="L99">
        <v>49200</v>
      </c>
      <c r="M99" s="7">
        <v>49200</v>
      </c>
      <c r="O99" s="7">
        <f t="shared" si="12"/>
        <v>59040</v>
      </c>
      <c r="P99" s="7">
        <v>0</v>
      </c>
      <c r="Q99" s="8">
        <v>0</v>
      </c>
      <c r="R99" s="7">
        <v>0</v>
      </c>
      <c r="S99" s="9">
        <v>0</v>
      </c>
      <c r="T99" s="7">
        <f>IF(C99="Mediana Complejidad",M99,0)</f>
        <v>49200</v>
      </c>
      <c r="U99" s="8">
        <v>0.2</v>
      </c>
      <c r="V99" s="7">
        <f t="shared" si="13"/>
        <v>59040</v>
      </c>
      <c r="W99" s="10">
        <f>IFERROR(((V99-T99)/V99),0)</f>
        <v>0.16666666666666666</v>
      </c>
      <c r="X99" s="7">
        <v>0</v>
      </c>
      <c r="Y99" s="8">
        <v>0</v>
      </c>
      <c r="Z99" s="7">
        <v>0</v>
      </c>
      <c r="AA99" s="8">
        <v>0</v>
      </c>
      <c r="AB99" s="8">
        <v>0.1</v>
      </c>
    </row>
    <row r="100" spans="1:28" x14ac:dyDescent="0.25">
      <c r="A100">
        <v>2026</v>
      </c>
      <c r="B100" t="s">
        <v>56</v>
      </c>
      <c r="C100" t="s">
        <v>60</v>
      </c>
      <c r="D100" t="s">
        <v>61</v>
      </c>
      <c r="G100" t="s">
        <v>63</v>
      </c>
      <c r="H100" t="s">
        <v>63</v>
      </c>
      <c r="I100" t="s">
        <v>75</v>
      </c>
      <c r="J100" t="s">
        <v>69</v>
      </c>
      <c r="K100" t="s">
        <v>33</v>
      </c>
      <c r="L100">
        <v>141600</v>
      </c>
      <c r="M100" s="7">
        <v>141600</v>
      </c>
      <c r="O100" s="7">
        <f t="shared" si="12"/>
        <v>169920</v>
      </c>
      <c r="P100" s="7">
        <v>0</v>
      </c>
      <c r="Q100" s="8">
        <v>0</v>
      </c>
      <c r="R100" s="7">
        <v>0</v>
      </c>
      <c r="S100" s="9">
        <v>0</v>
      </c>
      <c r="T100" s="7">
        <f>IF(C100="Mediana Complejidad",M100,0)</f>
        <v>141600</v>
      </c>
      <c r="U100" s="8">
        <v>0.2</v>
      </c>
      <c r="V100" s="7">
        <f t="shared" si="13"/>
        <v>169920</v>
      </c>
      <c r="W100" s="10">
        <f>IFERROR(((V100-T100)/V100),0)</f>
        <v>0.16666666666666666</v>
      </c>
      <c r="X100" s="7">
        <v>0</v>
      </c>
      <c r="Y100" s="8">
        <v>0</v>
      </c>
      <c r="Z100" s="7">
        <v>0</v>
      </c>
      <c r="AA100" s="8">
        <v>0</v>
      </c>
      <c r="AB100" s="8">
        <v>0.1</v>
      </c>
    </row>
    <row r="101" spans="1:28" x14ac:dyDescent="0.25">
      <c r="A101">
        <v>2026</v>
      </c>
      <c r="B101" t="s">
        <v>56</v>
      </c>
      <c r="C101" t="s">
        <v>60</v>
      </c>
      <c r="D101" t="s">
        <v>61</v>
      </c>
      <c r="G101" t="s">
        <v>63</v>
      </c>
      <c r="H101" t="s">
        <v>63</v>
      </c>
      <c r="I101" t="s">
        <v>76</v>
      </c>
      <c r="J101" t="s">
        <v>69</v>
      </c>
      <c r="K101" t="s">
        <v>33</v>
      </c>
      <c r="L101">
        <v>174700</v>
      </c>
      <c r="M101" s="7">
        <v>174700</v>
      </c>
      <c r="O101" s="7">
        <f t="shared" si="12"/>
        <v>209640</v>
      </c>
      <c r="P101" s="7">
        <v>0</v>
      </c>
      <c r="Q101" s="8">
        <v>0</v>
      </c>
      <c r="R101" s="7">
        <v>0</v>
      </c>
      <c r="S101" s="9">
        <v>0</v>
      </c>
      <c r="T101" s="7">
        <f>IF(C101="Mediana Complejidad",M101,0)</f>
        <v>174700</v>
      </c>
      <c r="U101" s="8">
        <v>0.2</v>
      </c>
      <c r="V101" s="7">
        <f t="shared" si="13"/>
        <v>209640</v>
      </c>
      <c r="W101" s="10">
        <f>IFERROR(((V101-T101)/V101),0)</f>
        <v>0.16666666666666666</v>
      </c>
      <c r="X101" s="7">
        <v>0</v>
      </c>
      <c r="Y101" s="8">
        <v>0</v>
      </c>
      <c r="Z101" s="7">
        <v>0</v>
      </c>
      <c r="AA101" s="8">
        <v>0</v>
      </c>
      <c r="AB101" s="8">
        <v>0.1</v>
      </c>
    </row>
    <row r="102" spans="1:28" x14ac:dyDescent="0.25">
      <c r="A102">
        <v>2026</v>
      </c>
      <c r="B102" t="s">
        <v>56</v>
      </c>
      <c r="C102" t="s">
        <v>60</v>
      </c>
      <c r="D102" t="s">
        <v>61</v>
      </c>
      <c r="G102" t="s">
        <v>63</v>
      </c>
      <c r="H102" t="s">
        <v>63</v>
      </c>
      <c r="I102" t="s">
        <v>77</v>
      </c>
      <c r="J102" t="s">
        <v>69</v>
      </c>
      <c r="K102" t="s">
        <v>33</v>
      </c>
      <c r="L102">
        <v>204000</v>
      </c>
      <c r="M102" s="7">
        <v>204000</v>
      </c>
      <c r="O102" s="7">
        <f t="shared" si="12"/>
        <v>244800</v>
      </c>
      <c r="P102" s="7">
        <v>0</v>
      </c>
      <c r="Q102" s="8">
        <v>0</v>
      </c>
      <c r="R102" s="7">
        <v>0</v>
      </c>
      <c r="S102" s="9">
        <v>0</v>
      </c>
      <c r="T102" s="7">
        <f>IF(C102="Mediana Complejidad",M102,0)</f>
        <v>204000</v>
      </c>
      <c r="U102" s="8">
        <v>0.2</v>
      </c>
      <c r="V102" s="7">
        <f t="shared" si="13"/>
        <v>244800</v>
      </c>
      <c r="W102" s="10">
        <f>IFERROR(((V102-T102)/V102),0)</f>
        <v>0.16666666666666666</v>
      </c>
      <c r="X102" s="7">
        <v>0</v>
      </c>
      <c r="Y102" s="8">
        <v>0</v>
      </c>
      <c r="Z102" s="7">
        <v>0</v>
      </c>
      <c r="AA102" s="8">
        <v>0</v>
      </c>
      <c r="AB102" s="8">
        <v>0.1</v>
      </c>
    </row>
    <row r="103" spans="1:28" x14ac:dyDescent="0.25">
      <c r="A103">
        <v>2026</v>
      </c>
      <c r="B103" t="s">
        <v>56</v>
      </c>
      <c r="C103" t="s">
        <v>60</v>
      </c>
      <c r="D103" t="s">
        <v>61</v>
      </c>
      <c r="G103" t="s">
        <v>63</v>
      </c>
      <c r="H103" t="s">
        <v>63</v>
      </c>
      <c r="I103" t="s">
        <v>78</v>
      </c>
      <c r="J103" t="s">
        <v>69</v>
      </c>
      <c r="K103" t="s">
        <v>33</v>
      </c>
      <c r="L103">
        <v>49000</v>
      </c>
      <c r="M103" s="7">
        <v>49000</v>
      </c>
      <c r="O103" s="7">
        <f t="shared" si="12"/>
        <v>58800</v>
      </c>
      <c r="P103" s="7">
        <v>0</v>
      </c>
      <c r="Q103" s="8">
        <v>0</v>
      </c>
      <c r="R103" s="7">
        <v>0</v>
      </c>
      <c r="S103" s="9">
        <v>0</v>
      </c>
      <c r="T103" s="7">
        <f>IF(C103="Mediana Complejidad",M103,0)</f>
        <v>49000</v>
      </c>
      <c r="U103" s="8">
        <v>0.2</v>
      </c>
      <c r="V103" s="7">
        <f t="shared" si="13"/>
        <v>58800</v>
      </c>
      <c r="W103" s="10">
        <f>IFERROR(((V103-T103)/V103),0)</f>
        <v>0.16666666666666666</v>
      </c>
      <c r="X103" s="7">
        <v>0</v>
      </c>
      <c r="Y103" s="8">
        <v>0</v>
      </c>
      <c r="Z103" s="7">
        <v>0</v>
      </c>
      <c r="AA103" s="8">
        <v>0</v>
      </c>
      <c r="AB103" s="8">
        <v>0.1</v>
      </c>
    </row>
    <row r="104" spans="1:28" x14ac:dyDescent="0.25">
      <c r="A104">
        <v>2026</v>
      </c>
      <c r="B104" t="s">
        <v>56</v>
      </c>
      <c r="C104" t="s">
        <v>60</v>
      </c>
      <c r="D104" t="s">
        <v>61</v>
      </c>
      <c r="G104" t="s">
        <v>63</v>
      </c>
      <c r="H104" t="s">
        <v>63</v>
      </c>
      <c r="I104" t="s">
        <v>79</v>
      </c>
      <c r="J104" t="s">
        <v>66</v>
      </c>
      <c r="K104" t="s">
        <v>33</v>
      </c>
      <c r="L104">
        <v>224100</v>
      </c>
      <c r="M104" s="7">
        <v>224100</v>
      </c>
      <c r="O104" s="7">
        <f t="shared" si="12"/>
        <v>268920</v>
      </c>
      <c r="P104" s="7">
        <v>0</v>
      </c>
      <c r="Q104" s="8">
        <v>0</v>
      </c>
      <c r="R104" s="7">
        <v>0</v>
      </c>
      <c r="S104" s="9">
        <v>0</v>
      </c>
      <c r="T104" s="7">
        <f>IF(C104="Mediana Complejidad",M104,0)</f>
        <v>224100</v>
      </c>
      <c r="U104" s="8">
        <v>0.2</v>
      </c>
      <c r="V104" s="7">
        <f t="shared" si="13"/>
        <v>268920</v>
      </c>
      <c r="W104" s="10">
        <f>IFERROR(((V104-T104)/V104),0)</f>
        <v>0.16666666666666666</v>
      </c>
      <c r="X104" s="7">
        <v>0</v>
      </c>
      <c r="Y104" s="8">
        <v>0</v>
      </c>
      <c r="Z104" s="7">
        <v>0</v>
      </c>
      <c r="AA104" s="8">
        <v>0</v>
      </c>
      <c r="AB104" s="8">
        <v>0.1</v>
      </c>
    </row>
    <row r="105" spans="1:28" x14ac:dyDescent="0.25">
      <c r="A105">
        <v>2026</v>
      </c>
      <c r="B105" t="s">
        <v>56</v>
      </c>
      <c r="C105" t="s">
        <v>60</v>
      </c>
      <c r="D105" t="s">
        <v>61</v>
      </c>
      <c r="G105" t="s">
        <v>63</v>
      </c>
      <c r="H105" t="s">
        <v>63</v>
      </c>
      <c r="I105" t="s">
        <v>80</v>
      </c>
      <c r="J105" t="s">
        <v>66</v>
      </c>
      <c r="K105" t="s">
        <v>33</v>
      </c>
      <c r="L105">
        <v>38000</v>
      </c>
      <c r="M105" s="7">
        <v>38000</v>
      </c>
      <c r="O105" s="7">
        <f t="shared" si="12"/>
        <v>45600</v>
      </c>
      <c r="P105" s="7">
        <v>0</v>
      </c>
      <c r="Q105" s="8">
        <v>0</v>
      </c>
      <c r="R105" s="7">
        <v>0</v>
      </c>
      <c r="S105" s="9">
        <v>0</v>
      </c>
      <c r="T105" s="7">
        <f>IF(C105="Mediana Complejidad",M105,0)</f>
        <v>38000</v>
      </c>
      <c r="U105" s="8">
        <v>0.2</v>
      </c>
      <c r="V105" s="7">
        <f t="shared" si="13"/>
        <v>45600</v>
      </c>
      <c r="W105" s="10">
        <f>IFERROR(((V105-T105)/V105),0)</f>
        <v>0.16666666666666666</v>
      </c>
      <c r="X105" s="7">
        <v>0</v>
      </c>
      <c r="Y105" s="8">
        <v>0</v>
      </c>
      <c r="Z105" s="7">
        <v>0</v>
      </c>
      <c r="AA105" s="8">
        <v>0</v>
      </c>
      <c r="AB105" s="8">
        <v>0.1</v>
      </c>
    </row>
    <row r="106" spans="1:28" x14ac:dyDescent="0.25">
      <c r="A106">
        <v>2026</v>
      </c>
      <c r="B106" t="s">
        <v>56</v>
      </c>
      <c r="C106" t="s">
        <v>60</v>
      </c>
      <c r="D106" t="s">
        <v>61</v>
      </c>
      <c r="G106" t="s">
        <v>63</v>
      </c>
      <c r="H106" t="s">
        <v>63</v>
      </c>
      <c r="I106" t="s">
        <v>81</v>
      </c>
      <c r="J106" t="s">
        <v>66</v>
      </c>
      <c r="K106" t="s">
        <v>33</v>
      </c>
      <c r="L106">
        <v>39800</v>
      </c>
      <c r="M106" s="7">
        <v>39800</v>
      </c>
      <c r="O106" s="7">
        <f t="shared" si="12"/>
        <v>47760</v>
      </c>
      <c r="P106" s="7">
        <v>0</v>
      </c>
      <c r="Q106" s="8">
        <v>0</v>
      </c>
      <c r="R106" s="7">
        <v>0</v>
      </c>
      <c r="S106" s="9">
        <v>0</v>
      </c>
      <c r="T106" s="7">
        <f>IF(C106="Mediana Complejidad",M106,0)</f>
        <v>39800</v>
      </c>
      <c r="U106" s="8">
        <v>0.2</v>
      </c>
      <c r="V106" s="7">
        <f t="shared" si="13"/>
        <v>47760</v>
      </c>
      <c r="W106" s="10">
        <f>IFERROR(((V106-T106)/V106),0)</f>
        <v>0.16666666666666666</v>
      </c>
      <c r="X106" s="7">
        <v>0</v>
      </c>
      <c r="Y106" s="8">
        <v>0</v>
      </c>
      <c r="Z106" s="7">
        <v>0</v>
      </c>
      <c r="AA106" s="8">
        <v>0</v>
      </c>
      <c r="AB106" s="8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A5C8-A236-41CE-A705-4DC21FA8D890}">
  <dimension ref="A1:AB316"/>
  <sheetViews>
    <sheetView tabSelected="1" topLeftCell="Y292" workbookViewId="0">
      <selection activeCell="AH303" sqref="AH303"/>
    </sheetView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3" t="s">
        <v>26</v>
      </c>
      <c r="AB1" s="4" t="s">
        <v>27</v>
      </c>
    </row>
    <row r="2" spans="1:28" x14ac:dyDescent="0.25">
      <c r="A2">
        <v>2026</v>
      </c>
      <c r="B2" t="s">
        <v>28</v>
      </c>
      <c r="C2" t="s">
        <v>29</v>
      </c>
      <c r="D2" t="s">
        <v>30</v>
      </c>
      <c r="E2">
        <v>360001</v>
      </c>
      <c r="G2" t="s">
        <v>63</v>
      </c>
      <c r="H2" t="s">
        <v>63</v>
      </c>
      <c r="I2" t="s">
        <v>65</v>
      </c>
      <c r="J2" t="s">
        <v>66</v>
      </c>
      <c r="K2" t="s">
        <v>33</v>
      </c>
      <c r="L2">
        <v>28800</v>
      </c>
      <c r="M2">
        <v>28800</v>
      </c>
      <c r="O2" s="7">
        <f>R2</f>
        <v>34560</v>
      </c>
      <c r="P2" s="7">
        <f>IF(C2="Alta Complejidad",M2,0)</f>
        <v>28800</v>
      </c>
      <c r="Q2" s="8">
        <v>0.2</v>
      </c>
      <c r="R2" s="7">
        <f>P2+(P2*Q2)</f>
        <v>34560</v>
      </c>
      <c r="S2" s="8">
        <f>IFERROR(((R2-P2)/R2),0)</f>
        <v>0.16666666666666666</v>
      </c>
      <c r="T2" s="7">
        <v>0</v>
      </c>
      <c r="U2" s="8">
        <v>0</v>
      </c>
      <c r="V2" s="7">
        <f>(T2)+(T2*U2)</f>
        <v>0</v>
      </c>
      <c r="W2" s="8">
        <f>IFERROR(((V2-T2)/V2),0)</f>
        <v>0</v>
      </c>
      <c r="X2" s="7">
        <f>IF(C2="Baja Complejidad",M2,0)</f>
        <v>0</v>
      </c>
      <c r="Y2" s="8">
        <v>0</v>
      </c>
      <c r="Z2" s="7">
        <f>(X2)+(X2*Y2)</f>
        <v>0</v>
      </c>
      <c r="AA2" s="8">
        <f>IFERROR(((Z2-X2)/Z2),0)</f>
        <v>0</v>
      </c>
      <c r="AB2" s="8">
        <v>0.1</v>
      </c>
    </row>
    <row r="3" spans="1:28" x14ac:dyDescent="0.25">
      <c r="A3">
        <v>2026</v>
      </c>
      <c r="B3" t="s">
        <v>28</v>
      </c>
      <c r="C3" t="s">
        <v>29</v>
      </c>
      <c r="D3" t="s">
        <v>30</v>
      </c>
      <c r="E3">
        <v>709900</v>
      </c>
      <c r="G3" t="s">
        <v>63</v>
      </c>
      <c r="H3" t="s">
        <v>63</v>
      </c>
      <c r="I3" t="s">
        <v>67</v>
      </c>
      <c r="J3" t="s">
        <v>66</v>
      </c>
      <c r="K3" t="s">
        <v>33</v>
      </c>
      <c r="L3">
        <v>36700</v>
      </c>
      <c r="M3">
        <v>36700</v>
      </c>
      <c r="O3" s="7">
        <f t="shared" ref="O3:O16" si="0">R3</f>
        <v>44040</v>
      </c>
      <c r="P3" s="7">
        <f>IF(C3="Alta Complejidad",M3,0)</f>
        <v>36700</v>
      </c>
      <c r="Q3" s="8">
        <v>0.2</v>
      </c>
      <c r="R3" s="7">
        <f t="shared" ref="R3:R16" si="1">P3+(P3*Q3)</f>
        <v>44040</v>
      </c>
      <c r="S3" s="8">
        <f>IFERROR(((R3-P3)/R3),0)</f>
        <v>0.16666666666666666</v>
      </c>
      <c r="T3" s="7">
        <v>0</v>
      </c>
      <c r="U3" s="8">
        <v>0</v>
      </c>
      <c r="V3" s="7">
        <f>(T3)+(T3*U3)</f>
        <v>0</v>
      </c>
      <c r="W3" s="8">
        <f>IFERROR(((V3-T3)/V3),0)</f>
        <v>0</v>
      </c>
      <c r="X3" s="7">
        <f>IF(C3="Baja Complejidad",M3,0)</f>
        <v>0</v>
      </c>
      <c r="Y3" s="8">
        <v>0</v>
      </c>
      <c r="Z3" s="7">
        <f>(X3)+(X3*Y3)</f>
        <v>0</v>
      </c>
      <c r="AA3" s="8">
        <f>IFERROR(((Z3-X3)/Z3),0)</f>
        <v>0</v>
      </c>
      <c r="AB3" s="8">
        <v>0.1</v>
      </c>
    </row>
    <row r="4" spans="1:28" x14ac:dyDescent="0.25">
      <c r="A4">
        <v>2026</v>
      </c>
      <c r="B4" t="s">
        <v>28</v>
      </c>
      <c r="C4" t="s">
        <v>29</v>
      </c>
      <c r="D4" t="s">
        <v>30</v>
      </c>
      <c r="E4">
        <v>709902</v>
      </c>
      <c r="G4" t="s">
        <v>63</v>
      </c>
      <c r="H4" t="s">
        <v>63</v>
      </c>
      <c r="I4" t="s">
        <v>68</v>
      </c>
      <c r="J4" t="s">
        <v>69</v>
      </c>
      <c r="K4" t="s">
        <v>33</v>
      </c>
      <c r="L4">
        <v>28000</v>
      </c>
      <c r="M4">
        <v>28000</v>
      </c>
      <c r="O4" s="7">
        <f t="shared" si="0"/>
        <v>33600</v>
      </c>
      <c r="P4" s="7">
        <f>IF(C4="Alta Complejidad",M4,0)</f>
        <v>28000</v>
      </c>
      <c r="Q4" s="8">
        <v>0.2</v>
      </c>
      <c r="R4" s="7">
        <f t="shared" si="1"/>
        <v>33600</v>
      </c>
      <c r="S4" s="8">
        <f>IFERROR(((R4-P4)/R4),0)</f>
        <v>0.16666666666666666</v>
      </c>
      <c r="T4" s="7">
        <v>0</v>
      </c>
      <c r="U4" s="8">
        <v>0</v>
      </c>
      <c r="V4" s="7">
        <f>(T4)+(T4*U4)</f>
        <v>0</v>
      </c>
      <c r="W4" s="8">
        <f>IFERROR(((V4-T4)/V4),0)</f>
        <v>0</v>
      </c>
      <c r="X4" s="7">
        <f>IF(C4="Baja Complejidad",M4,0)</f>
        <v>0</v>
      </c>
      <c r="Y4" s="8">
        <v>0</v>
      </c>
      <c r="Z4" s="7">
        <f>(X4)+(X4*Y4)</f>
        <v>0</v>
      </c>
      <c r="AA4" s="8">
        <f>IFERROR(((Z4-X4)/Z4),0)</f>
        <v>0</v>
      </c>
      <c r="AB4" s="8">
        <v>0.1</v>
      </c>
    </row>
    <row r="5" spans="1:28" x14ac:dyDescent="0.25">
      <c r="A5">
        <v>2026</v>
      </c>
      <c r="B5" t="s">
        <v>28</v>
      </c>
      <c r="C5" t="s">
        <v>29</v>
      </c>
      <c r="D5" t="s">
        <v>30</v>
      </c>
      <c r="E5">
        <v>709903</v>
      </c>
      <c r="G5" t="s">
        <v>63</v>
      </c>
      <c r="H5" t="s">
        <v>63</v>
      </c>
      <c r="I5" t="s">
        <v>70</v>
      </c>
      <c r="J5" t="s">
        <v>69</v>
      </c>
      <c r="K5" t="s">
        <v>33</v>
      </c>
      <c r="L5">
        <v>36700</v>
      </c>
      <c r="M5">
        <v>36700</v>
      </c>
      <c r="O5" s="7">
        <f t="shared" si="0"/>
        <v>44040</v>
      </c>
      <c r="P5" s="7">
        <f>IF(C5="Alta Complejidad",M5,0)</f>
        <v>36700</v>
      </c>
      <c r="Q5" s="8">
        <v>0.2</v>
      </c>
      <c r="R5" s="7">
        <f t="shared" si="1"/>
        <v>44040</v>
      </c>
      <c r="S5" s="8">
        <f>IFERROR(((R5-P5)/R5),0)</f>
        <v>0.16666666666666666</v>
      </c>
      <c r="T5" s="7">
        <v>0</v>
      </c>
      <c r="U5" s="8">
        <v>0</v>
      </c>
      <c r="V5" s="7">
        <f>(T5)+(T5*U5)</f>
        <v>0</v>
      </c>
      <c r="W5" s="8">
        <f>IFERROR(((V5-T5)/V5),0)</f>
        <v>0</v>
      </c>
      <c r="X5" s="7">
        <f>IF(C5="Baja Complejidad",M5,0)</f>
        <v>0</v>
      </c>
      <c r="Y5" s="8">
        <v>0</v>
      </c>
      <c r="Z5" s="7">
        <f>(X5)+(X5*Y5)</f>
        <v>0</v>
      </c>
      <c r="AA5" s="8">
        <f>IFERROR(((Z5-X5)/Z5),0)</f>
        <v>0</v>
      </c>
      <c r="AB5" s="8">
        <v>0.1</v>
      </c>
    </row>
    <row r="6" spans="1:28" x14ac:dyDescent="0.25">
      <c r="A6">
        <v>2026</v>
      </c>
      <c r="B6" t="s">
        <v>28</v>
      </c>
      <c r="C6" t="s">
        <v>29</v>
      </c>
      <c r="D6" t="s">
        <v>30</v>
      </c>
      <c r="E6">
        <v>603421</v>
      </c>
      <c r="G6" t="s">
        <v>63</v>
      </c>
      <c r="H6" t="s">
        <v>63</v>
      </c>
      <c r="I6" t="s">
        <v>71</v>
      </c>
      <c r="J6" t="s">
        <v>69</v>
      </c>
      <c r="K6" t="s">
        <v>33</v>
      </c>
      <c r="L6">
        <v>21900</v>
      </c>
      <c r="M6">
        <v>21900</v>
      </c>
      <c r="O6" s="7">
        <f t="shared" si="0"/>
        <v>26280</v>
      </c>
      <c r="P6" s="7">
        <f>IF(C6="Alta Complejidad",M6,0)</f>
        <v>21900</v>
      </c>
      <c r="Q6" s="8">
        <v>0.2</v>
      </c>
      <c r="R6" s="7">
        <f t="shared" si="1"/>
        <v>26280</v>
      </c>
      <c r="S6" s="8">
        <f>IFERROR(((R6-P6)/R6),0)</f>
        <v>0.16666666666666666</v>
      </c>
      <c r="T6" s="7">
        <v>0</v>
      </c>
      <c r="U6" s="8">
        <v>0</v>
      </c>
      <c r="V6" s="7">
        <f>(T6)+(T6*U6)</f>
        <v>0</v>
      </c>
      <c r="W6" s="8">
        <f>IFERROR(((V6-T6)/V6),0)</f>
        <v>0</v>
      </c>
      <c r="X6" s="7">
        <f>IF(C6="Baja Complejidad",M6,0)</f>
        <v>0</v>
      </c>
      <c r="Y6" s="8">
        <v>0</v>
      </c>
      <c r="Z6" s="7">
        <f>(X6)+(X6*Y6)</f>
        <v>0</v>
      </c>
      <c r="AA6" s="8">
        <f>IFERROR(((Z6-X6)/Z6),0)</f>
        <v>0</v>
      </c>
      <c r="AB6" s="8">
        <v>0.1</v>
      </c>
    </row>
    <row r="7" spans="1:28" x14ac:dyDescent="0.25">
      <c r="A7">
        <v>2026</v>
      </c>
      <c r="B7" t="s">
        <v>28</v>
      </c>
      <c r="C7" t="s">
        <v>29</v>
      </c>
      <c r="D7" t="s">
        <v>30</v>
      </c>
      <c r="E7">
        <v>603422</v>
      </c>
      <c r="G7" t="s">
        <v>63</v>
      </c>
      <c r="H7" t="s">
        <v>63</v>
      </c>
      <c r="I7" t="s">
        <v>72</v>
      </c>
      <c r="J7" t="s">
        <v>69</v>
      </c>
      <c r="K7" t="s">
        <v>33</v>
      </c>
      <c r="L7">
        <v>114900</v>
      </c>
      <c r="M7">
        <v>114900</v>
      </c>
      <c r="O7" s="7">
        <f t="shared" si="0"/>
        <v>137880</v>
      </c>
      <c r="P7" s="7">
        <f>IF(C7="Alta Complejidad",M7,0)</f>
        <v>114900</v>
      </c>
      <c r="Q7" s="8">
        <v>0.2</v>
      </c>
      <c r="R7" s="7">
        <f t="shared" si="1"/>
        <v>137880</v>
      </c>
      <c r="S7" s="8">
        <f>IFERROR(((R7-P7)/R7),0)</f>
        <v>0.16666666666666666</v>
      </c>
      <c r="T7" s="7">
        <v>0</v>
      </c>
      <c r="U7" s="8">
        <v>0</v>
      </c>
      <c r="V7" s="7">
        <f>(T7)+(T7*U7)</f>
        <v>0</v>
      </c>
      <c r="W7" s="8">
        <f>IFERROR(((V7-T7)/V7),0)</f>
        <v>0</v>
      </c>
      <c r="X7" s="7">
        <f>IF(C7="Baja Complejidad",M7,0)</f>
        <v>0</v>
      </c>
      <c r="Y7" s="8">
        <v>0</v>
      </c>
      <c r="Z7" s="7">
        <f>(X7)+(X7*Y7)</f>
        <v>0</v>
      </c>
      <c r="AA7" s="8">
        <f>IFERROR(((Z7-X7)/Z7),0)</f>
        <v>0</v>
      </c>
      <c r="AB7" s="8">
        <v>0.1</v>
      </c>
    </row>
    <row r="8" spans="1:28" x14ac:dyDescent="0.25">
      <c r="A8">
        <v>2026</v>
      </c>
      <c r="B8" t="s">
        <v>28</v>
      </c>
      <c r="C8" t="s">
        <v>29</v>
      </c>
      <c r="D8" t="s">
        <v>30</v>
      </c>
      <c r="E8">
        <v>603423</v>
      </c>
      <c r="G8" t="s">
        <v>63</v>
      </c>
      <c r="H8" t="s">
        <v>63</v>
      </c>
      <c r="I8" t="s">
        <v>73</v>
      </c>
      <c r="J8" t="s">
        <v>69</v>
      </c>
      <c r="K8" t="s">
        <v>33</v>
      </c>
      <c r="L8">
        <v>28000</v>
      </c>
      <c r="M8">
        <v>28000</v>
      </c>
      <c r="O8" s="7">
        <f t="shared" si="0"/>
        <v>33600</v>
      </c>
      <c r="P8" s="7">
        <f>IF(C8="Alta Complejidad",M8,0)</f>
        <v>28000</v>
      </c>
      <c r="Q8" s="8">
        <v>0.2</v>
      </c>
      <c r="R8" s="7">
        <f t="shared" si="1"/>
        <v>33600</v>
      </c>
      <c r="S8" s="8">
        <f>IFERROR(((R8-P8)/R8),0)</f>
        <v>0.16666666666666666</v>
      </c>
      <c r="T8" s="7">
        <v>0</v>
      </c>
      <c r="U8" s="8">
        <v>0</v>
      </c>
      <c r="V8" s="7">
        <f>(T8)+(T8*U8)</f>
        <v>0</v>
      </c>
      <c r="W8" s="8">
        <f>IFERROR(((V8-T8)/V8),0)</f>
        <v>0</v>
      </c>
      <c r="X8" s="7">
        <f>IF(C8="Baja Complejidad",M8,0)</f>
        <v>0</v>
      </c>
      <c r="Y8" s="8">
        <v>0</v>
      </c>
      <c r="Z8" s="7">
        <f>(X8)+(X8*Y8)</f>
        <v>0</v>
      </c>
      <c r="AA8" s="8">
        <f>IFERROR(((Z8-X8)/Z8),0)</f>
        <v>0</v>
      </c>
      <c r="AB8" s="8">
        <v>0.1</v>
      </c>
    </row>
    <row r="9" spans="1:28" x14ac:dyDescent="0.25">
      <c r="A9">
        <v>2026</v>
      </c>
      <c r="B9" t="s">
        <v>28</v>
      </c>
      <c r="C9" t="s">
        <v>29</v>
      </c>
      <c r="D9" t="s">
        <v>30</v>
      </c>
      <c r="E9">
        <v>294199</v>
      </c>
      <c r="G9" t="s">
        <v>63</v>
      </c>
      <c r="H9" t="s">
        <v>63</v>
      </c>
      <c r="I9" t="s">
        <v>74</v>
      </c>
      <c r="J9" t="s">
        <v>69</v>
      </c>
      <c r="K9" t="s">
        <v>33</v>
      </c>
      <c r="L9">
        <v>49200</v>
      </c>
      <c r="M9">
        <v>49200</v>
      </c>
      <c r="O9" s="7">
        <f t="shared" si="0"/>
        <v>59040</v>
      </c>
      <c r="P9" s="7">
        <f>IF(C9="Alta Complejidad",M9,0)</f>
        <v>49200</v>
      </c>
      <c r="Q9" s="8">
        <v>0.2</v>
      </c>
      <c r="R9" s="7">
        <f t="shared" si="1"/>
        <v>59040</v>
      </c>
      <c r="S9" s="8">
        <f>IFERROR(((R9-P9)/R9),0)</f>
        <v>0.16666666666666666</v>
      </c>
      <c r="T9" s="7">
        <v>0</v>
      </c>
      <c r="U9" s="8">
        <v>0</v>
      </c>
      <c r="V9" s="7">
        <f>(T9)+(T9*U9)</f>
        <v>0</v>
      </c>
      <c r="W9" s="8">
        <f>IFERROR(((V9-T9)/V9),0)</f>
        <v>0</v>
      </c>
      <c r="X9" s="7">
        <f>IF(C9="Baja Complejidad",M9,0)</f>
        <v>0</v>
      </c>
      <c r="Y9" s="8">
        <v>0</v>
      </c>
      <c r="Z9" s="7">
        <f>(X9)+(X9*Y9)</f>
        <v>0</v>
      </c>
      <c r="AA9" s="8">
        <f>IFERROR(((Z9-X9)/Z9),0)</f>
        <v>0</v>
      </c>
      <c r="AB9" s="8">
        <v>0.1</v>
      </c>
    </row>
    <row r="10" spans="1:28" x14ac:dyDescent="0.25">
      <c r="A10">
        <v>2026</v>
      </c>
      <c r="B10" t="s">
        <v>28</v>
      </c>
      <c r="C10" t="s">
        <v>29</v>
      </c>
      <c r="D10" t="s">
        <v>30</v>
      </c>
      <c r="E10">
        <v>294299</v>
      </c>
      <c r="G10" t="s">
        <v>63</v>
      </c>
      <c r="H10" t="s">
        <v>63</v>
      </c>
      <c r="I10" t="s">
        <v>75</v>
      </c>
      <c r="J10" t="s">
        <v>69</v>
      </c>
      <c r="K10" t="s">
        <v>33</v>
      </c>
      <c r="L10">
        <v>141600</v>
      </c>
      <c r="M10">
        <v>141600</v>
      </c>
      <c r="O10" s="7">
        <f t="shared" si="0"/>
        <v>169920</v>
      </c>
      <c r="P10" s="7">
        <f>IF(C10="Alta Complejidad",M10,0)</f>
        <v>141600</v>
      </c>
      <c r="Q10" s="8">
        <v>0.2</v>
      </c>
      <c r="R10" s="7">
        <f t="shared" si="1"/>
        <v>169920</v>
      </c>
      <c r="S10" s="8">
        <f>IFERROR(((R10-P10)/R10),0)</f>
        <v>0.16666666666666666</v>
      </c>
      <c r="T10" s="7">
        <v>0</v>
      </c>
      <c r="U10" s="8">
        <v>0</v>
      </c>
      <c r="V10" s="7">
        <f>(T10)+(T10*U10)</f>
        <v>0</v>
      </c>
      <c r="W10" s="8">
        <f>IFERROR(((V10-T10)/V10),0)</f>
        <v>0</v>
      </c>
      <c r="X10" s="7">
        <f>IF(C10="Baja Complejidad",M10,0)</f>
        <v>0</v>
      </c>
      <c r="Y10" s="8">
        <v>0</v>
      </c>
      <c r="Z10" s="7">
        <f>(X10)+(X10*Y10)</f>
        <v>0</v>
      </c>
      <c r="AA10" s="8">
        <f>IFERROR(((Z10-X10)/Z10),0)</f>
        <v>0</v>
      </c>
      <c r="AB10" s="8">
        <v>0.1</v>
      </c>
    </row>
    <row r="11" spans="1:28" x14ac:dyDescent="0.25">
      <c r="A11">
        <v>2026</v>
      </c>
      <c r="B11" t="s">
        <v>28</v>
      </c>
      <c r="C11" t="s">
        <v>29</v>
      </c>
      <c r="D11" t="s">
        <v>30</v>
      </c>
      <c r="E11">
        <v>294399</v>
      </c>
      <c r="G11" t="s">
        <v>63</v>
      </c>
      <c r="H11" t="s">
        <v>63</v>
      </c>
      <c r="I11" t="s">
        <v>76</v>
      </c>
      <c r="J11" t="s">
        <v>69</v>
      </c>
      <c r="K11" t="s">
        <v>33</v>
      </c>
      <c r="L11">
        <v>174700</v>
      </c>
      <c r="M11">
        <v>174700</v>
      </c>
      <c r="O11" s="7">
        <f t="shared" si="0"/>
        <v>209640</v>
      </c>
      <c r="P11" s="7">
        <f>IF(C11="Alta Complejidad",M11,0)</f>
        <v>174700</v>
      </c>
      <c r="Q11" s="8">
        <v>0.2</v>
      </c>
      <c r="R11" s="7">
        <f t="shared" si="1"/>
        <v>209640</v>
      </c>
      <c r="S11" s="8">
        <f>IFERROR(((R11-P11)/R11),0)</f>
        <v>0.16666666666666666</v>
      </c>
      <c r="T11" s="7">
        <v>0</v>
      </c>
      <c r="U11" s="8">
        <v>0</v>
      </c>
      <c r="V11" s="7">
        <f>(T11)+(T11*U11)</f>
        <v>0</v>
      </c>
      <c r="W11" s="8">
        <f>IFERROR(((V11-T11)/V11),0)</f>
        <v>0</v>
      </c>
      <c r="X11" s="7">
        <f>IF(C11="Baja Complejidad",M11,0)</f>
        <v>0</v>
      </c>
      <c r="Y11" s="8">
        <v>0</v>
      </c>
      <c r="Z11" s="7">
        <f>(X11)+(X11*Y11)</f>
        <v>0</v>
      </c>
      <c r="AA11" s="8">
        <f>IFERROR(((Z11-X11)/Z11),0)</f>
        <v>0</v>
      </c>
      <c r="AB11" s="8">
        <v>0.1</v>
      </c>
    </row>
    <row r="12" spans="1:28" x14ac:dyDescent="0.25">
      <c r="A12">
        <v>2026</v>
      </c>
      <c r="B12" t="s">
        <v>28</v>
      </c>
      <c r="C12" t="s">
        <v>29</v>
      </c>
      <c r="D12" t="s">
        <v>30</v>
      </c>
      <c r="E12">
        <v>294499</v>
      </c>
      <c r="G12" t="s">
        <v>63</v>
      </c>
      <c r="H12" t="s">
        <v>63</v>
      </c>
      <c r="I12" t="s">
        <v>77</v>
      </c>
      <c r="J12" t="s">
        <v>69</v>
      </c>
      <c r="K12" t="s">
        <v>33</v>
      </c>
      <c r="L12">
        <v>204000</v>
      </c>
      <c r="M12">
        <v>204000</v>
      </c>
      <c r="O12" s="7">
        <f t="shared" si="0"/>
        <v>244800</v>
      </c>
      <c r="P12" s="7">
        <f>IF(C12="Alta Complejidad",M12,0)</f>
        <v>204000</v>
      </c>
      <c r="Q12" s="8">
        <v>0.2</v>
      </c>
      <c r="R12" s="7">
        <f t="shared" si="1"/>
        <v>244800</v>
      </c>
      <c r="S12" s="8">
        <f>IFERROR(((R12-P12)/R12),0)</f>
        <v>0.16666666666666666</v>
      </c>
      <c r="T12" s="7">
        <v>0</v>
      </c>
      <c r="U12" s="8">
        <v>0</v>
      </c>
      <c r="V12" s="7">
        <f>(T12)+(T12*U12)</f>
        <v>0</v>
      </c>
      <c r="W12" s="8">
        <f>IFERROR(((V12-T12)/V12),0)</f>
        <v>0</v>
      </c>
      <c r="X12" s="7">
        <f>IF(C12="Baja Complejidad",M12,0)</f>
        <v>0</v>
      </c>
      <c r="Y12" s="8">
        <v>0</v>
      </c>
      <c r="Z12" s="7">
        <f>(X12)+(X12*Y12)</f>
        <v>0</v>
      </c>
      <c r="AA12" s="8">
        <f>IFERROR(((Z12-X12)/Z12),0)</f>
        <v>0</v>
      </c>
      <c r="AB12" s="8">
        <v>0.1</v>
      </c>
    </row>
    <row r="13" spans="1:28" x14ac:dyDescent="0.25">
      <c r="A13">
        <v>2026</v>
      </c>
      <c r="B13" t="s">
        <v>28</v>
      </c>
      <c r="C13" t="s">
        <v>29</v>
      </c>
      <c r="D13" t="s">
        <v>30</v>
      </c>
      <c r="E13">
        <v>284190</v>
      </c>
      <c r="G13" t="s">
        <v>63</v>
      </c>
      <c r="H13" t="s">
        <v>63</v>
      </c>
      <c r="I13" t="s">
        <v>78</v>
      </c>
      <c r="J13" t="s">
        <v>69</v>
      </c>
      <c r="K13" t="s">
        <v>33</v>
      </c>
      <c r="L13">
        <v>49000</v>
      </c>
      <c r="M13">
        <v>49000</v>
      </c>
      <c r="O13" s="7">
        <f t="shared" si="0"/>
        <v>58800</v>
      </c>
      <c r="P13" s="7">
        <f>IF(C13="Alta Complejidad",M13,0)</f>
        <v>49000</v>
      </c>
      <c r="Q13" s="8">
        <v>0.2</v>
      </c>
      <c r="R13" s="7">
        <f t="shared" si="1"/>
        <v>58800</v>
      </c>
      <c r="S13" s="8">
        <f>IFERROR(((R13-P13)/R13),0)</f>
        <v>0.16666666666666666</v>
      </c>
      <c r="T13" s="7">
        <v>0</v>
      </c>
      <c r="U13" s="8">
        <v>0</v>
      </c>
      <c r="V13" s="7">
        <f>(T13)+(T13*U13)</f>
        <v>0</v>
      </c>
      <c r="W13" s="8">
        <f>IFERROR(((V13-T13)/V13),0)</f>
        <v>0</v>
      </c>
      <c r="X13" s="7">
        <f>IF(C13="Baja Complejidad",M13,0)</f>
        <v>0</v>
      </c>
      <c r="Y13" s="8">
        <v>0</v>
      </c>
      <c r="Z13" s="7">
        <f>(X13)+(X13*Y13)</f>
        <v>0</v>
      </c>
      <c r="AA13" s="8">
        <f>IFERROR(((Z13-X13)/Z13),0)</f>
        <v>0</v>
      </c>
      <c r="AB13" s="8">
        <v>0.1</v>
      </c>
    </row>
    <row r="14" spans="1:28" x14ac:dyDescent="0.25">
      <c r="A14">
        <v>2026</v>
      </c>
      <c r="B14" t="s">
        <v>28</v>
      </c>
      <c r="C14" t="s">
        <v>29</v>
      </c>
      <c r="D14" t="s">
        <v>30</v>
      </c>
      <c r="E14">
        <v>284390</v>
      </c>
      <c r="G14" t="s">
        <v>63</v>
      </c>
      <c r="H14" t="s">
        <v>63</v>
      </c>
      <c r="I14" t="s">
        <v>79</v>
      </c>
      <c r="J14" t="s">
        <v>66</v>
      </c>
      <c r="K14" t="s">
        <v>33</v>
      </c>
      <c r="L14">
        <v>224100</v>
      </c>
      <c r="M14">
        <v>224100</v>
      </c>
      <c r="O14" s="7">
        <f t="shared" si="0"/>
        <v>268920</v>
      </c>
      <c r="P14" s="7">
        <f>IF(C14="Alta Complejidad",M14,0)</f>
        <v>224100</v>
      </c>
      <c r="Q14" s="8">
        <v>0.2</v>
      </c>
      <c r="R14" s="7">
        <f t="shared" si="1"/>
        <v>268920</v>
      </c>
      <c r="S14" s="8">
        <f>IFERROR(((R14-P14)/R14),0)</f>
        <v>0.16666666666666666</v>
      </c>
      <c r="T14" s="7">
        <v>0</v>
      </c>
      <c r="U14" s="8">
        <v>0</v>
      </c>
      <c r="V14" s="7">
        <f>(T14)+(T14*U14)</f>
        <v>0</v>
      </c>
      <c r="W14" s="8">
        <f>IFERROR(((V14-T14)/V14),0)</f>
        <v>0</v>
      </c>
      <c r="X14" s="7">
        <f>IF(C14="Baja Complejidad",M14,0)</f>
        <v>0</v>
      </c>
      <c r="Y14" s="8">
        <v>0</v>
      </c>
      <c r="Z14" s="7">
        <f>(X14)+(X14*Y14)</f>
        <v>0</v>
      </c>
      <c r="AA14" s="8">
        <f>IFERROR(((Z14-X14)/Z14),0)</f>
        <v>0</v>
      </c>
      <c r="AB14" s="8">
        <v>0.1</v>
      </c>
    </row>
    <row r="15" spans="1:28" x14ac:dyDescent="0.25">
      <c r="A15">
        <v>2026</v>
      </c>
      <c r="B15" t="s">
        <v>28</v>
      </c>
      <c r="C15" t="s">
        <v>29</v>
      </c>
      <c r="D15" t="s">
        <v>30</v>
      </c>
      <c r="E15">
        <v>287100</v>
      </c>
      <c r="G15" t="s">
        <v>63</v>
      </c>
      <c r="H15" t="s">
        <v>63</v>
      </c>
      <c r="I15" t="s">
        <v>80</v>
      </c>
      <c r="J15" t="s">
        <v>66</v>
      </c>
      <c r="K15" t="s">
        <v>33</v>
      </c>
      <c r="L15">
        <v>38000</v>
      </c>
      <c r="M15">
        <v>38000</v>
      </c>
      <c r="O15" s="7">
        <f t="shared" si="0"/>
        <v>45600</v>
      </c>
      <c r="P15" s="7">
        <f>IF(C15="Alta Complejidad",M15,0)</f>
        <v>38000</v>
      </c>
      <c r="Q15" s="8">
        <v>0.2</v>
      </c>
      <c r="R15" s="7">
        <f t="shared" si="1"/>
        <v>45600</v>
      </c>
      <c r="S15" s="8">
        <f>IFERROR(((R15-P15)/R15),0)</f>
        <v>0.16666666666666666</v>
      </c>
      <c r="T15" s="7">
        <v>0</v>
      </c>
      <c r="U15" s="8">
        <v>0</v>
      </c>
      <c r="V15" s="7">
        <f>(T15)+(T15*U15)</f>
        <v>0</v>
      </c>
      <c r="W15" s="8">
        <f>IFERROR(((V15-T15)/V15),0)</f>
        <v>0</v>
      </c>
      <c r="X15" s="7">
        <f>IF(C15="Baja Complejidad",M15,0)</f>
        <v>0</v>
      </c>
      <c r="Y15" s="8">
        <v>0</v>
      </c>
      <c r="Z15" s="7">
        <f>(X15)+(X15*Y15)</f>
        <v>0</v>
      </c>
      <c r="AA15" s="8">
        <f>IFERROR(((Z15-X15)/Z15),0)</f>
        <v>0</v>
      </c>
      <c r="AB15" s="8">
        <v>0.1</v>
      </c>
    </row>
    <row r="16" spans="1:28" x14ac:dyDescent="0.25">
      <c r="A16">
        <v>2026</v>
      </c>
      <c r="B16" t="s">
        <v>28</v>
      </c>
      <c r="C16" t="s">
        <v>29</v>
      </c>
      <c r="D16" t="s">
        <v>30</v>
      </c>
      <c r="E16">
        <v>287200</v>
      </c>
      <c r="G16" t="s">
        <v>63</v>
      </c>
      <c r="H16" t="s">
        <v>63</v>
      </c>
      <c r="I16" t="s">
        <v>81</v>
      </c>
      <c r="J16" t="s">
        <v>66</v>
      </c>
      <c r="K16" t="s">
        <v>33</v>
      </c>
      <c r="L16">
        <v>39800</v>
      </c>
      <c r="M16">
        <v>39800</v>
      </c>
      <c r="O16" s="7">
        <f t="shared" si="0"/>
        <v>47760</v>
      </c>
      <c r="P16" s="7">
        <f>IF(C16="Alta Complejidad",M16,0)</f>
        <v>39800</v>
      </c>
      <c r="Q16" s="8">
        <v>0.2</v>
      </c>
      <c r="R16" s="7">
        <f t="shared" si="1"/>
        <v>47760</v>
      </c>
      <c r="S16" s="8">
        <f>IFERROR(((R16-P16)/R16),0)</f>
        <v>0.16666666666666666</v>
      </c>
      <c r="T16" s="7">
        <v>0</v>
      </c>
      <c r="U16" s="8">
        <v>0</v>
      </c>
      <c r="V16" s="7">
        <f>(T16)+(T16*U16)</f>
        <v>0</v>
      </c>
      <c r="W16" s="8">
        <f>IFERROR(((V16-T16)/V16),0)</f>
        <v>0</v>
      </c>
      <c r="X16" s="7">
        <f>IF(C16="Baja Complejidad",M16,0)</f>
        <v>0</v>
      </c>
      <c r="Y16" s="8">
        <v>0</v>
      </c>
      <c r="Z16" s="7">
        <f>(X16)+(X16*Y16)</f>
        <v>0</v>
      </c>
      <c r="AA16" s="8">
        <f>IFERROR(((Z16-X16)/Z16),0)</f>
        <v>0</v>
      </c>
      <c r="AB16" s="8">
        <v>0.1</v>
      </c>
    </row>
    <row r="17" spans="1:28" x14ac:dyDescent="0.25">
      <c r="A17">
        <v>2026</v>
      </c>
      <c r="B17" t="s">
        <v>51</v>
      </c>
      <c r="C17" t="s">
        <v>29</v>
      </c>
      <c r="D17" t="s">
        <v>30</v>
      </c>
      <c r="E17">
        <v>360001</v>
      </c>
      <c r="G17" t="s">
        <v>63</v>
      </c>
      <c r="H17" t="s">
        <v>63</v>
      </c>
      <c r="I17" t="s">
        <v>65</v>
      </c>
      <c r="J17" t="s">
        <v>66</v>
      </c>
      <c r="K17" t="s">
        <v>33</v>
      </c>
      <c r="L17">
        <v>28800</v>
      </c>
      <c r="M17">
        <v>28800</v>
      </c>
      <c r="O17" s="7">
        <f>R17</f>
        <v>34560</v>
      </c>
      <c r="P17" s="7">
        <f>IF(C17="Alta Complejidad",M17,0)</f>
        <v>28800</v>
      </c>
      <c r="Q17" s="8">
        <v>0.2</v>
      </c>
      <c r="R17" s="7">
        <f>P17+(P17*Q17)</f>
        <v>34560</v>
      </c>
      <c r="S17" s="8">
        <f>IFERROR(((R17-P17)/R17),0)</f>
        <v>0.16666666666666666</v>
      </c>
      <c r="T17" s="7">
        <v>0</v>
      </c>
      <c r="U17" s="8">
        <v>0</v>
      </c>
      <c r="V17" s="7">
        <f>(T17)+(T17*U17)</f>
        <v>0</v>
      </c>
      <c r="W17" s="8">
        <f>IFERROR(((V17-T17)/V17),0)</f>
        <v>0</v>
      </c>
      <c r="X17" s="7">
        <f>IF(C17="Baja Complejidad",M17,0)</f>
        <v>0</v>
      </c>
      <c r="Y17" s="8">
        <v>0</v>
      </c>
      <c r="Z17" s="7">
        <f>(X17)+(X17*Y17)</f>
        <v>0</v>
      </c>
      <c r="AA17" s="8">
        <f>IFERROR(((Z17-X17)/Z17),0)</f>
        <v>0</v>
      </c>
      <c r="AB17" s="8">
        <v>0.1</v>
      </c>
    </row>
    <row r="18" spans="1:28" x14ac:dyDescent="0.25">
      <c r="A18">
        <v>2026</v>
      </c>
      <c r="B18" t="s">
        <v>51</v>
      </c>
      <c r="C18" t="s">
        <v>29</v>
      </c>
      <c r="D18" t="s">
        <v>30</v>
      </c>
      <c r="E18">
        <v>709900</v>
      </c>
      <c r="G18" t="s">
        <v>63</v>
      </c>
      <c r="H18" t="s">
        <v>63</v>
      </c>
      <c r="I18" t="s">
        <v>67</v>
      </c>
      <c r="J18" t="s">
        <v>66</v>
      </c>
      <c r="K18" t="s">
        <v>33</v>
      </c>
      <c r="L18">
        <v>36700</v>
      </c>
      <c r="M18">
        <v>36700</v>
      </c>
      <c r="O18" s="7">
        <f t="shared" ref="O18:O31" si="2">R18</f>
        <v>44040</v>
      </c>
      <c r="P18" s="7">
        <f>IF(C18="Alta Complejidad",M18,0)</f>
        <v>36700</v>
      </c>
      <c r="Q18" s="8">
        <v>0.2</v>
      </c>
      <c r="R18" s="7">
        <f t="shared" ref="R18:R31" si="3">P18+(P18*Q18)</f>
        <v>44040</v>
      </c>
      <c r="S18" s="8">
        <f>IFERROR(((R18-P18)/R18),0)</f>
        <v>0.16666666666666666</v>
      </c>
      <c r="T18" s="7">
        <v>0</v>
      </c>
      <c r="U18" s="8">
        <v>0</v>
      </c>
      <c r="V18" s="7">
        <f>(T18)+(T18*U18)</f>
        <v>0</v>
      </c>
      <c r="W18" s="8">
        <f>IFERROR(((V18-T18)/V18),0)</f>
        <v>0</v>
      </c>
      <c r="X18" s="7">
        <f>IF(C18="Baja Complejidad",M18,0)</f>
        <v>0</v>
      </c>
      <c r="Y18" s="8">
        <v>0</v>
      </c>
      <c r="Z18" s="7">
        <f>(X18)+(X18*Y18)</f>
        <v>0</v>
      </c>
      <c r="AA18" s="8">
        <f>IFERROR(((Z18-X18)/Z18),0)</f>
        <v>0</v>
      </c>
      <c r="AB18" s="8">
        <v>0.1</v>
      </c>
    </row>
    <row r="19" spans="1:28" x14ac:dyDescent="0.25">
      <c r="A19">
        <v>2026</v>
      </c>
      <c r="B19" t="s">
        <v>51</v>
      </c>
      <c r="C19" t="s">
        <v>29</v>
      </c>
      <c r="D19" t="s">
        <v>30</v>
      </c>
      <c r="E19">
        <v>709902</v>
      </c>
      <c r="G19" t="s">
        <v>63</v>
      </c>
      <c r="H19" t="s">
        <v>63</v>
      </c>
      <c r="I19" t="s">
        <v>68</v>
      </c>
      <c r="J19" t="s">
        <v>69</v>
      </c>
      <c r="K19" t="s">
        <v>33</v>
      </c>
      <c r="L19">
        <v>28000</v>
      </c>
      <c r="M19">
        <v>28000</v>
      </c>
      <c r="O19" s="7">
        <f t="shared" si="2"/>
        <v>33600</v>
      </c>
      <c r="P19" s="7">
        <f>IF(C19="Alta Complejidad",M19,0)</f>
        <v>28000</v>
      </c>
      <c r="Q19" s="8">
        <v>0.2</v>
      </c>
      <c r="R19" s="7">
        <f t="shared" si="3"/>
        <v>33600</v>
      </c>
      <c r="S19" s="8">
        <f>IFERROR(((R19-P19)/R19),0)</f>
        <v>0.16666666666666666</v>
      </c>
      <c r="T19" s="7">
        <v>0</v>
      </c>
      <c r="U19" s="8">
        <v>0</v>
      </c>
      <c r="V19" s="7">
        <f>(T19)+(T19*U19)</f>
        <v>0</v>
      </c>
      <c r="W19" s="8">
        <f>IFERROR(((V19-T19)/V19),0)</f>
        <v>0</v>
      </c>
      <c r="X19" s="7">
        <f>IF(C19="Baja Complejidad",M19,0)</f>
        <v>0</v>
      </c>
      <c r="Y19" s="8">
        <v>0</v>
      </c>
      <c r="Z19" s="7">
        <f>(X19)+(X19*Y19)</f>
        <v>0</v>
      </c>
      <c r="AA19" s="8">
        <f>IFERROR(((Z19-X19)/Z19),0)</f>
        <v>0</v>
      </c>
      <c r="AB19" s="8">
        <v>0.1</v>
      </c>
    </row>
    <row r="20" spans="1:28" x14ac:dyDescent="0.25">
      <c r="A20">
        <v>2026</v>
      </c>
      <c r="B20" t="s">
        <v>51</v>
      </c>
      <c r="C20" t="s">
        <v>29</v>
      </c>
      <c r="D20" t="s">
        <v>30</v>
      </c>
      <c r="E20">
        <v>709903</v>
      </c>
      <c r="G20" t="s">
        <v>63</v>
      </c>
      <c r="H20" t="s">
        <v>63</v>
      </c>
      <c r="I20" t="s">
        <v>70</v>
      </c>
      <c r="J20" t="s">
        <v>69</v>
      </c>
      <c r="K20" t="s">
        <v>33</v>
      </c>
      <c r="L20">
        <v>36700</v>
      </c>
      <c r="M20">
        <v>36700</v>
      </c>
      <c r="O20" s="7">
        <f t="shared" si="2"/>
        <v>44040</v>
      </c>
      <c r="P20" s="7">
        <f>IF(C20="Alta Complejidad",M20,0)</f>
        <v>36700</v>
      </c>
      <c r="Q20" s="8">
        <v>0.2</v>
      </c>
      <c r="R20" s="7">
        <f t="shared" si="3"/>
        <v>44040</v>
      </c>
      <c r="S20" s="8">
        <f>IFERROR(((R20-P20)/R20),0)</f>
        <v>0.16666666666666666</v>
      </c>
      <c r="T20" s="7">
        <v>0</v>
      </c>
      <c r="U20" s="8">
        <v>0</v>
      </c>
      <c r="V20" s="7">
        <f>(T20)+(T20*U20)</f>
        <v>0</v>
      </c>
      <c r="W20" s="8">
        <f>IFERROR(((V20-T20)/V20),0)</f>
        <v>0</v>
      </c>
      <c r="X20" s="7">
        <f>IF(C20="Baja Complejidad",M20,0)</f>
        <v>0</v>
      </c>
      <c r="Y20" s="8">
        <v>0</v>
      </c>
      <c r="Z20" s="7">
        <f>(X20)+(X20*Y20)</f>
        <v>0</v>
      </c>
      <c r="AA20" s="8">
        <f>IFERROR(((Z20-X20)/Z20),0)</f>
        <v>0</v>
      </c>
      <c r="AB20" s="8">
        <v>0.1</v>
      </c>
    </row>
    <row r="21" spans="1:28" x14ac:dyDescent="0.25">
      <c r="A21">
        <v>2026</v>
      </c>
      <c r="B21" t="s">
        <v>51</v>
      </c>
      <c r="C21" t="s">
        <v>29</v>
      </c>
      <c r="D21" t="s">
        <v>30</v>
      </c>
      <c r="E21">
        <v>603421</v>
      </c>
      <c r="G21" t="s">
        <v>63</v>
      </c>
      <c r="H21" t="s">
        <v>63</v>
      </c>
      <c r="I21" t="s">
        <v>71</v>
      </c>
      <c r="J21" t="s">
        <v>69</v>
      </c>
      <c r="K21" t="s">
        <v>33</v>
      </c>
      <c r="L21">
        <v>21900</v>
      </c>
      <c r="M21">
        <v>21900</v>
      </c>
      <c r="O21" s="7">
        <f t="shared" si="2"/>
        <v>26280</v>
      </c>
      <c r="P21" s="7">
        <f>IF(C21="Alta Complejidad",M21,0)</f>
        <v>21900</v>
      </c>
      <c r="Q21" s="8">
        <v>0.2</v>
      </c>
      <c r="R21" s="7">
        <f t="shared" si="3"/>
        <v>26280</v>
      </c>
      <c r="S21" s="8">
        <f>IFERROR(((R21-P21)/R21),0)</f>
        <v>0.16666666666666666</v>
      </c>
      <c r="T21" s="7">
        <v>0</v>
      </c>
      <c r="U21" s="8">
        <v>0</v>
      </c>
      <c r="V21" s="7">
        <f>(T21)+(T21*U21)</f>
        <v>0</v>
      </c>
      <c r="W21" s="8">
        <f>IFERROR(((V21-T21)/V21),0)</f>
        <v>0</v>
      </c>
      <c r="X21" s="7">
        <f>IF(C21="Baja Complejidad",M21,0)</f>
        <v>0</v>
      </c>
      <c r="Y21" s="8">
        <v>0</v>
      </c>
      <c r="Z21" s="7">
        <f>(X21)+(X21*Y21)</f>
        <v>0</v>
      </c>
      <c r="AA21" s="8">
        <f>IFERROR(((Z21-X21)/Z21),0)</f>
        <v>0</v>
      </c>
      <c r="AB21" s="8">
        <v>0.1</v>
      </c>
    </row>
    <row r="22" spans="1:28" x14ac:dyDescent="0.25">
      <c r="A22">
        <v>2026</v>
      </c>
      <c r="B22" t="s">
        <v>51</v>
      </c>
      <c r="C22" t="s">
        <v>29</v>
      </c>
      <c r="D22" t="s">
        <v>30</v>
      </c>
      <c r="E22">
        <v>603422</v>
      </c>
      <c r="G22" t="s">
        <v>63</v>
      </c>
      <c r="H22" t="s">
        <v>63</v>
      </c>
      <c r="I22" t="s">
        <v>72</v>
      </c>
      <c r="J22" t="s">
        <v>69</v>
      </c>
      <c r="K22" t="s">
        <v>33</v>
      </c>
      <c r="L22">
        <v>114900</v>
      </c>
      <c r="M22">
        <v>114900</v>
      </c>
      <c r="O22" s="7">
        <f t="shared" si="2"/>
        <v>137880</v>
      </c>
      <c r="P22" s="7">
        <f>IF(C22="Alta Complejidad",M22,0)</f>
        <v>114900</v>
      </c>
      <c r="Q22" s="8">
        <v>0.2</v>
      </c>
      <c r="R22" s="7">
        <f t="shared" si="3"/>
        <v>137880</v>
      </c>
      <c r="S22" s="8">
        <f>IFERROR(((R22-P22)/R22),0)</f>
        <v>0.16666666666666666</v>
      </c>
      <c r="T22" s="7">
        <v>0</v>
      </c>
      <c r="U22" s="8">
        <v>0</v>
      </c>
      <c r="V22" s="7">
        <f>(T22)+(T22*U22)</f>
        <v>0</v>
      </c>
      <c r="W22" s="8">
        <f>IFERROR(((V22-T22)/V22),0)</f>
        <v>0</v>
      </c>
      <c r="X22" s="7">
        <f>IF(C22="Baja Complejidad",M22,0)</f>
        <v>0</v>
      </c>
      <c r="Y22" s="8">
        <v>0</v>
      </c>
      <c r="Z22" s="7">
        <f>(X22)+(X22*Y22)</f>
        <v>0</v>
      </c>
      <c r="AA22" s="8">
        <f>IFERROR(((Z22-X22)/Z22),0)</f>
        <v>0</v>
      </c>
      <c r="AB22" s="8">
        <v>0.1</v>
      </c>
    </row>
    <row r="23" spans="1:28" x14ac:dyDescent="0.25">
      <c r="A23">
        <v>2026</v>
      </c>
      <c r="B23" t="s">
        <v>51</v>
      </c>
      <c r="C23" t="s">
        <v>29</v>
      </c>
      <c r="D23" t="s">
        <v>30</v>
      </c>
      <c r="E23">
        <v>603423</v>
      </c>
      <c r="G23" t="s">
        <v>63</v>
      </c>
      <c r="H23" t="s">
        <v>63</v>
      </c>
      <c r="I23" t="s">
        <v>73</v>
      </c>
      <c r="J23" t="s">
        <v>69</v>
      </c>
      <c r="K23" t="s">
        <v>33</v>
      </c>
      <c r="L23">
        <v>28000</v>
      </c>
      <c r="M23">
        <v>28000</v>
      </c>
      <c r="O23" s="7">
        <f t="shared" si="2"/>
        <v>33600</v>
      </c>
      <c r="P23" s="7">
        <f>IF(C23="Alta Complejidad",M23,0)</f>
        <v>28000</v>
      </c>
      <c r="Q23" s="8">
        <v>0.2</v>
      </c>
      <c r="R23" s="7">
        <f t="shared" si="3"/>
        <v>33600</v>
      </c>
      <c r="S23" s="8">
        <f>IFERROR(((R23-P23)/R23),0)</f>
        <v>0.16666666666666666</v>
      </c>
      <c r="T23" s="7">
        <v>0</v>
      </c>
      <c r="U23" s="8">
        <v>0</v>
      </c>
      <c r="V23" s="7">
        <f>(T23)+(T23*U23)</f>
        <v>0</v>
      </c>
      <c r="W23" s="8">
        <f>IFERROR(((V23-T23)/V23),0)</f>
        <v>0</v>
      </c>
      <c r="X23" s="7">
        <f>IF(C23="Baja Complejidad",M23,0)</f>
        <v>0</v>
      </c>
      <c r="Y23" s="8">
        <v>0</v>
      </c>
      <c r="Z23" s="7">
        <f>(X23)+(X23*Y23)</f>
        <v>0</v>
      </c>
      <c r="AA23" s="8">
        <f>IFERROR(((Z23-X23)/Z23),0)</f>
        <v>0</v>
      </c>
      <c r="AB23" s="8">
        <v>0.1</v>
      </c>
    </row>
    <row r="24" spans="1:28" x14ac:dyDescent="0.25">
      <c r="A24">
        <v>2026</v>
      </c>
      <c r="B24" t="s">
        <v>51</v>
      </c>
      <c r="C24" t="s">
        <v>29</v>
      </c>
      <c r="D24" t="s">
        <v>30</v>
      </c>
      <c r="E24">
        <v>294199</v>
      </c>
      <c r="G24" t="s">
        <v>63</v>
      </c>
      <c r="H24" t="s">
        <v>63</v>
      </c>
      <c r="I24" t="s">
        <v>74</v>
      </c>
      <c r="J24" t="s">
        <v>69</v>
      </c>
      <c r="K24" t="s">
        <v>33</v>
      </c>
      <c r="L24">
        <v>49200</v>
      </c>
      <c r="M24">
        <v>49200</v>
      </c>
      <c r="O24" s="7">
        <f t="shared" si="2"/>
        <v>59040</v>
      </c>
      <c r="P24" s="7">
        <f>IF(C24="Alta Complejidad",M24,0)</f>
        <v>49200</v>
      </c>
      <c r="Q24" s="8">
        <v>0.2</v>
      </c>
      <c r="R24" s="7">
        <f t="shared" si="3"/>
        <v>59040</v>
      </c>
      <c r="S24" s="8">
        <f>IFERROR(((R24-P24)/R24),0)</f>
        <v>0.16666666666666666</v>
      </c>
      <c r="T24" s="7">
        <v>0</v>
      </c>
      <c r="U24" s="8">
        <v>0</v>
      </c>
      <c r="V24" s="7">
        <f>(T24)+(T24*U24)</f>
        <v>0</v>
      </c>
      <c r="W24" s="8">
        <f>IFERROR(((V24-T24)/V24),0)</f>
        <v>0</v>
      </c>
      <c r="X24" s="7">
        <f>IF(C24="Baja Complejidad",M24,0)</f>
        <v>0</v>
      </c>
      <c r="Y24" s="8">
        <v>0</v>
      </c>
      <c r="Z24" s="7">
        <f>(X24)+(X24*Y24)</f>
        <v>0</v>
      </c>
      <c r="AA24" s="8">
        <f>IFERROR(((Z24-X24)/Z24),0)</f>
        <v>0</v>
      </c>
      <c r="AB24" s="8">
        <v>0.1</v>
      </c>
    </row>
    <row r="25" spans="1:28" x14ac:dyDescent="0.25">
      <c r="A25">
        <v>2026</v>
      </c>
      <c r="B25" t="s">
        <v>51</v>
      </c>
      <c r="C25" t="s">
        <v>29</v>
      </c>
      <c r="D25" t="s">
        <v>30</v>
      </c>
      <c r="E25">
        <v>294299</v>
      </c>
      <c r="G25" t="s">
        <v>63</v>
      </c>
      <c r="H25" t="s">
        <v>63</v>
      </c>
      <c r="I25" t="s">
        <v>75</v>
      </c>
      <c r="J25" t="s">
        <v>69</v>
      </c>
      <c r="K25" t="s">
        <v>33</v>
      </c>
      <c r="L25">
        <v>141600</v>
      </c>
      <c r="M25">
        <v>141600</v>
      </c>
      <c r="O25" s="7">
        <f t="shared" si="2"/>
        <v>169920</v>
      </c>
      <c r="P25" s="7">
        <f>IF(C25="Alta Complejidad",M25,0)</f>
        <v>141600</v>
      </c>
      <c r="Q25" s="8">
        <v>0.2</v>
      </c>
      <c r="R25" s="7">
        <f t="shared" si="3"/>
        <v>169920</v>
      </c>
      <c r="S25" s="8">
        <f>IFERROR(((R25-P25)/R25),0)</f>
        <v>0.16666666666666666</v>
      </c>
      <c r="T25" s="7">
        <v>0</v>
      </c>
      <c r="U25" s="8">
        <v>0</v>
      </c>
      <c r="V25" s="7">
        <f>(T25)+(T25*U25)</f>
        <v>0</v>
      </c>
      <c r="W25" s="8">
        <f>IFERROR(((V25-T25)/V25),0)</f>
        <v>0</v>
      </c>
      <c r="X25" s="7">
        <f>IF(C25="Baja Complejidad",M25,0)</f>
        <v>0</v>
      </c>
      <c r="Y25" s="8">
        <v>0</v>
      </c>
      <c r="Z25" s="7">
        <f>(X25)+(X25*Y25)</f>
        <v>0</v>
      </c>
      <c r="AA25" s="8">
        <f>IFERROR(((Z25-X25)/Z25),0)</f>
        <v>0</v>
      </c>
      <c r="AB25" s="8">
        <v>0.1</v>
      </c>
    </row>
    <row r="26" spans="1:28" x14ac:dyDescent="0.25">
      <c r="A26">
        <v>2026</v>
      </c>
      <c r="B26" t="s">
        <v>51</v>
      </c>
      <c r="C26" t="s">
        <v>29</v>
      </c>
      <c r="D26" t="s">
        <v>30</v>
      </c>
      <c r="E26">
        <v>294399</v>
      </c>
      <c r="G26" t="s">
        <v>63</v>
      </c>
      <c r="H26" t="s">
        <v>63</v>
      </c>
      <c r="I26" t="s">
        <v>76</v>
      </c>
      <c r="J26" t="s">
        <v>69</v>
      </c>
      <c r="K26" t="s">
        <v>33</v>
      </c>
      <c r="L26">
        <v>174700</v>
      </c>
      <c r="M26">
        <v>174700</v>
      </c>
      <c r="O26" s="7">
        <f t="shared" si="2"/>
        <v>209640</v>
      </c>
      <c r="P26" s="7">
        <f>IF(C26="Alta Complejidad",M26,0)</f>
        <v>174700</v>
      </c>
      <c r="Q26" s="8">
        <v>0.2</v>
      </c>
      <c r="R26" s="7">
        <f t="shared" si="3"/>
        <v>209640</v>
      </c>
      <c r="S26" s="8">
        <f>IFERROR(((R26-P26)/R26),0)</f>
        <v>0.16666666666666666</v>
      </c>
      <c r="T26" s="7">
        <v>0</v>
      </c>
      <c r="U26" s="8">
        <v>0</v>
      </c>
      <c r="V26" s="7">
        <f>(T26)+(T26*U26)</f>
        <v>0</v>
      </c>
      <c r="W26" s="8">
        <f>IFERROR(((V26-T26)/V26),0)</f>
        <v>0</v>
      </c>
      <c r="X26" s="7">
        <f>IF(C26="Baja Complejidad",M26,0)</f>
        <v>0</v>
      </c>
      <c r="Y26" s="8">
        <v>0</v>
      </c>
      <c r="Z26" s="7">
        <f>(X26)+(X26*Y26)</f>
        <v>0</v>
      </c>
      <c r="AA26" s="8">
        <f>IFERROR(((Z26-X26)/Z26),0)</f>
        <v>0</v>
      </c>
      <c r="AB26" s="8">
        <v>0.1</v>
      </c>
    </row>
    <row r="27" spans="1:28" x14ac:dyDescent="0.25">
      <c r="A27">
        <v>2026</v>
      </c>
      <c r="B27" t="s">
        <v>51</v>
      </c>
      <c r="C27" t="s">
        <v>29</v>
      </c>
      <c r="D27" t="s">
        <v>30</v>
      </c>
      <c r="E27">
        <v>294499</v>
      </c>
      <c r="G27" t="s">
        <v>63</v>
      </c>
      <c r="H27" t="s">
        <v>63</v>
      </c>
      <c r="I27" t="s">
        <v>77</v>
      </c>
      <c r="J27" t="s">
        <v>69</v>
      </c>
      <c r="K27" t="s">
        <v>33</v>
      </c>
      <c r="L27">
        <v>204000</v>
      </c>
      <c r="M27">
        <v>204000</v>
      </c>
      <c r="O27" s="7">
        <f t="shared" si="2"/>
        <v>244800</v>
      </c>
      <c r="P27" s="7">
        <f>IF(C27="Alta Complejidad",M27,0)</f>
        <v>204000</v>
      </c>
      <c r="Q27" s="8">
        <v>0.2</v>
      </c>
      <c r="R27" s="7">
        <f t="shared" si="3"/>
        <v>244800</v>
      </c>
      <c r="S27" s="8">
        <f>IFERROR(((R27-P27)/R27),0)</f>
        <v>0.16666666666666666</v>
      </c>
      <c r="T27" s="7">
        <v>0</v>
      </c>
      <c r="U27" s="8">
        <v>0</v>
      </c>
      <c r="V27" s="7">
        <f>(T27)+(T27*U27)</f>
        <v>0</v>
      </c>
      <c r="W27" s="8">
        <f>IFERROR(((V27-T27)/V27),0)</f>
        <v>0</v>
      </c>
      <c r="X27" s="7">
        <f>IF(C27="Baja Complejidad",M27,0)</f>
        <v>0</v>
      </c>
      <c r="Y27" s="8">
        <v>0</v>
      </c>
      <c r="Z27" s="7">
        <f>(X27)+(X27*Y27)</f>
        <v>0</v>
      </c>
      <c r="AA27" s="8">
        <f>IFERROR(((Z27-X27)/Z27),0)</f>
        <v>0</v>
      </c>
      <c r="AB27" s="8">
        <v>0.1</v>
      </c>
    </row>
    <row r="28" spans="1:28" x14ac:dyDescent="0.25">
      <c r="A28">
        <v>2026</v>
      </c>
      <c r="B28" t="s">
        <v>51</v>
      </c>
      <c r="C28" t="s">
        <v>29</v>
      </c>
      <c r="D28" t="s">
        <v>30</v>
      </c>
      <c r="E28">
        <v>284190</v>
      </c>
      <c r="G28" t="s">
        <v>63</v>
      </c>
      <c r="H28" t="s">
        <v>63</v>
      </c>
      <c r="I28" t="s">
        <v>78</v>
      </c>
      <c r="J28" t="s">
        <v>69</v>
      </c>
      <c r="K28" t="s">
        <v>33</v>
      </c>
      <c r="L28">
        <v>49000</v>
      </c>
      <c r="M28">
        <v>49000</v>
      </c>
      <c r="O28" s="7">
        <f t="shared" si="2"/>
        <v>58800</v>
      </c>
      <c r="P28" s="7">
        <f>IF(C28="Alta Complejidad",M28,0)</f>
        <v>49000</v>
      </c>
      <c r="Q28" s="8">
        <v>0.2</v>
      </c>
      <c r="R28" s="7">
        <f t="shared" si="3"/>
        <v>58800</v>
      </c>
      <c r="S28" s="8">
        <f>IFERROR(((R28-P28)/R28),0)</f>
        <v>0.16666666666666666</v>
      </c>
      <c r="T28" s="7">
        <v>0</v>
      </c>
      <c r="U28" s="8">
        <v>0</v>
      </c>
      <c r="V28" s="7">
        <f>(T28)+(T28*U28)</f>
        <v>0</v>
      </c>
      <c r="W28" s="8">
        <f>IFERROR(((V28-T28)/V28),0)</f>
        <v>0</v>
      </c>
      <c r="X28" s="7">
        <f>IF(C28="Baja Complejidad",M28,0)</f>
        <v>0</v>
      </c>
      <c r="Y28" s="8">
        <v>0</v>
      </c>
      <c r="Z28" s="7">
        <f>(X28)+(X28*Y28)</f>
        <v>0</v>
      </c>
      <c r="AA28" s="8">
        <f>IFERROR(((Z28-X28)/Z28),0)</f>
        <v>0</v>
      </c>
      <c r="AB28" s="8">
        <v>0.1</v>
      </c>
    </row>
    <row r="29" spans="1:28" x14ac:dyDescent="0.25">
      <c r="A29">
        <v>2026</v>
      </c>
      <c r="B29" t="s">
        <v>51</v>
      </c>
      <c r="C29" t="s">
        <v>29</v>
      </c>
      <c r="D29" t="s">
        <v>30</v>
      </c>
      <c r="E29">
        <v>284390</v>
      </c>
      <c r="G29" t="s">
        <v>63</v>
      </c>
      <c r="H29" t="s">
        <v>63</v>
      </c>
      <c r="I29" t="s">
        <v>79</v>
      </c>
      <c r="J29" t="s">
        <v>66</v>
      </c>
      <c r="K29" t="s">
        <v>33</v>
      </c>
      <c r="L29">
        <v>224100</v>
      </c>
      <c r="M29">
        <v>224100</v>
      </c>
      <c r="O29" s="7">
        <f t="shared" si="2"/>
        <v>268920</v>
      </c>
      <c r="P29" s="7">
        <f>IF(C29="Alta Complejidad",M29,0)</f>
        <v>224100</v>
      </c>
      <c r="Q29" s="8">
        <v>0.2</v>
      </c>
      <c r="R29" s="7">
        <f t="shared" si="3"/>
        <v>268920</v>
      </c>
      <c r="S29" s="8">
        <f>IFERROR(((R29-P29)/R29),0)</f>
        <v>0.16666666666666666</v>
      </c>
      <c r="T29" s="7">
        <v>0</v>
      </c>
      <c r="U29" s="8">
        <v>0</v>
      </c>
      <c r="V29" s="7">
        <f>(T29)+(T29*U29)</f>
        <v>0</v>
      </c>
      <c r="W29" s="8">
        <f>IFERROR(((V29-T29)/V29),0)</f>
        <v>0</v>
      </c>
      <c r="X29" s="7">
        <f>IF(C29="Baja Complejidad",M29,0)</f>
        <v>0</v>
      </c>
      <c r="Y29" s="8">
        <v>0</v>
      </c>
      <c r="Z29" s="7">
        <f>(X29)+(X29*Y29)</f>
        <v>0</v>
      </c>
      <c r="AA29" s="8">
        <f>IFERROR(((Z29-X29)/Z29),0)</f>
        <v>0</v>
      </c>
      <c r="AB29" s="8">
        <v>0.1</v>
      </c>
    </row>
    <row r="30" spans="1:28" x14ac:dyDescent="0.25">
      <c r="A30">
        <v>2026</v>
      </c>
      <c r="B30" t="s">
        <v>51</v>
      </c>
      <c r="C30" t="s">
        <v>29</v>
      </c>
      <c r="D30" t="s">
        <v>30</v>
      </c>
      <c r="E30">
        <v>287100</v>
      </c>
      <c r="G30" t="s">
        <v>63</v>
      </c>
      <c r="H30" t="s">
        <v>63</v>
      </c>
      <c r="I30" t="s">
        <v>80</v>
      </c>
      <c r="J30" t="s">
        <v>66</v>
      </c>
      <c r="K30" t="s">
        <v>33</v>
      </c>
      <c r="L30">
        <v>38000</v>
      </c>
      <c r="M30">
        <v>38000</v>
      </c>
      <c r="O30" s="7">
        <f t="shared" si="2"/>
        <v>45600</v>
      </c>
      <c r="P30" s="7">
        <f>IF(C30="Alta Complejidad",M30,0)</f>
        <v>38000</v>
      </c>
      <c r="Q30" s="8">
        <v>0.2</v>
      </c>
      <c r="R30" s="7">
        <f t="shared" si="3"/>
        <v>45600</v>
      </c>
      <c r="S30" s="8">
        <f>IFERROR(((R30-P30)/R30),0)</f>
        <v>0.16666666666666666</v>
      </c>
      <c r="T30" s="7">
        <v>0</v>
      </c>
      <c r="U30" s="8">
        <v>0</v>
      </c>
      <c r="V30" s="7">
        <f>(T30)+(T30*U30)</f>
        <v>0</v>
      </c>
      <c r="W30" s="8">
        <f>IFERROR(((V30-T30)/V30),0)</f>
        <v>0</v>
      </c>
      <c r="X30" s="7">
        <f>IF(C30="Baja Complejidad",M30,0)</f>
        <v>0</v>
      </c>
      <c r="Y30" s="8">
        <v>0</v>
      </c>
      <c r="Z30" s="7">
        <f>(X30)+(X30*Y30)</f>
        <v>0</v>
      </c>
      <c r="AA30" s="8">
        <f>IFERROR(((Z30-X30)/Z30),0)</f>
        <v>0</v>
      </c>
      <c r="AB30" s="8">
        <v>0.1</v>
      </c>
    </row>
    <row r="31" spans="1:28" x14ac:dyDescent="0.25">
      <c r="A31">
        <v>2026</v>
      </c>
      <c r="B31" t="s">
        <v>51</v>
      </c>
      <c r="C31" t="s">
        <v>29</v>
      </c>
      <c r="D31" t="s">
        <v>30</v>
      </c>
      <c r="E31">
        <v>287200</v>
      </c>
      <c r="G31" t="s">
        <v>63</v>
      </c>
      <c r="H31" t="s">
        <v>63</v>
      </c>
      <c r="I31" t="s">
        <v>81</v>
      </c>
      <c r="J31" t="s">
        <v>66</v>
      </c>
      <c r="K31" t="s">
        <v>33</v>
      </c>
      <c r="L31">
        <v>39800</v>
      </c>
      <c r="M31">
        <v>39800</v>
      </c>
      <c r="O31" s="7">
        <f t="shared" si="2"/>
        <v>47760</v>
      </c>
      <c r="P31" s="7">
        <f>IF(C31="Alta Complejidad",M31,0)</f>
        <v>39800</v>
      </c>
      <c r="Q31" s="8">
        <v>0.2</v>
      </c>
      <c r="R31" s="7">
        <f t="shared" si="3"/>
        <v>47760</v>
      </c>
      <c r="S31" s="8">
        <f>IFERROR(((R31-P31)/R31),0)</f>
        <v>0.16666666666666666</v>
      </c>
      <c r="T31" s="7">
        <v>0</v>
      </c>
      <c r="U31" s="8">
        <v>0</v>
      </c>
      <c r="V31" s="7">
        <f>(T31)+(T31*U31)</f>
        <v>0</v>
      </c>
      <c r="W31" s="8">
        <f>IFERROR(((V31-T31)/V31),0)</f>
        <v>0</v>
      </c>
      <c r="X31" s="7">
        <f>IF(C31="Baja Complejidad",M31,0)</f>
        <v>0</v>
      </c>
      <c r="Y31" s="8">
        <v>0</v>
      </c>
      <c r="Z31" s="7">
        <f>(X31)+(X31*Y31)</f>
        <v>0</v>
      </c>
      <c r="AA31" s="8">
        <f>IFERROR(((Z31-X31)/Z31),0)</f>
        <v>0</v>
      </c>
      <c r="AB31" s="8">
        <v>0.1</v>
      </c>
    </row>
    <row r="32" spans="1:28" x14ac:dyDescent="0.25">
      <c r="A32">
        <v>2026</v>
      </c>
      <c r="B32" t="s">
        <v>52</v>
      </c>
      <c r="C32" t="s">
        <v>29</v>
      </c>
      <c r="D32" t="s">
        <v>30</v>
      </c>
      <c r="E32">
        <v>360001</v>
      </c>
      <c r="G32" t="s">
        <v>63</v>
      </c>
      <c r="H32" t="s">
        <v>63</v>
      </c>
      <c r="I32" t="s">
        <v>65</v>
      </c>
      <c r="J32" t="s">
        <v>66</v>
      </c>
      <c r="K32" t="s">
        <v>33</v>
      </c>
      <c r="L32">
        <v>28800</v>
      </c>
      <c r="M32">
        <v>28800</v>
      </c>
      <c r="O32" s="7">
        <f>R32</f>
        <v>34560</v>
      </c>
      <c r="P32" s="7">
        <f>IF(C32="Alta Complejidad",M32,0)</f>
        <v>28800</v>
      </c>
      <c r="Q32" s="8">
        <v>0.2</v>
      </c>
      <c r="R32" s="7">
        <f>P32+(P32*Q32)</f>
        <v>34560</v>
      </c>
      <c r="S32" s="8">
        <f>IFERROR(((R32-P32)/R32),0)</f>
        <v>0.16666666666666666</v>
      </c>
      <c r="T32" s="7">
        <v>0</v>
      </c>
      <c r="U32" s="8">
        <v>0</v>
      </c>
      <c r="V32" s="7">
        <f>(T32)+(T32*U32)</f>
        <v>0</v>
      </c>
      <c r="W32" s="8">
        <f>IFERROR(((V32-T32)/V32),0)</f>
        <v>0</v>
      </c>
      <c r="X32" s="7">
        <f>IF(C32="Baja Complejidad",M32,0)</f>
        <v>0</v>
      </c>
      <c r="Y32" s="8">
        <v>0</v>
      </c>
      <c r="Z32" s="7">
        <f>(X32)+(X32*Y32)</f>
        <v>0</v>
      </c>
      <c r="AA32" s="8">
        <f>IFERROR(((Z32-X32)/Z32),0)</f>
        <v>0</v>
      </c>
      <c r="AB32" s="8">
        <v>0.1</v>
      </c>
    </row>
    <row r="33" spans="1:28" x14ac:dyDescent="0.25">
      <c r="A33">
        <v>2026</v>
      </c>
      <c r="B33" t="s">
        <v>52</v>
      </c>
      <c r="C33" t="s">
        <v>29</v>
      </c>
      <c r="D33" t="s">
        <v>30</v>
      </c>
      <c r="E33">
        <v>709900</v>
      </c>
      <c r="G33" t="s">
        <v>63</v>
      </c>
      <c r="H33" t="s">
        <v>63</v>
      </c>
      <c r="I33" t="s">
        <v>67</v>
      </c>
      <c r="J33" t="s">
        <v>66</v>
      </c>
      <c r="K33" t="s">
        <v>33</v>
      </c>
      <c r="L33">
        <v>36700</v>
      </c>
      <c r="M33">
        <v>36700</v>
      </c>
      <c r="O33" s="7">
        <f t="shared" ref="O33:O46" si="4">R33</f>
        <v>44040</v>
      </c>
      <c r="P33" s="7">
        <f>IF(C33="Alta Complejidad",M33,0)</f>
        <v>36700</v>
      </c>
      <c r="Q33" s="8">
        <v>0.2</v>
      </c>
      <c r="R33" s="7">
        <f t="shared" ref="R33:R46" si="5">P33+(P33*Q33)</f>
        <v>44040</v>
      </c>
      <c r="S33" s="8">
        <f>IFERROR(((R33-P33)/R33),0)</f>
        <v>0.16666666666666666</v>
      </c>
      <c r="T33" s="7">
        <v>0</v>
      </c>
      <c r="U33" s="8">
        <v>0</v>
      </c>
      <c r="V33" s="7">
        <f>(T33)+(T33*U33)</f>
        <v>0</v>
      </c>
      <c r="W33" s="8">
        <f>IFERROR(((V33-T33)/V33),0)</f>
        <v>0</v>
      </c>
      <c r="X33" s="7">
        <f>IF(C33="Baja Complejidad",M33,0)</f>
        <v>0</v>
      </c>
      <c r="Y33" s="8">
        <v>0</v>
      </c>
      <c r="Z33" s="7">
        <f>(X33)+(X33*Y33)</f>
        <v>0</v>
      </c>
      <c r="AA33" s="8">
        <f>IFERROR(((Z33-X33)/Z33),0)</f>
        <v>0</v>
      </c>
      <c r="AB33" s="8">
        <v>0.1</v>
      </c>
    </row>
    <row r="34" spans="1:28" x14ac:dyDescent="0.25">
      <c r="A34">
        <v>2026</v>
      </c>
      <c r="B34" t="s">
        <v>52</v>
      </c>
      <c r="C34" t="s">
        <v>29</v>
      </c>
      <c r="D34" t="s">
        <v>30</v>
      </c>
      <c r="E34">
        <v>709902</v>
      </c>
      <c r="G34" t="s">
        <v>63</v>
      </c>
      <c r="H34" t="s">
        <v>63</v>
      </c>
      <c r="I34" t="s">
        <v>68</v>
      </c>
      <c r="J34" t="s">
        <v>69</v>
      </c>
      <c r="K34" t="s">
        <v>33</v>
      </c>
      <c r="L34">
        <v>28000</v>
      </c>
      <c r="M34">
        <v>28000</v>
      </c>
      <c r="O34" s="7">
        <f t="shared" si="4"/>
        <v>33600</v>
      </c>
      <c r="P34" s="7">
        <f>IF(C34="Alta Complejidad",M34,0)</f>
        <v>28000</v>
      </c>
      <c r="Q34" s="8">
        <v>0.2</v>
      </c>
      <c r="R34" s="7">
        <f t="shared" si="5"/>
        <v>33600</v>
      </c>
      <c r="S34" s="8">
        <f>IFERROR(((R34-P34)/R34),0)</f>
        <v>0.16666666666666666</v>
      </c>
      <c r="T34" s="7">
        <v>0</v>
      </c>
      <c r="U34" s="8">
        <v>0</v>
      </c>
      <c r="V34" s="7">
        <f>(T34)+(T34*U34)</f>
        <v>0</v>
      </c>
      <c r="W34" s="8">
        <f>IFERROR(((V34-T34)/V34),0)</f>
        <v>0</v>
      </c>
      <c r="X34" s="7">
        <f>IF(C34="Baja Complejidad",M34,0)</f>
        <v>0</v>
      </c>
      <c r="Y34" s="8">
        <v>0</v>
      </c>
      <c r="Z34" s="7">
        <f>(X34)+(X34*Y34)</f>
        <v>0</v>
      </c>
      <c r="AA34" s="8">
        <f>IFERROR(((Z34-X34)/Z34),0)</f>
        <v>0</v>
      </c>
      <c r="AB34" s="8">
        <v>0.1</v>
      </c>
    </row>
    <row r="35" spans="1:28" x14ac:dyDescent="0.25">
      <c r="A35">
        <v>2026</v>
      </c>
      <c r="B35" t="s">
        <v>52</v>
      </c>
      <c r="C35" t="s">
        <v>29</v>
      </c>
      <c r="D35" t="s">
        <v>30</v>
      </c>
      <c r="E35">
        <v>709903</v>
      </c>
      <c r="G35" t="s">
        <v>63</v>
      </c>
      <c r="H35" t="s">
        <v>63</v>
      </c>
      <c r="I35" t="s">
        <v>70</v>
      </c>
      <c r="J35" t="s">
        <v>69</v>
      </c>
      <c r="K35" t="s">
        <v>33</v>
      </c>
      <c r="L35">
        <v>36700</v>
      </c>
      <c r="M35">
        <v>36700</v>
      </c>
      <c r="O35" s="7">
        <f t="shared" si="4"/>
        <v>44040</v>
      </c>
      <c r="P35" s="7">
        <f>IF(C35="Alta Complejidad",M35,0)</f>
        <v>36700</v>
      </c>
      <c r="Q35" s="8">
        <v>0.2</v>
      </c>
      <c r="R35" s="7">
        <f t="shared" si="5"/>
        <v>44040</v>
      </c>
      <c r="S35" s="8">
        <f>IFERROR(((R35-P35)/R35),0)</f>
        <v>0.16666666666666666</v>
      </c>
      <c r="T35" s="7">
        <v>0</v>
      </c>
      <c r="U35" s="8">
        <v>0</v>
      </c>
      <c r="V35" s="7">
        <f>(T35)+(T35*U35)</f>
        <v>0</v>
      </c>
      <c r="W35" s="8">
        <f>IFERROR(((V35-T35)/V35),0)</f>
        <v>0</v>
      </c>
      <c r="X35" s="7">
        <f>IF(C35="Baja Complejidad",M35,0)</f>
        <v>0</v>
      </c>
      <c r="Y35" s="8">
        <v>0</v>
      </c>
      <c r="Z35" s="7">
        <f>(X35)+(X35*Y35)</f>
        <v>0</v>
      </c>
      <c r="AA35" s="8">
        <f>IFERROR(((Z35-X35)/Z35),0)</f>
        <v>0</v>
      </c>
      <c r="AB35" s="8">
        <v>0.1</v>
      </c>
    </row>
    <row r="36" spans="1:28" x14ac:dyDescent="0.25">
      <c r="A36">
        <v>2026</v>
      </c>
      <c r="B36" t="s">
        <v>52</v>
      </c>
      <c r="C36" t="s">
        <v>29</v>
      </c>
      <c r="D36" t="s">
        <v>30</v>
      </c>
      <c r="E36">
        <v>603421</v>
      </c>
      <c r="G36" t="s">
        <v>63</v>
      </c>
      <c r="H36" t="s">
        <v>63</v>
      </c>
      <c r="I36" t="s">
        <v>71</v>
      </c>
      <c r="J36" t="s">
        <v>69</v>
      </c>
      <c r="K36" t="s">
        <v>33</v>
      </c>
      <c r="L36">
        <v>21900</v>
      </c>
      <c r="M36">
        <v>21900</v>
      </c>
      <c r="O36" s="7">
        <f t="shared" si="4"/>
        <v>26280</v>
      </c>
      <c r="P36" s="7">
        <f>IF(C36="Alta Complejidad",M36,0)</f>
        <v>21900</v>
      </c>
      <c r="Q36" s="8">
        <v>0.2</v>
      </c>
      <c r="R36" s="7">
        <f t="shared" si="5"/>
        <v>26280</v>
      </c>
      <c r="S36" s="8">
        <f>IFERROR(((R36-P36)/R36),0)</f>
        <v>0.16666666666666666</v>
      </c>
      <c r="T36" s="7">
        <v>0</v>
      </c>
      <c r="U36" s="8">
        <v>0</v>
      </c>
      <c r="V36" s="7">
        <f>(T36)+(T36*U36)</f>
        <v>0</v>
      </c>
      <c r="W36" s="8">
        <f>IFERROR(((V36-T36)/V36),0)</f>
        <v>0</v>
      </c>
      <c r="X36" s="7">
        <f>IF(C36="Baja Complejidad",M36,0)</f>
        <v>0</v>
      </c>
      <c r="Y36" s="8">
        <v>0</v>
      </c>
      <c r="Z36" s="7">
        <f>(X36)+(X36*Y36)</f>
        <v>0</v>
      </c>
      <c r="AA36" s="8">
        <f>IFERROR(((Z36-X36)/Z36),0)</f>
        <v>0</v>
      </c>
      <c r="AB36" s="8">
        <v>0.1</v>
      </c>
    </row>
    <row r="37" spans="1:28" x14ac:dyDescent="0.25">
      <c r="A37">
        <v>2026</v>
      </c>
      <c r="B37" t="s">
        <v>52</v>
      </c>
      <c r="C37" t="s">
        <v>29</v>
      </c>
      <c r="D37" t="s">
        <v>30</v>
      </c>
      <c r="E37">
        <v>603422</v>
      </c>
      <c r="G37" t="s">
        <v>63</v>
      </c>
      <c r="H37" t="s">
        <v>63</v>
      </c>
      <c r="I37" t="s">
        <v>72</v>
      </c>
      <c r="J37" t="s">
        <v>69</v>
      </c>
      <c r="K37" t="s">
        <v>33</v>
      </c>
      <c r="L37">
        <v>114900</v>
      </c>
      <c r="M37">
        <v>114900</v>
      </c>
      <c r="O37" s="7">
        <f t="shared" si="4"/>
        <v>137880</v>
      </c>
      <c r="P37" s="7">
        <f>IF(C37="Alta Complejidad",M37,0)</f>
        <v>114900</v>
      </c>
      <c r="Q37" s="8">
        <v>0.2</v>
      </c>
      <c r="R37" s="7">
        <f t="shared" si="5"/>
        <v>137880</v>
      </c>
      <c r="S37" s="8">
        <f>IFERROR(((R37-P37)/R37),0)</f>
        <v>0.16666666666666666</v>
      </c>
      <c r="T37" s="7">
        <v>0</v>
      </c>
      <c r="U37" s="8">
        <v>0</v>
      </c>
      <c r="V37" s="7">
        <f>(T37)+(T37*U37)</f>
        <v>0</v>
      </c>
      <c r="W37" s="8">
        <f>IFERROR(((V37-T37)/V37),0)</f>
        <v>0</v>
      </c>
      <c r="X37" s="7">
        <f>IF(C37="Baja Complejidad",M37,0)</f>
        <v>0</v>
      </c>
      <c r="Y37" s="8">
        <v>0</v>
      </c>
      <c r="Z37" s="7">
        <f>(X37)+(X37*Y37)</f>
        <v>0</v>
      </c>
      <c r="AA37" s="8">
        <f>IFERROR(((Z37-X37)/Z37),0)</f>
        <v>0</v>
      </c>
      <c r="AB37" s="8">
        <v>0.1</v>
      </c>
    </row>
    <row r="38" spans="1:28" x14ac:dyDescent="0.25">
      <c r="A38">
        <v>2026</v>
      </c>
      <c r="B38" t="s">
        <v>52</v>
      </c>
      <c r="C38" t="s">
        <v>29</v>
      </c>
      <c r="D38" t="s">
        <v>30</v>
      </c>
      <c r="E38">
        <v>603423</v>
      </c>
      <c r="G38" t="s">
        <v>63</v>
      </c>
      <c r="H38" t="s">
        <v>63</v>
      </c>
      <c r="I38" t="s">
        <v>73</v>
      </c>
      <c r="J38" t="s">
        <v>69</v>
      </c>
      <c r="K38" t="s">
        <v>33</v>
      </c>
      <c r="L38">
        <v>28000</v>
      </c>
      <c r="M38">
        <v>28000</v>
      </c>
      <c r="O38" s="7">
        <f t="shared" si="4"/>
        <v>33600</v>
      </c>
      <c r="P38" s="7">
        <f>IF(C38="Alta Complejidad",M38,0)</f>
        <v>28000</v>
      </c>
      <c r="Q38" s="8">
        <v>0.2</v>
      </c>
      <c r="R38" s="7">
        <f t="shared" si="5"/>
        <v>33600</v>
      </c>
      <c r="S38" s="8">
        <f>IFERROR(((R38-P38)/R38),0)</f>
        <v>0.16666666666666666</v>
      </c>
      <c r="T38" s="7">
        <v>0</v>
      </c>
      <c r="U38" s="8">
        <v>0</v>
      </c>
      <c r="V38" s="7">
        <f>(T38)+(T38*U38)</f>
        <v>0</v>
      </c>
      <c r="W38" s="8">
        <f>IFERROR(((V38-T38)/V38),0)</f>
        <v>0</v>
      </c>
      <c r="X38" s="7">
        <f>IF(C38="Baja Complejidad",M38,0)</f>
        <v>0</v>
      </c>
      <c r="Y38" s="8">
        <v>0</v>
      </c>
      <c r="Z38" s="7">
        <f>(X38)+(X38*Y38)</f>
        <v>0</v>
      </c>
      <c r="AA38" s="8">
        <f>IFERROR(((Z38-X38)/Z38),0)</f>
        <v>0</v>
      </c>
      <c r="AB38" s="8">
        <v>0.1</v>
      </c>
    </row>
    <row r="39" spans="1:28" x14ac:dyDescent="0.25">
      <c r="A39">
        <v>2026</v>
      </c>
      <c r="B39" t="s">
        <v>52</v>
      </c>
      <c r="C39" t="s">
        <v>29</v>
      </c>
      <c r="D39" t="s">
        <v>30</v>
      </c>
      <c r="E39">
        <v>294199</v>
      </c>
      <c r="G39" t="s">
        <v>63</v>
      </c>
      <c r="H39" t="s">
        <v>63</v>
      </c>
      <c r="I39" t="s">
        <v>74</v>
      </c>
      <c r="J39" t="s">
        <v>69</v>
      </c>
      <c r="K39" t="s">
        <v>33</v>
      </c>
      <c r="L39">
        <v>49200</v>
      </c>
      <c r="M39">
        <v>49200</v>
      </c>
      <c r="O39" s="7">
        <f t="shared" si="4"/>
        <v>59040</v>
      </c>
      <c r="P39" s="7">
        <f>IF(C39="Alta Complejidad",M39,0)</f>
        <v>49200</v>
      </c>
      <c r="Q39" s="8">
        <v>0.2</v>
      </c>
      <c r="R39" s="7">
        <f t="shared" si="5"/>
        <v>59040</v>
      </c>
      <c r="S39" s="8">
        <f>IFERROR(((R39-P39)/R39),0)</f>
        <v>0.16666666666666666</v>
      </c>
      <c r="T39" s="7">
        <v>0</v>
      </c>
      <c r="U39" s="8">
        <v>0</v>
      </c>
      <c r="V39" s="7">
        <f>(T39)+(T39*U39)</f>
        <v>0</v>
      </c>
      <c r="W39" s="8">
        <f>IFERROR(((V39-T39)/V39),0)</f>
        <v>0</v>
      </c>
      <c r="X39" s="7">
        <f>IF(C39="Baja Complejidad",M39,0)</f>
        <v>0</v>
      </c>
      <c r="Y39" s="8">
        <v>0</v>
      </c>
      <c r="Z39" s="7">
        <f>(X39)+(X39*Y39)</f>
        <v>0</v>
      </c>
      <c r="AA39" s="8">
        <f>IFERROR(((Z39-X39)/Z39),0)</f>
        <v>0</v>
      </c>
      <c r="AB39" s="8">
        <v>0.1</v>
      </c>
    </row>
    <row r="40" spans="1:28" x14ac:dyDescent="0.25">
      <c r="A40">
        <v>2026</v>
      </c>
      <c r="B40" t="s">
        <v>52</v>
      </c>
      <c r="C40" t="s">
        <v>29</v>
      </c>
      <c r="D40" t="s">
        <v>30</v>
      </c>
      <c r="E40">
        <v>294299</v>
      </c>
      <c r="G40" t="s">
        <v>63</v>
      </c>
      <c r="H40" t="s">
        <v>63</v>
      </c>
      <c r="I40" t="s">
        <v>75</v>
      </c>
      <c r="J40" t="s">
        <v>69</v>
      </c>
      <c r="K40" t="s">
        <v>33</v>
      </c>
      <c r="L40">
        <v>141600</v>
      </c>
      <c r="M40">
        <v>141600</v>
      </c>
      <c r="O40" s="7">
        <f t="shared" si="4"/>
        <v>169920</v>
      </c>
      <c r="P40" s="7">
        <f>IF(C40="Alta Complejidad",M40,0)</f>
        <v>141600</v>
      </c>
      <c r="Q40" s="8">
        <v>0.2</v>
      </c>
      <c r="R40" s="7">
        <f t="shared" si="5"/>
        <v>169920</v>
      </c>
      <c r="S40" s="8">
        <f>IFERROR(((R40-P40)/R40),0)</f>
        <v>0.16666666666666666</v>
      </c>
      <c r="T40" s="7">
        <v>0</v>
      </c>
      <c r="U40" s="8">
        <v>0</v>
      </c>
      <c r="V40" s="7">
        <f>(T40)+(T40*U40)</f>
        <v>0</v>
      </c>
      <c r="W40" s="8">
        <f>IFERROR(((V40-T40)/V40),0)</f>
        <v>0</v>
      </c>
      <c r="X40" s="7">
        <f>IF(C40="Baja Complejidad",M40,0)</f>
        <v>0</v>
      </c>
      <c r="Y40" s="8">
        <v>0</v>
      </c>
      <c r="Z40" s="7">
        <f>(X40)+(X40*Y40)</f>
        <v>0</v>
      </c>
      <c r="AA40" s="8">
        <f>IFERROR(((Z40-X40)/Z40),0)</f>
        <v>0</v>
      </c>
      <c r="AB40" s="8">
        <v>0.1</v>
      </c>
    </row>
    <row r="41" spans="1:28" x14ac:dyDescent="0.25">
      <c r="A41">
        <v>2026</v>
      </c>
      <c r="B41" t="s">
        <v>52</v>
      </c>
      <c r="C41" t="s">
        <v>29</v>
      </c>
      <c r="D41" t="s">
        <v>30</v>
      </c>
      <c r="E41">
        <v>294399</v>
      </c>
      <c r="G41" t="s">
        <v>63</v>
      </c>
      <c r="H41" t="s">
        <v>63</v>
      </c>
      <c r="I41" t="s">
        <v>76</v>
      </c>
      <c r="J41" t="s">
        <v>69</v>
      </c>
      <c r="K41" t="s">
        <v>33</v>
      </c>
      <c r="L41">
        <v>174700</v>
      </c>
      <c r="M41">
        <v>174700</v>
      </c>
      <c r="O41" s="7">
        <f t="shared" si="4"/>
        <v>209640</v>
      </c>
      <c r="P41" s="7">
        <f>IF(C41="Alta Complejidad",M41,0)</f>
        <v>174700</v>
      </c>
      <c r="Q41" s="8">
        <v>0.2</v>
      </c>
      <c r="R41" s="7">
        <f t="shared" si="5"/>
        <v>209640</v>
      </c>
      <c r="S41" s="8">
        <f>IFERROR(((R41-P41)/R41),0)</f>
        <v>0.16666666666666666</v>
      </c>
      <c r="T41" s="7">
        <v>0</v>
      </c>
      <c r="U41" s="8">
        <v>0</v>
      </c>
      <c r="V41" s="7">
        <f>(T41)+(T41*U41)</f>
        <v>0</v>
      </c>
      <c r="W41" s="8">
        <f>IFERROR(((V41-T41)/V41),0)</f>
        <v>0</v>
      </c>
      <c r="X41" s="7">
        <f>IF(C41="Baja Complejidad",M41,0)</f>
        <v>0</v>
      </c>
      <c r="Y41" s="8">
        <v>0</v>
      </c>
      <c r="Z41" s="7">
        <f>(X41)+(X41*Y41)</f>
        <v>0</v>
      </c>
      <c r="AA41" s="8">
        <f>IFERROR(((Z41-X41)/Z41),0)</f>
        <v>0</v>
      </c>
      <c r="AB41" s="8">
        <v>0.1</v>
      </c>
    </row>
    <row r="42" spans="1:28" x14ac:dyDescent="0.25">
      <c r="A42">
        <v>2026</v>
      </c>
      <c r="B42" t="s">
        <v>52</v>
      </c>
      <c r="C42" t="s">
        <v>29</v>
      </c>
      <c r="D42" t="s">
        <v>30</v>
      </c>
      <c r="E42">
        <v>294499</v>
      </c>
      <c r="G42" t="s">
        <v>63</v>
      </c>
      <c r="H42" t="s">
        <v>63</v>
      </c>
      <c r="I42" t="s">
        <v>77</v>
      </c>
      <c r="J42" t="s">
        <v>69</v>
      </c>
      <c r="K42" t="s">
        <v>33</v>
      </c>
      <c r="L42">
        <v>204000</v>
      </c>
      <c r="M42">
        <v>204000</v>
      </c>
      <c r="O42" s="7">
        <f t="shared" si="4"/>
        <v>244800</v>
      </c>
      <c r="P42" s="7">
        <f>IF(C42="Alta Complejidad",M42,0)</f>
        <v>204000</v>
      </c>
      <c r="Q42" s="8">
        <v>0.2</v>
      </c>
      <c r="R42" s="7">
        <f t="shared" si="5"/>
        <v>244800</v>
      </c>
      <c r="S42" s="8">
        <f>IFERROR(((R42-P42)/R42),0)</f>
        <v>0.16666666666666666</v>
      </c>
      <c r="T42" s="7">
        <v>0</v>
      </c>
      <c r="U42" s="8">
        <v>0</v>
      </c>
      <c r="V42" s="7">
        <f>(T42)+(T42*U42)</f>
        <v>0</v>
      </c>
      <c r="W42" s="8">
        <f>IFERROR(((V42-T42)/V42),0)</f>
        <v>0</v>
      </c>
      <c r="X42" s="7">
        <f>IF(C42="Baja Complejidad",M42,0)</f>
        <v>0</v>
      </c>
      <c r="Y42" s="8">
        <v>0</v>
      </c>
      <c r="Z42" s="7">
        <f>(X42)+(X42*Y42)</f>
        <v>0</v>
      </c>
      <c r="AA42" s="8">
        <f>IFERROR(((Z42-X42)/Z42),0)</f>
        <v>0</v>
      </c>
      <c r="AB42" s="8">
        <v>0.1</v>
      </c>
    </row>
    <row r="43" spans="1:28" x14ac:dyDescent="0.25">
      <c r="A43">
        <v>2026</v>
      </c>
      <c r="B43" t="s">
        <v>52</v>
      </c>
      <c r="C43" t="s">
        <v>29</v>
      </c>
      <c r="D43" t="s">
        <v>30</v>
      </c>
      <c r="E43">
        <v>284190</v>
      </c>
      <c r="G43" t="s">
        <v>63</v>
      </c>
      <c r="H43" t="s">
        <v>63</v>
      </c>
      <c r="I43" t="s">
        <v>78</v>
      </c>
      <c r="J43" t="s">
        <v>69</v>
      </c>
      <c r="K43" t="s">
        <v>33</v>
      </c>
      <c r="L43">
        <v>49000</v>
      </c>
      <c r="M43">
        <v>49000</v>
      </c>
      <c r="O43" s="7">
        <f t="shared" si="4"/>
        <v>58800</v>
      </c>
      <c r="P43" s="7">
        <f>IF(C43="Alta Complejidad",M43,0)</f>
        <v>49000</v>
      </c>
      <c r="Q43" s="8">
        <v>0.2</v>
      </c>
      <c r="R43" s="7">
        <f t="shared" si="5"/>
        <v>58800</v>
      </c>
      <c r="S43" s="8">
        <f>IFERROR(((R43-P43)/R43),0)</f>
        <v>0.16666666666666666</v>
      </c>
      <c r="T43" s="7">
        <v>0</v>
      </c>
      <c r="U43" s="8">
        <v>0</v>
      </c>
      <c r="V43" s="7">
        <f>(T43)+(T43*U43)</f>
        <v>0</v>
      </c>
      <c r="W43" s="8">
        <f>IFERROR(((V43-T43)/V43),0)</f>
        <v>0</v>
      </c>
      <c r="X43" s="7">
        <f>IF(C43="Baja Complejidad",M43,0)</f>
        <v>0</v>
      </c>
      <c r="Y43" s="8">
        <v>0</v>
      </c>
      <c r="Z43" s="7">
        <f>(X43)+(X43*Y43)</f>
        <v>0</v>
      </c>
      <c r="AA43" s="8">
        <f>IFERROR(((Z43-X43)/Z43),0)</f>
        <v>0</v>
      </c>
      <c r="AB43" s="8">
        <v>0.1</v>
      </c>
    </row>
    <row r="44" spans="1:28" x14ac:dyDescent="0.25">
      <c r="A44">
        <v>2026</v>
      </c>
      <c r="B44" t="s">
        <v>52</v>
      </c>
      <c r="C44" t="s">
        <v>29</v>
      </c>
      <c r="D44" t="s">
        <v>30</v>
      </c>
      <c r="E44">
        <v>284390</v>
      </c>
      <c r="G44" t="s">
        <v>63</v>
      </c>
      <c r="H44" t="s">
        <v>63</v>
      </c>
      <c r="I44" t="s">
        <v>79</v>
      </c>
      <c r="J44" t="s">
        <v>66</v>
      </c>
      <c r="K44" t="s">
        <v>33</v>
      </c>
      <c r="L44">
        <v>224100</v>
      </c>
      <c r="M44">
        <v>224100</v>
      </c>
      <c r="O44" s="7">
        <f t="shared" si="4"/>
        <v>268920</v>
      </c>
      <c r="P44" s="7">
        <f>IF(C44="Alta Complejidad",M44,0)</f>
        <v>224100</v>
      </c>
      <c r="Q44" s="8">
        <v>0.2</v>
      </c>
      <c r="R44" s="7">
        <f t="shared" si="5"/>
        <v>268920</v>
      </c>
      <c r="S44" s="8">
        <f>IFERROR(((R44-P44)/R44),0)</f>
        <v>0.16666666666666666</v>
      </c>
      <c r="T44" s="7">
        <v>0</v>
      </c>
      <c r="U44" s="8">
        <v>0</v>
      </c>
      <c r="V44" s="7">
        <f>(T44)+(T44*U44)</f>
        <v>0</v>
      </c>
      <c r="W44" s="8">
        <f>IFERROR(((V44-T44)/V44),0)</f>
        <v>0</v>
      </c>
      <c r="X44" s="7">
        <f>IF(C44="Baja Complejidad",M44,0)</f>
        <v>0</v>
      </c>
      <c r="Y44" s="8">
        <v>0</v>
      </c>
      <c r="Z44" s="7">
        <f>(X44)+(X44*Y44)</f>
        <v>0</v>
      </c>
      <c r="AA44" s="8">
        <f>IFERROR(((Z44-X44)/Z44),0)</f>
        <v>0</v>
      </c>
      <c r="AB44" s="8">
        <v>0.1</v>
      </c>
    </row>
    <row r="45" spans="1:28" x14ac:dyDescent="0.25">
      <c r="A45">
        <v>2026</v>
      </c>
      <c r="B45" t="s">
        <v>52</v>
      </c>
      <c r="C45" t="s">
        <v>29</v>
      </c>
      <c r="D45" t="s">
        <v>30</v>
      </c>
      <c r="E45">
        <v>287100</v>
      </c>
      <c r="G45" t="s">
        <v>63</v>
      </c>
      <c r="H45" t="s">
        <v>63</v>
      </c>
      <c r="I45" t="s">
        <v>80</v>
      </c>
      <c r="J45" t="s">
        <v>66</v>
      </c>
      <c r="K45" t="s">
        <v>33</v>
      </c>
      <c r="L45">
        <v>38000</v>
      </c>
      <c r="M45">
        <v>38000</v>
      </c>
      <c r="O45" s="7">
        <f t="shared" si="4"/>
        <v>45600</v>
      </c>
      <c r="P45" s="7">
        <f>IF(C45="Alta Complejidad",M45,0)</f>
        <v>38000</v>
      </c>
      <c r="Q45" s="8">
        <v>0.2</v>
      </c>
      <c r="R45" s="7">
        <f t="shared" si="5"/>
        <v>45600</v>
      </c>
      <c r="S45" s="8">
        <f>IFERROR(((R45-P45)/R45),0)</f>
        <v>0.16666666666666666</v>
      </c>
      <c r="T45" s="7">
        <v>0</v>
      </c>
      <c r="U45" s="8">
        <v>0</v>
      </c>
      <c r="V45" s="7">
        <f>(T45)+(T45*U45)</f>
        <v>0</v>
      </c>
      <c r="W45" s="8">
        <f>IFERROR(((V45-T45)/V45),0)</f>
        <v>0</v>
      </c>
      <c r="X45" s="7">
        <f>IF(C45="Baja Complejidad",M45,0)</f>
        <v>0</v>
      </c>
      <c r="Y45" s="8">
        <v>0</v>
      </c>
      <c r="Z45" s="7">
        <f>(X45)+(X45*Y45)</f>
        <v>0</v>
      </c>
      <c r="AA45" s="8">
        <f>IFERROR(((Z45-X45)/Z45),0)</f>
        <v>0</v>
      </c>
      <c r="AB45" s="8">
        <v>0.1</v>
      </c>
    </row>
    <row r="46" spans="1:28" x14ac:dyDescent="0.25">
      <c r="A46">
        <v>2026</v>
      </c>
      <c r="B46" t="s">
        <v>52</v>
      </c>
      <c r="C46" t="s">
        <v>29</v>
      </c>
      <c r="D46" t="s">
        <v>30</v>
      </c>
      <c r="E46">
        <v>287200</v>
      </c>
      <c r="G46" t="s">
        <v>63</v>
      </c>
      <c r="H46" t="s">
        <v>63</v>
      </c>
      <c r="I46" t="s">
        <v>81</v>
      </c>
      <c r="J46" t="s">
        <v>66</v>
      </c>
      <c r="K46" t="s">
        <v>33</v>
      </c>
      <c r="L46">
        <v>39800</v>
      </c>
      <c r="M46">
        <v>39800</v>
      </c>
      <c r="O46" s="7">
        <f t="shared" si="4"/>
        <v>47760</v>
      </c>
      <c r="P46" s="7">
        <f>IF(C46="Alta Complejidad",M46,0)</f>
        <v>39800</v>
      </c>
      <c r="Q46" s="8">
        <v>0.2</v>
      </c>
      <c r="R46" s="7">
        <f t="shared" si="5"/>
        <v>47760</v>
      </c>
      <c r="S46" s="8">
        <f>IFERROR(((R46-P46)/R46),0)</f>
        <v>0.16666666666666666</v>
      </c>
      <c r="T46" s="7">
        <v>0</v>
      </c>
      <c r="U46" s="8">
        <v>0</v>
      </c>
      <c r="V46" s="7">
        <f>(T46)+(T46*U46)</f>
        <v>0</v>
      </c>
      <c r="W46" s="8">
        <f>IFERROR(((V46-T46)/V46),0)</f>
        <v>0</v>
      </c>
      <c r="X46" s="7">
        <f>IF(C46="Baja Complejidad",M46,0)</f>
        <v>0</v>
      </c>
      <c r="Y46" s="8">
        <v>0</v>
      </c>
      <c r="Z46" s="7">
        <f>(X46)+(X46*Y46)</f>
        <v>0</v>
      </c>
      <c r="AA46" s="8">
        <f>IFERROR(((Z46-X46)/Z46),0)</f>
        <v>0</v>
      </c>
      <c r="AB46" s="8">
        <v>0.1</v>
      </c>
    </row>
    <row r="47" spans="1:28" x14ac:dyDescent="0.25">
      <c r="A47">
        <v>2026</v>
      </c>
      <c r="B47" t="s">
        <v>53</v>
      </c>
      <c r="C47" t="s">
        <v>29</v>
      </c>
      <c r="D47" t="s">
        <v>30</v>
      </c>
      <c r="E47">
        <v>360001</v>
      </c>
      <c r="G47" t="s">
        <v>63</v>
      </c>
      <c r="H47" t="s">
        <v>63</v>
      </c>
      <c r="I47" t="s">
        <v>65</v>
      </c>
      <c r="J47" t="s">
        <v>66</v>
      </c>
      <c r="K47" t="s">
        <v>33</v>
      </c>
      <c r="L47">
        <v>28800</v>
      </c>
      <c r="M47">
        <v>28800</v>
      </c>
      <c r="O47" s="7">
        <f>R47</f>
        <v>34560</v>
      </c>
      <c r="P47" s="7">
        <f>IF(C47="Alta Complejidad",M47,0)</f>
        <v>28800</v>
      </c>
      <c r="Q47" s="8">
        <v>0.2</v>
      </c>
      <c r="R47" s="7">
        <f>P47+(P47*Q47)</f>
        <v>34560</v>
      </c>
      <c r="S47" s="8">
        <f>IFERROR(((R47-P47)/R47),0)</f>
        <v>0.16666666666666666</v>
      </c>
      <c r="T47" s="7">
        <v>0</v>
      </c>
      <c r="U47" s="8">
        <v>0</v>
      </c>
      <c r="V47" s="7">
        <f>(T47)+(T47*U47)</f>
        <v>0</v>
      </c>
      <c r="W47" s="8">
        <f>IFERROR(((V47-T47)/V47),0)</f>
        <v>0</v>
      </c>
      <c r="X47" s="7">
        <f>IF(C47="Baja Complejidad",M47,0)</f>
        <v>0</v>
      </c>
      <c r="Y47" s="8">
        <v>0</v>
      </c>
      <c r="Z47" s="7">
        <f>(X47)+(X47*Y47)</f>
        <v>0</v>
      </c>
      <c r="AA47" s="8">
        <f>IFERROR(((Z47-X47)/Z47),0)</f>
        <v>0</v>
      </c>
      <c r="AB47" s="8">
        <v>0.1</v>
      </c>
    </row>
    <row r="48" spans="1:28" x14ac:dyDescent="0.25">
      <c r="A48">
        <v>2026</v>
      </c>
      <c r="B48" t="s">
        <v>53</v>
      </c>
      <c r="C48" t="s">
        <v>29</v>
      </c>
      <c r="D48" t="s">
        <v>30</v>
      </c>
      <c r="E48">
        <v>709900</v>
      </c>
      <c r="G48" t="s">
        <v>63</v>
      </c>
      <c r="H48" t="s">
        <v>63</v>
      </c>
      <c r="I48" t="s">
        <v>67</v>
      </c>
      <c r="J48" t="s">
        <v>66</v>
      </c>
      <c r="K48" t="s">
        <v>33</v>
      </c>
      <c r="L48">
        <v>36700</v>
      </c>
      <c r="M48">
        <v>36700</v>
      </c>
      <c r="O48" s="7">
        <f t="shared" ref="O48:O61" si="6">R48</f>
        <v>44040</v>
      </c>
      <c r="P48" s="7">
        <f>IF(C48="Alta Complejidad",M48,0)</f>
        <v>36700</v>
      </c>
      <c r="Q48" s="8">
        <v>0.2</v>
      </c>
      <c r="R48" s="7">
        <f t="shared" ref="R48:R61" si="7">P48+(P48*Q48)</f>
        <v>44040</v>
      </c>
      <c r="S48" s="8">
        <f>IFERROR(((R48-P48)/R48),0)</f>
        <v>0.16666666666666666</v>
      </c>
      <c r="T48" s="7">
        <v>0</v>
      </c>
      <c r="U48" s="8">
        <v>0</v>
      </c>
      <c r="V48" s="7">
        <f>(T48)+(T48*U48)</f>
        <v>0</v>
      </c>
      <c r="W48" s="8">
        <f>IFERROR(((V48-T48)/V48),0)</f>
        <v>0</v>
      </c>
      <c r="X48" s="7">
        <f>IF(C48="Baja Complejidad",M48,0)</f>
        <v>0</v>
      </c>
      <c r="Y48" s="8">
        <v>0</v>
      </c>
      <c r="Z48" s="7">
        <f>(X48)+(X48*Y48)</f>
        <v>0</v>
      </c>
      <c r="AA48" s="8">
        <f>IFERROR(((Z48-X48)/Z48),0)</f>
        <v>0</v>
      </c>
      <c r="AB48" s="8">
        <v>0.1</v>
      </c>
    </row>
    <row r="49" spans="1:28" x14ac:dyDescent="0.25">
      <c r="A49">
        <v>2026</v>
      </c>
      <c r="B49" t="s">
        <v>53</v>
      </c>
      <c r="C49" t="s">
        <v>29</v>
      </c>
      <c r="D49" t="s">
        <v>30</v>
      </c>
      <c r="E49">
        <v>709902</v>
      </c>
      <c r="G49" t="s">
        <v>63</v>
      </c>
      <c r="H49" t="s">
        <v>63</v>
      </c>
      <c r="I49" t="s">
        <v>68</v>
      </c>
      <c r="J49" t="s">
        <v>69</v>
      </c>
      <c r="K49" t="s">
        <v>33</v>
      </c>
      <c r="L49">
        <v>28000</v>
      </c>
      <c r="M49">
        <v>28000</v>
      </c>
      <c r="O49" s="7">
        <f t="shared" si="6"/>
        <v>33600</v>
      </c>
      <c r="P49" s="7">
        <f>IF(C49="Alta Complejidad",M49,0)</f>
        <v>28000</v>
      </c>
      <c r="Q49" s="8">
        <v>0.2</v>
      </c>
      <c r="R49" s="7">
        <f t="shared" si="7"/>
        <v>33600</v>
      </c>
      <c r="S49" s="8">
        <f>IFERROR(((R49-P49)/R49),0)</f>
        <v>0.16666666666666666</v>
      </c>
      <c r="T49" s="7">
        <v>0</v>
      </c>
      <c r="U49" s="8">
        <v>0</v>
      </c>
      <c r="V49" s="7">
        <f>(T49)+(T49*U49)</f>
        <v>0</v>
      </c>
      <c r="W49" s="8">
        <f>IFERROR(((V49-T49)/V49),0)</f>
        <v>0</v>
      </c>
      <c r="X49" s="7">
        <f>IF(C49="Baja Complejidad",M49,0)</f>
        <v>0</v>
      </c>
      <c r="Y49" s="8">
        <v>0</v>
      </c>
      <c r="Z49" s="7">
        <f>(X49)+(X49*Y49)</f>
        <v>0</v>
      </c>
      <c r="AA49" s="8">
        <f>IFERROR(((Z49-X49)/Z49),0)</f>
        <v>0</v>
      </c>
      <c r="AB49" s="8">
        <v>0.1</v>
      </c>
    </row>
    <row r="50" spans="1:28" x14ac:dyDescent="0.25">
      <c r="A50">
        <v>2026</v>
      </c>
      <c r="B50" t="s">
        <v>53</v>
      </c>
      <c r="C50" t="s">
        <v>29</v>
      </c>
      <c r="D50" t="s">
        <v>30</v>
      </c>
      <c r="E50">
        <v>709903</v>
      </c>
      <c r="G50" t="s">
        <v>63</v>
      </c>
      <c r="H50" t="s">
        <v>63</v>
      </c>
      <c r="I50" t="s">
        <v>70</v>
      </c>
      <c r="J50" t="s">
        <v>69</v>
      </c>
      <c r="K50" t="s">
        <v>33</v>
      </c>
      <c r="L50">
        <v>36700</v>
      </c>
      <c r="M50">
        <v>36700</v>
      </c>
      <c r="O50" s="7">
        <f t="shared" si="6"/>
        <v>44040</v>
      </c>
      <c r="P50" s="7">
        <f>IF(C50="Alta Complejidad",M50,0)</f>
        <v>36700</v>
      </c>
      <c r="Q50" s="8">
        <v>0.2</v>
      </c>
      <c r="R50" s="7">
        <f t="shared" si="7"/>
        <v>44040</v>
      </c>
      <c r="S50" s="8">
        <f>IFERROR(((R50-P50)/R50),0)</f>
        <v>0.16666666666666666</v>
      </c>
      <c r="T50" s="7">
        <v>0</v>
      </c>
      <c r="U50" s="8">
        <v>0</v>
      </c>
      <c r="V50" s="7">
        <f>(T50)+(T50*U50)</f>
        <v>0</v>
      </c>
      <c r="W50" s="8">
        <f>IFERROR(((V50-T50)/V50),0)</f>
        <v>0</v>
      </c>
      <c r="X50" s="7">
        <f>IF(C50="Baja Complejidad",M50,0)</f>
        <v>0</v>
      </c>
      <c r="Y50" s="8">
        <v>0</v>
      </c>
      <c r="Z50" s="7">
        <f>(X50)+(X50*Y50)</f>
        <v>0</v>
      </c>
      <c r="AA50" s="8">
        <f>IFERROR(((Z50-X50)/Z50),0)</f>
        <v>0</v>
      </c>
      <c r="AB50" s="8">
        <v>0.1</v>
      </c>
    </row>
    <row r="51" spans="1:28" x14ac:dyDescent="0.25">
      <c r="A51">
        <v>2026</v>
      </c>
      <c r="B51" t="s">
        <v>53</v>
      </c>
      <c r="C51" t="s">
        <v>29</v>
      </c>
      <c r="D51" t="s">
        <v>30</v>
      </c>
      <c r="E51">
        <v>603421</v>
      </c>
      <c r="G51" t="s">
        <v>63</v>
      </c>
      <c r="H51" t="s">
        <v>63</v>
      </c>
      <c r="I51" t="s">
        <v>71</v>
      </c>
      <c r="J51" t="s">
        <v>69</v>
      </c>
      <c r="K51" t="s">
        <v>33</v>
      </c>
      <c r="L51">
        <v>21900</v>
      </c>
      <c r="M51">
        <v>21900</v>
      </c>
      <c r="O51" s="7">
        <f t="shared" si="6"/>
        <v>26280</v>
      </c>
      <c r="P51" s="7">
        <f>IF(C51="Alta Complejidad",M51,0)</f>
        <v>21900</v>
      </c>
      <c r="Q51" s="8">
        <v>0.2</v>
      </c>
      <c r="R51" s="7">
        <f t="shared" si="7"/>
        <v>26280</v>
      </c>
      <c r="S51" s="8">
        <f>IFERROR(((R51-P51)/R51),0)</f>
        <v>0.16666666666666666</v>
      </c>
      <c r="T51" s="7">
        <v>0</v>
      </c>
      <c r="U51" s="8">
        <v>0</v>
      </c>
      <c r="V51" s="7">
        <f>(T51)+(T51*U51)</f>
        <v>0</v>
      </c>
      <c r="W51" s="8">
        <f>IFERROR(((V51-T51)/V51),0)</f>
        <v>0</v>
      </c>
      <c r="X51" s="7">
        <f>IF(C51="Baja Complejidad",M51,0)</f>
        <v>0</v>
      </c>
      <c r="Y51" s="8">
        <v>0</v>
      </c>
      <c r="Z51" s="7">
        <f>(X51)+(X51*Y51)</f>
        <v>0</v>
      </c>
      <c r="AA51" s="8">
        <f>IFERROR(((Z51-X51)/Z51),0)</f>
        <v>0</v>
      </c>
      <c r="AB51" s="8">
        <v>0.1</v>
      </c>
    </row>
    <row r="52" spans="1:28" x14ac:dyDescent="0.25">
      <c r="A52">
        <v>2026</v>
      </c>
      <c r="B52" t="s">
        <v>53</v>
      </c>
      <c r="C52" t="s">
        <v>29</v>
      </c>
      <c r="D52" t="s">
        <v>30</v>
      </c>
      <c r="E52">
        <v>603422</v>
      </c>
      <c r="G52" t="s">
        <v>63</v>
      </c>
      <c r="H52" t="s">
        <v>63</v>
      </c>
      <c r="I52" t="s">
        <v>72</v>
      </c>
      <c r="J52" t="s">
        <v>69</v>
      </c>
      <c r="K52" t="s">
        <v>33</v>
      </c>
      <c r="L52">
        <v>114900</v>
      </c>
      <c r="M52">
        <v>114900</v>
      </c>
      <c r="O52" s="7">
        <f t="shared" si="6"/>
        <v>137880</v>
      </c>
      <c r="P52" s="7">
        <f>IF(C52="Alta Complejidad",M52,0)</f>
        <v>114900</v>
      </c>
      <c r="Q52" s="8">
        <v>0.2</v>
      </c>
      <c r="R52" s="7">
        <f t="shared" si="7"/>
        <v>137880</v>
      </c>
      <c r="S52" s="8">
        <f>IFERROR(((R52-P52)/R52),0)</f>
        <v>0.16666666666666666</v>
      </c>
      <c r="T52" s="7">
        <v>0</v>
      </c>
      <c r="U52" s="8">
        <v>0</v>
      </c>
      <c r="V52" s="7">
        <f>(T52)+(T52*U52)</f>
        <v>0</v>
      </c>
      <c r="W52" s="8">
        <f>IFERROR(((V52-T52)/V52),0)</f>
        <v>0</v>
      </c>
      <c r="X52" s="7">
        <f>IF(C52="Baja Complejidad",M52,0)</f>
        <v>0</v>
      </c>
      <c r="Y52" s="8">
        <v>0</v>
      </c>
      <c r="Z52" s="7">
        <f>(X52)+(X52*Y52)</f>
        <v>0</v>
      </c>
      <c r="AA52" s="8">
        <f>IFERROR(((Z52-X52)/Z52),0)</f>
        <v>0</v>
      </c>
      <c r="AB52" s="8">
        <v>0.1</v>
      </c>
    </row>
    <row r="53" spans="1:28" x14ac:dyDescent="0.25">
      <c r="A53">
        <v>2026</v>
      </c>
      <c r="B53" t="s">
        <v>53</v>
      </c>
      <c r="C53" t="s">
        <v>29</v>
      </c>
      <c r="D53" t="s">
        <v>30</v>
      </c>
      <c r="E53">
        <v>603423</v>
      </c>
      <c r="G53" t="s">
        <v>63</v>
      </c>
      <c r="H53" t="s">
        <v>63</v>
      </c>
      <c r="I53" t="s">
        <v>73</v>
      </c>
      <c r="J53" t="s">
        <v>69</v>
      </c>
      <c r="K53" t="s">
        <v>33</v>
      </c>
      <c r="L53">
        <v>28000</v>
      </c>
      <c r="M53">
        <v>28000</v>
      </c>
      <c r="O53" s="7">
        <f t="shared" si="6"/>
        <v>33600</v>
      </c>
      <c r="P53" s="7">
        <f>IF(C53="Alta Complejidad",M53,0)</f>
        <v>28000</v>
      </c>
      <c r="Q53" s="8">
        <v>0.2</v>
      </c>
      <c r="R53" s="7">
        <f t="shared" si="7"/>
        <v>33600</v>
      </c>
      <c r="S53" s="8">
        <f>IFERROR(((R53-P53)/R53),0)</f>
        <v>0.16666666666666666</v>
      </c>
      <c r="T53" s="7">
        <v>0</v>
      </c>
      <c r="U53" s="8">
        <v>0</v>
      </c>
      <c r="V53" s="7">
        <f>(T53)+(T53*U53)</f>
        <v>0</v>
      </c>
      <c r="W53" s="8">
        <f>IFERROR(((V53-T53)/V53),0)</f>
        <v>0</v>
      </c>
      <c r="X53" s="7">
        <f>IF(C53="Baja Complejidad",M53,0)</f>
        <v>0</v>
      </c>
      <c r="Y53" s="8">
        <v>0</v>
      </c>
      <c r="Z53" s="7">
        <f>(X53)+(X53*Y53)</f>
        <v>0</v>
      </c>
      <c r="AA53" s="8">
        <f>IFERROR(((Z53-X53)/Z53),0)</f>
        <v>0</v>
      </c>
      <c r="AB53" s="8">
        <v>0.1</v>
      </c>
    </row>
    <row r="54" spans="1:28" x14ac:dyDescent="0.25">
      <c r="A54">
        <v>2026</v>
      </c>
      <c r="B54" t="s">
        <v>53</v>
      </c>
      <c r="C54" t="s">
        <v>29</v>
      </c>
      <c r="D54" t="s">
        <v>30</v>
      </c>
      <c r="E54">
        <v>294199</v>
      </c>
      <c r="G54" t="s">
        <v>63</v>
      </c>
      <c r="H54" t="s">
        <v>63</v>
      </c>
      <c r="I54" t="s">
        <v>74</v>
      </c>
      <c r="J54" t="s">
        <v>69</v>
      </c>
      <c r="K54" t="s">
        <v>33</v>
      </c>
      <c r="L54">
        <v>49200</v>
      </c>
      <c r="M54">
        <v>49200</v>
      </c>
      <c r="O54" s="7">
        <f t="shared" si="6"/>
        <v>59040</v>
      </c>
      <c r="P54" s="7">
        <f>IF(C54="Alta Complejidad",M54,0)</f>
        <v>49200</v>
      </c>
      <c r="Q54" s="8">
        <v>0.2</v>
      </c>
      <c r="R54" s="7">
        <f t="shared" si="7"/>
        <v>59040</v>
      </c>
      <c r="S54" s="8">
        <f>IFERROR(((R54-P54)/R54),0)</f>
        <v>0.16666666666666666</v>
      </c>
      <c r="T54" s="7">
        <v>0</v>
      </c>
      <c r="U54" s="8">
        <v>0</v>
      </c>
      <c r="V54" s="7">
        <f>(T54)+(T54*U54)</f>
        <v>0</v>
      </c>
      <c r="W54" s="8">
        <f>IFERROR(((V54-T54)/V54),0)</f>
        <v>0</v>
      </c>
      <c r="X54" s="7">
        <f>IF(C54="Baja Complejidad",M54,0)</f>
        <v>0</v>
      </c>
      <c r="Y54" s="8">
        <v>0</v>
      </c>
      <c r="Z54" s="7">
        <f>(X54)+(X54*Y54)</f>
        <v>0</v>
      </c>
      <c r="AA54" s="8">
        <f>IFERROR(((Z54-X54)/Z54),0)</f>
        <v>0</v>
      </c>
      <c r="AB54" s="8">
        <v>0.1</v>
      </c>
    </row>
    <row r="55" spans="1:28" x14ac:dyDescent="0.25">
      <c r="A55">
        <v>2026</v>
      </c>
      <c r="B55" t="s">
        <v>53</v>
      </c>
      <c r="C55" t="s">
        <v>29</v>
      </c>
      <c r="D55" t="s">
        <v>30</v>
      </c>
      <c r="E55">
        <v>294299</v>
      </c>
      <c r="G55" t="s">
        <v>63</v>
      </c>
      <c r="H55" t="s">
        <v>63</v>
      </c>
      <c r="I55" t="s">
        <v>75</v>
      </c>
      <c r="J55" t="s">
        <v>69</v>
      </c>
      <c r="K55" t="s">
        <v>33</v>
      </c>
      <c r="L55">
        <v>141600</v>
      </c>
      <c r="M55">
        <v>141600</v>
      </c>
      <c r="O55" s="7">
        <f t="shared" si="6"/>
        <v>169920</v>
      </c>
      <c r="P55" s="7">
        <f>IF(C55="Alta Complejidad",M55,0)</f>
        <v>141600</v>
      </c>
      <c r="Q55" s="8">
        <v>0.2</v>
      </c>
      <c r="R55" s="7">
        <f t="shared" si="7"/>
        <v>169920</v>
      </c>
      <c r="S55" s="8">
        <f>IFERROR(((R55-P55)/R55),0)</f>
        <v>0.16666666666666666</v>
      </c>
      <c r="T55" s="7">
        <v>0</v>
      </c>
      <c r="U55" s="8">
        <v>0</v>
      </c>
      <c r="V55" s="7">
        <f>(T55)+(T55*U55)</f>
        <v>0</v>
      </c>
      <c r="W55" s="8">
        <f>IFERROR(((V55-T55)/V55),0)</f>
        <v>0</v>
      </c>
      <c r="X55" s="7">
        <f>IF(C55="Baja Complejidad",M55,0)</f>
        <v>0</v>
      </c>
      <c r="Y55" s="8">
        <v>0</v>
      </c>
      <c r="Z55" s="7">
        <f>(X55)+(X55*Y55)</f>
        <v>0</v>
      </c>
      <c r="AA55" s="8">
        <f>IFERROR(((Z55-X55)/Z55),0)</f>
        <v>0</v>
      </c>
      <c r="AB55" s="8">
        <v>0.1</v>
      </c>
    </row>
    <row r="56" spans="1:28" x14ac:dyDescent="0.25">
      <c r="A56">
        <v>2026</v>
      </c>
      <c r="B56" t="s">
        <v>53</v>
      </c>
      <c r="C56" t="s">
        <v>29</v>
      </c>
      <c r="D56" t="s">
        <v>30</v>
      </c>
      <c r="E56">
        <v>294399</v>
      </c>
      <c r="G56" t="s">
        <v>63</v>
      </c>
      <c r="H56" t="s">
        <v>63</v>
      </c>
      <c r="I56" t="s">
        <v>76</v>
      </c>
      <c r="J56" t="s">
        <v>69</v>
      </c>
      <c r="K56" t="s">
        <v>33</v>
      </c>
      <c r="L56">
        <v>174700</v>
      </c>
      <c r="M56">
        <v>174700</v>
      </c>
      <c r="O56" s="7">
        <f t="shared" si="6"/>
        <v>209640</v>
      </c>
      <c r="P56" s="7">
        <f>IF(C56="Alta Complejidad",M56,0)</f>
        <v>174700</v>
      </c>
      <c r="Q56" s="8">
        <v>0.2</v>
      </c>
      <c r="R56" s="7">
        <f t="shared" si="7"/>
        <v>209640</v>
      </c>
      <c r="S56" s="8">
        <f>IFERROR(((R56-P56)/R56),0)</f>
        <v>0.16666666666666666</v>
      </c>
      <c r="T56" s="7">
        <v>0</v>
      </c>
      <c r="U56" s="8">
        <v>0</v>
      </c>
      <c r="V56" s="7">
        <f>(T56)+(T56*U56)</f>
        <v>0</v>
      </c>
      <c r="W56" s="8">
        <f>IFERROR(((V56-T56)/V56),0)</f>
        <v>0</v>
      </c>
      <c r="X56" s="7">
        <f>IF(C56="Baja Complejidad",M56,0)</f>
        <v>0</v>
      </c>
      <c r="Y56" s="8">
        <v>0</v>
      </c>
      <c r="Z56" s="7">
        <f>(X56)+(X56*Y56)</f>
        <v>0</v>
      </c>
      <c r="AA56" s="8">
        <f>IFERROR(((Z56-X56)/Z56),0)</f>
        <v>0</v>
      </c>
      <c r="AB56" s="8">
        <v>0.1</v>
      </c>
    </row>
    <row r="57" spans="1:28" x14ac:dyDescent="0.25">
      <c r="A57">
        <v>2026</v>
      </c>
      <c r="B57" t="s">
        <v>53</v>
      </c>
      <c r="C57" t="s">
        <v>29</v>
      </c>
      <c r="D57" t="s">
        <v>30</v>
      </c>
      <c r="E57">
        <v>294499</v>
      </c>
      <c r="G57" t="s">
        <v>63</v>
      </c>
      <c r="H57" t="s">
        <v>63</v>
      </c>
      <c r="I57" t="s">
        <v>77</v>
      </c>
      <c r="J57" t="s">
        <v>69</v>
      </c>
      <c r="K57" t="s">
        <v>33</v>
      </c>
      <c r="L57">
        <v>204000</v>
      </c>
      <c r="M57">
        <v>204000</v>
      </c>
      <c r="O57" s="7">
        <f t="shared" si="6"/>
        <v>244800</v>
      </c>
      <c r="P57" s="7">
        <f>IF(C57="Alta Complejidad",M57,0)</f>
        <v>204000</v>
      </c>
      <c r="Q57" s="8">
        <v>0.2</v>
      </c>
      <c r="R57" s="7">
        <f t="shared" si="7"/>
        <v>244800</v>
      </c>
      <c r="S57" s="8">
        <f>IFERROR(((R57-P57)/R57),0)</f>
        <v>0.16666666666666666</v>
      </c>
      <c r="T57" s="7">
        <v>0</v>
      </c>
      <c r="U57" s="8">
        <v>0</v>
      </c>
      <c r="V57" s="7">
        <f>(T57)+(T57*U57)</f>
        <v>0</v>
      </c>
      <c r="W57" s="8">
        <f>IFERROR(((V57-T57)/V57),0)</f>
        <v>0</v>
      </c>
      <c r="X57" s="7">
        <f>IF(C57="Baja Complejidad",M57,0)</f>
        <v>0</v>
      </c>
      <c r="Y57" s="8">
        <v>0</v>
      </c>
      <c r="Z57" s="7">
        <f>(X57)+(X57*Y57)</f>
        <v>0</v>
      </c>
      <c r="AA57" s="8">
        <f>IFERROR(((Z57-X57)/Z57),0)</f>
        <v>0</v>
      </c>
      <c r="AB57" s="8">
        <v>0.1</v>
      </c>
    </row>
    <row r="58" spans="1:28" x14ac:dyDescent="0.25">
      <c r="A58">
        <v>2026</v>
      </c>
      <c r="B58" t="s">
        <v>53</v>
      </c>
      <c r="C58" t="s">
        <v>29</v>
      </c>
      <c r="D58" t="s">
        <v>30</v>
      </c>
      <c r="E58">
        <v>284190</v>
      </c>
      <c r="G58" t="s">
        <v>63</v>
      </c>
      <c r="H58" t="s">
        <v>63</v>
      </c>
      <c r="I58" t="s">
        <v>78</v>
      </c>
      <c r="J58" t="s">
        <v>69</v>
      </c>
      <c r="K58" t="s">
        <v>33</v>
      </c>
      <c r="L58">
        <v>49000</v>
      </c>
      <c r="M58">
        <v>49000</v>
      </c>
      <c r="O58" s="7">
        <f t="shared" si="6"/>
        <v>58800</v>
      </c>
      <c r="P58" s="7">
        <f>IF(C58="Alta Complejidad",M58,0)</f>
        <v>49000</v>
      </c>
      <c r="Q58" s="8">
        <v>0.2</v>
      </c>
      <c r="R58" s="7">
        <f t="shared" si="7"/>
        <v>58800</v>
      </c>
      <c r="S58" s="8">
        <f>IFERROR(((R58-P58)/R58),0)</f>
        <v>0.16666666666666666</v>
      </c>
      <c r="T58" s="7">
        <v>0</v>
      </c>
      <c r="U58" s="8">
        <v>0</v>
      </c>
      <c r="V58" s="7">
        <f>(T58)+(T58*U58)</f>
        <v>0</v>
      </c>
      <c r="W58" s="8">
        <f>IFERROR(((V58-T58)/V58),0)</f>
        <v>0</v>
      </c>
      <c r="X58" s="7">
        <f>IF(C58="Baja Complejidad",M58,0)</f>
        <v>0</v>
      </c>
      <c r="Y58" s="8">
        <v>0</v>
      </c>
      <c r="Z58" s="7">
        <f>(X58)+(X58*Y58)</f>
        <v>0</v>
      </c>
      <c r="AA58" s="8">
        <f>IFERROR(((Z58-X58)/Z58),0)</f>
        <v>0</v>
      </c>
      <c r="AB58" s="8">
        <v>0.1</v>
      </c>
    </row>
    <row r="59" spans="1:28" x14ac:dyDescent="0.25">
      <c r="A59">
        <v>2026</v>
      </c>
      <c r="B59" t="s">
        <v>53</v>
      </c>
      <c r="C59" t="s">
        <v>29</v>
      </c>
      <c r="D59" t="s">
        <v>30</v>
      </c>
      <c r="E59">
        <v>284390</v>
      </c>
      <c r="G59" t="s">
        <v>63</v>
      </c>
      <c r="H59" t="s">
        <v>63</v>
      </c>
      <c r="I59" t="s">
        <v>79</v>
      </c>
      <c r="J59" t="s">
        <v>66</v>
      </c>
      <c r="K59" t="s">
        <v>33</v>
      </c>
      <c r="L59">
        <v>224100</v>
      </c>
      <c r="M59">
        <v>224100</v>
      </c>
      <c r="O59" s="7">
        <f t="shared" si="6"/>
        <v>268920</v>
      </c>
      <c r="P59" s="7">
        <f>IF(C59="Alta Complejidad",M59,0)</f>
        <v>224100</v>
      </c>
      <c r="Q59" s="8">
        <v>0.2</v>
      </c>
      <c r="R59" s="7">
        <f t="shared" si="7"/>
        <v>268920</v>
      </c>
      <c r="S59" s="8">
        <f>IFERROR(((R59-P59)/R59),0)</f>
        <v>0.16666666666666666</v>
      </c>
      <c r="T59" s="7">
        <v>0</v>
      </c>
      <c r="U59" s="8">
        <v>0</v>
      </c>
      <c r="V59" s="7">
        <f>(T59)+(T59*U59)</f>
        <v>0</v>
      </c>
      <c r="W59" s="8">
        <f>IFERROR(((V59-T59)/V59),0)</f>
        <v>0</v>
      </c>
      <c r="X59" s="7">
        <f>IF(C59="Baja Complejidad",M59,0)</f>
        <v>0</v>
      </c>
      <c r="Y59" s="8">
        <v>0</v>
      </c>
      <c r="Z59" s="7">
        <f>(X59)+(X59*Y59)</f>
        <v>0</v>
      </c>
      <c r="AA59" s="8">
        <f>IFERROR(((Z59-X59)/Z59),0)</f>
        <v>0</v>
      </c>
      <c r="AB59" s="8">
        <v>0.1</v>
      </c>
    </row>
    <row r="60" spans="1:28" x14ac:dyDescent="0.25">
      <c r="A60">
        <v>2026</v>
      </c>
      <c r="B60" t="s">
        <v>53</v>
      </c>
      <c r="C60" t="s">
        <v>29</v>
      </c>
      <c r="D60" t="s">
        <v>30</v>
      </c>
      <c r="E60">
        <v>287100</v>
      </c>
      <c r="G60" t="s">
        <v>63</v>
      </c>
      <c r="H60" t="s">
        <v>63</v>
      </c>
      <c r="I60" t="s">
        <v>80</v>
      </c>
      <c r="J60" t="s">
        <v>66</v>
      </c>
      <c r="K60" t="s">
        <v>33</v>
      </c>
      <c r="L60">
        <v>38000</v>
      </c>
      <c r="M60">
        <v>38000</v>
      </c>
      <c r="O60" s="7">
        <f t="shared" si="6"/>
        <v>45600</v>
      </c>
      <c r="P60" s="7">
        <f>IF(C60="Alta Complejidad",M60,0)</f>
        <v>38000</v>
      </c>
      <c r="Q60" s="8">
        <v>0.2</v>
      </c>
      <c r="R60" s="7">
        <f t="shared" si="7"/>
        <v>45600</v>
      </c>
      <c r="S60" s="8">
        <f>IFERROR(((R60-P60)/R60),0)</f>
        <v>0.16666666666666666</v>
      </c>
      <c r="T60" s="7">
        <v>0</v>
      </c>
      <c r="U60" s="8">
        <v>0</v>
      </c>
      <c r="V60" s="7">
        <f>(T60)+(T60*U60)</f>
        <v>0</v>
      </c>
      <c r="W60" s="8">
        <f>IFERROR(((V60-T60)/V60),0)</f>
        <v>0</v>
      </c>
      <c r="X60" s="7">
        <f>IF(C60="Baja Complejidad",M60,0)</f>
        <v>0</v>
      </c>
      <c r="Y60" s="8">
        <v>0</v>
      </c>
      <c r="Z60" s="7">
        <f>(X60)+(X60*Y60)</f>
        <v>0</v>
      </c>
      <c r="AA60" s="8">
        <f>IFERROR(((Z60-X60)/Z60),0)</f>
        <v>0</v>
      </c>
      <c r="AB60" s="8">
        <v>0.1</v>
      </c>
    </row>
    <row r="61" spans="1:28" x14ac:dyDescent="0.25">
      <c r="A61">
        <v>2026</v>
      </c>
      <c r="B61" t="s">
        <v>53</v>
      </c>
      <c r="C61" t="s">
        <v>29</v>
      </c>
      <c r="D61" t="s">
        <v>30</v>
      </c>
      <c r="E61">
        <v>287200</v>
      </c>
      <c r="G61" t="s">
        <v>63</v>
      </c>
      <c r="H61" t="s">
        <v>63</v>
      </c>
      <c r="I61" t="s">
        <v>81</v>
      </c>
      <c r="J61" t="s">
        <v>66</v>
      </c>
      <c r="K61" t="s">
        <v>33</v>
      </c>
      <c r="L61">
        <v>39800</v>
      </c>
      <c r="M61">
        <v>39800</v>
      </c>
      <c r="O61" s="7">
        <f t="shared" si="6"/>
        <v>47760</v>
      </c>
      <c r="P61" s="7">
        <f>IF(C61="Alta Complejidad",M61,0)</f>
        <v>39800</v>
      </c>
      <c r="Q61" s="8">
        <v>0.2</v>
      </c>
      <c r="R61" s="7">
        <f t="shared" si="7"/>
        <v>47760</v>
      </c>
      <c r="S61" s="8">
        <f>IFERROR(((R61-P61)/R61),0)</f>
        <v>0.16666666666666666</v>
      </c>
      <c r="T61" s="7">
        <v>0</v>
      </c>
      <c r="U61" s="8">
        <v>0</v>
      </c>
      <c r="V61" s="7">
        <f>(T61)+(T61*U61)</f>
        <v>0</v>
      </c>
      <c r="W61" s="8">
        <f>IFERROR(((V61-T61)/V61),0)</f>
        <v>0</v>
      </c>
      <c r="X61" s="7">
        <f>IF(C61="Baja Complejidad",M61,0)</f>
        <v>0</v>
      </c>
      <c r="Y61" s="8">
        <v>0</v>
      </c>
      <c r="Z61" s="7">
        <f>(X61)+(X61*Y61)</f>
        <v>0</v>
      </c>
      <c r="AA61" s="8">
        <f>IFERROR(((Z61-X61)/Z61),0)</f>
        <v>0</v>
      </c>
      <c r="AB61" s="8">
        <v>0.1</v>
      </c>
    </row>
    <row r="62" spans="1:28" x14ac:dyDescent="0.25">
      <c r="A62">
        <v>2026</v>
      </c>
      <c r="B62" t="s">
        <v>54</v>
      </c>
      <c r="C62" t="s">
        <v>29</v>
      </c>
      <c r="D62" t="s">
        <v>30</v>
      </c>
      <c r="E62">
        <v>360001</v>
      </c>
      <c r="G62" t="s">
        <v>63</v>
      </c>
      <c r="H62" t="s">
        <v>63</v>
      </c>
      <c r="I62" t="s">
        <v>65</v>
      </c>
      <c r="J62" t="s">
        <v>66</v>
      </c>
      <c r="K62" t="s">
        <v>33</v>
      </c>
      <c r="L62">
        <v>28800</v>
      </c>
      <c r="M62">
        <v>28800</v>
      </c>
      <c r="O62" s="7">
        <f>R62</f>
        <v>34560</v>
      </c>
      <c r="P62" s="7">
        <f>IF(C62="Alta Complejidad",M62,0)</f>
        <v>28800</v>
      </c>
      <c r="Q62" s="8">
        <v>0.2</v>
      </c>
      <c r="R62" s="7">
        <f>P62+(P62*Q62)</f>
        <v>34560</v>
      </c>
      <c r="S62" s="8">
        <f>IFERROR(((R62-P62)/R62),0)</f>
        <v>0.16666666666666666</v>
      </c>
      <c r="T62" s="7">
        <v>0</v>
      </c>
      <c r="U62" s="8">
        <v>0</v>
      </c>
      <c r="V62" s="7">
        <f>(T62)+(T62*U62)</f>
        <v>0</v>
      </c>
      <c r="W62" s="8">
        <f>IFERROR(((V62-T62)/V62),0)</f>
        <v>0</v>
      </c>
      <c r="X62" s="7">
        <f>IF(C62="Baja Complejidad",M62,0)</f>
        <v>0</v>
      </c>
      <c r="Y62" s="8">
        <v>0</v>
      </c>
      <c r="Z62" s="7">
        <f>(X62)+(X62*Y62)</f>
        <v>0</v>
      </c>
      <c r="AA62" s="8">
        <f>IFERROR(((Z62-X62)/Z62),0)</f>
        <v>0</v>
      </c>
      <c r="AB62" s="8">
        <v>0.1</v>
      </c>
    </row>
    <row r="63" spans="1:28" x14ac:dyDescent="0.25">
      <c r="A63">
        <v>2026</v>
      </c>
      <c r="B63" t="s">
        <v>54</v>
      </c>
      <c r="C63" t="s">
        <v>29</v>
      </c>
      <c r="D63" t="s">
        <v>30</v>
      </c>
      <c r="E63">
        <v>709900</v>
      </c>
      <c r="G63" t="s">
        <v>63</v>
      </c>
      <c r="H63" t="s">
        <v>63</v>
      </c>
      <c r="I63" t="s">
        <v>67</v>
      </c>
      <c r="J63" t="s">
        <v>66</v>
      </c>
      <c r="K63" t="s">
        <v>33</v>
      </c>
      <c r="L63">
        <v>36700</v>
      </c>
      <c r="M63">
        <v>36700</v>
      </c>
      <c r="O63" s="7">
        <f t="shared" ref="O63:O76" si="8">R63</f>
        <v>44040</v>
      </c>
      <c r="P63" s="7">
        <f>IF(C63="Alta Complejidad",M63,0)</f>
        <v>36700</v>
      </c>
      <c r="Q63" s="8">
        <v>0.2</v>
      </c>
      <c r="R63" s="7">
        <f t="shared" ref="R63:R76" si="9">P63+(P63*Q63)</f>
        <v>44040</v>
      </c>
      <c r="S63" s="8">
        <f>IFERROR(((R63-P63)/R63),0)</f>
        <v>0.16666666666666666</v>
      </c>
      <c r="T63" s="7">
        <v>0</v>
      </c>
      <c r="U63" s="8">
        <v>0</v>
      </c>
      <c r="V63" s="7">
        <f>(T63)+(T63*U63)</f>
        <v>0</v>
      </c>
      <c r="W63" s="8">
        <f>IFERROR(((V63-T63)/V63),0)</f>
        <v>0</v>
      </c>
      <c r="X63" s="7">
        <f>IF(C63="Baja Complejidad",M63,0)</f>
        <v>0</v>
      </c>
      <c r="Y63" s="8">
        <v>0</v>
      </c>
      <c r="Z63" s="7">
        <f>(X63)+(X63*Y63)</f>
        <v>0</v>
      </c>
      <c r="AA63" s="8">
        <f>IFERROR(((Z63-X63)/Z63),0)</f>
        <v>0</v>
      </c>
      <c r="AB63" s="8">
        <v>0.1</v>
      </c>
    </row>
    <row r="64" spans="1:28" x14ac:dyDescent="0.25">
      <c r="A64">
        <v>2026</v>
      </c>
      <c r="B64" t="s">
        <v>54</v>
      </c>
      <c r="C64" t="s">
        <v>29</v>
      </c>
      <c r="D64" t="s">
        <v>30</v>
      </c>
      <c r="E64">
        <v>709902</v>
      </c>
      <c r="G64" t="s">
        <v>63</v>
      </c>
      <c r="H64" t="s">
        <v>63</v>
      </c>
      <c r="I64" t="s">
        <v>68</v>
      </c>
      <c r="J64" t="s">
        <v>69</v>
      </c>
      <c r="K64" t="s">
        <v>33</v>
      </c>
      <c r="L64">
        <v>28000</v>
      </c>
      <c r="M64">
        <v>28000</v>
      </c>
      <c r="O64" s="7">
        <f t="shared" si="8"/>
        <v>33600</v>
      </c>
      <c r="P64" s="7">
        <f>IF(C64="Alta Complejidad",M64,0)</f>
        <v>28000</v>
      </c>
      <c r="Q64" s="8">
        <v>0.2</v>
      </c>
      <c r="R64" s="7">
        <f t="shared" si="9"/>
        <v>33600</v>
      </c>
      <c r="S64" s="8">
        <f>IFERROR(((R64-P64)/R64),0)</f>
        <v>0.16666666666666666</v>
      </c>
      <c r="T64" s="7">
        <v>0</v>
      </c>
      <c r="U64" s="8">
        <v>0</v>
      </c>
      <c r="V64" s="7">
        <f>(T64)+(T64*U64)</f>
        <v>0</v>
      </c>
      <c r="W64" s="8">
        <f>IFERROR(((V64-T64)/V64),0)</f>
        <v>0</v>
      </c>
      <c r="X64" s="7">
        <f>IF(C64="Baja Complejidad",M64,0)</f>
        <v>0</v>
      </c>
      <c r="Y64" s="8">
        <v>0</v>
      </c>
      <c r="Z64" s="7">
        <f>(X64)+(X64*Y64)</f>
        <v>0</v>
      </c>
      <c r="AA64" s="8">
        <f>IFERROR(((Z64-X64)/Z64),0)</f>
        <v>0</v>
      </c>
      <c r="AB64" s="8">
        <v>0.1</v>
      </c>
    </row>
    <row r="65" spans="1:28" x14ac:dyDescent="0.25">
      <c r="A65">
        <v>2026</v>
      </c>
      <c r="B65" t="s">
        <v>54</v>
      </c>
      <c r="C65" t="s">
        <v>29</v>
      </c>
      <c r="D65" t="s">
        <v>30</v>
      </c>
      <c r="E65">
        <v>709903</v>
      </c>
      <c r="G65" t="s">
        <v>63</v>
      </c>
      <c r="H65" t="s">
        <v>63</v>
      </c>
      <c r="I65" t="s">
        <v>70</v>
      </c>
      <c r="J65" t="s">
        <v>69</v>
      </c>
      <c r="K65" t="s">
        <v>33</v>
      </c>
      <c r="L65">
        <v>36700</v>
      </c>
      <c r="M65">
        <v>36700</v>
      </c>
      <c r="O65" s="7">
        <f t="shared" si="8"/>
        <v>44040</v>
      </c>
      <c r="P65" s="7">
        <f>IF(C65="Alta Complejidad",M65,0)</f>
        <v>36700</v>
      </c>
      <c r="Q65" s="8">
        <v>0.2</v>
      </c>
      <c r="R65" s="7">
        <f t="shared" si="9"/>
        <v>44040</v>
      </c>
      <c r="S65" s="8">
        <f>IFERROR(((R65-P65)/R65),0)</f>
        <v>0.16666666666666666</v>
      </c>
      <c r="T65" s="7">
        <v>0</v>
      </c>
      <c r="U65" s="8">
        <v>0</v>
      </c>
      <c r="V65" s="7">
        <f>(T65)+(T65*U65)</f>
        <v>0</v>
      </c>
      <c r="W65" s="8">
        <f>IFERROR(((V65-T65)/V65),0)</f>
        <v>0</v>
      </c>
      <c r="X65" s="7">
        <f>IF(C65="Baja Complejidad",M65,0)</f>
        <v>0</v>
      </c>
      <c r="Y65" s="8">
        <v>0</v>
      </c>
      <c r="Z65" s="7">
        <f>(X65)+(X65*Y65)</f>
        <v>0</v>
      </c>
      <c r="AA65" s="8">
        <f>IFERROR(((Z65-X65)/Z65),0)</f>
        <v>0</v>
      </c>
      <c r="AB65" s="8">
        <v>0.1</v>
      </c>
    </row>
    <row r="66" spans="1:28" x14ac:dyDescent="0.25">
      <c r="A66">
        <v>2026</v>
      </c>
      <c r="B66" t="s">
        <v>54</v>
      </c>
      <c r="C66" t="s">
        <v>29</v>
      </c>
      <c r="D66" t="s">
        <v>30</v>
      </c>
      <c r="E66">
        <v>603421</v>
      </c>
      <c r="G66" t="s">
        <v>63</v>
      </c>
      <c r="H66" t="s">
        <v>63</v>
      </c>
      <c r="I66" t="s">
        <v>71</v>
      </c>
      <c r="J66" t="s">
        <v>69</v>
      </c>
      <c r="K66" t="s">
        <v>33</v>
      </c>
      <c r="L66">
        <v>21900</v>
      </c>
      <c r="M66">
        <v>21900</v>
      </c>
      <c r="O66" s="7">
        <f t="shared" si="8"/>
        <v>26280</v>
      </c>
      <c r="P66" s="7">
        <f>IF(C66="Alta Complejidad",M66,0)</f>
        <v>21900</v>
      </c>
      <c r="Q66" s="8">
        <v>0.2</v>
      </c>
      <c r="R66" s="7">
        <f t="shared" si="9"/>
        <v>26280</v>
      </c>
      <c r="S66" s="8">
        <f>IFERROR(((R66-P66)/R66),0)</f>
        <v>0.16666666666666666</v>
      </c>
      <c r="T66" s="7">
        <v>0</v>
      </c>
      <c r="U66" s="8">
        <v>0</v>
      </c>
      <c r="V66" s="7">
        <f>(T66)+(T66*U66)</f>
        <v>0</v>
      </c>
      <c r="W66" s="8">
        <f>IFERROR(((V66-T66)/V66),0)</f>
        <v>0</v>
      </c>
      <c r="X66" s="7">
        <f>IF(C66="Baja Complejidad",M66,0)</f>
        <v>0</v>
      </c>
      <c r="Y66" s="8">
        <v>0</v>
      </c>
      <c r="Z66" s="7">
        <f>(X66)+(X66*Y66)</f>
        <v>0</v>
      </c>
      <c r="AA66" s="8">
        <f>IFERROR(((Z66-X66)/Z66),0)</f>
        <v>0</v>
      </c>
      <c r="AB66" s="8">
        <v>0.1</v>
      </c>
    </row>
    <row r="67" spans="1:28" x14ac:dyDescent="0.25">
      <c r="A67">
        <v>2026</v>
      </c>
      <c r="B67" t="s">
        <v>54</v>
      </c>
      <c r="C67" t="s">
        <v>29</v>
      </c>
      <c r="D67" t="s">
        <v>30</v>
      </c>
      <c r="E67">
        <v>603422</v>
      </c>
      <c r="G67" t="s">
        <v>63</v>
      </c>
      <c r="H67" t="s">
        <v>63</v>
      </c>
      <c r="I67" t="s">
        <v>72</v>
      </c>
      <c r="J67" t="s">
        <v>69</v>
      </c>
      <c r="K67" t="s">
        <v>33</v>
      </c>
      <c r="L67">
        <v>114900</v>
      </c>
      <c r="M67">
        <v>114900</v>
      </c>
      <c r="O67" s="7">
        <f t="shared" si="8"/>
        <v>137880</v>
      </c>
      <c r="P67" s="7">
        <f>IF(C67="Alta Complejidad",M67,0)</f>
        <v>114900</v>
      </c>
      <c r="Q67" s="8">
        <v>0.2</v>
      </c>
      <c r="R67" s="7">
        <f t="shared" si="9"/>
        <v>137880</v>
      </c>
      <c r="S67" s="8">
        <f>IFERROR(((R67-P67)/R67),0)</f>
        <v>0.16666666666666666</v>
      </c>
      <c r="T67" s="7">
        <v>0</v>
      </c>
      <c r="U67" s="8">
        <v>0</v>
      </c>
      <c r="V67" s="7">
        <f>(T67)+(T67*U67)</f>
        <v>0</v>
      </c>
      <c r="W67" s="8">
        <f>IFERROR(((V67-T67)/V67),0)</f>
        <v>0</v>
      </c>
      <c r="X67" s="7">
        <f>IF(C67="Baja Complejidad",M67,0)</f>
        <v>0</v>
      </c>
      <c r="Y67" s="8">
        <v>0</v>
      </c>
      <c r="Z67" s="7">
        <f>(X67)+(X67*Y67)</f>
        <v>0</v>
      </c>
      <c r="AA67" s="8">
        <f>IFERROR(((Z67-X67)/Z67),0)</f>
        <v>0</v>
      </c>
      <c r="AB67" s="8">
        <v>0.1</v>
      </c>
    </row>
    <row r="68" spans="1:28" x14ac:dyDescent="0.25">
      <c r="A68">
        <v>2026</v>
      </c>
      <c r="B68" t="s">
        <v>54</v>
      </c>
      <c r="C68" t="s">
        <v>29</v>
      </c>
      <c r="D68" t="s">
        <v>30</v>
      </c>
      <c r="E68">
        <v>603423</v>
      </c>
      <c r="G68" t="s">
        <v>63</v>
      </c>
      <c r="H68" t="s">
        <v>63</v>
      </c>
      <c r="I68" t="s">
        <v>73</v>
      </c>
      <c r="J68" t="s">
        <v>69</v>
      </c>
      <c r="K68" t="s">
        <v>33</v>
      </c>
      <c r="L68">
        <v>28000</v>
      </c>
      <c r="M68">
        <v>28000</v>
      </c>
      <c r="O68" s="7">
        <f t="shared" si="8"/>
        <v>33600</v>
      </c>
      <c r="P68" s="7">
        <f>IF(C68="Alta Complejidad",M68,0)</f>
        <v>28000</v>
      </c>
      <c r="Q68" s="8">
        <v>0.2</v>
      </c>
      <c r="R68" s="7">
        <f t="shared" si="9"/>
        <v>33600</v>
      </c>
      <c r="S68" s="8">
        <f>IFERROR(((R68-P68)/R68),0)</f>
        <v>0.16666666666666666</v>
      </c>
      <c r="T68" s="7">
        <v>0</v>
      </c>
      <c r="U68" s="8">
        <v>0</v>
      </c>
      <c r="V68" s="7">
        <f>(T68)+(T68*U68)</f>
        <v>0</v>
      </c>
      <c r="W68" s="8">
        <f>IFERROR(((V68-T68)/V68),0)</f>
        <v>0</v>
      </c>
      <c r="X68" s="7">
        <f>IF(C68="Baja Complejidad",M68,0)</f>
        <v>0</v>
      </c>
      <c r="Y68" s="8">
        <v>0</v>
      </c>
      <c r="Z68" s="7">
        <f>(X68)+(X68*Y68)</f>
        <v>0</v>
      </c>
      <c r="AA68" s="8">
        <f>IFERROR(((Z68-X68)/Z68),0)</f>
        <v>0</v>
      </c>
      <c r="AB68" s="8">
        <v>0.1</v>
      </c>
    </row>
    <row r="69" spans="1:28" x14ac:dyDescent="0.25">
      <c r="A69">
        <v>2026</v>
      </c>
      <c r="B69" t="s">
        <v>54</v>
      </c>
      <c r="C69" t="s">
        <v>29</v>
      </c>
      <c r="D69" t="s">
        <v>30</v>
      </c>
      <c r="E69">
        <v>294199</v>
      </c>
      <c r="G69" t="s">
        <v>63</v>
      </c>
      <c r="H69" t="s">
        <v>63</v>
      </c>
      <c r="I69" t="s">
        <v>74</v>
      </c>
      <c r="J69" t="s">
        <v>69</v>
      </c>
      <c r="K69" t="s">
        <v>33</v>
      </c>
      <c r="L69">
        <v>49200</v>
      </c>
      <c r="M69">
        <v>49200</v>
      </c>
      <c r="O69" s="7">
        <f t="shared" si="8"/>
        <v>59040</v>
      </c>
      <c r="P69" s="7">
        <f>IF(C69="Alta Complejidad",M69,0)</f>
        <v>49200</v>
      </c>
      <c r="Q69" s="8">
        <v>0.2</v>
      </c>
      <c r="R69" s="7">
        <f t="shared" si="9"/>
        <v>59040</v>
      </c>
      <c r="S69" s="8">
        <f>IFERROR(((R69-P69)/R69),0)</f>
        <v>0.16666666666666666</v>
      </c>
      <c r="T69" s="7">
        <v>0</v>
      </c>
      <c r="U69" s="8">
        <v>0</v>
      </c>
      <c r="V69" s="7">
        <f>(T69)+(T69*U69)</f>
        <v>0</v>
      </c>
      <c r="W69" s="8">
        <f>IFERROR(((V69-T69)/V69),0)</f>
        <v>0</v>
      </c>
      <c r="X69" s="7">
        <f>IF(C69="Baja Complejidad",M69,0)</f>
        <v>0</v>
      </c>
      <c r="Y69" s="8">
        <v>0</v>
      </c>
      <c r="Z69" s="7">
        <f>(X69)+(X69*Y69)</f>
        <v>0</v>
      </c>
      <c r="AA69" s="8">
        <f>IFERROR(((Z69-X69)/Z69),0)</f>
        <v>0</v>
      </c>
      <c r="AB69" s="8">
        <v>0.1</v>
      </c>
    </row>
    <row r="70" spans="1:28" x14ac:dyDescent="0.25">
      <c r="A70">
        <v>2026</v>
      </c>
      <c r="B70" t="s">
        <v>54</v>
      </c>
      <c r="C70" t="s">
        <v>29</v>
      </c>
      <c r="D70" t="s">
        <v>30</v>
      </c>
      <c r="E70">
        <v>294299</v>
      </c>
      <c r="G70" t="s">
        <v>63</v>
      </c>
      <c r="H70" t="s">
        <v>63</v>
      </c>
      <c r="I70" t="s">
        <v>75</v>
      </c>
      <c r="J70" t="s">
        <v>69</v>
      </c>
      <c r="K70" t="s">
        <v>33</v>
      </c>
      <c r="L70">
        <v>141600</v>
      </c>
      <c r="M70">
        <v>141600</v>
      </c>
      <c r="O70" s="7">
        <f t="shared" si="8"/>
        <v>169920</v>
      </c>
      <c r="P70" s="7">
        <f>IF(C70="Alta Complejidad",M70,0)</f>
        <v>141600</v>
      </c>
      <c r="Q70" s="8">
        <v>0.2</v>
      </c>
      <c r="R70" s="7">
        <f t="shared" si="9"/>
        <v>169920</v>
      </c>
      <c r="S70" s="8">
        <f>IFERROR(((R70-P70)/R70),0)</f>
        <v>0.16666666666666666</v>
      </c>
      <c r="T70" s="7">
        <v>0</v>
      </c>
      <c r="U70" s="8">
        <v>0</v>
      </c>
      <c r="V70" s="7">
        <f>(T70)+(T70*U70)</f>
        <v>0</v>
      </c>
      <c r="W70" s="8">
        <f>IFERROR(((V70-T70)/V70),0)</f>
        <v>0</v>
      </c>
      <c r="X70" s="7">
        <f>IF(C70="Baja Complejidad",M70,0)</f>
        <v>0</v>
      </c>
      <c r="Y70" s="8">
        <v>0</v>
      </c>
      <c r="Z70" s="7">
        <f>(X70)+(X70*Y70)</f>
        <v>0</v>
      </c>
      <c r="AA70" s="8">
        <f>IFERROR(((Z70-X70)/Z70),0)</f>
        <v>0</v>
      </c>
      <c r="AB70" s="8">
        <v>0.1</v>
      </c>
    </row>
    <row r="71" spans="1:28" x14ac:dyDescent="0.25">
      <c r="A71">
        <v>2026</v>
      </c>
      <c r="B71" t="s">
        <v>54</v>
      </c>
      <c r="C71" t="s">
        <v>29</v>
      </c>
      <c r="D71" t="s">
        <v>30</v>
      </c>
      <c r="E71">
        <v>294399</v>
      </c>
      <c r="G71" t="s">
        <v>63</v>
      </c>
      <c r="H71" t="s">
        <v>63</v>
      </c>
      <c r="I71" t="s">
        <v>76</v>
      </c>
      <c r="J71" t="s">
        <v>69</v>
      </c>
      <c r="K71" t="s">
        <v>33</v>
      </c>
      <c r="L71">
        <v>174700</v>
      </c>
      <c r="M71">
        <v>174700</v>
      </c>
      <c r="O71" s="7">
        <f t="shared" si="8"/>
        <v>209640</v>
      </c>
      <c r="P71" s="7">
        <f>IF(C71="Alta Complejidad",M71,0)</f>
        <v>174700</v>
      </c>
      <c r="Q71" s="8">
        <v>0.2</v>
      </c>
      <c r="R71" s="7">
        <f t="shared" si="9"/>
        <v>209640</v>
      </c>
      <c r="S71" s="8">
        <f>IFERROR(((R71-P71)/R71),0)</f>
        <v>0.16666666666666666</v>
      </c>
      <c r="T71" s="7">
        <v>0</v>
      </c>
      <c r="U71" s="8">
        <v>0</v>
      </c>
      <c r="V71" s="7">
        <f>(T71)+(T71*U71)</f>
        <v>0</v>
      </c>
      <c r="W71" s="8">
        <f>IFERROR(((V71-T71)/V71),0)</f>
        <v>0</v>
      </c>
      <c r="X71" s="7">
        <f>IF(C71="Baja Complejidad",M71,0)</f>
        <v>0</v>
      </c>
      <c r="Y71" s="8">
        <v>0</v>
      </c>
      <c r="Z71" s="7">
        <f>(X71)+(X71*Y71)</f>
        <v>0</v>
      </c>
      <c r="AA71" s="8">
        <f>IFERROR(((Z71-X71)/Z71),0)</f>
        <v>0</v>
      </c>
      <c r="AB71" s="8">
        <v>0.1</v>
      </c>
    </row>
    <row r="72" spans="1:28" x14ac:dyDescent="0.25">
      <c r="A72">
        <v>2026</v>
      </c>
      <c r="B72" t="s">
        <v>54</v>
      </c>
      <c r="C72" t="s">
        <v>29</v>
      </c>
      <c r="D72" t="s">
        <v>30</v>
      </c>
      <c r="E72">
        <v>294499</v>
      </c>
      <c r="G72" t="s">
        <v>63</v>
      </c>
      <c r="H72" t="s">
        <v>63</v>
      </c>
      <c r="I72" t="s">
        <v>77</v>
      </c>
      <c r="J72" t="s">
        <v>69</v>
      </c>
      <c r="K72" t="s">
        <v>33</v>
      </c>
      <c r="L72">
        <v>204000</v>
      </c>
      <c r="M72">
        <v>204000</v>
      </c>
      <c r="O72" s="7">
        <f t="shared" si="8"/>
        <v>244800</v>
      </c>
      <c r="P72" s="7">
        <f>IF(C72="Alta Complejidad",M72,0)</f>
        <v>204000</v>
      </c>
      <c r="Q72" s="8">
        <v>0.2</v>
      </c>
      <c r="R72" s="7">
        <f t="shared" si="9"/>
        <v>244800</v>
      </c>
      <c r="S72" s="8">
        <f>IFERROR(((R72-P72)/R72),0)</f>
        <v>0.16666666666666666</v>
      </c>
      <c r="T72" s="7">
        <v>0</v>
      </c>
      <c r="U72" s="8">
        <v>0</v>
      </c>
      <c r="V72" s="7">
        <f>(T72)+(T72*U72)</f>
        <v>0</v>
      </c>
      <c r="W72" s="8">
        <f>IFERROR(((V72-T72)/V72),0)</f>
        <v>0</v>
      </c>
      <c r="X72" s="7">
        <f>IF(C72="Baja Complejidad",M72,0)</f>
        <v>0</v>
      </c>
      <c r="Y72" s="8">
        <v>0</v>
      </c>
      <c r="Z72" s="7">
        <f>(X72)+(X72*Y72)</f>
        <v>0</v>
      </c>
      <c r="AA72" s="8">
        <f>IFERROR(((Z72-X72)/Z72),0)</f>
        <v>0</v>
      </c>
      <c r="AB72" s="8">
        <v>0.1</v>
      </c>
    </row>
    <row r="73" spans="1:28" x14ac:dyDescent="0.25">
      <c r="A73">
        <v>2026</v>
      </c>
      <c r="B73" t="s">
        <v>54</v>
      </c>
      <c r="C73" t="s">
        <v>29</v>
      </c>
      <c r="D73" t="s">
        <v>30</v>
      </c>
      <c r="E73">
        <v>284190</v>
      </c>
      <c r="G73" t="s">
        <v>63</v>
      </c>
      <c r="H73" t="s">
        <v>63</v>
      </c>
      <c r="I73" t="s">
        <v>78</v>
      </c>
      <c r="J73" t="s">
        <v>69</v>
      </c>
      <c r="K73" t="s">
        <v>33</v>
      </c>
      <c r="L73">
        <v>49000</v>
      </c>
      <c r="M73">
        <v>49000</v>
      </c>
      <c r="O73" s="7">
        <f t="shared" si="8"/>
        <v>58800</v>
      </c>
      <c r="P73" s="7">
        <f>IF(C73="Alta Complejidad",M73,0)</f>
        <v>49000</v>
      </c>
      <c r="Q73" s="8">
        <v>0.2</v>
      </c>
      <c r="R73" s="7">
        <f t="shared" si="9"/>
        <v>58800</v>
      </c>
      <c r="S73" s="8">
        <f>IFERROR(((R73-P73)/R73),0)</f>
        <v>0.16666666666666666</v>
      </c>
      <c r="T73" s="7">
        <v>0</v>
      </c>
      <c r="U73" s="8">
        <v>0</v>
      </c>
      <c r="V73" s="7">
        <f>(T73)+(T73*U73)</f>
        <v>0</v>
      </c>
      <c r="W73" s="8">
        <f>IFERROR(((V73-T73)/V73),0)</f>
        <v>0</v>
      </c>
      <c r="X73" s="7">
        <f>IF(C73="Baja Complejidad",M73,0)</f>
        <v>0</v>
      </c>
      <c r="Y73" s="8">
        <v>0</v>
      </c>
      <c r="Z73" s="7">
        <f>(X73)+(X73*Y73)</f>
        <v>0</v>
      </c>
      <c r="AA73" s="8">
        <f>IFERROR(((Z73-X73)/Z73),0)</f>
        <v>0</v>
      </c>
      <c r="AB73" s="8">
        <v>0.1</v>
      </c>
    </row>
    <row r="74" spans="1:28" x14ac:dyDescent="0.25">
      <c r="A74">
        <v>2026</v>
      </c>
      <c r="B74" t="s">
        <v>54</v>
      </c>
      <c r="C74" t="s">
        <v>29</v>
      </c>
      <c r="D74" t="s">
        <v>30</v>
      </c>
      <c r="E74">
        <v>284390</v>
      </c>
      <c r="G74" t="s">
        <v>63</v>
      </c>
      <c r="H74" t="s">
        <v>63</v>
      </c>
      <c r="I74" t="s">
        <v>79</v>
      </c>
      <c r="J74" t="s">
        <v>66</v>
      </c>
      <c r="K74" t="s">
        <v>33</v>
      </c>
      <c r="L74">
        <v>224100</v>
      </c>
      <c r="M74">
        <v>224100</v>
      </c>
      <c r="O74" s="7">
        <f t="shared" si="8"/>
        <v>268920</v>
      </c>
      <c r="P74" s="7">
        <f>IF(C74="Alta Complejidad",M74,0)</f>
        <v>224100</v>
      </c>
      <c r="Q74" s="8">
        <v>0.2</v>
      </c>
      <c r="R74" s="7">
        <f t="shared" si="9"/>
        <v>268920</v>
      </c>
      <c r="S74" s="8">
        <f>IFERROR(((R74-P74)/R74),0)</f>
        <v>0.16666666666666666</v>
      </c>
      <c r="T74" s="7">
        <v>0</v>
      </c>
      <c r="U74" s="8">
        <v>0</v>
      </c>
      <c r="V74" s="7">
        <f>(T74)+(T74*U74)</f>
        <v>0</v>
      </c>
      <c r="W74" s="8">
        <f>IFERROR(((V74-T74)/V74),0)</f>
        <v>0</v>
      </c>
      <c r="X74" s="7">
        <f>IF(C74="Baja Complejidad",M74,0)</f>
        <v>0</v>
      </c>
      <c r="Y74" s="8">
        <v>0</v>
      </c>
      <c r="Z74" s="7">
        <f>(X74)+(X74*Y74)</f>
        <v>0</v>
      </c>
      <c r="AA74" s="8">
        <f>IFERROR(((Z74-X74)/Z74),0)</f>
        <v>0</v>
      </c>
      <c r="AB74" s="8">
        <v>0.1</v>
      </c>
    </row>
    <row r="75" spans="1:28" x14ac:dyDescent="0.25">
      <c r="A75">
        <v>2026</v>
      </c>
      <c r="B75" t="s">
        <v>54</v>
      </c>
      <c r="C75" t="s">
        <v>29</v>
      </c>
      <c r="D75" t="s">
        <v>30</v>
      </c>
      <c r="E75">
        <v>287100</v>
      </c>
      <c r="G75" t="s">
        <v>63</v>
      </c>
      <c r="H75" t="s">
        <v>63</v>
      </c>
      <c r="I75" t="s">
        <v>80</v>
      </c>
      <c r="J75" t="s">
        <v>66</v>
      </c>
      <c r="K75" t="s">
        <v>33</v>
      </c>
      <c r="L75">
        <v>38000</v>
      </c>
      <c r="M75">
        <v>38000</v>
      </c>
      <c r="O75" s="7">
        <f t="shared" si="8"/>
        <v>45600</v>
      </c>
      <c r="P75" s="7">
        <f>IF(C75="Alta Complejidad",M75,0)</f>
        <v>38000</v>
      </c>
      <c r="Q75" s="8">
        <v>0.2</v>
      </c>
      <c r="R75" s="7">
        <f t="shared" si="9"/>
        <v>45600</v>
      </c>
      <c r="S75" s="8">
        <f>IFERROR(((R75-P75)/R75),0)</f>
        <v>0.16666666666666666</v>
      </c>
      <c r="T75" s="7">
        <v>0</v>
      </c>
      <c r="U75" s="8">
        <v>0</v>
      </c>
      <c r="V75" s="7">
        <f>(T75)+(T75*U75)</f>
        <v>0</v>
      </c>
      <c r="W75" s="8">
        <f>IFERROR(((V75-T75)/V75),0)</f>
        <v>0</v>
      </c>
      <c r="X75" s="7">
        <f>IF(C75="Baja Complejidad",M75,0)</f>
        <v>0</v>
      </c>
      <c r="Y75" s="8">
        <v>0</v>
      </c>
      <c r="Z75" s="7">
        <f>(X75)+(X75*Y75)</f>
        <v>0</v>
      </c>
      <c r="AA75" s="8">
        <f>IFERROR(((Z75-X75)/Z75),0)</f>
        <v>0</v>
      </c>
      <c r="AB75" s="8">
        <v>0.1</v>
      </c>
    </row>
    <row r="76" spans="1:28" x14ac:dyDescent="0.25">
      <c r="A76">
        <v>2026</v>
      </c>
      <c r="B76" t="s">
        <v>54</v>
      </c>
      <c r="C76" t="s">
        <v>29</v>
      </c>
      <c r="D76" t="s">
        <v>30</v>
      </c>
      <c r="E76">
        <v>287200</v>
      </c>
      <c r="G76" t="s">
        <v>63</v>
      </c>
      <c r="H76" t="s">
        <v>63</v>
      </c>
      <c r="I76" t="s">
        <v>81</v>
      </c>
      <c r="J76" t="s">
        <v>66</v>
      </c>
      <c r="K76" t="s">
        <v>33</v>
      </c>
      <c r="L76">
        <v>39800</v>
      </c>
      <c r="M76">
        <v>39800</v>
      </c>
      <c r="O76" s="7">
        <f t="shared" si="8"/>
        <v>47760</v>
      </c>
      <c r="P76" s="7">
        <f>IF(C76="Alta Complejidad",M76,0)</f>
        <v>39800</v>
      </c>
      <c r="Q76" s="8">
        <v>0.2</v>
      </c>
      <c r="R76" s="7">
        <f t="shared" si="9"/>
        <v>47760</v>
      </c>
      <c r="S76" s="8">
        <f>IFERROR(((R76-P76)/R76),0)</f>
        <v>0.16666666666666666</v>
      </c>
      <c r="T76" s="7">
        <v>0</v>
      </c>
      <c r="U76" s="8">
        <v>0</v>
      </c>
      <c r="V76" s="7">
        <f>(T76)+(T76*U76)</f>
        <v>0</v>
      </c>
      <c r="W76" s="8">
        <f>IFERROR(((V76-T76)/V76),0)</f>
        <v>0</v>
      </c>
      <c r="X76" s="7">
        <f>IF(C76="Baja Complejidad",M76,0)</f>
        <v>0</v>
      </c>
      <c r="Y76" s="8">
        <v>0</v>
      </c>
      <c r="Z76" s="7">
        <f>(X76)+(X76*Y76)</f>
        <v>0</v>
      </c>
      <c r="AA76" s="8">
        <f>IFERROR(((Z76-X76)/Z76),0)</f>
        <v>0</v>
      </c>
      <c r="AB76" s="8">
        <v>0.1</v>
      </c>
    </row>
    <row r="77" spans="1:28" x14ac:dyDescent="0.25">
      <c r="A77">
        <v>2026</v>
      </c>
      <c r="B77" t="s">
        <v>55</v>
      </c>
      <c r="C77" t="s">
        <v>29</v>
      </c>
      <c r="D77" t="s">
        <v>30</v>
      </c>
      <c r="E77">
        <v>360001</v>
      </c>
      <c r="G77" t="s">
        <v>63</v>
      </c>
      <c r="H77" t="s">
        <v>63</v>
      </c>
      <c r="I77" t="s">
        <v>65</v>
      </c>
      <c r="J77" t="s">
        <v>66</v>
      </c>
      <c r="K77" t="s">
        <v>33</v>
      </c>
      <c r="L77">
        <v>28800</v>
      </c>
      <c r="M77">
        <v>28800</v>
      </c>
      <c r="O77" s="7">
        <f>R77</f>
        <v>34560</v>
      </c>
      <c r="P77" s="7">
        <f>IF(C77="Alta Complejidad",M77,0)</f>
        <v>28800</v>
      </c>
      <c r="Q77" s="8">
        <v>0.2</v>
      </c>
      <c r="R77" s="7">
        <f>P77+(P77*Q77)</f>
        <v>34560</v>
      </c>
      <c r="S77" s="8">
        <f>IFERROR(((R77-P77)/R77),0)</f>
        <v>0.16666666666666666</v>
      </c>
      <c r="T77" s="7">
        <v>0</v>
      </c>
      <c r="U77" s="8">
        <v>0</v>
      </c>
      <c r="V77" s="7">
        <f>(T77)+(T77*U77)</f>
        <v>0</v>
      </c>
      <c r="W77" s="8">
        <f>IFERROR(((V77-T77)/V77),0)</f>
        <v>0</v>
      </c>
      <c r="X77" s="7">
        <f>IF(C77="Baja Complejidad",M77,0)</f>
        <v>0</v>
      </c>
      <c r="Y77" s="8">
        <v>0</v>
      </c>
      <c r="Z77" s="7">
        <f>(X77)+(X77*Y77)</f>
        <v>0</v>
      </c>
      <c r="AA77" s="8">
        <f>IFERROR(((Z77-X77)/Z77),0)</f>
        <v>0</v>
      </c>
      <c r="AB77" s="8">
        <v>0.1</v>
      </c>
    </row>
    <row r="78" spans="1:28" x14ac:dyDescent="0.25">
      <c r="A78">
        <v>2026</v>
      </c>
      <c r="B78" t="s">
        <v>55</v>
      </c>
      <c r="C78" t="s">
        <v>29</v>
      </c>
      <c r="D78" t="s">
        <v>30</v>
      </c>
      <c r="E78">
        <v>709900</v>
      </c>
      <c r="G78" t="s">
        <v>63</v>
      </c>
      <c r="H78" t="s">
        <v>63</v>
      </c>
      <c r="I78" t="s">
        <v>67</v>
      </c>
      <c r="J78" t="s">
        <v>66</v>
      </c>
      <c r="K78" t="s">
        <v>33</v>
      </c>
      <c r="L78">
        <v>36700</v>
      </c>
      <c r="M78">
        <v>36700</v>
      </c>
      <c r="O78" s="7">
        <f t="shared" ref="O78:O91" si="10">R78</f>
        <v>44040</v>
      </c>
      <c r="P78" s="7">
        <f>IF(C78="Alta Complejidad",M78,0)</f>
        <v>36700</v>
      </c>
      <c r="Q78" s="8">
        <v>0.2</v>
      </c>
      <c r="R78" s="7">
        <f t="shared" ref="R78:R91" si="11">P78+(P78*Q78)</f>
        <v>44040</v>
      </c>
      <c r="S78" s="8">
        <f>IFERROR(((R78-P78)/R78),0)</f>
        <v>0.16666666666666666</v>
      </c>
      <c r="T78" s="7">
        <v>0</v>
      </c>
      <c r="U78" s="8">
        <v>0</v>
      </c>
      <c r="V78" s="7">
        <f>(T78)+(T78*U78)</f>
        <v>0</v>
      </c>
      <c r="W78" s="8">
        <f>IFERROR(((V78-T78)/V78),0)</f>
        <v>0</v>
      </c>
      <c r="X78" s="7">
        <f>IF(C78="Baja Complejidad",M78,0)</f>
        <v>0</v>
      </c>
      <c r="Y78" s="8">
        <v>0</v>
      </c>
      <c r="Z78" s="7">
        <f>(X78)+(X78*Y78)</f>
        <v>0</v>
      </c>
      <c r="AA78" s="8">
        <f>IFERROR(((Z78-X78)/Z78),0)</f>
        <v>0</v>
      </c>
      <c r="AB78" s="8">
        <v>0.1</v>
      </c>
    </row>
    <row r="79" spans="1:28" x14ac:dyDescent="0.25">
      <c r="A79">
        <v>2026</v>
      </c>
      <c r="B79" t="s">
        <v>55</v>
      </c>
      <c r="C79" t="s">
        <v>29</v>
      </c>
      <c r="D79" t="s">
        <v>30</v>
      </c>
      <c r="E79">
        <v>709902</v>
      </c>
      <c r="G79" t="s">
        <v>63</v>
      </c>
      <c r="H79" t="s">
        <v>63</v>
      </c>
      <c r="I79" t="s">
        <v>68</v>
      </c>
      <c r="J79" t="s">
        <v>69</v>
      </c>
      <c r="K79" t="s">
        <v>33</v>
      </c>
      <c r="L79">
        <v>28000</v>
      </c>
      <c r="M79">
        <v>28000</v>
      </c>
      <c r="O79" s="7">
        <f t="shared" si="10"/>
        <v>33600</v>
      </c>
      <c r="P79" s="7">
        <f>IF(C79="Alta Complejidad",M79,0)</f>
        <v>28000</v>
      </c>
      <c r="Q79" s="8">
        <v>0.2</v>
      </c>
      <c r="R79" s="7">
        <f t="shared" si="11"/>
        <v>33600</v>
      </c>
      <c r="S79" s="8">
        <f>IFERROR(((R79-P79)/R79),0)</f>
        <v>0.16666666666666666</v>
      </c>
      <c r="T79" s="7">
        <v>0</v>
      </c>
      <c r="U79" s="8">
        <v>0</v>
      </c>
      <c r="V79" s="7">
        <f>(T79)+(T79*U79)</f>
        <v>0</v>
      </c>
      <c r="W79" s="8">
        <f>IFERROR(((V79-T79)/V79),0)</f>
        <v>0</v>
      </c>
      <c r="X79" s="7">
        <f>IF(C79="Baja Complejidad",M79,0)</f>
        <v>0</v>
      </c>
      <c r="Y79" s="8">
        <v>0</v>
      </c>
      <c r="Z79" s="7">
        <f>(X79)+(X79*Y79)</f>
        <v>0</v>
      </c>
      <c r="AA79" s="8">
        <f>IFERROR(((Z79-X79)/Z79),0)</f>
        <v>0</v>
      </c>
      <c r="AB79" s="8">
        <v>0.1</v>
      </c>
    </row>
    <row r="80" spans="1:28" x14ac:dyDescent="0.25">
      <c r="A80">
        <v>2026</v>
      </c>
      <c r="B80" t="s">
        <v>55</v>
      </c>
      <c r="C80" t="s">
        <v>29</v>
      </c>
      <c r="D80" t="s">
        <v>30</v>
      </c>
      <c r="E80">
        <v>709903</v>
      </c>
      <c r="G80" t="s">
        <v>63</v>
      </c>
      <c r="H80" t="s">
        <v>63</v>
      </c>
      <c r="I80" t="s">
        <v>70</v>
      </c>
      <c r="J80" t="s">
        <v>69</v>
      </c>
      <c r="K80" t="s">
        <v>33</v>
      </c>
      <c r="L80">
        <v>36700</v>
      </c>
      <c r="M80">
        <v>36700</v>
      </c>
      <c r="O80" s="7">
        <f t="shared" si="10"/>
        <v>44040</v>
      </c>
      <c r="P80" s="7">
        <f>IF(C80="Alta Complejidad",M80,0)</f>
        <v>36700</v>
      </c>
      <c r="Q80" s="8">
        <v>0.2</v>
      </c>
      <c r="R80" s="7">
        <f t="shared" si="11"/>
        <v>44040</v>
      </c>
      <c r="S80" s="8">
        <f>IFERROR(((R80-P80)/R80),0)</f>
        <v>0.16666666666666666</v>
      </c>
      <c r="T80" s="7">
        <v>0</v>
      </c>
      <c r="U80" s="8">
        <v>0</v>
      </c>
      <c r="V80" s="7">
        <f>(T80)+(T80*U80)</f>
        <v>0</v>
      </c>
      <c r="W80" s="8">
        <f>IFERROR(((V80-T80)/V80),0)</f>
        <v>0</v>
      </c>
      <c r="X80" s="7">
        <f>IF(C80="Baja Complejidad",M80,0)</f>
        <v>0</v>
      </c>
      <c r="Y80" s="8">
        <v>0</v>
      </c>
      <c r="Z80" s="7">
        <f>(X80)+(X80*Y80)</f>
        <v>0</v>
      </c>
      <c r="AA80" s="8">
        <f>IFERROR(((Z80-X80)/Z80),0)</f>
        <v>0</v>
      </c>
      <c r="AB80" s="8">
        <v>0.1</v>
      </c>
    </row>
    <row r="81" spans="1:28" x14ac:dyDescent="0.25">
      <c r="A81">
        <v>2026</v>
      </c>
      <c r="B81" t="s">
        <v>55</v>
      </c>
      <c r="C81" t="s">
        <v>29</v>
      </c>
      <c r="D81" t="s">
        <v>30</v>
      </c>
      <c r="E81">
        <v>603421</v>
      </c>
      <c r="G81" t="s">
        <v>63</v>
      </c>
      <c r="H81" t="s">
        <v>63</v>
      </c>
      <c r="I81" t="s">
        <v>71</v>
      </c>
      <c r="J81" t="s">
        <v>69</v>
      </c>
      <c r="K81" t="s">
        <v>33</v>
      </c>
      <c r="L81">
        <v>21900</v>
      </c>
      <c r="M81">
        <v>21900</v>
      </c>
      <c r="O81" s="7">
        <f t="shared" si="10"/>
        <v>26280</v>
      </c>
      <c r="P81" s="7">
        <f>IF(C81="Alta Complejidad",M81,0)</f>
        <v>21900</v>
      </c>
      <c r="Q81" s="8">
        <v>0.2</v>
      </c>
      <c r="R81" s="7">
        <f t="shared" si="11"/>
        <v>26280</v>
      </c>
      <c r="S81" s="8">
        <f>IFERROR(((R81-P81)/R81),0)</f>
        <v>0.16666666666666666</v>
      </c>
      <c r="T81" s="7">
        <v>0</v>
      </c>
      <c r="U81" s="8">
        <v>0</v>
      </c>
      <c r="V81" s="7">
        <f>(T81)+(T81*U81)</f>
        <v>0</v>
      </c>
      <c r="W81" s="8">
        <f>IFERROR(((V81-T81)/V81),0)</f>
        <v>0</v>
      </c>
      <c r="X81" s="7">
        <f>IF(C81="Baja Complejidad",M81,0)</f>
        <v>0</v>
      </c>
      <c r="Y81" s="8">
        <v>0</v>
      </c>
      <c r="Z81" s="7">
        <f>(X81)+(X81*Y81)</f>
        <v>0</v>
      </c>
      <c r="AA81" s="8">
        <f>IFERROR(((Z81-X81)/Z81),0)</f>
        <v>0</v>
      </c>
      <c r="AB81" s="8">
        <v>0.1</v>
      </c>
    </row>
    <row r="82" spans="1:28" x14ac:dyDescent="0.25">
      <c r="A82">
        <v>2026</v>
      </c>
      <c r="B82" t="s">
        <v>55</v>
      </c>
      <c r="C82" t="s">
        <v>29</v>
      </c>
      <c r="D82" t="s">
        <v>30</v>
      </c>
      <c r="E82">
        <v>603422</v>
      </c>
      <c r="G82" t="s">
        <v>63</v>
      </c>
      <c r="H82" t="s">
        <v>63</v>
      </c>
      <c r="I82" t="s">
        <v>72</v>
      </c>
      <c r="J82" t="s">
        <v>69</v>
      </c>
      <c r="K82" t="s">
        <v>33</v>
      </c>
      <c r="L82">
        <v>114900</v>
      </c>
      <c r="M82">
        <v>114900</v>
      </c>
      <c r="O82" s="7">
        <f t="shared" si="10"/>
        <v>137880</v>
      </c>
      <c r="P82" s="7">
        <f>IF(C82="Alta Complejidad",M82,0)</f>
        <v>114900</v>
      </c>
      <c r="Q82" s="8">
        <v>0.2</v>
      </c>
      <c r="R82" s="7">
        <f t="shared" si="11"/>
        <v>137880</v>
      </c>
      <c r="S82" s="8">
        <f>IFERROR(((R82-P82)/R82),0)</f>
        <v>0.16666666666666666</v>
      </c>
      <c r="T82" s="7">
        <v>0</v>
      </c>
      <c r="U82" s="8">
        <v>0</v>
      </c>
      <c r="V82" s="7">
        <f>(T82)+(T82*U82)</f>
        <v>0</v>
      </c>
      <c r="W82" s="8">
        <f>IFERROR(((V82-T82)/V82),0)</f>
        <v>0</v>
      </c>
      <c r="X82" s="7">
        <f>IF(C82="Baja Complejidad",M82,0)</f>
        <v>0</v>
      </c>
      <c r="Y82" s="8">
        <v>0</v>
      </c>
      <c r="Z82" s="7">
        <f>(X82)+(X82*Y82)</f>
        <v>0</v>
      </c>
      <c r="AA82" s="8">
        <f>IFERROR(((Z82-X82)/Z82),0)</f>
        <v>0</v>
      </c>
      <c r="AB82" s="8">
        <v>0.1</v>
      </c>
    </row>
    <row r="83" spans="1:28" x14ac:dyDescent="0.25">
      <c r="A83">
        <v>2026</v>
      </c>
      <c r="B83" t="s">
        <v>55</v>
      </c>
      <c r="C83" t="s">
        <v>29</v>
      </c>
      <c r="D83" t="s">
        <v>30</v>
      </c>
      <c r="E83">
        <v>603423</v>
      </c>
      <c r="G83" t="s">
        <v>63</v>
      </c>
      <c r="H83" t="s">
        <v>63</v>
      </c>
      <c r="I83" t="s">
        <v>73</v>
      </c>
      <c r="J83" t="s">
        <v>69</v>
      </c>
      <c r="K83" t="s">
        <v>33</v>
      </c>
      <c r="L83">
        <v>28000</v>
      </c>
      <c r="M83">
        <v>28000</v>
      </c>
      <c r="O83" s="7">
        <f t="shared" si="10"/>
        <v>33600</v>
      </c>
      <c r="P83" s="7">
        <f>IF(C83="Alta Complejidad",M83,0)</f>
        <v>28000</v>
      </c>
      <c r="Q83" s="8">
        <v>0.2</v>
      </c>
      <c r="R83" s="7">
        <f t="shared" si="11"/>
        <v>33600</v>
      </c>
      <c r="S83" s="8">
        <f>IFERROR(((R83-P83)/R83),0)</f>
        <v>0.16666666666666666</v>
      </c>
      <c r="T83" s="7">
        <v>0</v>
      </c>
      <c r="U83" s="8">
        <v>0</v>
      </c>
      <c r="V83" s="7">
        <f>(T83)+(T83*U83)</f>
        <v>0</v>
      </c>
      <c r="W83" s="8">
        <f>IFERROR(((V83-T83)/V83),0)</f>
        <v>0</v>
      </c>
      <c r="X83" s="7">
        <f>IF(C83="Baja Complejidad",M83,0)</f>
        <v>0</v>
      </c>
      <c r="Y83" s="8">
        <v>0</v>
      </c>
      <c r="Z83" s="7">
        <f>(X83)+(X83*Y83)</f>
        <v>0</v>
      </c>
      <c r="AA83" s="8">
        <f>IFERROR(((Z83-X83)/Z83),0)</f>
        <v>0</v>
      </c>
      <c r="AB83" s="8">
        <v>0.1</v>
      </c>
    </row>
    <row r="84" spans="1:28" x14ac:dyDescent="0.25">
      <c r="A84">
        <v>2026</v>
      </c>
      <c r="B84" t="s">
        <v>55</v>
      </c>
      <c r="C84" t="s">
        <v>29</v>
      </c>
      <c r="D84" t="s">
        <v>30</v>
      </c>
      <c r="E84">
        <v>294199</v>
      </c>
      <c r="G84" t="s">
        <v>63</v>
      </c>
      <c r="H84" t="s">
        <v>63</v>
      </c>
      <c r="I84" t="s">
        <v>74</v>
      </c>
      <c r="J84" t="s">
        <v>69</v>
      </c>
      <c r="K84" t="s">
        <v>33</v>
      </c>
      <c r="L84">
        <v>49200</v>
      </c>
      <c r="M84">
        <v>49200</v>
      </c>
      <c r="O84" s="7">
        <f t="shared" si="10"/>
        <v>59040</v>
      </c>
      <c r="P84" s="7">
        <f>IF(C84="Alta Complejidad",M84,0)</f>
        <v>49200</v>
      </c>
      <c r="Q84" s="8">
        <v>0.2</v>
      </c>
      <c r="R84" s="7">
        <f t="shared" si="11"/>
        <v>59040</v>
      </c>
      <c r="S84" s="8">
        <f>IFERROR(((R84-P84)/R84),0)</f>
        <v>0.16666666666666666</v>
      </c>
      <c r="T84" s="7">
        <v>0</v>
      </c>
      <c r="U84" s="8">
        <v>0</v>
      </c>
      <c r="V84" s="7">
        <f>(T84)+(T84*U84)</f>
        <v>0</v>
      </c>
      <c r="W84" s="8">
        <f>IFERROR(((V84-T84)/V84),0)</f>
        <v>0</v>
      </c>
      <c r="X84" s="7">
        <f>IF(C84="Baja Complejidad",M84,0)</f>
        <v>0</v>
      </c>
      <c r="Y84" s="8">
        <v>0</v>
      </c>
      <c r="Z84" s="7">
        <f>(X84)+(X84*Y84)</f>
        <v>0</v>
      </c>
      <c r="AA84" s="8">
        <f>IFERROR(((Z84-X84)/Z84),0)</f>
        <v>0</v>
      </c>
      <c r="AB84" s="8">
        <v>0.1</v>
      </c>
    </row>
    <row r="85" spans="1:28" x14ac:dyDescent="0.25">
      <c r="A85">
        <v>2026</v>
      </c>
      <c r="B85" t="s">
        <v>55</v>
      </c>
      <c r="C85" t="s">
        <v>29</v>
      </c>
      <c r="D85" t="s">
        <v>30</v>
      </c>
      <c r="E85">
        <v>294299</v>
      </c>
      <c r="G85" t="s">
        <v>63</v>
      </c>
      <c r="H85" t="s">
        <v>63</v>
      </c>
      <c r="I85" t="s">
        <v>75</v>
      </c>
      <c r="J85" t="s">
        <v>69</v>
      </c>
      <c r="K85" t="s">
        <v>33</v>
      </c>
      <c r="L85">
        <v>141600</v>
      </c>
      <c r="M85">
        <v>141600</v>
      </c>
      <c r="O85" s="7">
        <f t="shared" si="10"/>
        <v>169920</v>
      </c>
      <c r="P85" s="7">
        <f>IF(C85="Alta Complejidad",M85,0)</f>
        <v>141600</v>
      </c>
      <c r="Q85" s="8">
        <v>0.2</v>
      </c>
      <c r="R85" s="7">
        <f t="shared" si="11"/>
        <v>169920</v>
      </c>
      <c r="S85" s="8">
        <f>IFERROR(((R85-P85)/R85),0)</f>
        <v>0.16666666666666666</v>
      </c>
      <c r="T85" s="7">
        <v>0</v>
      </c>
      <c r="U85" s="8">
        <v>0</v>
      </c>
      <c r="V85" s="7">
        <f>(T85)+(T85*U85)</f>
        <v>0</v>
      </c>
      <c r="W85" s="8">
        <f>IFERROR(((V85-T85)/V85),0)</f>
        <v>0</v>
      </c>
      <c r="X85" s="7">
        <f>IF(C85="Baja Complejidad",M85,0)</f>
        <v>0</v>
      </c>
      <c r="Y85" s="8">
        <v>0</v>
      </c>
      <c r="Z85" s="7">
        <f>(X85)+(X85*Y85)</f>
        <v>0</v>
      </c>
      <c r="AA85" s="8">
        <f>IFERROR(((Z85-X85)/Z85),0)</f>
        <v>0</v>
      </c>
      <c r="AB85" s="8">
        <v>0.1</v>
      </c>
    </row>
    <row r="86" spans="1:28" x14ac:dyDescent="0.25">
      <c r="A86">
        <v>2026</v>
      </c>
      <c r="B86" t="s">
        <v>55</v>
      </c>
      <c r="C86" t="s">
        <v>29</v>
      </c>
      <c r="D86" t="s">
        <v>30</v>
      </c>
      <c r="E86">
        <v>294399</v>
      </c>
      <c r="G86" t="s">
        <v>63</v>
      </c>
      <c r="H86" t="s">
        <v>63</v>
      </c>
      <c r="I86" t="s">
        <v>76</v>
      </c>
      <c r="J86" t="s">
        <v>69</v>
      </c>
      <c r="K86" t="s">
        <v>33</v>
      </c>
      <c r="L86">
        <v>174700</v>
      </c>
      <c r="M86">
        <v>174700</v>
      </c>
      <c r="O86" s="7">
        <f t="shared" si="10"/>
        <v>209640</v>
      </c>
      <c r="P86" s="7">
        <f>IF(C86="Alta Complejidad",M86,0)</f>
        <v>174700</v>
      </c>
      <c r="Q86" s="8">
        <v>0.2</v>
      </c>
      <c r="R86" s="7">
        <f t="shared" si="11"/>
        <v>209640</v>
      </c>
      <c r="S86" s="8">
        <f>IFERROR(((R86-P86)/R86),0)</f>
        <v>0.16666666666666666</v>
      </c>
      <c r="T86" s="7">
        <v>0</v>
      </c>
      <c r="U86" s="8">
        <v>0</v>
      </c>
      <c r="V86" s="7">
        <f>(T86)+(T86*U86)</f>
        <v>0</v>
      </c>
      <c r="W86" s="8">
        <f>IFERROR(((V86-T86)/V86),0)</f>
        <v>0</v>
      </c>
      <c r="X86" s="7">
        <f>IF(C86="Baja Complejidad",M86,0)</f>
        <v>0</v>
      </c>
      <c r="Y86" s="8">
        <v>0</v>
      </c>
      <c r="Z86" s="7">
        <f>(X86)+(X86*Y86)</f>
        <v>0</v>
      </c>
      <c r="AA86" s="8">
        <f>IFERROR(((Z86-X86)/Z86),0)</f>
        <v>0</v>
      </c>
      <c r="AB86" s="8">
        <v>0.1</v>
      </c>
    </row>
    <row r="87" spans="1:28" x14ac:dyDescent="0.25">
      <c r="A87">
        <v>2026</v>
      </c>
      <c r="B87" t="s">
        <v>55</v>
      </c>
      <c r="C87" t="s">
        <v>29</v>
      </c>
      <c r="D87" t="s">
        <v>30</v>
      </c>
      <c r="E87">
        <v>294499</v>
      </c>
      <c r="G87" t="s">
        <v>63</v>
      </c>
      <c r="H87" t="s">
        <v>63</v>
      </c>
      <c r="I87" t="s">
        <v>77</v>
      </c>
      <c r="J87" t="s">
        <v>69</v>
      </c>
      <c r="K87" t="s">
        <v>33</v>
      </c>
      <c r="L87">
        <v>204000</v>
      </c>
      <c r="M87">
        <v>204000</v>
      </c>
      <c r="O87" s="7">
        <f t="shared" si="10"/>
        <v>244800</v>
      </c>
      <c r="P87" s="7">
        <f>IF(C87="Alta Complejidad",M87,0)</f>
        <v>204000</v>
      </c>
      <c r="Q87" s="8">
        <v>0.2</v>
      </c>
      <c r="R87" s="7">
        <f t="shared" si="11"/>
        <v>244800</v>
      </c>
      <c r="S87" s="8">
        <f>IFERROR(((R87-P87)/R87),0)</f>
        <v>0.16666666666666666</v>
      </c>
      <c r="T87" s="7">
        <v>0</v>
      </c>
      <c r="U87" s="8">
        <v>0</v>
      </c>
      <c r="V87" s="7">
        <f>(T87)+(T87*U87)</f>
        <v>0</v>
      </c>
      <c r="W87" s="8">
        <f>IFERROR(((V87-T87)/V87),0)</f>
        <v>0</v>
      </c>
      <c r="X87" s="7">
        <f>IF(C87="Baja Complejidad",M87,0)</f>
        <v>0</v>
      </c>
      <c r="Y87" s="8">
        <v>0</v>
      </c>
      <c r="Z87" s="7">
        <f>(X87)+(X87*Y87)</f>
        <v>0</v>
      </c>
      <c r="AA87" s="8">
        <f>IFERROR(((Z87-X87)/Z87),0)</f>
        <v>0</v>
      </c>
      <c r="AB87" s="8">
        <v>0.1</v>
      </c>
    </row>
    <row r="88" spans="1:28" x14ac:dyDescent="0.25">
      <c r="A88">
        <v>2026</v>
      </c>
      <c r="B88" t="s">
        <v>55</v>
      </c>
      <c r="C88" t="s">
        <v>29</v>
      </c>
      <c r="D88" t="s">
        <v>30</v>
      </c>
      <c r="E88">
        <v>284190</v>
      </c>
      <c r="G88" t="s">
        <v>63</v>
      </c>
      <c r="H88" t="s">
        <v>63</v>
      </c>
      <c r="I88" t="s">
        <v>78</v>
      </c>
      <c r="J88" t="s">
        <v>69</v>
      </c>
      <c r="K88" t="s">
        <v>33</v>
      </c>
      <c r="L88">
        <v>49000</v>
      </c>
      <c r="M88">
        <v>49000</v>
      </c>
      <c r="O88" s="7">
        <f t="shared" si="10"/>
        <v>58800</v>
      </c>
      <c r="P88" s="7">
        <f>IF(C88="Alta Complejidad",M88,0)</f>
        <v>49000</v>
      </c>
      <c r="Q88" s="8">
        <v>0.2</v>
      </c>
      <c r="R88" s="7">
        <f t="shared" si="11"/>
        <v>58800</v>
      </c>
      <c r="S88" s="8">
        <f>IFERROR(((R88-P88)/R88),0)</f>
        <v>0.16666666666666666</v>
      </c>
      <c r="T88" s="7">
        <v>0</v>
      </c>
      <c r="U88" s="8">
        <v>0</v>
      </c>
      <c r="V88" s="7">
        <f>(T88)+(T88*U88)</f>
        <v>0</v>
      </c>
      <c r="W88" s="8">
        <f>IFERROR(((V88-T88)/V88),0)</f>
        <v>0</v>
      </c>
      <c r="X88" s="7">
        <f>IF(C88="Baja Complejidad",M88,0)</f>
        <v>0</v>
      </c>
      <c r="Y88" s="8">
        <v>0</v>
      </c>
      <c r="Z88" s="7">
        <f>(X88)+(X88*Y88)</f>
        <v>0</v>
      </c>
      <c r="AA88" s="8">
        <f>IFERROR(((Z88-X88)/Z88),0)</f>
        <v>0</v>
      </c>
      <c r="AB88" s="8">
        <v>0.1</v>
      </c>
    </row>
    <row r="89" spans="1:28" x14ac:dyDescent="0.25">
      <c r="A89">
        <v>2026</v>
      </c>
      <c r="B89" t="s">
        <v>55</v>
      </c>
      <c r="C89" t="s">
        <v>29</v>
      </c>
      <c r="D89" t="s">
        <v>30</v>
      </c>
      <c r="E89">
        <v>284390</v>
      </c>
      <c r="G89" t="s">
        <v>63</v>
      </c>
      <c r="H89" t="s">
        <v>63</v>
      </c>
      <c r="I89" t="s">
        <v>79</v>
      </c>
      <c r="J89" t="s">
        <v>66</v>
      </c>
      <c r="K89" t="s">
        <v>33</v>
      </c>
      <c r="L89">
        <v>224100</v>
      </c>
      <c r="M89">
        <v>224100</v>
      </c>
      <c r="O89" s="7">
        <f t="shared" si="10"/>
        <v>268920</v>
      </c>
      <c r="P89" s="7">
        <f>IF(C89="Alta Complejidad",M89,0)</f>
        <v>224100</v>
      </c>
      <c r="Q89" s="8">
        <v>0.2</v>
      </c>
      <c r="R89" s="7">
        <f t="shared" si="11"/>
        <v>268920</v>
      </c>
      <c r="S89" s="8">
        <f>IFERROR(((R89-P89)/R89),0)</f>
        <v>0.16666666666666666</v>
      </c>
      <c r="T89" s="7">
        <v>0</v>
      </c>
      <c r="U89" s="8">
        <v>0</v>
      </c>
      <c r="V89" s="7">
        <f>(T89)+(T89*U89)</f>
        <v>0</v>
      </c>
      <c r="W89" s="8">
        <f>IFERROR(((V89-T89)/V89),0)</f>
        <v>0</v>
      </c>
      <c r="X89" s="7">
        <f>IF(C89="Baja Complejidad",M89,0)</f>
        <v>0</v>
      </c>
      <c r="Y89" s="8">
        <v>0</v>
      </c>
      <c r="Z89" s="7">
        <f>(X89)+(X89*Y89)</f>
        <v>0</v>
      </c>
      <c r="AA89" s="8">
        <f>IFERROR(((Z89-X89)/Z89),0)</f>
        <v>0</v>
      </c>
      <c r="AB89" s="8">
        <v>0.1</v>
      </c>
    </row>
    <row r="90" spans="1:28" x14ac:dyDescent="0.25">
      <c r="A90">
        <v>2026</v>
      </c>
      <c r="B90" t="s">
        <v>55</v>
      </c>
      <c r="C90" t="s">
        <v>29</v>
      </c>
      <c r="D90" t="s">
        <v>30</v>
      </c>
      <c r="E90">
        <v>287100</v>
      </c>
      <c r="G90" t="s">
        <v>63</v>
      </c>
      <c r="H90" t="s">
        <v>63</v>
      </c>
      <c r="I90" t="s">
        <v>80</v>
      </c>
      <c r="J90" t="s">
        <v>66</v>
      </c>
      <c r="K90" t="s">
        <v>33</v>
      </c>
      <c r="L90">
        <v>38000</v>
      </c>
      <c r="M90">
        <v>38000</v>
      </c>
      <c r="O90" s="7">
        <f t="shared" si="10"/>
        <v>45600</v>
      </c>
      <c r="P90" s="7">
        <f>IF(C90="Alta Complejidad",M90,0)</f>
        <v>38000</v>
      </c>
      <c r="Q90" s="8">
        <v>0.2</v>
      </c>
      <c r="R90" s="7">
        <f t="shared" si="11"/>
        <v>45600</v>
      </c>
      <c r="S90" s="8">
        <f>IFERROR(((R90-P90)/R90),0)</f>
        <v>0.16666666666666666</v>
      </c>
      <c r="T90" s="7">
        <v>0</v>
      </c>
      <c r="U90" s="8">
        <v>0</v>
      </c>
      <c r="V90" s="7">
        <f>(T90)+(T90*U90)</f>
        <v>0</v>
      </c>
      <c r="W90" s="8">
        <f>IFERROR(((V90-T90)/V90),0)</f>
        <v>0</v>
      </c>
      <c r="X90" s="7">
        <f>IF(C90="Baja Complejidad",M90,0)</f>
        <v>0</v>
      </c>
      <c r="Y90" s="8">
        <v>0</v>
      </c>
      <c r="Z90" s="7">
        <f>(X90)+(X90*Y90)</f>
        <v>0</v>
      </c>
      <c r="AA90" s="8">
        <f>IFERROR(((Z90-X90)/Z90),0)</f>
        <v>0</v>
      </c>
      <c r="AB90" s="8">
        <v>0.1</v>
      </c>
    </row>
    <row r="91" spans="1:28" x14ac:dyDescent="0.25">
      <c r="A91">
        <v>2026</v>
      </c>
      <c r="B91" t="s">
        <v>55</v>
      </c>
      <c r="C91" t="s">
        <v>29</v>
      </c>
      <c r="D91" t="s">
        <v>30</v>
      </c>
      <c r="E91">
        <v>287200</v>
      </c>
      <c r="G91" t="s">
        <v>63</v>
      </c>
      <c r="H91" t="s">
        <v>63</v>
      </c>
      <c r="I91" t="s">
        <v>81</v>
      </c>
      <c r="J91" t="s">
        <v>66</v>
      </c>
      <c r="K91" t="s">
        <v>33</v>
      </c>
      <c r="L91">
        <v>39800</v>
      </c>
      <c r="M91">
        <v>39800</v>
      </c>
      <c r="O91" s="7">
        <f t="shared" si="10"/>
        <v>47760</v>
      </c>
      <c r="P91" s="7">
        <f>IF(C91="Alta Complejidad",M91,0)</f>
        <v>39800</v>
      </c>
      <c r="Q91" s="8">
        <v>0.2</v>
      </c>
      <c r="R91" s="7">
        <f t="shared" si="11"/>
        <v>47760</v>
      </c>
      <c r="S91" s="8">
        <f>IFERROR(((R91-P91)/R91),0)</f>
        <v>0.16666666666666666</v>
      </c>
      <c r="T91" s="7">
        <v>0</v>
      </c>
      <c r="U91" s="8">
        <v>0</v>
      </c>
      <c r="V91" s="7">
        <f>(T91)+(T91*U91)</f>
        <v>0</v>
      </c>
      <c r="W91" s="8">
        <f>IFERROR(((V91-T91)/V91),0)</f>
        <v>0</v>
      </c>
      <c r="X91" s="7">
        <f>IF(C91="Baja Complejidad",M91,0)</f>
        <v>0</v>
      </c>
      <c r="Y91" s="8">
        <v>0</v>
      </c>
      <c r="Z91" s="7">
        <f>(X91)+(X91*Y91)</f>
        <v>0</v>
      </c>
      <c r="AA91" s="8">
        <f>IFERROR(((Z91-X91)/Z91),0)</f>
        <v>0</v>
      </c>
      <c r="AB91" s="8">
        <v>0.1</v>
      </c>
    </row>
    <row r="92" spans="1:28" x14ac:dyDescent="0.25">
      <c r="A92">
        <v>2026</v>
      </c>
      <c r="B92" t="s">
        <v>56</v>
      </c>
      <c r="C92" t="s">
        <v>29</v>
      </c>
      <c r="D92" t="s">
        <v>30</v>
      </c>
      <c r="E92">
        <v>360001</v>
      </c>
      <c r="G92" t="s">
        <v>63</v>
      </c>
      <c r="H92" t="s">
        <v>63</v>
      </c>
      <c r="I92" t="s">
        <v>65</v>
      </c>
      <c r="J92" t="s">
        <v>66</v>
      </c>
      <c r="K92" t="s">
        <v>33</v>
      </c>
      <c r="L92">
        <v>28800</v>
      </c>
      <c r="M92">
        <v>28800</v>
      </c>
      <c r="O92" s="7">
        <f>R92</f>
        <v>34560</v>
      </c>
      <c r="P92" s="7">
        <f>IF(C92="Alta Complejidad",M92,0)</f>
        <v>28800</v>
      </c>
      <c r="Q92" s="8">
        <v>0.2</v>
      </c>
      <c r="R92" s="7">
        <f>P92+(P92*Q92)</f>
        <v>34560</v>
      </c>
      <c r="S92" s="8">
        <f>IFERROR(((R92-P92)/R92),0)</f>
        <v>0.16666666666666666</v>
      </c>
      <c r="T92" s="7">
        <v>0</v>
      </c>
      <c r="U92" s="8">
        <v>0</v>
      </c>
      <c r="V92" s="7">
        <f>(T92)+(T92*U92)</f>
        <v>0</v>
      </c>
      <c r="W92" s="8">
        <f>IFERROR(((V92-T92)/V92),0)</f>
        <v>0</v>
      </c>
      <c r="X92" s="7">
        <f>IF(C92="Baja Complejidad",M92,0)</f>
        <v>0</v>
      </c>
      <c r="Y92" s="8">
        <v>0</v>
      </c>
      <c r="Z92" s="7">
        <f>(X92)+(X92*Y92)</f>
        <v>0</v>
      </c>
      <c r="AA92" s="8">
        <f>IFERROR(((Z92-X92)/Z92),0)</f>
        <v>0</v>
      </c>
      <c r="AB92" s="8">
        <v>0.1</v>
      </c>
    </row>
    <row r="93" spans="1:28" x14ac:dyDescent="0.25">
      <c r="A93">
        <v>2026</v>
      </c>
      <c r="B93" t="s">
        <v>56</v>
      </c>
      <c r="C93" t="s">
        <v>29</v>
      </c>
      <c r="D93" t="s">
        <v>30</v>
      </c>
      <c r="E93">
        <v>709900</v>
      </c>
      <c r="G93" t="s">
        <v>63</v>
      </c>
      <c r="H93" t="s">
        <v>63</v>
      </c>
      <c r="I93" t="s">
        <v>67</v>
      </c>
      <c r="J93" t="s">
        <v>66</v>
      </c>
      <c r="K93" t="s">
        <v>33</v>
      </c>
      <c r="L93">
        <v>36700</v>
      </c>
      <c r="M93">
        <v>36700</v>
      </c>
      <c r="O93" s="7">
        <f t="shared" ref="O93:O106" si="12">R93</f>
        <v>44040</v>
      </c>
      <c r="P93" s="7">
        <f>IF(C93="Alta Complejidad",M93,0)</f>
        <v>36700</v>
      </c>
      <c r="Q93" s="8">
        <v>0.2</v>
      </c>
      <c r="R93" s="7">
        <f t="shared" ref="R93:R106" si="13">P93+(P93*Q93)</f>
        <v>44040</v>
      </c>
      <c r="S93" s="8">
        <f>IFERROR(((R93-P93)/R93),0)</f>
        <v>0.16666666666666666</v>
      </c>
      <c r="T93" s="7">
        <v>0</v>
      </c>
      <c r="U93" s="8">
        <v>0</v>
      </c>
      <c r="V93" s="7">
        <f>(T93)+(T93*U93)</f>
        <v>0</v>
      </c>
      <c r="W93" s="8">
        <f>IFERROR(((V93-T93)/V93),0)</f>
        <v>0</v>
      </c>
      <c r="X93" s="7">
        <f>IF(C93="Baja Complejidad",M93,0)</f>
        <v>0</v>
      </c>
      <c r="Y93" s="8">
        <v>0</v>
      </c>
      <c r="Z93" s="7">
        <f>(X93)+(X93*Y93)</f>
        <v>0</v>
      </c>
      <c r="AA93" s="8">
        <f>IFERROR(((Z93-X93)/Z93),0)</f>
        <v>0</v>
      </c>
      <c r="AB93" s="8">
        <v>0.1</v>
      </c>
    </row>
    <row r="94" spans="1:28" x14ac:dyDescent="0.25">
      <c r="A94">
        <v>2026</v>
      </c>
      <c r="B94" t="s">
        <v>56</v>
      </c>
      <c r="C94" t="s">
        <v>29</v>
      </c>
      <c r="D94" t="s">
        <v>30</v>
      </c>
      <c r="E94">
        <v>709902</v>
      </c>
      <c r="G94" t="s">
        <v>63</v>
      </c>
      <c r="H94" t="s">
        <v>63</v>
      </c>
      <c r="I94" t="s">
        <v>68</v>
      </c>
      <c r="J94" t="s">
        <v>69</v>
      </c>
      <c r="K94" t="s">
        <v>33</v>
      </c>
      <c r="L94">
        <v>28000</v>
      </c>
      <c r="M94">
        <v>28000</v>
      </c>
      <c r="O94" s="7">
        <f t="shared" si="12"/>
        <v>33600</v>
      </c>
      <c r="P94" s="7">
        <f>IF(C94="Alta Complejidad",M94,0)</f>
        <v>28000</v>
      </c>
      <c r="Q94" s="8">
        <v>0.2</v>
      </c>
      <c r="R94" s="7">
        <f t="shared" si="13"/>
        <v>33600</v>
      </c>
      <c r="S94" s="8">
        <f>IFERROR(((R94-P94)/R94),0)</f>
        <v>0.16666666666666666</v>
      </c>
      <c r="T94" s="7">
        <v>0</v>
      </c>
      <c r="U94" s="8">
        <v>0</v>
      </c>
      <c r="V94" s="7">
        <f>(T94)+(T94*U94)</f>
        <v>0</v>
      </c>
      <c r="W94" s="8">
        <f>IFERROR(((V94-T94)/V94),0)</f>
        <v>0</v>
      </c>
      <c r="X94" s="7">
        <f>IF(C94="Baja Complejidad",M94,0)</f>
        <v>0</v>
      </c>
      <c r="Y94" s="8">
        <v>0</v>
      </c>
      <c r="Z94" s="7">
        <f>(X94)+(X94*Y94)</f>
        <v>0</v>
      </c>
      <c r="AA94" s="8">
        <f>IFERROR(((Z94-X94)/Z94),0)</f>
        <v>0</v>
      </c>
      <c r="AB94" s="8">
        <v>0.1</v>
      </c>
    </row>
    <row r="95" spans="1:28" x14ac:dyDescent="0.25">
      <c r="A95">
        <v>2026</v>
      </c>
      <c r="B95" t="s">
        <v>56</v>
      </c>
      <c r="C95" t="s">
        <v>29</v>
      </c>
      <c r="D95" t="s">
        <v>30</v>
      </c>
      <c r="E95">
        <v>709903</v>
      </c>
      <c r="G95" t="s">
        <v>63</v>
      </c>
      <c r="H95" t="s">
        <v>63</v>
      </c>
      <c r="I95" t="s">
        <v>70</v>
      </c>
      <c r="J95" t="s">
        <v>69</v>
      </c>
      <c r="K95" t="s">
        <v>33</v>
      </c>
      <c r="L95">
        <v>36700</v>
      </c>
      <c r="M95">
        <v>36700</v>
      </c>
      <c r="O95" s="7">
        <f t="shared" si="12"/>
        <v>44040</v>
      </c>
      <c r="P95" s="7">
        <f>IF(C95="Alta Complejidad",M95,0)</f>
        <v>36700</v>
      </c>
      <c r="Q95" s="8">
        <v>0.2</v>
      </c>
      <c r="R95" s="7">
        <f t="shared" si="13"/>
        <v>44040</v>
      </c>
      <c r="S95" s="8">
        <f>IFERROR(((R95-P95)/R95),0)</f>
        <v>0.16666666666666666</v>
      </c>
      <c r="T95" s="7">
        <v>0</v>
      </c>
      <c r="U95" s="8">
        <v>0</v>
      </c>
      <c r="V95" s="7">
        <f>(T95)+(T95*U95)</f>
        <v>0</v>
      </c>
      <c r="W95" s="8">
        <f>IFERROR(((V95-T95)/V95),0)</f>
        <v>0</v>
      </c>
      <c r="X95" s="7">
        <f>IF(C95="Baja Complejidad",M95,0)</f>
        <v>0</v>
      </c>
      <c r="Y95" s="8">
        <v>0</v>
      </c>
      <c r="Z95" s="7">
        <f>(X95)+(X95*Y95)</f>
        <v>0</v>
      </c>
      <c r="AA95" s="8">
        <f>IFERROR(((Z95-X95)/Z95),0)</f>
        <v>0</v>
      </c>
      <c r="AB95" s="8">
        <v>0.1</v>
      </c>
    </row>
    <row r="96" spans="1:28" x14ac:dyDescent="0.25">
      <c r="A96">
        <v>2026</v>
      </c>
      <c r="B96" t="s">
        <v>56</v>
      </c>
      <c r="C96" t="s">
        <v>29</v>
      </c>
      <c r="D96" t="s">
        <v>30</v>
      </c>
      <c r="E96">
        <v>603421</v>
      </c>
      <c r="G96" t="s">
        <v>63</v>
      </c>
      <c r="H96" t="s">
        <v>63</v>
      </c>
      <c r="I96" t="s">
        <v>71</v>
      </c>
      <c r="J96" t="s">
        <v>69</v>
      </c>
      <c r="K96" t="s">
        <v>33</v>
      </c>
      <c r="L96">
        <v>21900</v>
      </c>
      <c r="M96">
        <v>21900</v>
      </c>
      <c r="O96" s="7">
        <f t="shared" si="12"/>
        <v>26280</v>
      </c>
      <c r="P96" s="7">
        <f>IF(C96="Alta Complejidad",M96,0)</f>
        <v>21900</v>
      </c>
      <c r="Q96" s="8">
        <v>0.2</v>
      </c>
      <c r="R96" s="7">
        <f t="shared" si="13"/>
        <v>26280</v>
      </c>
      <c r="S96" s="8">
        <f>IFERROR(((R96-P96)/R96),0)</f>
        <v>0.16666666666666666</v>
      </c>
      <c r="T96" s="7">
        <v>0</v>
      </c>
      <c r="U96" s="8">
        <v>0</v>
      </c>
      <c r="V96" s="7">
        <f>(T96)+(T96*U96)</f>
        <v>0</v>
      </c>
      <c r="W96" s="8">
        <f>IFERROR(((V96-T96)/V96),0)</f>
        <v>0</v>
      </c>
      <c r="X96" s="7">
        <f>IF(C96="Baja Complejidad",M96,0)</f>
        <v>0</v>
      </c>
      <c r="Y96" s="8">
        <v>0</v>
      </c>
      <c r="Z96" s="7">
        <f>(X96)+(X96*Y96)</f>
        <v>0</v>
      </c>
      <c r="AA96" s="8">
        <f>IFERROR(((Z96-X96)/Z96),0)</f>
        <v>0</v>
      </c>
      <c r="AB96" s="8">
        <v>0.1</v>
      </c>
    </row>
    <row r="97" spans="1:28" x14ac:dyDescent="0.25">
      <c r="A97">
        <v>2026</v>
      </c>
      <c r="B97" t="s">
        <v>56</v>
      </c>
      <c r="C97" t="s">
        <v>29</v>
      </c>
      <c r="D97" t="s">
        <v>30</v>
      </c>
      <c r="E97">
        <v>603422</v>
      </c>
      <c r="G97" t="s">
        <v>63</v>
      </c>
      <c r="H97" t="s">
        <v>63</v>
      </c>
      <c r="I97" t="s">
        <v>72</v>
      </c>
      <c r="J97" t="s">
        <v>69</v>
      </c>
      <c r="K97" t="s">
        <v>33</v>
      </c>
      <c r="L97">
        <v>114900</v>
      </c>
      <c r="M97">
        <v>114900</v>
      </c>
      <c r="O97" s="7">
        <f t="shared" si="12"/>
        <v>137880</v>
      </c>
      <c r="P97" s="7">
        <f>IF(C97="Alta Complejidad",M97,0)</f>
        <v>114900</v>
      </c>
      <c r="Q97" s="8">
        <v>0.2</v>
      </c>
      <c r="R97" s="7">
        <f t="shared" si="13"/>
        <v>137880</v>
      </c>
      <c r="S97" s="8">
        <f>IFERROR(((R97-P97)/R97),0)</f>
        <v>0.16666666666666666</v>
      </c>
      <c r="T97" s="7">
        <v>0</v>
      </c>
      <c r="U97" s="8">
        <v>0</v>
      </c>
      <c r="V97" s="7">
        <f>(T97)+(T97*U97)</f>
        <v>0</v>
      </c>
      <c r="W97" s="8">
        <f>IFERROR(((V97-T97)/V97),0)</f>
        <v>0</v>
      </c>
      <c r="X97" s="7">
        <f>IF(C97="Baja Complejidad",M97,0)</f>
        <v>0</v>
      </c>
      <c r="Y97" s="8">
        <v>0</v>
      </c>
      <c r="Z97" s="7">
        <f>(X97)+(X97*Y97)</f>
        <v>0</v>
      </c>
      <c r="AA97" s="8">
        <f>IFERROR(((Z97-X97)/Z97),0)</f>
        <v>0</v>
      </c>
      <c r="AB97" s="8">
        <v>0.1</v>
      </c>
    </row>
    <row r="98" spans="1:28" x14ac:dyDescent="0.25">
      <c r="A98">
        <v>2026</v>
      </c>
      <c r="B98" t="s">
        <v>56</v>
      </c>
      <c r="C98" t="s">
        <v>29</v>
      </c>
      <c r="D98" t="s">
        <v>30</v>
      </c>
      <c r="E98">
        <v>603423</v>
      </c>
      <c r="G98" t="s">
        <v>63</v>
      </c>
      <c r="H98" t="s">
        <v>63</v>
      </c>
      <c r="I98" t="s">
        <v>73</v>
      </c>
      <c r="J98" t="s">
        <v>69</v>
      </c>
      <c r="K98" t="s">
        <v>33</v>
      </c>
      <c r="L98">
        <v>28000</v>
      </c>
      <c r="M98">
        <v>28000</v>
      </c>
      <c r="O98" s="7">
        <f t="shared" si="12"/>
        <v>33600</v>
      </c>
      <c r="P98" s="7">
        <f>IF(C98="Alta Complejidad",M98,0)</f>
        <v>28000</v>
      </c>
      <c r="Q98" s="8">
        <v>0.2</v>
      </c>
      <c r="R98" s="7">
        <f t="shared" si="13"/>
        <v>33600</v>
      </c>
      <c r="S98" s="8">
        <f>IFERROR(((R98-P98)/R98),0)</f>
        <v>0.16666666666666666</v>
      </c>
      <c r="T98" s="7">
        <v>0</v>
      </c>
      <c r="U98" s="8">
        <v>0</v>
      </c>
      <c r="V98" s="7">
        <f>(T98)+(T98*U98)</f>
        <v>0</v>
      </c>
      <c r="W98" s="8">
        <f>IFERROR(((V98-T98)/V98),0)</f>
        <v>0</v>
      </c>
      <c r="X98" s="7">
        <f>IF(C98="Baja Complejidad",M98,0)</f>
        <v>0</v>
      </c>
      <c r="Y98" s="8">
        <v>0</v>
      </c>
      <c r="Z98" s="7">
        <f>(X98)+(X98*Y98)</f>
        <v>0</v>
      </c>
      <c r="AA98" s="8">
        <f>IFERROR(((Z98-X98)/Z98),0)</f>
        <v>0</v>
      </c>
      <c r="AB98" s="8">
        <v>0.1</v>
      </c>
    </row>
    <row r="99" spans="1:28" x14ac:dyDescent="0.25">
      <c r="A99">
        <v>2026</v>
      </c>
      <c r="B99" t="s">
        <v>56</v>
      </c>
      <c r="C99" t="s">
        <v>29</v>
      </c>
      <c r="D99" t="s">
        <v>30</v>
      </c>
      <c r="E99">
        <v>294199</v>
      </c>
      <c r="G99" t="s">
        <v>63</v>
      </c>
      <c r="H99" t="s">
        <v>63</v>
      </c>
      <c r="I99" t="s">
        <v>74</v>
      </c>
      <c r="J99" t="s">
        <v>69</v>
      </c>
      <c r="K99" t="s">
        <v>33</v>
      </c>
      <c r="L99">
        <v>49200</v>
      </c>
      <c r="M99">
        <v>49200</v>
      </c>
      <c r="O99" s="7">
        <f t="shared" si="12"/>
        <v>59040</v>
      </c>
      <c r="P99" s="7">
        <f>IF(C99="Alta Complejidad",M99,0)</f>
        <v>49200</v>
      </c>
      <c r="Q99" s="8">
        <v>0.2</v>
      </c>
      <c r="R99" s="7">
        <f t="shared" si="13"/>
        <v>59040</v>
      </c>
      <c r="S99" s="8">
        <f>IFERROR(((R99-P99)/R99),0)</f>
        <v>0.16666666666666666</v>
      </c>
      <c r="T99" s="7">
        <v>0</v>
      </c>
      <c r="U99" s="8">
        <v>0</v>
      </c>
      <c r="V99" s="7">
        <f>(T99)+(T99*U99)</f>
        <v>0</v>
      </c>
      <c r="W99" s="8">
        <f>IFERROR(((V99-T99)/V99),0)</f>
        <v>0</v>
      </c>
      <c r="X99" s="7">
        <f>IF(C99="Baja Complejidad",M99,0)</f>
        <v>0</v>
      </c>
      <c r="Y99" s="8">
        <v>0</v>
      </c>
      <c r="Z99" s="7">
        <f>(X99)+(X99*Y99)</f>
        <v>0</v>
      </c>
      <c r="AA99" s="8">
        <f>IFERROR(((Z99-X99)/Z99),0)</f>
        <v>0</v>
      </c>
      <c r="AB99" s="8">
        <v>0.1</v>
      </c>
    </row>
    <row r="100" spans="1:28" x14ac:dyDescent="0.25">
      <c r="A100">
        <v>2026</v>
      </c>
      <c r="B100" t="s">
        <v>56</v>
      </c>
      <c r="C100" t="s">
        <v>29</v>
      </c>
      <c r="D100" t="s">
        <v>30</v>
      </c>
      <c r="E100">
        <v>294299</v>
      </c>
      <c r="G100" t="s">
        <v>63</v>
      </c>
      <c r="H100" t="s">
        <v>63</v>
      </c>
      <c r="I100" t="s">
        <v>75</v>
      </c>
      <c r="J100" t="s">
        <v>69</v>
      </c>
      <c r="K100" t="s">
        <v>33</v>
      </c>
      <c r="L100">
        <v>141600</v>
      </c>
      <c r="M100">
        <v>141600</v>
      </c>
      <c r="O100" s="7">
        <f t="shared" si="12"/>
        <v>169920</v>
      </c>
      <c r="P100" s="7">
        <f>IF(C100="Alta Complejidad",M100,0)</f>
        <v>141600</v>
      </c>
      <c r="Q100" s="8">
        <v>0.2</v>
      </c>
      <c r="R100" s="7">
        <f t="shared" si="13"/>
        <v>169920</v>
      </c>
      <c r="S100" s="8">
        <f>IFERROR(((R100-P100)/R100),0)</f>
        <v>0.16666666666666666</v>
      </c>
      <c r="T100" s="7">
        <v>0</v>
      </c>
      <c r="U100" s="8">
        <v>0</v>
      </c>
      <c r="V100" s="7">
        <f>(T100)+(T100*U100)</f>
        <v>0</v>
      </c>
      <c r="W100" s="8">
        <f>IFERROR(((V100-T100)/V100),0)</f>
        <v>0</v>
      </c>
      <c r="X100" s="7">
        <f>IF(C100="Baja Complejidad",M100,0)</f>
        <v>0</v>
      </c>
      <c r="Y100" s="8">
        <v>0</v>
      </c>
      <c r="Z100" s="7">
        <f>(X100)+(X100*Y100)</f>
        <v>0</v>
      </c>
      <c r="AA100" s="8">
        <f>IFERROR(((Z100-X100)/Z100),0)</f>
        <v>0</v>
      </c>
      <c r="AB100" s="8">
        <v>0.1</v>
      </c>
    </row>
    <row r="101" spans="1:28" x14ac:dyDescent="0.25">
      <c r="A101">
        <v>2026</v>
      </c>
      <c r="B101" t="s">
        <v>56</v>
      </c>
      <c r="C101" t="s">
        <v>29</v>
      </c>
      <c r="D101" t="s">
        <v>30</v>
      </c>
      <c r="E101">
        <v>294399</v>
      </c>
      <c r="G101" t="s">
        <v>63</v>
      </c>
      <c r="H101" t="s">
        <v>63</v>
      </c>
      <c r="I101" t="s">
        <v>76</v>
      </c>
      <c r="J101" t="s">
        <v>69</v>
      </c>
      <c r="K101" t="s">
        <v>33</v>
      </c>
      <c r="L101">
        <v>174700</v>
      </c>
      <c r="M101">
        <v>174700</v>
      </c>
      <c r="O101" s="7">
        <f t="shared" si="12"/>
        <v>209640</v>
      </c>
      <c r="P101" s="7">
        <f>IF(C101="Alta Complejidad",M101,0)</f>
        <v>174700</v>
      </c>
      <c r="Q101" s="8">
        <v>0.2</v>
      </c>
      <c r="R101" s="7">
        <f t="shared" si="13"/>
        <v>209640</v>
      </c>
      <c r="S101" s="8">
        <f>IFERROR(((R101-P101)/R101),0)</f>
        <v>0.16666666666666666</v>
      </c>
      <c r="T101" s="7">
        <v>0</v>
      </c>
      <c r="U101" s="8">
        <v>0</v>
      </c>
      <c r="V101" s="7">
        <f>(T101)+(T101*U101)</f>
        <v>0</v>
      </c>
      <c r="W101" s="8">
        <f>IFERROR(((V101-T101)/V101),0)</f>
        <v>0</v>
      </c>
      <c r="X101" s="7">
        <f>IF(C101="Baja Complejidad",M101,0)</f>
        <v>0</v>
      </c>
      <c r="Y101" s="8">
        <v>0</v>
      </c>
      <c r="Z101" s="7">
        <f>(X101)+(X101*Y101)</f>
        <v>0</v>
      </c>
      <c r="AA101" s="8">
        <f>IFERROR(((Z101-X101)/Z101),0)</f>
        <v>0</v>
      </c>
      <c r="AB101" s="8">
        <v>0.1</v>
      </c>
    </row>
    <row r="102" spans="1:28" x14ac:dyDescent="0.25">
      <c r="A102">
        <v>2026</v>
      </c>
      <c r="B102" t="s">
        <v>56</v>
      </c>
      <c r="C102" t="s">
        <v>29</v>
      </c>
      <c r="D102" t="s">
        <v>30</v>
      </c>
      <c r="E102">
        <v>294499</v>
      </c>
      <c r="G102" t="s">
        <v>63</v>
      </c>
      <c r="H102" t="s">
        <v>63</v>
      </c>
      <c r="I102" t="s">
        <v>77</v>
      </c>
      <c r="J102" t="s">
        <v>69</v>
      </c>
      <c r="K102" t="s">
        <v>33</v>
      </c>
      <c r="L102">
        <v>204000</v>
      </c>
      <c r="M102">
        <v>204000</v>
      </c>
      <c r="O102" s="7">
        <f t="shared" si="12"/>
        <v>244800</v>
      </c>
      <c r="P102" s="7">
        <f>IF(C102="Alta Complejidad",M102,0)</f>
        <v>204000</v>
      </c>
      <c r="Q102" s="8">
        <v>0.2</v>
      </c>
      <c r="R102" s="7">
        <f t="shared" si="13"/>
        <v>244800</v>
      </c>
      <c r="S102" s="8">
        <f>IFERROR(((R102-P102)/R102),0)</f>
        <v>0.16666666666666666</v>
      </c>
      <c r="T102" s="7">
        <v>0</v>
      </c>
      <c r="U102" s="8">
        <v>0</v>
      </c>
      <c r="V102" s="7">
        <f>(T102)+(T102*U102)</f>
        <v>0</v>
      </c>
      <c r="W102" s="8">
        <f>IFERROR(((V102-T102)/V102),0)</f>
        <v>0</v>
      </c>
      <c r="X102" s="7">
        <f>IF(C102="Baja Complejidad",M102,0)</f>
        <v>0</v>
      </c>
      <c r="Y102" s="8">
        <v>0</v>
      </c>
      <c r="Z102" s="7">
        <f>(X102)+(X102*Y102)</f>
        <v>0</v>
      </c>
      <c r="AA102" s="8">
        <f>IFERROR(((Z102-X102)/Z102),0)</f>
        <v>0</v>
      </c>
      <c r="AB102" s="8">
        <v>0.1</v>
      </c>
    </row>
    <row r="103" spans="1:28" x14ac:dyDescent="0.25">
      <c r="A103">
        <v>2026</v>
      </c>
      <c r="B103" t="s">
        <v>56</v>
      </c>
      <c r="C103" t="s">
        <v>29</v>
      </c>
      <c r="D103" t="s">
        <v>30</v>
      </c>
      <c r="E103">
        <v>284190</v>
      </c>
      <c r="G103" t="s">
        <v>63</v>
      </c>
      <c r="H103" t="s">
        <v>63</v>
      </c>
      <c r="I103" t="s">
        <v>78</v>
      </c>
      <c r="J103" t="s">
        <v>69</v>
      </c>
      <c r="K103" t="s">
        <v>33</v>
      </c>
      <c r="L103">
        <v>49000</v>
      </c>
      <c r="M103">
        <v>49000</v>
      </c>
      <c r="O103" s="7">
        <f t="shared" si="12"/>
        <v>58800</v>
      </c>
      <c r="P103" s="7">
        <f>IF(C103="Alta Complejidad",M103,0)</f>
        <v>49000</v>
      </c>
      <c r="Q103" s="8">
        <v>0.2</v>
      </c>
      <c r="R103" s="7">
        <f t="shared" si="13"/>
        <v>58800</v>
      </c>
      <c r="S103" s="8">
        <f>IFERROR(((R103-P103)/R103),0)</f>
        <v>0.16666666666666666</v>
      </c>
      <c r="T103" s="7">
        <v>0</v>
      </c>
      <c r="U103" s="8">
        <v>0</v>
      </c>
      <c r="V103" s="7">
        <f>(T103)+(T103*U103)</f>
        <v>0</v>
      </c>
      <c r="W103" s="8">
        <f>IFERROR(((V103-T103)/V103),0)</f>
        <v>0</v>
      </c>
      <c r="X103" s="7">
        <f>IF(C103="Baja Complejidad",M103,0)</f>
        <v>0</v>
      </c>
      <c r="Y103" s="8">
        <v>0</v>
      </c>
      <c r="Z103" s="7">
        <f>(X103)+(X103*Y103)</f>
        <v>0</v>
      </c>
      <c r="AA103" s="8">
        <f>IFERROR(((Z103-X103)/Z103),0)</f>
        <v>0</v>
      </c>
      <c r="AB103" s="8">
        <v>0.1</v>
      </c>
    </row>
    <row r="104" spans="1:28" x14ac:dyDescent="0.25">
      <c r="A104">
        <v>2026</v>
      </c>
      <c r="B104" t="s">
        <v>56</v>
      </c>
      <c r="C104" t="s">
        <v>29</v>
      </c>
      <c r="D104" t="s">
        <v>30</v>
      </c>
      <c r="E104">
        <v>284390</v>
      </c>
      <c r="G104" t="s">
        <v>63</v>
      </c>
      <c r="H104" t="s">
        <v>63</v>
      </c>
      <c r="I104" t="s">
        <v>79</v>
      </c>
      <c r="J104" t="s">
        <v>66</v>
      </c>
      <c r="K104" t="s">
        <v>33</v>
      </c>
      <c r="L104">
        <v>224100</v>
      </c>
      <c r="M104">
        <v>224100</v>
      </c>
      <c r="O104" s="7">
        <f t="shared" si="12"/>
        <v>268920</v>
      </c>
      <c r="P104" s="7">
        <f>IF(C104="Alta Complejidad",M104,0)</f>
        <v>224100</v>
      </c>
      <c r="Q104" s="8">
        <v>0.2</v>
      </c>
      <c r="R104" s="7">
        <f t="shared" si="13"/>
        <v>268920</v>
      </c>
      <c r="S104" s="8">
        <f>IFERROR(((R104-P104)/R104),0)</f>
        <v>0.16666666666666666</v>
      </c>
      <c r="T104" s="7">
        <v>0</v>
      </c>
      <c r="U104" s="8">
        <v>0</v>
      </c>
      <c r="V104" s="7">
        <f>(T104)+(T104*U104)</f>
        <v>0</v>
      </c>
      <c r="W104" s="8">
        <f>IFERROR(((V104-T104)/V104),0)</f>
        <v>0</v>
      </c>
      <c r="X104" s="7">
        <f>IF(C104="Baja Complejidad",M104,0)</f>
        <v>0</v>
      </c>
      <c r="Y104" s="8">
        <v>0</v>
      </c>
      <c r="Z104" s="7">
        <f>(X104)+(X104*Y104)</f>
        <v>0</v>
      </c>
      <c r="AA104" s="8">
        <f>IFERROR(((Z104-X104)/Z104),0)</f>
        <v>0</v>
      </c>
      <c r="AB104" s="8">
        <v>0.1</v>
      </c>
    </row>
    <row r="105" spans="1:28" x14ac:dyDescent="0.25">
      <c r="A105">
        <v>2026</v>
      </c>
      <c r="B105" t="s">
        <v>56</v>
      </c>
      <c r="C105" t="s">
        <v>29</v>
      </c>
      <c r="D105" t="s">
        <v>30</v>
      </c>
      <c r="E105">
        <v>287100</v>
      </c>
      <c r="G105" t="s">
        <v>63</v>
      </c>
      <c r="H105" t="s">
        <v>63</v>
      </c>
      <c r="I105" t="s">
        <v>80</v>
      </c>
      <c r="J105" t="s">
        <v>66</v>
      </c>
      <c r="K105" t="s">
        <v>33</v>
      </c>
      <c r="L105">
        <v>38000</v>
      </c>
      <c r="M105">
        <v>38000</v>
      </c>
      <c r="O105" s="7">
        <f t="shared" si="12"/>
        <v>45600</v>
      </c>
      <c r="P105" s="7">
        <f>IF(C105="Alta Complejidad",M105,0)</f>
        <v>38000</v>
      </c>
      <c r="Q105" s="8">
        <v>0.2</v>
      </c>
      <c r="R105" s="7">
        <f t="shared" si="13"/>
        <v>45600</v>
      </c>
      <c r="S105" s="8">
        <f>IFERROR(((R105-P105)/R105),0)</f>
        <v>0.16666666666666666</v>
      </c>
      <c r="T105" s="7">
        <v>0</v>
      </c>
      <c r="U105" s="8">
        <v>0</v>
      </c>
      <c r="V105" s="7">
        <f>(T105)+(T105*U105)</f>
        <v>0</v>
      </c>
      <c r="W105" s="8">
        <f>IFERROR(((V105-T105)/V105),0)</f>
        <v>0</v>
      </c>
      <c r="X105" s="7">
        <f>IF(C105="Baja Complejidad",M105,0)</f>
        <v>0</v>
      </c>
      <c r="Y105" s="8">
        <v>0</v>
      </c>
      <c r="Z105" s="7">
        <f>(X105)+(X105*Y105)</f>
        <v>0</v>
      </c>
      <c r="AA105" s="8">
        <f>IFERROR(((Z105-X105)/Z105),0)</f>
        <v>0</v>
      </c>
      <c r="AB105" s="8">
        <v>0.1</v>
      </c>
    </row>
    <row r="106" spans="1:28" x14ac:dyDescent="0.25">
      <c r="A106">
        <v>2026</v>
      </c>
      <c r="B106" t="s">
        <v>56</v>
      </c>
      <c r="C106" t="s">
        <v>29</v>
      </c>
      <c r="D106" t="s">
        <v>30</v>
      </c>
      <c r="E106">
        <v>287200</v>
      </c>
      <c r="G106" t="s">
        <v>63</v>
      </c>
      <c r="H106" t="s">
        <v>63</v>
      </c>
      <c r="I106" t="s">
        <v>81</v>
      </c>
      <c r="J106" t="s">
        <v>66</v>
      </c>
      <c r="K106" t="s">
        <v>33</v>
      </c>
      <c r="L106">
        <v>39800</v>
      </c>
      <c r="M106">
        <v>39800</v>
      </c>
      <c r="O106" s="7">
        <f t="shared" si="12"/>
        <v>47760</v>
      </c>
      <c r="P106" s="7">
        <f>IF(C106="Alta Complejidad",M106,0)</f>
        <v>39800</v>
      </c>
      <c r="Q106" s="8">
        <v>0.2</v>
      </c>
      <c r="R106" s="7">
        <f t="shared" si="13"/>
        <v>47760</v>
      </c>
      <c r="S106" s="8">
        <f>IFERROR(((R106-P106)/R106),0)</f>
        <v>0.16666666666666666</v>
      </c>
      <c r="T106" s="7">
        <v>0</v>
      </c>
      <c r="U106" s="8">
        <v>0</v>
      </c>
      <c r="V106" s="7">
        <f>(T106)+(T106*U106)</f>
        <v>0</v>
      </c>
      <c r="W106" s="8">
        <f>IFERROR(((V106-T106)/V106),0)</f>
        <v>0</v>
      </c>
      <c r="X106" s="7">
        <f>IF(C106="Baja Complejidad",M106,0)</f>
        <v>0</v>
      </c>
      <c r="Y106" s="8">
        <v>0</v>
      </c>
      <c r="Z106" s="7">
        <f>(X106)+(X106*Y106)</f>
        <v>0</v>
      </c>
      <c r="AA106" s="8">
        <f>IFERROR(((Z106-X106)/Z106),0)</f>
        <v>0</v>
      </c>
      <c r="AB106" s="8">
        <v>0.1</v>
      </c>
    </row>
    <row r="107" spans="1:28" x14ac:dyDescent="0.25">
      <c r="A107">
        <v>2026</v>
      </c>
      <c r="B107" t="s">
        <v>28</v>
      </c>
      <c r="C107" t="s">
        <v>57</v>
      </c>
      <c r="D107" t="s">
        <v>58</v>
      </c>
      <c r="G107" t="s">
        <v>63</v>
      </c>
      <c r="H107" t="s">
        <v>63</v>
      </c>
      <c r="I107" t="s">
        <v>65</v>
      </c>
      <c r="J107" t="s">
        <v>66</v>
      </c>
      <c r="K107" t="s">
        <v>33</v>
      </c>
      <c r="L107">
        <v>28800</v>
      </c>
      <c r="M107" s="7">
        <v>28800</v>
      </c>
      <c r="O107" s="7"/>
      <c r="P107" s="7">
        <v>0</v>
      </c>
      <c r="Q107" s="8">
        <v>0</v>
      </c>
      <c r="R107" s="7">
        <v>0</v>
      </c>
      <c r="S107" s="9">
        <v>0</v>
      </c>
      <c r="T107" s="7">
        <v>0</v>
      </c>
      <c r="U107" s="8">
        <v>0</v>
      </c>
      <c r="V107" s="7">
        <v>0</v>
      </c>
      <c r="W107" s="8">
        <v>0</v>
      </c>
      <c r="X107" s="7">
        <f>M107</f>
        <v>28800</v>
      </c>
      <c r="Y107" s="8">
        <v>0.2</v>
      </c>
      <c r="Z107" s="7">
        <f>X107+(X107*Y107)</f>
        <v>34560</v>
      </c>
      <c r="AA107" s="8">
        <f>IFERROR(((Z107-X107)/Z107),0)</f>
        <v>0.16666666666666666</v>
      </c>
      <c r="AB107" s="8">
        <v>0.1</v>
      </c>
    </row>
    <row r="108" spans="1:28" x14ac:dyDescent="0.25">
      <c r="A108">
        <v>2026</v>
      </c>
      <c r="B108" t="s">
        <v>28</v>
      </c>
      <c r="C108" t="s">
        <v>57</v>
      </c>
      <c r="D108" t="s">
        <v>58</v>
      </c>
      <c r="G108" t="s">
        <v>63</v>
      </c>
      <c r="H108" t="s">
        <v>63</v>
      </c>
      <c r="I108" t="s">
        <v>67</v>
      </c>
      <c r="J108" t="s">
        <v>66</v>
      </c>
      <c r="K108" t="s">
        <v>33</v>
      </c>
      <c r="L108">
        <v>36700</v>
      </c>
      <c r="M108" s="7">
        <v>36700</v>
      </c>
      <c r="O108" s="7"/>
      <c r="P108" s="7">
        <v>0</v>
      </c>
      <c r="Q108" s="8">
        <v>0</v>
      </c>
      <c r="R108" s="7">
        <v>0</v>
      </c>
      <c r="S108" s="9">
        <v>0</v>
      </c>
      <c r="T108" s="7">
        <v>0</v>
      </c>
      <c r="U108" s="8">
        <v>0</v>
      </c>
      <c r="V108" s="7">
        <v>0</v>
      </c>
      <c r="W108" s="8">
        <v>0</v>
      </c>
      <c r="X108" s="7">
        <f>M108</f>
        <v>36700</v>
      </c>
      <c r="Y108" s="8">
        <v>0.2</v>
      </c>
      <c r="Z108" s="7">
        <f t="shared" ref="Z108:Z121" si="14">X108+(X108*Y108)</f>
        <v>44040</v>
      </c>
      <c r="AA108" s="8">
        <f>IFERROR(((Z108-X108)/Z108),0)</f>
        <v>0.16666666666666666</v>
      </c>
      <c r="AB108" s="8">
        <v>0.1</v>
      </c>
    </row>
    <row r="109" spans="1:28" x14ac:dyDescent="0.25">
      <c r="A109">
        <v>2026</v>
      </c>
      <c r="B109" t="s">
        <v>28</v>
      </c>
      <c r="C109" t="s">
        <v>57</v>
      </c>
      <c r="D109" t="s">
        <v>58</v>
      </c>
      <c r="G109" t="s">
        <v>63</v>
      </c>
      <c r="H109" t="s">
        <v>63</v>
      </c>
      <c r="I109" t="s">
        <v>68</v>
      </c>
      <c r="J109" t="s">
        <v>69</v>
      </c>
      <c r="K109" t="s">
        <v>33</v>
      </c>
      <c r="L109">
        <v>28000</v>
      </c>
      <c r="M109" s="7">
        <v>28000</v>
      </c>
      <c r="O109" s="7"/>
      <c r="P109" s="7">
        <v>0</v>
      </c>
      <c r="Q109" s="8">
        <v>0</v>
      </c>
      <c r="R109" s="7">
        <v>0</v>
      </c>
      <c r="S109" s="9">
        <v>0</v>
      </c>
      <c r="T109" s="7">
        <v>0</v>
      </c>
      <c r="U109" s="8">
        <v>0</v>
      </c>
      <c r="V109" s="7">
        <v>0</v>
      </c>
      <c r="W109" s="8">
        <v>0</v>
      </c>
      <c r="X109" s="7">
        <f>M109</f>
        <v>28000</v>
      </c>
      <c r="Y109" s="8">
        <v>0.2</v>
      </c>
      <c r="Z109" s="7">
        <f t="shared" si="14"/>
        <v>33600</v>
      </c>
      <c r="AA109" s="8">
        <f>IFERROR(((Z109-X109)/Z109),0)</f>
        <v>0.16666666666666666</v>
      </c>
      <c r="AB109" s="8">
        <v>0.1</v>
      </c>
    </row>
    <row r="110" spans="1:28" x14ac:dyDescent="0.25">
      <c r="A110">
        <v>2026</v>
      </c>
      <c r="B110" t="s">
        <v>28</v>
      </c>
      <c r="C110" t="s">
        <v>57</v>
      </c>
      <c r="D110" t="s">
        <v>58</v>
      </c>
      <c r="G110" t="s">
        <v>63</v>
      </c>
      <c r="H110" t="s">
        <v>63</v>
      </c>
      <c r="I110" t="s">
        <v>70</v>
      </c>
      <c r="J110" t="s">
        <v>69</v>
      </c>
      <c r="K110" t="s">
        <v>33</v>
      </c>
      <c r="L110">
        <v>36700</v>
      </c>
      <c r="M110" s="7">
        <v>36700</v>
      </c>
      <c r="O110" s="7"/>
      <c r="P110" s="7">
        <v>0</v>
      </c>
      <c r="Q110" s="8">
        <v>0</v>
      </c>
      <c r="R110" s="7">
        <v>0</v>
      </c>
      <c r="S110" s="9">
        <v>0</v>
      </c>
      <c r="T110" s="7">
        <v>0</v>
      </c>
      <c r="U110" s="8">
        <v>0</v>
      </c>
      <c r="V110" s="7">
        <v>0</v>
      </c>
      <c r="W110" s="8">
        <v>0</v>
      </c>
      <c r="X110" s="7">
        <f>M110</f>
        <v>36700</v>
      </c>
      <c r="Y110" s="8">
        <v>0.2</v>
      </c>
      <c r="Z110" s="7">
        <f t="shared" si="14"/>
        <v>44040</v>
      </c>
      <c r="AA110" s="8">
        <f>IFERROR(((Z110-X110)/Z110),0)</f>
        <v>0.16666666666666666</v>
      </c>
      <c r="AB110" s="8">
        <v>0.1</v>
      </c>
    </row>
    <row r="111" spans="1:28" x14ac:dyDescent="0.25">
      <c r="A111">
        <v>2026</v>
      </c>
      <c r="B111" t="s">
        <v>28</v>
      </c>
      <c r="C111" t="s">
        <v>57</v>
      </c>
      <c r="D111" t="s">
        <v>58</v>
      </c>
      <c r="G111" t="s">
        <v>63</v>
      </c>
      <c r="H111" t="s">
        <v>63</v>
      </c>
      <c r="I111" t="s">
        <v>71</v>
      </c>
      <c r="J111" t="s">
        <v>69</v>
      </c>
      <c r="K111" t="s">
        <v>33</v>
      </c>
      <c r="L111">
        <v>21900</v>
      </c>
      <c r="M111" s="7">
        <v>21900</v>
      </c>
      <c r="O111" s="7"/>
      <c r="P111" s="7">
        <v>0</v>
      </c>
      <c r="Q111" s="8">
        <v>0</v>
      </c>
      <c r="R111" s="7">
        <v>0</v>
      </c>
      <c r="S111" s="9">
        <v>0</v>
      </c>
      <c r="T111" s="7">
        <v>0</v>
      </c>
      <c r="U111" s="8">
        <v>0</v>
      </c>
      <c r="V111" s="7">
        <v>0</v>
      </c>
      <c r="W111" s="8">
        <v>0</v>
      </c>
      <c r="X111" s="7">
        <f>M111</f>
        <v>21900</v>
      </c>
      <c r="Y111" s="8">
        <v>0.2</v>
      </c>
      <c r="Z111" s="7">
        <f t="shared" si="14"/>
        <v>26280</v>
      </c>
      <c r="AA111" s="8">
        <f>IFERROR(((Z111-X111)/Z111),0)</f>
        <v>0.16666666666666666</v>
      </c>
      <c r="AB111" s="8">
        <v>0.1</v>
      </c>
    </row>
    <row r="112" spans="1:28" x14ac:dyDescent="0.25">
      <c r="A112">
        <v>2026</v>
      </c>
      <c r="B112" t="s">
        <v>28</v>
      </c>
      <c r="C112" t="s">
        <v>57</v>
      </c>
      <c r="D112" t="s">
        <v>58</v>
      </c>
      <c r="G112" t="s">
        <v>63</v>
      </c>
      <c r="H112" t="s">
        <v>63</v>
      </c>
      <c r="I112" t="s">
        <v>72</v>
      </c>
      <c r="J112" t="s">
        <v>69</v>
      </c>
      <c r="K112" t="s">
        <v>33</v>
      </c>
      <c r="L112">
        <v>114900</v>
      </c>
      <c r="M112" s="7">
        <v>114900</v>
      </c>
      <c r="O112" s="7"/>
      <c r="P112" s="7">
        <v>0</v>
      </c>
      <c r="Q112" s="8">
        <v>0</v>
      </c>
      <c r="R112" s="7">
        <v>0</v>
      </c>
      <c r="S112" s="9">
        <v>0</v>
      </c>
      <c r="T112" s="7">
        <v>0</v>
      </c>
      <c r="U112" s="8">
        <v>0</v>
      </c>
      <c r="V112" s="7">
        <v>0</v>
      </c>
      <c r="W112" s="8">
        <v>0</v>
      </c>
      <c r="X112" s="7">
        <f>M112</f>
        <v>114900</v>
      </c>
      <c r="Y112" s="8">
        <v>0.2</v>
      </c>
      <c r="Z112" s="7">
        <f t="shared" si="14"/>
        <v>137880</v>
      </c>
      <c r="AA112" s="8">
        <f>IFERROR(((Z112-X112)/Z112),0)</f>
        <v>0.16666666666666666</v>
      </c>
      <c r="AB112" s="8">
        <v>0.1</v>
      </c>
    </row>
    <row r="113" spans="1:28" x14ac:dyDescent="0.25">
      <c r="A113">
        <v>2026</v>
      </c>
      <c r="B113" t="s">
        <v>28</v>
      </c>
      <c r="C113" t="s">
        <v>57</v>
      </c>
      <c r="D113" t="s">
        <v>58</v>
      </c>
      <c r="G113" t="s">
        <v>63</v>
      </c>
      <c r="H113" t="s">
        <v>63</v>
      </c>
      <c r="I113" t="s">
        <v>73</v>
      </c>
      <c r="J113" t="s">
        <v>69</v>
      </c>
      <c r="K113" t="s">
        <v>33</v>
      </c>
      <c r="L113">
        <v>28000</v>
      </c>
      <c r="M113" s="7">
        <v>28000</v>
      </c>
      <c r="O113" s="7"/>
      <c r="P113" s="7">
        <v>0</v>
      </c>
      <c r="Q113" s="8">
        <v>0</v>
      </c>
      <c r="R113" s="7">
        <v>0</v>
      </c>
      <c r="S113" s="9">
        <v>0</v>
      </c>
      <c r="T113" s="7">
        <v>0</v>
      </c>
      <c r="U113" s="8">
        <v>0</v>
      </c>
      <c r="V113" s="7">
        <v>0</v>
      </c>
      <c r="W113" s="8">
        <v>0</v>
      </c>
      <c r="X113" s="7">
        <f>M113</f>
        <v>28000</v>
      </c>
      <c r="Y113" s="8">
        <v>0.2</v>
      </c>
      <c r="Z113" s="7">
        <f t="shared" si="14"/>
        <v>33600</v>
      </c>
      <c r="AA113" s="8">
        <f>IFERROR(((Z113-X113)/Z113),0)</f>
        <v>0.16666666666666666</v>
      </c>
      <c r="AB113" s="8">
        <v>0.1</v>
      </c>
    </row>
    <row r="114" spans="1:28" x14ac:dyDescent="0.25">
      <c r="A114">
        <v>2026</v>
      </c>
      <c r="B114" t="s">
        <v>28</v>
      </c>
      <c r="C114" t="s">
        <v>57</v>
      </c>
      <c r="D114" t="s">
        <v>58</v>
      </c>
      <c r="G114" t="s">
        <v>63</v>
      </c>
      <c r="H114" t="s">
        <v>63</v>
      </c>
      <c r="I114" t="s">
        <v>74</v>
      </c>
      <c r="J114" t="s">
        <v>69</v>
      </c>
      <c r="K114" t="s">
        <v>33</v>
      </c>
      <c r="L114">
        <v>49200</v>
      </c>
      <c r="M114" s="7">
        <v>49200</v>
      </c>
      <c r="O114" s="7"/>
      <c r="P114" s="7">
        <v>0</v>
      </c>
      <c r="Q114" s="8">
        <v>0</v>
      </c>
      <c r="R114" s="7">
        <v>0</v>
      </c>
      <c r="S114" s="9">
        <v>0</v>
      </c>
      <c r="T114" s="7">
        <v>0</v>
      </c>
      <c r="U114" s="8">
        <v>0</v>
      </c>
      <c r="V114" s="7">
        <v>0</v>
      </c>
      <c r="W114" s="8">
        <v>0</v>
      </c>
      <c r="X114" s="7">
        <f>M114</f>
        <v>49200</v>
      </c>
      <c r="Y114" s="8">
        <v>0.2</v>
      </c>
      <c r="Z114" s="7">
        <f t="shared" si="14"/>
        <v>59040</v>
      </c>
      <c r="AA114" s="8">
        <f>IFERROR(((Z114-X114)/Z114),0)</f>
        <v>0.16666666666666666</v>
      </c>
      <c r="AB114" s="8">
        <v>0.1</v>
      </c>
    </row>
    <row r="115" spans="1:28" x14ac:dyDescent="0.25">
      <c r="A115">
        <v>2026</v>
      </c>
      <c r="B115" t="s">
        <v>28</v>
      </c>
      <c r="C115" t="s">
        <v>57</v>
      </c>
      <c r="D115" t="s">
        <v>58</v>
      </c>
      <c r="G115" t="s">
        <v>63</v>
      </c>
      <c r="H115" t="s">
        <v>63</v>
      </c>
      <c r="I115" t="s">
        <v>75</v>
      </c>
      <c r="J115" t="s">
        <v>69</v>
      </c>
      <c r="K115" t="s">
        <v>33</v>
      </c>
      <c r="L115">
        <v>141600</v>
      </c>
      <c r="M115" s="7">
        <v>141600</v>
      </c>
      <c r="O115" s="7"/>
      <c r="P115" s="7">
        <v>0</v>
      </c>
      <c r="Q115" s="8">
        <v>0</v>
      </c>
      <c r="R115" s="7">
        <v>0</v>
      </c>
      <c r="S115" s="9">
        <v>0</v>
      </c>
      <c r="T115" s="7">
        <v>0</v>
      </c>
      <c r="U115" s="8">
        <v>0</v>
      </c>
      <c r="V115" s="7">
        <v>0</v>
      </c>
      <c r="W115" s="8">
        <v>0</v>
      </c>
      <c r="X115" s="7">
        <f>M115</f>
        <v>141600</v>
      </c>
      <c r="Y115" s="8">
        <v>0.2</v>
      </c>
      <c r="Z115" s="7">
        <f t="shared" si="14"/>
        <v>169920</v>
      </c>
      <c r="AA115" s="8">
        <f>IFERROR(((Z115-X115)/Z115),0)</f>
        <v>0.16666666666666666</v>
      </c>
      <c r="AB115" s="8">
        <v>0.1</v>
      </c>
    </row>
    <row r="116" spans="1:28" x14ac:dyDescent="0.25">
      <c r="A116">
        <v>2026</v>
      </c>
      <c r="B116" t="s">
        <v>28</v>
      </c>
      <c r="C116" t="s">
        <v>57</v>
      </c>
      <c r="D116" t="s">
        <v>58</v>
      </c>
      <c r="G116" t="s">
        <v>63</v>
      </c>
      <c r="H116" t="s">
        <v>63</v>
      </c>
      <c r="I116" t="s">
        <v>76</v>
      </c>
      <c r="J116" t="s">
        <v>69</v>
      </c>
      <c r="K116" t="s">
        <v>33</v>
      </c>
      <c r="L116">
        <v>174700</v>
      </c>
      <c r="M116" s="7">
        <v>174700</v>
      </c>
      <c r="O116" s="7"/>
      <c r="P116" s="7">
        <v>0</v>
      </c>
      <c r="Q116" s="8">
        <v>0</v>
      </c>
      <c r="R116" s="7">
        <v>0</v>
      </c>
      <c r="S116" s="9">
        <v>0</v>
      </c>
      <c r="T116" s="7">
        <v>0</v>
      </c>
      <c r="U116" s="8">
        <v>0</v>
      </c>
      <c r="V116" s="7">
        <v>0</v>
      </c>
      <c r="W116" s="8">
        <v>0</v>
      </c>
      <c r="X116" s="7">
        <f>M116</f>
        <v>174700</v>
      </c>
      <c r="Y116" s="8">
        <v>0.2</v>
      </c>
      <c r="Z116" s="7">
        <f t="shared" si="14"/>
        <v>209640</v>
      </c>
      <c r="AA116" s="8">
        <f>IFERROR(((Z116-X116)/Z116),0)</f>
        <v>0.16666666666666666</v>
      </c>
      <c r="AB116" s="8">
        <v>0.1</v>
      </c>
    </row>
    <row r="117" spans="1:28" x14ac:dyDescent="0.25">
      <c r="A117">
        <v>2026</v>
      </c>
      <c r="B117" t="s">
        <v>28</v>
      </c>
      <c r="C117" t="s">
        <v>57</v>
      </c>
      <c r="D117" t="s">
        <v>58</v>
      </c>
      <c r="G117" t="s">
        <v>63</v>
      </c>
      <c r="H117" t="s">
        <v>63</v>
      </c>
      <c r="I117" t="s">
        <v>77</v>
      </c>
      <c r="J117" t="s">
        <v>69</v>
      </c>
      <c r="K117" t="s">
        <v>33</v>
      </c>
      <c r="L117">
        <v>204000</v>
      </c>
      <c r="M117" s="7">
        <v>204000</v>
      </c>
      <c r="O117" s="7"/>
      <c r="P117" s="7">
        <v>0</v>
      </c>
      <c r="Q117" s="8">
        <v>0</v>
      </c>
      <c r="R117" s="7">
        <v>0</v>
      </c>
      <c r="S117" s="9">
        <v>0</v>
      </c>
      <c r="T117" s="7">
        <v>0</v>
      </c>
      <c r="U117" s="8">
        <v>0</v>
      </c>
      <c r="V117" s="7">
        <v>0</v>
      </c>
      <c r="W117" s="8">
        <v>0</v>
      </c>
      <c r="X117" s="7">
        <f>M117</f>
        <v>204000</v>
      </c>
      <c r="Y117" s="8">
        <v>0.2</v>
      </c>
      <c r="Z117" s="7">
        <f t="shared" si="14"/>
        <v>244800</v>
      </c>
      <c r="AA117" s="8">
        <f>IFERROR(((Z117-X117)/Z117),0)</f>
        <v>0.16666666666666666</v>
      </c>
      <c r="AB117" s="8">
        <v>0.1</v>
      </c>
    </row>
    <row r="118" spans="1:28" x14ac:dyDescent="0.25">
      <c r="A118">
        <v>2026</v>
      </c>
      <c r="B118" t="s">
        <v>28</v>
      </c>
      <c r="C118" t="s">
        <v>57</v>
      </c>
      <c r="D118" t="s">
        <v>58</v>
      </c>
      <c r="G118" t="s">
        <v>63</v>
      </c>
      <c r="H118" t="s">
        <v>63</v>
      </c>
      <c r="I118" t="s">
        <v>78</v>
      </c>
      <c r="J118" t="s">
        <v>69</v>
      </c>
      <c r="K118" t="s">
        <v>33</v>
      </c>
      <c r="L118">
        <v>49000</v>
      </c>
      <c r="M118" s="7">
        <v>49000</v>
      </c>
      <c r="O118" s="7"/>
      <c r="P118" s="7">
        <v>0</v>
      </c>
      <c r="Q118" s="8">
        <v>0</v>
      </c>
      <c r="R118" s="7">
        <v>0</v>
      </c>
      <c r="S118" s="9">
        <v>0</v>
      </c>
      <c r="T118" s="7">
        <v>0</v>
      </c>
      <c r="U118" s="8">
        <v>0</v>
      </c>
      <c r="V118" s="7">
        <v>0</v>
      </c>
      <c r="W118" s="8">
        <v>0</v>
      </c>
      <c r="X118" s="7">
        <f>M118</f>
        <v>49000</v>
      </c>
      <c r="Y118" s="8">
        <v>0.2</v>
      </c>
      <c r="Z118" s="7">
        <f t="shared" si="14"/>
        <v>58800</v>
      </c>
      <c r="AA118" s="8">
        <f>IFERROR(((Z118-X118)/Z118),0)</f>
        <v>0.16666666666666666</v>
      </c>
      <c r="AB118" s="8">
        <v>0.1</v>
      </c>
    </row>
    <row r="119" spans="1:28" x14ac:dyDescent="0.25">
      <c r="A119">
        <v>2026</v>
      </c>
      <c r="B119" t="s">
        <v>28</v>
      </c>
      <c r="C119" t="s">
        <v>57</v>
      </c>
      <c r="D119" t="s">
        <v>58</v>
      </c>
      <c r="G119" t="s">
        <v>63</v>
      </c>
      <c r="H119" t="s">
        <v>63</v>
      </c>
      <c r="I119" t="s">
        <v>79</v>
      </c>
      <c r="J119" t="s">
        <v>66</v>
      </c>
      <c r="K119" t="s">
        <v>33</v>
      </c>
      <c r="L119">
        <v>224100</v>
      </c>
      <c r="M119" s="7">
        <v>224100</v>
      </c>
      <c r="O119" s="7"/>
      <c r="P119" s="7">
        <v>0</v>
      </c>
      <c r="Q119" s="8">
        <v>0</v>
      </c>
      <c r="R119" s="7">
        <v>0</v>
      </c>
      <c r="S119" s="9">
        <v>0</v>
      </c>
      <c r="T119" s="7">
        <v>0</v>
      </c>
      <c r="U119" s="8">
        <v>0</v>
      </c>
      <c r="V119" s="7">
        <v>0</v>
      </c>
      <c r="W119" s="8">
        <v>0</v>
      </c>
      <c r="X119" s="7">
        <f>M119</f>
        <v>224100</v>
      </c>
      <c r="Y119" s="8">
        <v>0.2</v>
      </c>
      <c r="Z119" s="7">
        <f t="shared" si="14"/>
        <v>268920</v>
      </c>
      <c r="AA119" s="8">
        <f>IFERROR(((Z119-X119)/Z119),0)</f>
        <v>0.16666666666666666</v>
      </c>
      <c r="AB119" s="8">
        <v>0.1</v>
      </c>
    </row>
    <row r="120" spans="1:28" x14ac:dyDescent="0.25">
      <c r="A120">
        <v>2026</v>
      </c>
      <c r="B120" t="s">
        <v>28</v>
      </c>
      <c r="C120" t="s">
        <v>57</v>
      </c>
      <c r="D120" t="s">
        <v>58</v>
      </c>
      <c r="G120" t="s">
        <v>63</v>
      </c>
      <c r="H120" t="s">
        <v>63</v>
      </c>
      <c r="I120" t="s">
        <v>80</v>
      </c>
      <c r="J120" t="s">
        <v>66</v>
      </c>
      <c r="K120" t="s">
        <v>33</v>
      </c>
      <c r="L120">
        <v>38000</v>
      </c>
      <c r="M120" s="7">
        <v>38000</v>
      </c>
      <c r="O120" s="7"/>
      <c r="P120" s="7">
        <v>0</v>
      </c>
      <c r="Q120" s="8">
        <v>0</v>
      </c>
      <c r="R120" s="7">
        <v>0</v>
      </c>
      <c r="S120" s="9">
        <v>0</v>
      </c>
      <c r="T120" s="7">
        <v>0</v>
      </c>
      <c r="U120" s="8">
        <v>0</v>
      </c>
      <c r="V120" s="7">
        <v>0</v>
      </c>
      <c r="W120" s="8">
        <v>0</v>
      </c>
      <c r="X120" s="7">
        <f>M120</f>
        <v>38000</v>
      </c>
      <c r="Y120" s="8">
        <v>0.2</v>
      </c>
      <c r="Z120" s="7">
        <f t="shared" si="14"/>
        <v>45600</v>
      </c>
      <c r="AA120" s="8">
        <f>IFERROR(((Z120-X120)/Z120),0)</f>
        <v>0.16666666666666666</v>
      </c>
      <c r="AB120" s="8">
        <v>0.1</v>
      </c>
    </row>
    <row r="121" spans="1:28" x14ac:dyDescent="0.25">
      <c r="A121">
        <v>2026</v>
      </c>
      <c r="B121" t="s">
        <v>28</v>
      </c>
      <c r="C121" t="s">
        <v>57</v>
      </c>
      <c r="D121" t="s">
        <v>58</v>
      </c>
      <c r="G121" t="s">
        <v>63</v>
      </c>
      <c r="H121" t="s">
        <v>63</v>
      </c>
      <c r="I121" t="s">
        <v>81</v>
      </c>
      <c r="J121" t="s">
        <v>66</v>
      </c>
      <c r="K121" t="s">
        <v>33</v>
      </c>
      <c r="L121">
        <v>39800</v>
      </c>
      <c r="M121" s="7">
        <v>39800</v>
      </c>
      <c r="O121" s="7"/>
      <c r="P121" s="7">
        <v>0</v>
      </c>
      <c r="Q121" s="8">
        <v>0</v>
      </c>
      <c r="R121" s="7">
        <v>0</v>
      </c>
      <c r="S121" s="9">
        <v>0</v>
      </c>
      <c r="T121" s="7">
        <v>0</v>
      </c>
      <c r="U121" s="8">
        <v>0</v>
      </c>
      <c r="V121" s="7">
        <v>0</v>
      </c>
      <c r="W121" s="8">
        <v>0</v>
      </c>
      <c r="X121" s="7">
        <f>M121</f>
        <v>39800</v>
      </c>
      <c r="Y121" s="8">
        <v>0.2</v>
      </c>
      <c r="Z121" s="7">
        <f t="shared" si="14"/>
        <v>47760</v>
      </c>
      <c r="AA121" s="8">
        <f>IFERROR(((Z121-X121)/Z121),0)</f>
        <v>0.16666666666666666</v>
      </c>
      <c r="AB121" s="8">
        <v>0.1</v>
      </c>
    </row>
    <row r="122" spans="1:28" x14ac:dyDescent="0.25">
      <c r="A122">
        <v>2026</v>
      </c>
      <c r="B122" t="s">
        <v>51</v>
      </c>
      <c r="C122" t="s">
        <v>57</v>
      </c>
      <c r="D122" t="s">
        <v>58</v>
      </c>
      <c r="G122" t="s">
        <v>63</v>
      </c>
      <c r="H122" t="s">
        <v>63</v>
      </c>
      <c r="I122" t="s">
        <v>65</v>
      </c>
      <c r="J122" t="s">
        <v>66</v>
      </c>
      <c r="K122" t="s">
        <v>33</v>
      </c>
      <c r="L122">
        <v>28800</v>
      </c>
      <c r="M122" s="7">
        <v>28800</v>
      </c>
      <c r="O122" s="7"/>
      <c r="P122" s="7">
        <v>0</v>
      </c>
      <c r="Q122" s="8">
        <v>0</v>
      </c>
      <c r="R122" s="7">
        <v>0</v>
      </c>
      <c r="S122" s="9">
        <v>0</v>
      </c>
      <c r="T122" s="7">
        <v>0</v>
      </c>
      <c r="U122" s="8">
        <v>0</v>
      </c>
      <c r="V122" s="7">
        <v>0</v>
      </c>
      <c r="W122" s="8">
        <v>0</v>
      </c>
      <c r="X122" s="7">
        <f>M122</f>
        <v>28800</v>
      </c>
      <c r="Y122" s="8">
        <v>0.2</v>
      </c>
      <c r="Z122" s="7">
        <f>X122+(X122*Y122)</f>
        <v>34560</v>
      </c>
      <c r="AA122" s="8">
        <f>IFERROR(((Z122-X122)/Z122),0)</f>
        <v>0.16666666666666666</v>
      </c>
      <c r="AB122" s="8">
        <v>0.1</v>
      </c>
    </row>
    <row r="123" spans="1:28" x14ac:dyDescent="0.25">
      <c r="A123">
        <v>2026</v>
      </c>
      <c r="B123" t="s">
        <v>51</v>
      </c>
      <c r="C123" t="s">
        <v>57</v>
      </c>
      <c r="D123" t="s">
        <v>58</v>
      </c>
      <c r="G123" t="s">
        <v>63</v>
      </c>
      <c r="H123" t="s">
        <v>63</v>
      </c>
      <c r="I123" t="s">
        <v>67</v>
      </c>
      <c r="J123" t="s">
        <v>66</v>
      </c>
      <c r="K123" t="s">
        <v>33</v>
      </c>
      <c r="L123">
        <v>36700</v>
      </c>
      <c r="M123" s="7">
        <v>36700</v>
      </c>
      <c r="O123" s="7"/>
      <c r="P123" s="7">
        <v>0</v>
      </c>
      <c r="Q123" s="8">
        <v>0</v>
      </c>
      <c r="R123" s="7">
        <v>0</v>
      </c>
      <c r="S123" s="9">
        <v>0</v>
      </c>
      <c r="T123" s="7">
        <v>0</v>
      </c>
      <c r="U123" s="8">
        <v>0</v>
      </c>
      <c r="V123" s="7">
        <v>0</v>
      </c>
      <c r="W123" s="8">
        <v>0</v>
      </c>
      <c r="X123" s="7">
        <f>M123</f>
        <v>36700</v>
      </c>
      <c r="Y123" s="8">
        <v>0.2</v>
      </c>
      <c r="Z123" s="7">
        <f t="shared" ref="Z123:Z136" si="15">X123+(X123*Y123)</f>
        <v>44040</v>
      </c>
      <c r="AA123" s="8">
        <f>IFERROR(((Z123-X123)/Z123),0)</f>
        <v>0.16666666666666666</v>
      </c>
      <c r="AB123" s="8">
        <v>0.1</v>
      </c>
    </row>
    <row r="124" spans="1:28" x14ac:dyDescent="0.25">
      <c r="A124">
        <v>2026</v>
      </c>
      <c r="B124" t="s">
        <v>51</v>
      </c>
      <c r="C124" t="s">
        <v>57</v>
      </c>
      <c r="D124" t="s">
        <v>58</v>
      </c>
      <c r="G124" t="s">
        <v>63</v>
      </c>
      <c r="H124" t="s">
        <v>63</v>
      </c>
      <c r="I124" t="s">
        <v>68</v>
      </c>
      <c r="J124" t="s">
        <v>69</v>
      </c>
      <c r="K124" t="s">
        <v>33</v>
      </c>
      <c r="L124">
        <v>28000</v>
      </c>
      <c r="M124" s="7">
        <v>28000</v>
      </c>
      <c r="O124" s="7"/>
      <c r="P124" s="7">
        <v>0</v>
      </c>
      <c r="Q124" s="8">
        <v>0</v>
      </c>
      <c r="R124" s="7">
        <v>0</v>
      </c>
      <c r="S124" s="9">
        <v>0</v>
      </c>
      <c r="T124" s="7">
        <v>0</v>
      </c>
      <c r="U124" s="8">
        <v>0</v>
      </c>
      <c r="V124" s="7">
        <v>0</v>
      </c>
      <c r="W124" s="8">
        <v>0</v>
      </c>
      <c r="X124" s="7">
        <f>M124</f>
        <v>28000</v>
      </c>
      <c r="Y124" s="8">
        <v>0.2</v>
      </c>
      <c r="Z124" s="7">
        <f t="shared" si="15"/>
        <v>33600</v>
      </c>
      <c r="AA124" s="8">
        <f>IFERROR(((Z124-X124)/Z124),0)</f>
        <v>0.16666666666666666</v>
      </c>
      <c r="AB124" s="8">
        <v>0.1</v>
      </c>
    </row>
    <row r="125" spans="1:28" x14ac:dyDescent="0.25">
      <c r="A125">
        <v>2026</v>
      </c>
      <c r="B125" t="s">
        <v>51</v>
      </c>
      <c r="C125" t="s">
        <v>57</v>
      </c>
      <c r="D125" t="s">
        <v>58</v>
      </c>
      <c r="G125" t="s">
        <v>63</v>
      </c>
      <c r="H125" t="s">
        <v>63</v>
      </c>
      <c r="I125" t="s">
        <v>70</v>
      </c>
      <c r="J125" t="s">
        <v>69</v>
      </c>
      <c r="K125" t="s">
        <v>33</v>
      </c>
      <c r="L125">
        <v>36700</v>
      </c>
      <c r="M125" s="7">
        <v>36700</v>
      </c>
      <c r="O125" s="7"/>
      <c r="P125" s="7">
        <v>0</v>
      </c>
      <c r="Q125" s="8">
        <v>0</v>
      </c>
      <c r="R125" s="7">
        <v>0</v>
      </c>
      <c r="S125" s="9">
        <v>0</v>
      </c>
      <c r="T125" s="7">
        <v>0</v>
      </c>
      <c r="U125" s="8">
        <v>0</v>
      </c>
      <c r="V125" s="7">
        <v>0</v>
      </c>
      <c r="W125" s="8">
        <v>0</v>
      </c>
      <c r="X125" s="7">
        <f>M125</f>
        <v>36700</v>
      </c>
      <c r="Y125" s="8">
        <v>0.2</v>
      </c>
      <c r="Z125" s="7">
        <f t="shared" si="15"/>
        <v>44040</v>
      </c>
      <c r="AA125" s="8">
        <f>IFERROR(((Z125-X125)/Z125),0)</f>
        <v>0.16666666666666666</v>
      </c>
      <c r="AB125" s="8">
        <v>0.1</v>
      </c>
    </row>
    <row r="126" spans="1:28" x14ac:dyDescent="0.25">
      <c r="A126">
        <v>2026</v>
      </c>
      <c r="B126" t="s">
        <v>51</v>
      </c>
      <c r="C126" t="s">
        <v>57</v>
      </c>
      <c r="D126" t="s">
        <v>58</v>
      </c>
      <c r="G126" t="s">
        <v>63</v>
      </c>
      <c r="H126" t="s">
        <v>63</v>
      </c>
      <c r="I126" t="s">
        <v>71</v>
      </c>
      <c r="J126" t="s">
        <v>69</v>
      </c>
      <c r="K126" t="s">
        <v>33</v>
      </c>
      <c r="L126">
        <v>21900</v>
      </c>
      <c r="M126" s="7">
        <v>21900</v>
      </c>
      <c r="O126" s="7"/>
      <c r="P126" s="7">
        <v>0</v>
      </c>
      <c r="Q126" s="8">
        <v>0</v>
      </c>
      <c r="R126" s="7">
        <v>0</v>
      </c>
      <c r="S126" s="9">
        <v>0</v>
      </c>
      <c r="T126" s="7">
        <v>0</v>
      </c>
      <c r="U126" s="8">
        <v>0</v>
      </c>
      <c r="V126" s="7">
        <v>0</v>
      </c>
      <c r="W126" s="8">
        <v>0</v>
      </c>
      <c r="X126" s="7">
        <f>M126</f>
        <v>21900</v>
      </c>
      <c r="Y126" s="8">
        <v>0.2</v>
      </c>
      <c r="Z126" s="7">
        <f t="shared" si="15"/>
        <v>26280</v>
      </c>
      <c r="AA126" s="8">
        <f>IFERROR(((Z126-X126)/Z126),0)</f>
        <v>0.16666666666666666</v>
      </c>
      <c r="AB126" s="8">
        <v>0.1</v>
      </c>
    </row>
    <row r="127" spans="1:28" x14ac:dyDescent="0.25">
      <c r="A127">
        <v>2026</v>
      </c>
      <c r="B127" t="s">
        <v>51</v>
      </c>
      <c r="C127" t="s">
        <v>57</v>
      </c>
      <c r="D127" t="s">
        <v>58</v>
      </c>
      <c r="G127" t="s">
        <v>63</v>
      </c>
      <c r="H127" t="s">
        <v>63</v>
      </c>
      <c r="I127" t="s">
        <v>72</v>
      </c>
      <c r="J127" t="s">
        <v>69</v>
      </c>
      <c r="K127" t="s">
        <v>33</v>
      </c>
      <c r="L127">
        <v>114900</v>
      </c>
      <c r="M127" s="7">
        <v>114900</v>
      </c>
      <c r="O127" s="7"/>
      <c r="P127" s="7">
        <v>0</v>
      </c>
      <c r="Q127" s="8">
        <v>0</v>
      </c>
      <c r="R127" s="7">
        <v>0</v>
      </c>
      <c r="S127" s="9">
        <v>0</v>
      </c>
      <c r="T127" s="7">
        <v>0</v>
      </c>
      <c r="U127" s="8">
        <v>0</v>
      </c>
      <c r="V127" s="7">
        <v>0</v>
      </c>
      <c r="W127" s="8">
        <v>0</v>
      </c>
      <c r="X127" s="7">
        <f>M127</f>
        <v>114900</v>
      </c>
      <c r="Y127" s="8">
        <v>0.2</v>
      </c>
      <c r="Z127" s="7">
        <f t="shared" si="15"/>
        <v>137880</v>
      </c>
      <c r="AA127" s="8">
        <f>IFERROR(((Z127-X127)/Z127),0)</f>
        <v>0.16666666666666666</v>
      </c>
      <c r="AB127" s="8">
        <v>0.1</v>
      </c>
    </row>
    <row r="128" spans="1:28" x14ac:dyDescent="0.25">
      <c r="A128">
        <v>2026</v>
      </c>
      <c r="B128" t="s">
        <v>51</v>
      </c>
      <c r="C128" t="s">
        <v>57</v>
      </c>
      <c r="D128" t="s">
        <v>58</v>
      </c>
      <c r="G128" t="s">
        <v>63</v>
      </c>
      <c r="H128" t="s">
        <v>63</v>
      </c>
      <c r="I128" t="s">
        <v>73</v>
      </c>
      <c r="J128" t="s">
        <v>69</v>
      </c>
      <c r="K128" t="s">
        <v>33</v>
      </c>
      <c r="L128">
        <v>28000</v>
      </c>
      <c r="M128" s="7">
        <v>28000</v>
      </c>
      <c r="O128" s="7"/>
      <c r="P128" s="7">
        <v>0</v>
      </c>
      <c r="Q128" s="8">
        <v>0</v>
      </c>
      <c r="R128" s="7">
        <v>0</v>
      </c>
      <c r="S128" s="9">
        <v>0</v>
      </c>
      <c r="T128" s="7">
        <v>0</v>
      </c>
      <c r="U128" s="8">
        <v>0</v>
      </c>
      <c r="V128" s="7">
        <v>0</v>
      </c>
      <c r="W128" s="8">
        <v>0</v>
      </c>
      <c r="X128" s="7">
        <f>M128</f>
        <v>28000</v>
      </c>
      <c r="Y128" s="8">
        <v>0.2</v>
      </c>
      <c r="Z128" s="7">
        <f t="shared" si="15"/>
        <v>33600</v>
      </c>
      <c r="AA128" s="8">
        <f>IFERROR(((Z128-X128)/Z128),0)</f>
        <v>0.16666666666666666</v>
      </c>
      <c r="AB128" s="8">
        <v>0.1</v>
      </c>
    </row>
    <row r="129" spans="1:28" x14ac:dyDescent="0.25">
      <c r="A129">
        <v>2026</v>
      </c>
      <c r="B129" t="s">
        <v>51</v>
      </c>
      <c r="C129" t="s">
        <v>57</v>
      </c>
      <c r="D129" t="s">
        <v>58</v>
      </c>
      <c r="G129" t="s">
        <v>63</v>
      </c>
      <c r="H129" t="s">
        <v>63</v>
      </c>
      <c r="I129" t="s">
        <v>74</v>
      </c>
      <c r="J129" t="s">
        <v>69</v>
      </c>
      <c r="K129" t="s">
        <v>33</v>
      </c>
      <c r="L129">
        <v>49200</v>
      </c>
      <c r="M129" s="7">
        <v>49200</v>
      </c>
      <c r="O129" s="7"/>
      <c r="P129" s="7">
        <v>0</v>
      </c>
      <c r="Q129" s="8">
        <v>0</v>
      </c>
      <c r="R129" s="7">
        <v>0</v>
      </c>
      <c r="S129" s="9">
        <v>0</v>
      </c>
      <c r="T129" s="7">
        <v>0</v>
      </c>
      <c r="U129" s="8">
        <v>0</v>
      </c>
      <c r="V129" s="7">
        <v>0</v>
      </c>
      <c r="W129" s="8">
        <v>0</v>
      </c>
      <c r="X129" s="7">
        <f>M129</f>
        <v>49200</v>
      </c>
      <c r="Y129" s="8">
        <v>0.2</v>
      </c>
      <c r="Z129" s="7">
        <f t="shared" si="15"/>
        <v>59040</v>
      </c>
      <c r="AA129" s="8">
        <f>IFERROR(((Z129-X129)/Z129),0)</f>
        <v>0.16666666666666666</v>
      </c>
      <c r="AB129" s="8">
        <v>0.1</v>
      </c>
    </row>
    <row r="130" spans="1:28" x14ac:dyDescent="0.25">
      <c r="A130">
        <v>2026</v>
      </c>
      <c r="B130" t="s">
        <v>51</v>
      </c>
      <c r="C130" t="s">
        <v>57</v>
      </c>
      <c r="D130" t="s">
        <v>58</v>
      </c>
      <c r="G130" t="s">
        <v>63</v>
      </c>
      <c r="H130" t="s">
        <v>63</v>
      </c>
      <c r="I130" t="s">
        <v>75</v>
      </c>
      <c r="J130" t="s">
        <v>69</v>
      </c>
      <c r="K130" t="s">
        <v>33</v>
      </c>
      <c r="L130">
        <v>141600</v>
      </c>
      <c r="M130" s="7">
        <v>141600</v>
      </c>
      <c r="O130" s="7"/>
      <c r="P130" s="7">
        <v>0</v>
      </c>
      <c r="Q130" s="8">
        <v>0</v>
      </c>
      <c r="R130" s="7">
        <v>0</v>
      </c>
      <c r="S130" s="9">
        <v>0</v>
      </c>
      <c r="T130" s="7">
        <v>0</v>
      </c>
      <c r="U130" s="8">
        <v>0</v>
      </c>
      <c r="V130" s="7">
        <v>0</v>
      </c>
      <c r="W130" s="8">
        <v>0</v>
      </c>
      <c r="X130" s="7">
        <f>M130</f>
        <v>141600</v>
      </c>
      <c r="Y130" s="8">
        <v>0.2</v>
      </c>
      <c r="Z130" s="7">
        <f t="shared" si="15"/>
        <v>169920</v>
      </c>
      <c r="AA130" s="8">
        <f>IFERROR(((Z130-X130)/Z130),0)</f>
        <v>0.16666666666666666</v>
      </c>
      <c r="AB130" s="8">
        <v>0.1</v>
      </c>
    </row>
    <row r="131" spans="1:28" x14ac:dyDescent="0.25">
      <c r="A131">
        <v>2026</v>
      </c>
      <c r="B131" t="s">
        <v>51</v>
      </c>
      <c r="C131" t="s">
        <v>57</v>
      </c>
      <c r="D131" t="s">
        <v>58</v>
      </c>
      <c r="G131" t="s">
        <v>63</v>
      </c>
      <c r="H131" t="s">
        <v>63</v>
      </c>
      <c r="I131" t="s">
        <v>76</v>
      </c>
      <c r="J131" t="s">
        <v>69</v>
      </c>
      <c r="K131" t="s">
        <v>33</v>
      </c>
      <c r="L131">
        <v>174700</v>
      </c>
      <c r="M131" s="7">
        <v>174700</v>
      </c>
      <c r="O131" s="7"/>
      <c r="P131" s="7">
        <v>0</v>
      </c>
      <c r="Q131" s="8">
        <v>0</v>
      </c>
      <c r="R131" s="7">
        <v>0</v>
      </c>
      <c r="S131" s="9">
        <v>0</v>
      </c>
      <c r="T131" s="7">
        <v>0</v>
      </c>
      <c r="U131" s="8">
        <v>0</v>
      </c>
      <c r="V131" s="7">
        <v>0</v>
      </c>
      <c r="W131" s="8">
        <v>0</v>
      </c>
      <c r="X131" s="7">
        <f>M131</f>
        <v>174700</v>
      </c>
      <c r="Y131" s="8">
        <v>0.2</v>
      </c>
      <c r="Z131" s="7">
        <f t="shared" si="15"/>
        <v>209640</v>
      </c>
      <c r="AA131" s="8">
        <f>IFERROR(((Z131-X131)/Z131),0)</f>
        <v>0.16666666666666666</v>
      </c>
      <c r="AB131" s="8">
        <v>0.1</v>
      </c>
    </row>
    <row r="132" spans="1:28" x14ac:dyDescent="0.25">
      <c r="A132">
        <v>2026</v>
      </c>
      <c r="B132" t="s">
        <v>51</v>
      </c>
      <c r="C132" t="s">
        <v>57</v>
      </c>
      <c r="D132" t="s">
        <v>58</v>
      </c>
      <c r="G132" t="s">
        <v>63</v>
      </c>
      <c r="H132" t="s">
        <v>63</v>
      </c>
      <c r="I132" t="s">
        <v>77</v>
      </c>
      <c r="J132" t="s">
        <v>69</v>
      </c>
      <c r="K132" t="s">
        <v>33</v>
      </c>
      <c r="L132">
        <v>204000</v>
      </c>
      <c r="M132" s="7">
        <v>204000</v>
      </c>
      <c r="O132" s="7"/>
      <c r="P132" s="7">
        <v>0</v>
      </c>
      <c r="Q132" s="8">
        <v>0</v>
      </c>
      <c r="R132" s="7">
        <v>0</v>
      </c>
      <c r="S132" s="9">
        <v>0</v>
      </c>
      <c r="T132" s="7">
        <v>0</v>
      </c>
      <c r="U132" s="8">
        <v>0</v>
      </c>
      <c r="V132" s="7">
        <v>0</v>
      </c>
      <c r="W132" s="8">
        <v>0</v>
      </c>
      <c r="X132" s="7">
        <f>M132</f>
        <v>204000</v>
      </c>
      <c r="Y132" s="8">
        <v>0.2</v>
      </c>
      <c r="Z132" s="7">
        <f t="shared" si="15"/>
        <v>244800</v>
      </c>
      <c r="AA132" s="8">
        <f>IFERROR(((Z132-X132)/Z132),0)</f>
        <v>0.16666666666666666</v>
      </c>
      <c r="AB132" s="8">
        <v>0.1</v>
      </c>
    </row>
    <row r="133" spans="1:28" x14ac:dyDescent="0.25">
      <c r="A133">
        <v>2026</v>
      </c>
      <c r="B133" t="s">
        <v>51</v>
      </c>
      <c r="C133" t="s">
        <v>57</v>
      </c>
      <c r="D133" t="s">
        <v>58</v>
      </c>
      <c r="G133" t="s">
        <v>63</v>
      </c>
      <c r="H133" t="s">
        <v>63</v>
      </c>
      <c r="I133" t="s">
        <v>78</v>
      </c>
      <c r="J133" t="s">
        <v>69</v>
      </c>
      <c r="K133" t="s">
        <v>33</v>
      </c>
      <c r="L133">
        <v>49000</v>
      </c>
      <c r="M133" s="7">
        <v>49000</v>
      </c>
      <c r="O133" s="7"/>
      <c r="P133" s="7">
        <v>0</v>
      </c>
      <c r="Q133" s="8">
        <v>0</v>
      </c>
      <c r="R133" s="7">
        <v>0</v>
      </c>
      <c r="S133" s="9">
        <v>0</v>
      </c>
      <c r="T133" s="7">
        <v>0</v>
      </c>
      <c r="U133" s="8">
        <v>0</v>
      </c>
      <c r="V133" s="7">
        <v>0</v>
      </c>
      <c r="W133" s="8">
        <v>0</v>
      </c>
      <c r="X133" s="7">
        <f>M133</f>
        <v>49000</v>
      </c>
      <c r="Y133" s="8">
        <v>0.2</v>
      </c>
      <c r="Z133" s="7">
        <f t="shared" si="15"/>
        <v>58800</v>
      </c>
      <c r="AA133" s="8">
        <f>IFERROR(((Z133-X133)/Z133),0)</f>
        <v>0.16666666666666666</v>
      </c>
      <c r="AB133" s="8">
        <v>0.1</v>
      </c>
    </row>
    <row r="134" spans="1:28" x14ac:dyDescent="0.25">
      <c r="A134">
        <v>2026</v>
      </c>
      <c r="B134" t="s">
        <v>51</v>
      </c>
      <c r="C134" t="s">
        <v>57</v>
      </c>
      <c r="D134" t="s">
        <v>58</v>
      </c>
      <c r="G134" t="s">
        <v>63</v>
      </c>
      <c r="H134" t="s">
        <v>63</v>
      </c>
      <c r="I134" t="s">
        <v>79</v>
      </c>
      <c r="J134" t="s">
        <v>66</v>
      </c>
      <c r="K134" t="s">
        <v>33</v>
      </c>
      <c r="L134">
        <v>224100</v>
      </c>
      <c r="M134" s="7">
        <v>224100</v>
      </c>
      <c r="O134" s="7"/>
      <c r="P134" s="7">
        <v>0</v>
      </c>
      <c r="Q134" s="8">
        <v>0</v>
      </c>
      <c r="R134" s="7">
        <v>0</v>
      </c>
      <c r="S134" s="9">
        <v>0</v>
      </c>
      <c r="T134" s="7">
        <v>0</v>
      </c>
      <c r="U134" s="8">
        <v>0</v>
      </c>
      <c r="V134" s="7">
        <v>0</v>
      </c>
      <c r="W134" s="8">
        <v>0</v>
      </c>
      <c r="X134" s="7">
        <f>M134</f>
        <v>224100</v>
      </c>
      <c r="Y134" s="8">
        <v>0.2</v>
      </c>
      <c r="Z134" s="7">
        <f t="shared" si="15"/>
        <v>268920</v>
      </c>
      <c r="AA134" s="8">
        <f>IFERROR(((Z134-X134)/Z134),0)</f>
        <v>0.16666666666666666</v>
      </c>
      <c r="AB134" s="8">
        <v>0.1</v>
      </c>
    </row>
    <row r="135" spans="1:28" x14ac:dyDescent="0.25">
      <c r="A135">
        <v>2026</v>
      </c>
      <c r="B135" t="s">
        <v>51</v>
      </c>
      <c r="C135" t="s">
        <v>57</v>
      </c>
      <c r="D135" t="s">
        <v>58</v>
      </c>
      <c r="G135" t="s">
        <v>63</v>
      </c>
      <c r="H135" t="s">
        <v>63</v>
      </c>
      <c r="I135" t="s">
        <v>80</v>
      </c>
      <c r="J135" t="s">
        <v>66</v>
      </c>
      <c r="K135" t="s">
        <v>33</v>
      </c>
      <c r="L135">
        <v>38000</v>
      </c>
      <c r="M135" s="7">
        <v>38000</v>
      </c>
      <c r="O135" s="7"/>
      <c r="P135" s="7">
        <v>0</v>
      </c>
      <c r="Q135" s="8">
        <v>0</v>
      </c>
      <c r="R135" s="7">
        <v>0</v>
      </c>
      <c r="S135" s="9">
        <v>0</v>
      </c>
      <c r="T135" s="7">
        <v>0</v>
      </c>
      <c r="U135" s="8">
        <v>0</v>
      </c>
      <c r="V135" s="7">
        <v>0</v>
      </c>
      <c r="W135" s="8">
        <v>0</v>
      </c>
      <c r="X135" s="7">
        <f>M135</f>
        <v>38000</v>
      </c>
      <c r="Y135" s="8">
        <v>0.2</v>
      </c>
      <c r="Z135" s="7">
        <f t="shared" si="15"/>
        <v>45600</v>
      </c>
      <c r="AA135" s="8">
        <f>IFERROR(((Z135-X135)/Z135),0)</f>
        <v>0.16666666666666666</v>
      </c>
      <c r="AB135" s="8">
        <v>0.1</v>
      </c>
    </row>
    <row r="136" spans="1:28" x14ac:dyDescent="0.25">
      <c r="A136">
        <v>2026</v>
      </c>
      <c r="B136" t="s">
        <v>51</v>
      </c>
      <c r="C136" t="s">
        <v>57</v>
      </c>
      <c r="D136" t="s">
        <v>58</v>
      </c>
      <c r="G136" t="s">
        <v>63</v>
      </c>
      <c r="H136" t="s">
        <v>63</v>
      </c>
      <c r="I136" t="s">
        <v>81</v>
      </c>
      <c r="J136" t="s">
        <v>66</v>
      </c>
      <c r="K136" t="s">
        <v>33</v>
      </c>
      <c r="L136">
        <v>39800</v>
      </c>
      <c r="M136" s="7">
        <v>39800</v>
      </c>
      <c r="O136" s="7"/>
      <c r="P136" s="7">
        <v>0</v>
      </c>
      <c r="Q136" s="8">
        <v>0</v>
      </c>
      <c r="R136" s="7">
        <v>0</v>
      </c>
      <c r="S136" s="9">
        <v>0</v>
      </c>
      <c r="T136" s="7">
        <v>0</v>
      </c>
      <c r="U136" s="8">
        <v>0</v>
      </c>
      <c r="V136" s="7">
        <v>0</v>
      </c>
      <c r="W136" s="8">
        <v>0</v>
      </c>
      <c r="X136" s="7">
        <f>M136</f>
        <v>39800</v>
      </c>
      <c r="Y136" s="8">
        <v>0.2</v>
      </c>
      <c r="Z136" s="7">
        <f t="shared" si="15"/>
        <v>47760</v>
      </c>
      <c r="AA136" s="8">
        <f>IFERROR(((Z136-X136)/Z136),0)</f>
        <v>0.16666666666666666</v>
      </c>
      <c r="AB136" s="8">
        <v>0.1</v>
      </c>
    </row>
    <row r="137" spans="1:28" x14ac:dyDescent="0.25">
      <c r="A137">
        <v>2026</v>
      </c>
      <c r="B137" t="s">
        <v>52</v>
      </c>
      <c r="C137" t="s">
        <v>57</v>
      </c>
      <c r="D137" t="s">
        <v>58</v>
      </c>
      <c r="G137" t="s">
        <v>63</v>
      </c>
      <c r="H137" t="s">
        <v>63</v>
      </c>
      <c r="I137" t="s">
        <v>65</v>
      </c>
      <c r="J137" t="s">
        <v>66</v>
      </c>
      <c r="K137" t="s">
        <v>33</v>
      </c>
      <c r="L137">
        <v>28800</v>
      </c>
      <c r="M137" s="7">
        <v>28800</v>
      </c>
      <c r="O137" s="7"/>
      <c r="P137" s="7">
        <v>0</v>
      </c>
      <c r="Q137" s="8">
        <v>0</v>
      </c>
      <c r="R137" s="7">
        <v>0</v>
      </c>
      <c r="S137" s="9">
        <v>0</v>
      </c>
      <c r="T137" s="7">
        <v>0</v>
      </c>
      <c r="U137" s="8">
        <v>0</v>
      </c>
      <c r="V137" s="7">
        <v>0</v>
      </c>
      <c r="W137" s="8">
        <v>0</v>
      </c>
      <c r="X137" s="7">
        <f>M137</f>
        <v>28800</v>
      </c>
      <c r="Y137" s="8">
        <v>0.2</v>
      </c>
      <c r="Z137" s="7">
        <f>X137+(X137*Y137)</f>
        <v>34560</v>
      </c>
      <c r="AA137" s="8">
        <f>IFERROR(((Z137-X137)/Z137),0)</f>
        <v>0.16666666666666666</v>
      </c>
      <c r="AB137" s="8">
        <v>0.1</v>
      </c>
    </row>
    <row r="138" spans="1:28" x14ac:dyDescent="0.25">
      <c r="A138">
        <v>2026</v>
      </c>
      <c r="B138" t="s">
        <v>52</v>
      </c>
      <c r="C138" t="s">
        <v>57</v>
      </c>
      <c r="D138" t="s">
        <v>58</v>
      </c>
      <c r="G138" t="s">
        <v>63</v>
      </c>
      <c r="H138" t="s">
        <v>63</v>
      </c>
      <c r="I138" t="s">
        <v>67</v>
      </c>
      <c r="J138" t="s">
        <v>66</v>
      </c>
      <c r="K138" t="s">
        <v>33</v>
      </c>
      <c r="L138">
        <v>36700</v>
      </c>
      <c r="M138" s="7">
        <v>36700</v>
      </c>
      <c r="O138" s="7"/>
      <c r="P138" s="7">
        <v>0</v>
      </c>
      <c r="Q138" s="8">
        <v>0</v>
      </c>
      <c r="R138" s="7">
        <v>0</v>
      </c>
      <c r="S138" s="9">
        <v>0</v>
      </c>
      <c r="T138" s="7">
        <v>0</v>
      </c>
      <c r="U138" s="8">
        <v>0</v>
      </c>
      <c r="V138" s="7">
        <v>0</v>
      </c>
      <c r="W138" s="8">
        <v>0</v>
      </c>
      <c r="X138" s="7">
        <f>M138</f>
        <v>36700</v>
      </c>
      <c r="Y138" s="8">
        <v>0.2</v>
      </c>
      <c r="Z138" s="7">
        <f t="shared" ref="Z138:Z151" si="16">X138+(X138*Y138)</f>
        <v>44040</v>
      </c>
      <c r="AA138" s="8">
        <f>IFERROR(((Z138-X138)/Z138),0)</f>
        <v>0.16666666666666666</v>
      </c>
      <c r="AB138" s="8">
        <v>0.1</v>
      </c>
    </row>
    <row r="139" spans="1:28" x14ac:dyDescent="0.25">
      <c r="A139">
        <v>2026</v>
      </c>
      <c r="B139" t="s">
        <v>52</v>
      </c>
      <c r="C139" t="s">
        <v>57</v>
      </c>
      <c r="D139" t="s">
        <v>58</v>
      </c>
      <c r="G139" t="s">
        <v>63</v>
      </c>
      <c r="H139" t="s">
        <v>63</v>
      </c>
      <c r="I139" t="s">
        <v>68</v>
      </c>
      <c r="J139" t="s">
        <v>69</v>
      </c>
      <c r="K139" t="s">
        <v>33</v>
      </c>
      <c r="L139">
        <v>28000</v>
      </c>
      <c r="M139" s="7">
        <v>28000</v>
      </c>
      <c r="O139" s="7"/>
      <c r="P139" s="7">
        <v>0</v>
      </c>
      <c r="Q139" s="8">
        <v>0</v>
      </c>
      <c r="R139" s="7">
        <v>0</v>
      </c>
      <c r="S139" s="9">
        <v>0</v>
      </c>
      <c r="T139" s="7">
        <v>0</v>
      </c>
      <c r="U139" s="8">
        <v>0</v>
      </c>
      <c r="V139" s="7">
        <v>0</v>
      </c>
      <c r="W139" s="8">
        <v>0</v>
      </c>
      <c r="X139" s="7">
        <f>M139</f>
        <v>28000</v>
      </c>
      <c r="Y139" s="8">
        <v>0.2</v>
      </c>
      <c r="Z139" s="7">
        <f t="shared" si="16"/>
        <v>33600</v>
      </c>
      <c r="AA139" s="8">
        <f>IFERROR(((Z139-X139)/Z139),0)</f>
        <v>0.16666666666666666</v>
      </c>
      <c r="AB139" s="8">
        <v>0.1</v>
      </c>
    </row>
    <row r="140" spans="1:28" x14ac:dyDescent="0.25">
      <c r="A140">
        <v>2026</v>
      </c>
      <c r="B140" t="s">
        <v>52</v>
      </c>
      <c r="C140" t="s">
        <v>57</v>
      </c>
      <c r="D140" t="s">
        <v>58</v>
      </c>
      <c r="G140" t="s">
        <v>63</v>
      </c>
      <c r="H140" t="s">
        <v>63</v>
      </c>
      <c r="I140" t="s">
        <v>70</v>
      </c>
      <c r="J140" t="s">
        <v>69</v>
      </c>
      <c r="K140" t="s">
        <v>33</v>
      </c>
      <c r="L140">
        <v>36700</v>
      </c>
      <c r="M140" s="7">
        <v>36700</v>
      </c>
      <c r="O140" s="7"/>
      <c r="P140" s="7">
        <v>0</v>
      </c>
      <c r="Q140" s="8">
        <v>0</v>
      </c>
      <c r="R140" s="7">
        <v>0</v>
      </c>
      <c r="S140" s="9">
        <v>0</v>
      </c>
      <c r="T140" s="7">
        <v>0</v>
      </c>
      <c r="U140" s="8">
        <v>0</v>
      </c>
      <c r="V140" s="7">
        <v>0</v>
      </c>
      <c r="W140" s="8">
        <v>0</v>
      </c>
      <c r="X140" s="7">
        <f>M140</f>
        <v>36700</v>
      </c>
      <c r="Y140" s="8">
        <v>0.2</v>
      </c>
      <c r="Z140" s="7">
        <f t="shared" si="16"/>
        <v>44040</v>
      </c>
      <c r="AA140" s="8">
        <f>IFERROR(((Z140-X140)/Z140),0)</f>
        <v>0.16666666666666666</v>
      </c>
      <c r="AB140" s="8">
        <v>0.1</v>
      </c>
    </row>
    <row r="141" spans="1:28" x14ac:dyDescent="0.25">
      <c r="A141">
        <v>2026</v>
      </c>
      <c r="B141" t="s">
        <v>52</v>
      </c>
      <c r="C141" t="s">
        <v>57</v>
      </c>
      <c r="D141" t="s">
        <v>58</v>
      </c>
      <c r="G141" t="s">
        <v>63</v>
      </c>
      <c r="H141" t="s">
        <v>63</v>
      </c>
      <c r="I141" t="s">
        <v>71</v>
      </c>
      <c r="J141" t="s">
        <v>69</v>
      </c>
      <c r="K141" t="s">
        <v>33</v>
      </c>
      <c r="L141">
        <v>21900</v>
      </c>
      <c r="M141" s="7">
        <v>21900</v>
      </c>
      <c r="O141" s="7"/>
      <c r="P141" s="7">
        <v>0</v>
      </c>
      <c r="Q141" s="8">
        <v>0</v>
      </c>
      <c r="R141" s="7">
        <v>0</v>
      </c>
      <c r="S141" s="9">
        <v>0</v>
      </c>
      <c r="T141" s="7">
        <v>0</v>
      </c>
      <c r="U141" s="8">
        <v>0</v>
      </c>
      <c r="V141" s="7">
        <v>0</v>
      </c>
      <c r="W141" s="8">
        <v>0</v>
      </c>
      <c r="X141" s="7">
        <f>M141</f>
        <v>21900</v>
      </c>
      <c r="Y141" s="8">
        <v>0.2</v>
      </c>
      <c r="Z141" s="7">
        <f t="shared" si="16"/>
        <v>26280</v>
      </c>
      <c r="AA141" s="8">
        <f>IFERROR(((Z141-X141)/Z141),0)</f>
        <v>0.16666666666666666</v>
      </c>
      <c r="AB141" s="8">
        <v>0.1</v>
      </c>
    </row>
    <row r="142" spans="1:28" x14ac:dyDescent="0.25">
      <c r="A142">
        <v>2026</v>
      </c>
      <c r="B142" t="s">
        <v>52</v>
      </c>
      <c r="C142" t="s">
        <v>57</v>
      </c>
      <c r="D142" t="s">
        <v>58</v>
      </c>
      <c r="G142" t="s">
        <v>63</v>
      </c>
      <c r="H142" t="s">
        <v>63</v>
      </c>
      <c r="I142" t="s">
        <v>72</v>
      </c>
      <c r="J142" t="s">
        <v>69</v>
      </c>
      <c r="K142" t="s">
        <v>33</v>
      </c>
      <c r="L142">
        <v>114900</v>
      </c>
      <c r="M142" s="7">
        <v>114900</v>
      </c>
      <c r="O142" s="7"/>
      <c r="P142" s="7">
        <v>0</v>
      </c>
      <c r="Q142" s="8">
        <v>0</v>
      </c>
      <c r="R142" s="7">
        <v>0</v>
      </c>
      <c r="S142" s="9">
        <v>0</v>
      </c>
      <c r="T142" s="7">
        <v>0</v>
      </c>
      <c r="U142" s="8">
        <v>0</v>
      </c>
      <c r="V142" s="7">
        <v>0</v>
      </c>
      <c r="W142" s="8">
        <v>0</v>
      </c>
      <c r="X142" s="7">
        <f>M142</f>
        <v>114900</v>
      </c>
      <c r="Y142" s="8">
        <v>0.2</v>
      </c>
      <c r="Z142" s="7">
        <f t="shared" si="16"/>
        <v>137880</v>
      </c>
      <c r="AA142" s="8">
        <f>IFERROR(((Z142-X142)/Z142),0)</f>
        <v>0.16666666666666666</v>
      </c>
      <c r="AB142" s="8">
        <v>0.1</v>
      </c>
    </row>
    <row r="143" spans="1:28" x14ac:dyDescent="0.25">
      <c r="A143">
        <v>2026</v>
      </c>
      <c r="B143" t="s">
        <v>52</v>
      </c>
      <c r="C143" t="s">
        <v>57</v>
      </c>
      <c r="D143" t="s">
        <v>58</v>
      </c>
      <c r="G143" t="s">
        <v>63</v>
      </c>
      <c r="H143" t="s">
        <v>63</v>
      </c>
      <c r="I143" t="s">
        <v>73</v>
      </c>
      <c r="J143" t="s">
        <v>69</v>
      </c>
      <c r="K143" t="s">
        <v>33</v>
      </c>
      <c r="L143">
        <v>28000</v>
      </c>
      <c r="M143" s="7">
        <v>28000</v>
      </c>
      <c r="O143" s="7"/>
      <c r="P143" s="7">
        <v>0</v>
      </c>
      <c r="Q143" s="8">
        <v>0</v>
      </c>
      <c r="R143" s="7">
        <v>0</v>
      </c>
      <c r="S143" s="9">
        <v>0</v>
      </c>
      <c r="T143" s="7">
        <v>0</v>
      </c>
      <c r="U143" s="8">
        <v>0</v>
      </c>
      <c r="V143" s="7">
        <v>0</v>
      </c>
      <c r="W143" s="8">
        <v>0</v>
      </c>
      <c r="X143" s="7">
        <f>M143</f>
        <v>28000</v>
      </c>
      <c r="Y143" s="8">
        <v>0.2</v>
      </c>
      <c r="Z143" s="7">
        <f t="shared" si="16"/>
        <v>33600</v>
      </c>
      <c r="AA143" s="8">
        <f>IFERROR(((Z143-X143)/Z143),0)</f>
        <v>0.16666666666666666</v>
      </c>
      <c r="AB143" s="8">
        <v>0.1</v>
      </c>
    </row>
    <row r="144" spans="1:28" x14ac:dyDescent="0.25">
      <c r="A144">
        <v>2026</v>
      </c>
      <c r="B144" t="s">
        <v>52</v>
      </c>
      <c r="C144" t="s">
        <v>57</v>
      </c>
      <c r="D144" t="s">
        <v>58</v>
      </c>
      <c r="G144" t="s">
        <v>63</v>
      </c>
      <c r="H144" t="s">
        <v>63</v>
      </c>
      <c r="I144" t="s">
        <v>74</v>
      </c>
      <c r="J144" t="s">
        <v>69</v>
      </c>
      <c r="K144" t="s">
        <v>33</v>
      </c>
      <c r="L144">
        <v>49200</v>
      </c>
      <c r="M144" s="7">
        <v>49200</v>
      </c>
      <c r="O144" s="7"/>
      <c r="P144" s="7">
        <v>0</v>
      </c>
      <c r="Q144" s="8">
        <v>0</v>
      </c>
      <c r="R144" s="7">
        <v>0</v>
      </c>
      <c r="S144" s="9">
        <v>0</v>
      </c>
      <c r="T144" s="7">
        <v>0</v>
      </c>
      <c r="U144" s="8">
        <v>0</v>
      </c>
      <c r="V144" s="7">
        <v>0</v>
      </c>
      <c r="W144" s="8">
        <v>0</v>
      </c>
      <c r="X144" s="7">
        <f>M144</f>
        <v>49200</v>
      </c>
      <c r="Y144" s="8">
        <v>0.2</v>
      </c>
      <c r="Z144" s="7">
        <f t="shared" si="16"/>
        <v>59040</v>
      </c>
      <c r="AA144" s="8">
        <f>IFERROR(((Z144-X144)/Z144),0)</f>
        <v>0.16666666666666666</v>
      </c>
      <c r="AB144" s="8">
        <v>0.1</v>
      </c>
    </row>
    <row r="145" spans="1:28" x14ac:dyDescent="0.25">
      <c r="A145">
        <v>2026</v>
      </c>
      <c r="B145" t="s">
        <v>52</v>
      </c>
      <c r="C145" t="s">
        <v>57</v>
      </c>
      <c r="D145" t="s">
        <v>58</v>
      </c>
      <c r="G145" t="s">
        <v>63</v>
      </c>
      <c r="H145" t="s">
        <v>63</v>
      </c>
      <c r="I145" t="s">
        <v>75</v>
      </c>
      <c r="J145" t="s">
        <v>69</v>
      </c>
      <c r="K145" t="s">
        <v>33</v>
      </c>
      <c r="L145">
        <v>141600</v>
      </c>
      <c r="M145" s="7">
        <v>141600</v>
      </c>
      <c r="O145" s="7"/>
      <c r="P145" s="7">
        <v>0</v>
      </c>
      <c r="Q145" s="8">
        <v>0</v>
      </c>
      <c r="R145" s="7">
        <v>0</v>
      </c>
      <c r="S145" s="9">
        <v>0</v>
      </c>
      <c r="T145" s="7">
        <v>0</v>
      </c>
      <c r="U145" s="8">
        <v>0</v>
      </c>
      <c r="V145" s="7">
        <v>0</v>
      </c>
      <c r="W145" s="8">
        <v>0</v>
      </c>
      <c r="X145" s="7">
        <f>M145</f>
        <v>141600</v>
      </c>
      <c r="Y145" s="8">
        <v>0.2</v>
      </c>
      <c r="Z145" s="7">
        <f t="shared" si="16"/>
        <v>169920</v>
      </c>
      <c r="AA145" s="8">
        <f>IFERROR(((Z145-X145)/Z145),0)</f>
        <v>0.16666666666666666</v>
      </c>
      <c r="AB145" s="8">
        <v>0.1</v>
      </c>
    </row>
    <row r="146" spans="1:28" x14ac:dyDescent="0.25">
      <c r="A146">
        <v>2026</v>
      </c>
      <c r="B146" t="s">
        <v>52</v>
      </c>
      <c r="C146" t="s">
        <v>57</v>
      </c>
      <c r="D146" t="s">
        <v>58</v>
      </c>
      <c r="G146" t="s">
        <v>63</v>
      </c>
      <c r="H146" t="s">
        <v>63</v>
      </c>
      <c r="I146" t="s">
        <v>76</v>
      </c>
      <c r="J146" t="s">
        <v>69</v>
      </c>
      <c r="K146" t="s">
        <v>33</v>
      </c>
      <c r="L146">
        <v>174700</v>
      </c>
      <c r="M146" s="7">
        <v>174700</v>
      </c>
      <c r="O146" s="7"/>
      <c r="P146" s="7">
        <v>0</v>
      </c>
      <c r="Q146" s="8">
        <v>0</v>
      </c>
      <c r="R146" s="7">
        <v>0</v>
      </c>
      <c r="S146" s="9">
        <v>0</v>
      </c>
      <c r="T146" s="7">
        <v>0</v>
      </c>
      <c r="U146" s="8">
        <v>0</v>
      </c>
      <c r="V146" s="7">
        <v>0</v>
      </c>
      <c r="W146" s="8">
        <v>0</v>
      </c>
      <c r="X146" s="7">
        <f>M146</f>
        <v>174700</v>
      </c>
      <c r="Y146" s="8">
        <v>0.2</v>
      </c>
      <c r="Z146" s="7">
        <f t="shared" si="16"/>
        <v>209640</v>
      </c>
      <c r="AA146" s="8">
        <f>IFERROR(((Z146-X146)/Z146),0)</f>
        <v>0.16666666666666666</v>
      </c>
      <c r="AB146" s="8">
        <v>0.1</v>
      </c>
    </row>
    <row r="147" spans="1:28" x14ac:dyDescent="0.25">
      <c r="A147">
        <v>2026</v>
      </c>
      <c r="B147" t="s">
        <v>52</v>
      </c>
      <c r="C147" t="s">
        <v>57</v>
      </c>
      <c r="D147" t="s">
        <v>58</v>
      </c>
      <c r="G147" t="s">
        <v>63</v>
      </c>
      <c r="H147" t="s">
        <v>63</v>
      </c>
      <c r="I147" t="s">
        <v>77</v>
      </c>
      <c r="J147" t="s">
        <v>69</v>
      </c>
      <c r="K147" t="s">
        <v>33</v>
      </c>
      <c r="L147">
        <v>204000</v>
      </c>
      <c r="M147" s="7">
        <v>204000</v>
      </c>
      <c r="O147" s="7"/>
      <c r="P147" s="7">
        <v>0</v>
      </c>
      <c r="Q147" s="8">
        <v>0</v>
      </c>
      <c r="R147" s="7">
        <v>0</v>
      </c>
      <c r="S147" s="9">
        <v>0</v>
      </c>
      <c r="T147" s="7">
        <v>0</v>
      </c>
      <c r="U147" s="8">
        <v>0</v>
      </c>
      <c r="V147" s="7">
        <v>0</v>
      </c>
      <c r="W147" s="8">
        <v>0</v>
      </c>
      <c r="X147" s="7">
        <f>M147</f>
        <v>204000</v>
      </c>
      <c r="Y147" s="8">
        <v>0.2</v>
      </c>
      <c r="Z147" s="7">
        <f t="shared" si="16"/>
        <v>244800</v>
      </c>
      <c r="AA147" s="8">
        <f>IFERROR(((Z147-X147)/Z147),0)</f>
        <v>0.16666666666666666</v>
      </c>
      <c r="AB147" s="8">
        <v>0.1</v>
      </c>
    </row>
    <row r="148" spans="1:28" x14ac:dyDescent="0.25">
      <c r="A148">
        <v>2026</v>
      </c>
      <c r="B148" t="s">
        <v>52</v>
      </c>
      <c r="C148" t="s">
        <v>57</v>
      </c>
      <c r="D148" t="s">
        <v>58</v>
      </c>
      <c r="G148" t="s">
        <v>63</v>
      </c>
      <c r="H148" t="s">
        <v>63</v>
      </c>
      <c r="I148" t="s">
        <v>78</v>
      </c>
      <c r="J148" t="s">
        <v>69</v>
      </c>
      <c r="K148" t="s">
        <v>33</v>
      </c>
      <c r="L148">
        <v>49000</v>
      </c>
      <c r="M148" s="7">
        <v>49000</v>
      </c>
      <c r="O148" s="7"/>
      <c r="P148" s="7">
        <v>0</v>
      </c>
      <c r="Q148" s="8">
        <v>0</v>
      </c>
      <c r="R148" s="7">
        <v>0</v>
      </c>
      <c r="S148" s="9">
        <v>0</v>
      </c>
      <c r="T148" s="7">
        <v>0</v>
      </c>
      <c r="U148" s="8">
        <v>0</v>
      </c>
      <c r="V148" s="7">
        <v>0</v>
      </c>
      <c r="W148" s="8">
        <v>0</v>
      </c>
      <c r="X148" s="7">
        <f>M148</f>
        <v>49000</v>
      </c>
      <c r="Y148" s="8">
        <v>0.2</v>
      </c>
      <c r="Z148" s="7">
        <f t="shared" si="16"/>
        <v>58800</v>
      </c>
      <c r="AA148" s="8">
        <f>IFERROR(((Z148-X148)/Z148),0)</f>
        <v>0.16666666666666666</v>
      </c>
      <c r="AB148" s="8">
        <v>0.1</v>
      </c>
    </row>
    <row r="149" spans="1:28" x14ac:dyDescent="0.25">
      <c r="A149">
        <v>2026</v>
      </c>
      <c r="B149" t="s">
        <v>52</v>
      </c>
      <c r="C149" t="s">
        <v>57</v>
      </c>
      <c r="D149" t="s">
        <v>58</v>
      </c>
      <c r="G149" t="s">
        <v>63</v>
      </c>
      <c r="H149" t="s">
        <v>63</v>
      </c>
      <c r="I149" t="s">
        <v>79</v>
      </c>
      <c r="J149" t="s">
        <v>66</v>
      </c>
      <c r="K149" t="s">
        <v>33</v>
      </c>
      <c r="L149">
        <v>224100</v>
      </c>
      <c r="M149" s="7">
        <v>224100</v>
      </c>
      <c r="O149" s="7"/>
      <c r="P149" s="7">
        <v>0</v>
      </c>
      <c r="Q149" s="8">
        <v>0</v>
      </c>
      <c r="R149" s="7">
        <v>0</v>
      </c>
      <c r="S149" s="9">
        <v>0</v>
      </c>
      <c r="T149" s="7">
        <v>0</v>
      </c>
      <c r="U149" s="8">
        <v>0</v>
      </c>
      <c r="V149" s="7">
        <v>0</v>
      </c>
      <c r="W149" s="8">
        <v>0</v>
      </c>
      <c r="X149" s="7">
        <f>M149</f>
        <v>224100</v>
      </c>
      <c r="Y149" s="8">
        <v>0.2</v>
      </c>
      <c r="Z149" s="7">
        <f t="shared" si="16"/>
        <v>268920</v>
      </c>
      <c r="AA149" s="8">
        <f>IFERROR(((Z149-X149)/Z149),0)</f>
        <v>0.16666666666666666</v>
      </c>
      <c r="AB149" s="8">
        <v>0.1</v>
      </c>
    </row>
    <row r="150" spans="1:28" x14ac:dyDescent="0.25">
      <c r="A150">
        <v>2026</v>
      </c>
      <c r="B150" t="s">
        <v>52</v>
      </c>
      <c r="C150" t="s">
        <v>57</v>
      </c>
      <c r="D150" t="s">
        <v>58</v>
      </c>
      <c r="G150" t="s">
        <v>63</v>
      </c>
      <c r="H150" t="s">
        <v>63</v>
      </c>
      <c r="I150" t="s">
        <v>80</v>
      </c>
      <c r="J150" t="s">
        <v>66</v>
      </c>
      <c r="K150" t="s">
        <v>33</v>
      </c>
      <c r="L150">
        <v>38000</v>
      </c>
      <c r="M150" s="7">
        <v>38000</v>
      </c>
      <c r="O150" s="7"/>
      <c r="P150" s="7">
        <v>0</v>
      </c>
      <c r="Q150" s="8">
        <v>0</v>
      </c>
      <c r="R150" s="7">
        <v>0</v>
      </c>
      <c r="S150" s="9">
        <v>0</v>
      </c>
      <c r="T150" s="7">
        <v>0</v>
      </c>
      <c r="U150" s="8">
        <v>0</v>
      </c>
      <c r="V150" s="7">
        <v>0</v>
      </c>
      <c r="W150" s="8">
        <v>0</v>
      </c>
      <c r="X150" s="7">
        <f>M150</f>
        <v>38000</v>
      </c>
      <c r="Y150" s="8">
        <v>0.2</v>
      </c>
      <c r="Z150" s="7">
        <f t="shared" si="16"/>
        <v>45600</v>
      </c>
      <c r="AA150" s="8">
        <f>IFERROR(((Z150-X150)/Z150),0)</f>
        <v>0.16666666666666666</v>
      </c>
      <c r="AB150" s="8">
        <v>0.1</v>
      </c>
    </row>
    <row r="151" spans="1:28" x14ac:dyDescent="0.25">
      <c r="A151">
        <v>2026</v>
      </c>
      <c r="B151" t="s">
        <v>52</v>
      </c>
      <c r="C151" t="s">
        <v>57</v>
      </c>
      <c r="D151" t="s">
        <v>58</v>
      </c>
      <c r="G151" t="s">
        <v>63</v>
      </c>
      <c r="H151" t="s">
        <v>63</v>
      </c>
      <c r="I151" t="s">
        <v>81</v>
      </c>
      <c r="J151" t="s">
        <v>66</v>
      </c>
      <c r="K151" t="s">
        <v>33</v>
      </c>
      <c r="L151">
        <v>39800</v>
      </c>
      <c r="M151" s="7">
        <v>39800</v>
      </c>
      <c r="O151" s="7"/>
      <c r="P151" s="7">
        <v>0</v>
      </c>
      <c r="Q151" s="8">
        <v>0</v>
      </c>
      <c r="R151" s="7">
        <v>0</v>
      </c>
      <c r="S151" s="9">
        <v>0</v>
      </c>
      <c r="T151" s="7">
        <v>0</v>
      </c>
      <c r="U151" s="8">
        <v>0</v>
      </c>
      <c r="V151" s="7">
        <v>0</v>
      </c>
      <c r="W151" s="8">
        <v>0</v>
      </c>
      <c r="X151" s="7">
        <f>M151</f>
        <v>39800</v>
      </c>
      <c r="Y151" s="8">
        <v>0.2</v>
      </c>
      <c r="Z151" s="7">
        <f t="shared" si="16"/>
        <v>47760</v>
      </c>
      <c r="AA151" s="8">
        <f>IFERROR(((Z151-X151)/Z151),0)</f>
        <v>0.16666666666666666</v>
      </c>
      <c r="AB151" s="8">
        <v>0.1</v>
      </c>
    </row>
    <row r="152" spans="1:28" x14ac:dyDescent="0.25">
      <c r="A152">
        <v>2026</v>
      </c>
      <c r="B152" t="s">
        <v>53</v>
      </c>
      <c r="C152" t="s">
        <v>57</v>
      </c>
      <c r="D152" t="s">
        <v>58</v>
      </c>
      <c r="G152" t="s">
        <v>63</v>
      </c>
      <c r="H152" t="s">
        <v>63</v>
      </c>
      <c r="I152" t="s">
        <v>65</v>
      </c>
      <c r="J152" t="s">
        <v>66</v>
      </c>
      <c r="K152" t="s">
        <v>33</v>
      </c>
      <c r="L152">
        <v>28800</v>
      </c>
      <c r="M152" s="7">
        <v>28800</v>
      </c>
      <c r="O152" s="7"/>
      <c r="P152" s="7">
        <v>0</v>
      </c>
      <c r="Q152" s="8">
        <v>0</v>
      </c>
      <c r="R152" s="7">
        <v>0</v>
      </c>
      <c r="S152" s="9">
        <v>0</v>
      </c>
      <c r="T152" s="7">
        <v>0</v>
      </c>
      <c r="U152" s="8">
        <v>0</v>
      </c>
      <c r="V152" s="7">
        <v>0</v>
      </c>
      <c r="W152" s="8">
        <v>0</v>
      </c>
      <c r="X152" s="7">
        <f>M152</f>
        <v>28800</v>
      </c>
      <c r="Y152" s="8">
        <v>0.2</v>
      </c>
      <c r="Z152" s="7">
        <f>X152+(X152*Y152)</f>
        <v>34560</v>
      </c>
      <c r="AA152" s="8">
        <f>IFERROR(((Z152-X152)/Z152),0)</f>
        <v>0.16666666666666666</v>
      </c>
      <c r="AB152" s="8">
        <v>0.1</v>
      </c>
    </row>
    <row r="153" spans="1:28" x14ac:dyDescent="0.25">
      <c r="A153">
        <v>2026</v>
      </c>
      <c r="B153" t="s">
        <v>53</v>
      </c>
      <c r="C153" t="s">
        <v>57</v>
      </c>
      <c r="D153" t="s">
        <v>58</v>
      </c>
      <c r="G153" t="s">
        <v>63</v>
      </c>
      <c r="H153" t="s">
        <v>63</v>
      </c>
      <c r="I153" t="s">
        <v>67</v>
      </c>
      <c r="J153" t="s">
        <v>66</v>
      </c>
      <c r="K153" t="s">
        <v>33</v>
      </c>
      <c r="L153">
        <v>36700</v>
      </c>
      <c r="M153" s="7">
        <v>36700</v>
      </c>
      <c r="O153" s="7"/>
      <c r="P153" s="7">
        <v>0</v>
      </c>
      <c r="Q153" s="8">
        <v>0</v>
      </c>
      <c r="R153" s="7">
        <v>0</v>
      </c>
      <c r="S153" s="9">
        <v>0</v>
      </c>
      <c r="T153" s="7">
        <v>0</v>
      </c>
      <c r="U153" s="8">
        <v>0</v>
      </c>
      <c r="V153" s="7">
        <v>0</v>
      </c>
      <c r="W153" s="8">
        <v>0</v>
      </c>
      <c r="X153" s="7">
        <f>M153</f>
        <v>36700</v>
      </c>
      <c r="Y153" s="8">
        <v>0.2</v>
      </c>
      <c r="Z153" s="7">
        <f t="shared" ref="Z153:Z166" si="17">X153+(X153*Y153)</f>
        <v>44040</v>
      </c>
      <c r="AA153" s="8">
        <f>IFERROR(((Z153-X153)/Z153),0)</f>
        <v>0.16666666666666666</v>
      </c>
      <c r="AB153" s="8">
        <v>0.1</v>
      </c>
    </row>
    <row r="154" spans="1:28" x14ac:dyDescent="0.25">
      <c r="A154">
        <v>2026</v>
      </c>
      <c r="B154" t="s">
        <v>53</v>
      </c>
      <c r="C154" t="s">
        <v>57</v>
      </c>
      <c r="D154" t="s">
        <v>58</v>
      </c>
      <c r="G154" t="s">
        <v>63</v>
      </c>
      <c r="H154" t="s">
        <v>63</v>
      </c>
      <c r="I154" t="s">
        <v>68</v>
      </c>
      <c r="J154" t="s">
        <v>69</v>
      </c>
      <c r="K154" t="s">
        <v>33</v>
      </c>
      <c r="L154">
        <v>28000</v>
      </c>
      <c r="M154" s="7">
        <v>28000</v>
      </c>
      <c r="O154" s="7"/>
      <c r="P154" s="7">
        <v>0</v>
      </c>
      <c r="Q154" s="8">
        <v>0</v>
      </c>
      <c r="R154" s="7">
        <v>0</v>
      </c>
      <c r="S154" s="9">
        <v>0</v>
      </c>
      <c r="T154" s="7">
        <v>0</v>
      </c>
      <c r="U154" s="8">
        <v>0</v>
      </c>
      <c r="V154" s="7">
        <v>0</v>
      </c>
      <c r="W154" s="8">
        <v>0</v>
      </c>
      <c r="X154" s="7">
        <f>M154</f>
        <v>28000</v>
      </c>
      <c r="Y154" s="8">
        <v>0.2</v>
      </c>
      <c r="Z154" s="7">
        <f t="shared" si="17"/>
        <v>33600</v>
      </c>
      <c r="AA154" s="8">
        <f>IFERROR(((Z154-X154)/Z154),0)</f>
        <v>0.16666666666666666</v>
      </c>
      <c r="AB154" s="8">
        <v>0.1</v>
      </c>
    </row>
    <row r="155" spans="1:28" x14ac:dyDescent="0.25">
      <c r="A155">
        <v>2026</v>
      </c>
      <c r="B155" t="s">
        <v>53</v>
      </c>
      <c r="C155" t="s">
        <v>57</v>
      </c>
      <c r="D155" t="s">
        <v>58</v>
      </c>
      <c r="G155" t="s">
        <v>63</v>
      </c>
      <c r="H155" t="s">
        <v>63</v>
      </c>
      <c r="I155" t="s">
        <v>70</v>
      </c>
      <c r="J155" t="s">
        <v>69</v>
      </c>
      <c r="K155" t="s">
        <v>33</v>
      </c>
      <c r="L155">
        <v>36700</v>
      </c>
      <c r="M155" s="7">
        <v>36700</v>
      </c>
      <c r="O155" s="7"/>
      <c r="P155" s="7">
        <v>0</v>
      </c>
      <c r="Q155" s="8">
        <v>0</v>
      </c>
      <c r="R155" s="7">
        <v>0</v>
      </c>
      <c r="S155" s="9">
        <v>0</v>
      </c>
      <c r="T155" s="7">
        <v>0</v>
      </c>
      <c r="U155" s="8">
        <v>0</v>
      </c>
      <c r="V155" s="7">
        <v>0</v>
      </c>
      <c r="W155" s="8">
        <v>0</v>
      </c>
      <c r="X155" s="7">
        <f>M155</f>
        <v>36700</v>
      </c>
      <c r="Y155" s="8">
        <v>0.2</v>
      </c>
      <c r="Z155" s="7">
        <f t="shared" si="17"/>
        <v>44040</v>
      </c>
      <c r="AA155" s="8">
        <f>IFERROR(((Z155-X155)/Z155),0)</f>
        <v>0.16666666666666666</v>
      </c>
      <c r="AB155" s="8">
        <v>0.1</v>
      </c>
    </row>
    <row r="156" spans="1:28" x14ac:dyDescent="0.25">
      <c r="A156">
        <v>2026</v>
      </c>
      <c r="B156" t="s">
        <v>53</v>
      </c>
      <c r="C156" t="s">
        <v>57</v>
      </c>
      <c r="D156" t="s">
        <v>58</v>
      </c>
      <c r="G156" t="s">
        <v>63</v>
      </c>
      <c r="H156" t="s">
        <v>63</v>
      </c>
      <c r="I156" t="s">
        <v>71</v>
      </c>
      <c r="J156" t="s">
        <v>69</v>
      </c>
      <c r="K156" t="s">
        <v>33</v>
      </c>
      <c r="L156">
        <v>21900</v>
      </c>
      <c r="M156" s="7">
        <v>21900</v>
      </c>
      <c r="O156" s="7"/>
      <c r="P156" s="7">
        <v>0</v>
      </c>
      <c r="Q156" s="8">
        <v>0</v>
      </c>
      <c r="R156" s="7">
        <v>0</v>
      </c>
      <c r="S156" s="9">
        <v>0</v>
      </c>
      <c r="T156" s="7">
        <v>0</v>
      </c>
      <c r="U156" s="8">
        <v>0</v>
      </c>
      <c r="V156" s="7">
        <v>0</v>
      </c>
      <c r="W156" s="8">
        <v>0</v>
      </c>
      <c r="X156" s="7">
        <f>M156</f>
        <v>21900</v>
      </c>
      <c r="Y156" s="8">
        <v>0.2</v>
      </c>
      <c r="Z156" s="7">
        <f t="shared" si="17"/>
        <v>26280</v>
      </c>
      <c r="AA156" s="8">
        <f>IFERROR(((Z156-X156)/Z156),0)</f>
        <v>0.16666666666666666</v>
      </c>
      <c r="AB156" s="8">
        <v>0.1</v>
      </c>
    </row>
    <row r="157" spans="1:28" x14ac:dyDescent="0.25">
      <c r="A157">
        <v>2026</v>
      </c>
      <c r="B157" t="s">
        <v>53</v>
      </c>
      <c r="C157" t="s">
        <v>57</v>
      </c>
      <c r="D157" t="s">
        <v>58</v>
      </c>
      <c r="G157" t="s">
        <v>63</v>
      </c>
      <c r="H157" t="s">
        <v>63</v>
      </c>
      <c r="I157" t="s">
        <v>72</v>
      </c>
      <c r="J157" t="s">
        <v>69</v>
      </c>
      <c r="K157" t="s">
        <v>33</v>
      </c>
      <c r="L157">
        <v>114900</v>
      </c>
      <c r="M157" s="7">
        <v>114900</v>
      </c>
      <c r="O157" s="7"/>
      <c r="P157" s="7">
        <v>0</v>
      </c>
      <c r="Q157" s="8">
        <v>0</v>
      </c>
      <c r="R157" s="7">
        <v>0</v>
      </c>
      <c r="S157" s="9">
        <v>0</v>
      </c>
      <c r="T157" s="7">
        <v>0</v>
      </c>
      <c r="U157" s="8">
        <v>0</v>
      </c>
      <c r="V157" s="7">
        <v>0</v>
      </c>
      <c r="W157" s="8">
        <v>0</v>
      </c>
      <c r="X157" s="7">
        <f>M157</f>
        <v>114900</v>
      </c>
      <c r="Y157" s="8">
        <v>0.2</v>
      </c>
      <c r="Z157" s="7">
        <f t="shared" si="17"/>
        <v>137880</v>
      </c>
      <c r="AA157" s="8">
        <f>IFERROR(((Z157-X157)/Z157),0)</f>
        <v>0.16666666666666666</v>
      </c>
      <c r="AB157" s="8">
        <v>0.1</v>
      </c>
    </row>
    <row r="158" spans="1:28" x14ac:dyDescent="0.25">
      <c r="A158">
        <v>2026</v>
      </c>
      <c r="B158" t="s">
        <v>53</v>
      </c>
      <c r="C158" t="s">
        <v>57</v>
      </c>
      <c r="D158" t="s">
        <v>58</v>
      </c>
      <c r="G158" t="s">
        <v>63</v>
      </c>
      <c r="H158" t="s">
        <v>63</v>
      </c>
      <c r="I158" t="s">
        <v>73</v>
      </c>
      <c r="J158" t="s">
        <v>69</v>
      </c>
      <c r="K158" t="s">
        <v>33</v>
      </c>
      <c r="L158">
        <v>28000</v>
      </c>
      <c r="M158" s="7">
        <v>28000</v>
      </c>
      <c r="O158" s="7"/>
      <c r="P158" s="7">
        <v>0</v>
      </c>
      <c r="Q158" s="8">
        <v>0</v>
      </c>
      <c r="R158" s="7">
        <v>0</v>
      </c>
      <c r="S158" s="9">
        <v>0</v>
      </c>
      <c r="T158" s="7">
        <v>0</v>
      </c>
      <c r="U158" s="8">
        <v>0</v>
      </c>
      <c r="V158" s="7">
        <v>0</v>
      </c>
      <c r="W158" s="8">
        <v>0</v>
      </c>
      <c r="X158" s="7">
        <f>M158</f>
        <v>28000</v>
      </c>
      <c r="Y158" s="8">
        <v>0.2</v>
      </c>
      <c r="Z158" s="7">
        <f t="shared" si="17"/>
        <v>33600</v>
      </c>
      <c r="AA158" s="8">
        <f>IFERROR(((Z158-X158)/Z158),0)</f>
        <v>0.16666666666666666</v>
      </c>
      <c r="AB158" s="8">
        <v>0.1</v>
      </c>
    </row>
    <row r="159" spans="1:28" x14ac:dyDescent="0.25">
      <c r="A159">
        <v>2026</v>
      </c>
      <c r="B159" t="s">
        <v>53</v>
      </c>
      <c r="C159" t="s">
        <v>57</v>
      </c>
      <c r="D159" t="s">
        <v>58</v>
      </c>
      <c r="G159" t="s">
        <v>63</v>
      </c>
      <c r="H159" t="s">
        <v>63</v>
      </c>
      <c r="I159" t="s">
        <v>74</v>
      </c>
      <c r="J159" t="s">
        <v>69</v>
      </c>
      <c r="K159" t="s">
        <v>33</v>
      </c>
      <c r="L159">
        <v>49200</v>
      </c>
      <c r="M159" s="7">
        <v>49200</v>
      </c>
      <c r="O159" s="7"/>
      <c r="P159" s="7">
        <v>0</v>
      </c>
      <c r="Q159" s="8">
        <v>0</v>
      </c>
      <c r="R159" s="7">
        <v>0</v>
      </c>
      <c r="S159" s="9">
        <v>0</v>
      </c>
      <c r="T159" s="7">
        <v>0</v>
      </c>
      <c r="U159" s="8">
        <v>0</v>
      </c>
      <c r="V159" s="7">
        <v>0</v>
      </c>
      <c r="W159" s="8">
        <v>0</v>
      </c>
      <c r="X159" s="7">
        <f>M159</f>
        <v>49200</v>
      </c>
      <c r="Y159" s="8">
        <v>0.2</v>
      </c>
      <c r="Z159" s="7">
        <f t="shared" si="17"/>
        <v>59040</v>
      </c>
      <c r="AA159" s="8">
        <f>IFERROR(((Z159-X159)/Z159),0)</f>
        <v>0.16666666666666666</v>
      </c>
      <c r="AB159" s="8">
        <v>0.1</v>
      </c>
    </row>
    <row r="160" spans="1:28" x14ac:dyDescent="0.25">
      <c r="A160">
        <v>2026</v>
      </c>
      <c r="B160" t="s">
        <v>53</v>
      </c>
      <c r="C160" t="s">
        <v>57</v>
      </c>
      <c r="D160" t="s">
        <v>58</v>
      </c>
      <c r="G160" t="s">
        <v>63</v>
      </c>
      <c r="H160" t="s">
        <v>63</v>
      </c>
      <c r="I160" t="s">
        <v>75</v>
      </c>
      <c r="J160" t="s">
        <v>69</v>
      </c>
      <c r="K160" t="s">
        <v>33</v>
      </c>
      <c r="L160">
        <v>141600</v>
      </c>
      <c r="M160" s="7">
        <v>141600</v>
      </c>
      <c r="O160" s="7"/>
      <c r="P160" s="7">
        <v>0</v>
      </c>
      <c r="Q160" s="8">
        <v>0</v>
      </c>
      <c r="R160" s="7">
        <v>0</v>
      </c>
      <c r="S160" s="9">
        <v>0</v>
      </c>
      <c r="T160" s="7">
        <v>0</v>
      </c>
      <c r="U160" s="8">
        <v>0</v>
      </c>
      <c r="V160" s="7">
        <v>0</v>
      </c>
      <c r="W160" s="8">
        <v>0</v>
      </c>
      <c r="X160" s="7">
        <f>M160</f>
        <v>141600</v>
      </c>
      <c r="Y160" s="8">
        <v>0.2</v>
      </c>
      <c r="Z160" s="7">
        <f t="shared" si="17"/>
        <v>169920</v>
      </c>
      <c r="AA160" s="8">
        <f>IFERROR(((Z160-X160)/Z160),0)</f>
        <v>0.16666666666666666</v>
      </c>
      <c r="AB160" s="8">
        <v>0.1</v>
      </c>
    </row>
    <row r="161" spans="1:28" x14ac:dyDescent="0.25">
      <c r="A161">
        <v>2026</v>
      </c>
      <c r="B161" t="s">
        <v>53</v>
      </c>
      <c r="C161" t="s">
        <v>57</v>
      </c>
      <c r="D161" t="s">
        <v>58</v>
      </c>
      <c r="G161" t="s">
        <v>63</v>
      </c>
      <c r="H161" t="s">
        <v>63</v>
      </c>
      <c r="I161" t="s">
        <v>76</v>
      </c>
      <c r="J161" t="s">
        <v>69</v>
      </c>
      <c r="K161" t="s">
        <v>33</v>
      </c>
      <c r="L161">
        <v>174700</v>
      </c>
      <c r="M161" s="7">
        <v>174700</v>
      </c>
      <c r="O161" s="7"/>
      <c r="P161" s="7">
        <v>0</v>
      </c>
      <c r="Q161" s="8">
        <v>0</v>
      </c>
      <c r="R161" s="7">
        <v>0</v>
      </c>
      <c r="S161" s="9">
        <v>0</v>
      </c>
      <c r="T161" s="7">
        <v>0</v>
      </c>
      <c r="U161" s="8">
        <v>0</v>
      </c>
      <c r="V161" s="7">
        <v>0</v>
      </c>
      <c r="W161" s="8">
        <v>0</v>
      </c>
      <c r="X161" s="7">
        <f>M161</f>
        <v>174700</v>
      </c>
      <c r="Y161" s="8">
        <v>0.2</v>
      </c>
      <c r="Z161" s="7">
        <f t="shared" si="17"/>
        <v>209640</v>
      </c>
      <c r="AA161" s="8">
        <f>IFERROR(((Z161-X161)/Z161),0)</f>
        <v>0.16666666666666666</v>
      </c>
      <c r="AB161" s="8">
        <v>0.1</v>
      </c>
    </row>
    <row r="162" spans="1:28" x14ac:dyDescent="0.25">
      <c r="A162">
        <v>2026</v>
      </c>
      <c r="B162" t="s">
        <v>53</v>
      </c>
      <c r="C162" t="s">
        <v>57</v>
      </c>
      <c r="D162" t="s">
        <v>58</v>
      </c>
      <c r="G162" t="s">
        <v>63</v>
      </c>
      <c r="H162" t="s">
        <v>63</v>
      </c>
      <c r="I162" t="s">
        <v>77</v>
      </c>
      <c r="J162" t="s">
        <v>69</v>
      </c>
      <c r="K162" t="s">
        <v>33</v>
      </c>
      <c r="L162">
        <v>204000</v>
      </c>
      <c r="M162" s="7">
        <v>204000</v>
      </c>
      <c r="O162" s="7"/>
      <c r="P162" s="7">
        <v>0</v>
      </c>
      <c r="Q162" s="8">
        <v>0</v>
      </c>
      <c r="R162" s="7">
        <v>0</v>
      </c>
      <c r="S162" s="9">
        <v>0</v>
      </c>
      <c r="T162" s="7">
        <v>0</v>
      </c>
      <c r="U162" s="8">
        <v>0</v>
      </c>
      <c r="V162" s="7">
        <v>0</v>
      </c>
      <c r="W162" s="8">
        <v>0</v>
      </c>
      <c r="X162" s="7">
        <f>M162</f>
        <v>204000</v>
      </c>
      <c r="Y162" s="8">
        <v>0.2</v>
      </c>
      <c r="Z162" s="7">
        <f t="shared" si="17"/>
        <v>244800</v>
      </c>
      <c r="AA162" s="8">
        <f>IFERROR(((Z162-X162)/Z162),0)</f>
        <v>0.16666666666666666</v>
      </c>
      <c r="AB162" s="8">
        <v>0.1</v>
      </c>
    </row>
    <row r="163" spans="1:28" x14ac:dyDescent="0.25">
      <c r="A163">
        <v>2026</v>
      </c>
      <c r="B163" t="s">
        <v>53</v>
      </c>
      <c r="C163" t="s">
        <v>57</v>
      </c>
      <c r="D163" t="s">
        <v>58</v>
      </c>
      <c r="G163" t="s">
        <v>63</v>
      </c>
      <c r="H163" t="s">
        <v>63</v>
      </c>
      <c r="I163" t="s">
        <v>78</v>
      </c>
      <c r="J163" t="s">
        <v>69</v>
      </c>
      <c r="K163" t="s">
        <v>33</v>
      </c>
      <c r="L163">
        <v>49000</v>
      </c>
      <c r="M163" s="7">
        <v>49000</v>
      </c>
      <c r="O163" s="7"/>
      <c r="P163" s="7">
        <v>0</v>
      </c>
      <c r="Q163" s="8">
        <v>0</v>
      </c>
      <c r="R163" s="7">
        <v>0</v>
      </c>
      <c r="S163" s="9">
        <v>0</v>
      </c>
      <c r="T163" s="7">
        <v>0</v>
      </c>
      <c r="U163" s="8">
        <v>0</v>
      </c>
      <c r="V163" s="7">
        <v>0</v>
      </c>
      <c r="W163" s="8">
        <v>0</v>
      </c>
      <c r="X163" s="7">
        <f>M163</f>
        <v>49000</v>
      </c>
      <c r="Y163" s="8">
        <v>0.2</v>
      </c>
      <c r="Z163" s="7">
        <f t="shared" si="17"/>
        <v>58800</v>
      </c>
      <c r="AA163" s="8">
        <f>IFERROR(((Z163-X163)/Z163),0)</f>
        <v>0.16666666666666666</v>
      </c>
      <c r="AB163" s="8">
        <v>0.1</v>
      </c>
    </row>
    <row r="164" spans="1:28" x14ac:dyDescent="0.25">
      <c r="A164">
        <v>2026</v>
      </c>
      <c r="B164" t="s">
        <v>53</v>
      </c>
      <c r="C164" t="s">
        <v>57</v>
      </c>
      <c r="D164" t="s">
        <v>58</v>
      </c>
      <c r="G164" t="s">
        <v>63</v>
      </c>
      <c r="H164" t="s">
        <v>63</v>
      </c>
      <c r="I164" t="s">
        <v>79</v>
      </c>
      <c r="J164" t="s">
        <v>66</v>
      </c>
      <c r="K164" t="s">
        <v>33</v>
      </c>
      <c r="L164">
        <v>224100</v>
      </c>
      <c r="M164" s="7">
        <v>224100</v>
      </c>
      <c r="O164" s="7"/>
      <c r="P164" s="7">
        <v>0</v>
      </c>
      <c r="Q164" s="8">
        <v>0</v>
      </c>
      <c r="R164" s="7">
        <v>0</v>
      </c>
      <c r="S164" s="9">
        <v>0</v>
      </c>
      <c r="T164" s="7">
        <v>0</v>
      </c>
      <c r="U164" s="8">
        <v>0</v>
      </c>
      <c r="V164" s="7">
        <v>0</v>
      </c>
      <c r="W164" s="8">
        <v>0</v>
      </c>
      <c r="X164" s="7">
        <f>M164</f>
        <v>224100</v>
      </c>
      <c r="Y164" s="8">
        <v>0.2</v>
      </c>
      <c r="Z164" s="7">
        <f t="shared" si="17"/>
        <v>268920</v>
      </c>
      <c r="AA164" s="8">
        <f>IFERROR(((Z164-X164)/Z164),0)</f>
        <v>0.16666666666666666</v>
      </c>
      <c r="AB164" s="8">
        <v>0.1</v>
      </c>
    </row>
    <row r="165" spans="1:28" x14ac:dyDescent="0.25">
      <c r="A165">
        <v>2026</v>
      </c>
      <c r="B165" t="s">
        <v>53</v>
      </c>
      <c r="C165" t="s">
        <v>57</v>
      </c>
      <c r="D165" t="s">
        <v>58</v>
      </c>
      <c r="G165" t="s">
        <v>63</v>
      </c>
      <c r="H165" t="s">
        <v>63</v>
      </c>
      <c r="I165" t="s">
        <v>80</v>
      </c>
      <c r="J165" t="s">
        <v>66</v>
      </c>
      <c r="K165" t="s">
        <v>33</v>
      </c>
      <c r="L165">
        <v>38000</v>
      </c>
      <c r="M165" s="7">
        <v>38000</v>
      </c>
      <c r="O165" s="7"/>
      <c r="P165" s="7">
        <v>0</v>
      </c>
      <c r="Q165" s="8">
        <v>0</v>
      </c>
      <c r="R165" s="7">
        <v>0</v>
      </c>
      <c r="S165" s="9">
        <v>0</v>
      </c>
      <c r="T165" s="7">
        <v>0</v>
      </c>
      <c r="U165" s="8">
        <v>0</v>
      </c>
      <c r="V165" s="7">
        <v>0</v>
      </c>
      <c r="W165" s="8">
        <v>0</v>
      </c>
      <c r="X165" s="7">
        <f>M165</f>
        <v>38000</v>
      </c>
      <c r="Y165" s="8">
        <v>0.2</v>
      </c>
      <c r="Z165" s="7">
        <f t="shared" si="17"/>
        <v>45600</v>
      </c>
      <c r="AA165" s="8">
        <f>IFERROR(((Z165-X165)/Z165),0)</f>
        <v>0.16666666666666666</v>
      </c>
      <c r="AB165" s="8">
        <v>0.1</v>
      </c>
    </row>
    <row r="166" spans="1:28" x14ac:dyDescent="0.25">
      <c r="A166">
        <v>2026</v>
      </c>
      <c r="B166" t="s">
        <v>53</v>
      </c>
      <c r="C166" t="s">
        <v>57</v>
      </c>
      <c r="D166" t="s">
        <v>58</v>
      </c>
      <c r="G166" t="s">
        <v>63</v>
      </c>
      <c r="H166" t="s">
        <v>63</v>
      </c>
      <c r="I166" t="s">
        <v>81</v>
      </c>
      <c r="J166" t="s">
        <v>66</v>
      </c>
      <c r="K166" t="s">
        <v>33</v>
      </c>
      <c r="L166">
        <v>39800</v>
      </c>
      <c r="M166" s="7">
        <v>39800</v>
      </c>
      <c r="O166" s="7"/>
      <c r="P166" s="7">
        <v>0</v>
      </c>
      <c r="Q166" s="8">
        <v>0</v>
      </c>
      <c r="R166" s="7">
        <v>0</v>
      </c>
      <c r="S166" s="9">
        <v>0</v>
      </c>
      <c r="T166" s="7">
        <v>0</v>
      </c>
      <c r="U166" s="8">
        <v>0</v>
      </c>
      <c r="V166" s="7">
        <v>0</v>
      </c>
      <c r="W166" s="8">
        <v>0</v>
      </c>
      <c r="X166" s="7">
        <f>M166</f>
        <v>39800</v>
      </c>
      <c r="Y166" s="8">
        <v>0.2</v>
      </c>
      <c r="Z166" s="7">
        <f t="shared" si="17"/>
        <v>47760</v>
      </c>
      <c r="AA166" s="8">
        <f>IFERROR(((Z166-X166)/Z166),0)</f>
        <v>0.16666666666666666</v>
      </c>
      <c r="AB166" s="8">
        <v>0.1</v>
      </c>
    </row>
    <row r="167" spans="1:28" x14ac:dyDescent="0.25">
      <c r="A167">
        <v>2026</v>
      </c>
      <c r="B167" t="s">
        <v>54</v>
      </c>
      <c r="C167" t="s">
        <v>57</v>
      </c>
      <c r="D167" t="s">
        <v>58</v>
      </c>
      <c r="G167" t="s">
        <v>63</v>
      </c>
      <c r="H167" t="s">
        <v>63</v>
      </c>
      <c r="I167" t="s">
        <v>65</v>
      </c>
      <c r="J167" t="s">
        <v>66</v>
      </c>
      <c r="K167" t="s">
        <v>33</v>
      </c>
      <c r="L167">
        <v>28800</v>
      </c>
      <c r="M167" s="7">
        <v>28800</v>
      </c>
      <c r="O167" s="7"/>
      <c r="P167" s="7">
        <v>0</v>
      </c>
      <c r="Q167" s="8">
        <v>0</v>
      </c>
      <c r="R167" s="7">
        <v>0</v>
      </c>
      <c r="S167" s="9">
        <v>0</v>
      </c>
      <c r="T167" s="7">
        <v>0</v>
      </c>
      <c r="U167" s="8">
        <v>0</v>
      </c>
      <c r="V167" s="7">
        <v>0</v>
      </c>
      <c r="W167" s="8">
        <v>0</v>
      </c>
      <c r="X167" s="7">
        <f>M167</f>
        <v>28800</v>
      </c>
      <c r="Y167" s="8">
        <v>0.2</v>
      </c>
      <c r="Z167" s="7">
        <f>X167+(X167*Y167)</f>
        <v>34560</v>
      </c>
      <c r="AA167" s="8">
        <f>IFERROR(((Z167-X167)/Z167),0)</f>
        <v>0.16666666666666666</v>
      </c>
      <c r="AB167" s="8">
        <v>0.1</v>
      </c>
    </row>
    <row r="168" spans="1:28" x14ac:dyDescent="0.25">
      <c r="A168">
        <v>2026</v>
      </c>
      <c r="B168" t="s">
        <v>54</v>
      </c>
      <c r="C168" t="s">
        <v>57</v>
      </c>
      <c r="D168" t="s">
        <v>58</v>
      </c>
      <c r="G168" t="s">
        <v>63</v>
      </c>
      <c r="H168" t="s">
        <v>63</v>
      </c>
      <c r="I168" t="s">
        <v>67</v>
      </c>
      <c r="J168" t="s">
        <v>66</v>
      </c>
      <c r="K168" t="s">
        <v>33</v>
      </c>
      <c r="L168">
        <v>36700</v>
      </c>
      <c r="M168" s="7">
        <v>36700</v>
      </c>
      <c r="O168" s="7"/>
      <c r="P168" s="7">
        <v>0</v>
      </c>
      <c r="Q168" s="8">
        <v>0</v>
      </c>
      <c r="R168" s="7">
        <v>0</v>
      </c>
      <c r="S168" s="9">
        <v>0</v>
      </c>
      <c r="T168" s="7">
        <v>0</v>
      </c>
      <c r="U168" s="8">
        <v>0</v>
      </c>
      <c r="V168" s="7">
        <v>0</v>
      </c>
      <c r="W168" s="8">
        <v>0</v>
      </c>
      <c r="X168" s="7">
        <f>M168</f>
        <v>36700</v>
      </c>
      <c r="Y168" s="8">
        <v>0.2</v>
      </c>
      <c r="Z168" s="7">
        <f t="shared" ref="Z168:Z181" si="18">X168+(X168*Y168)</f>
        <v>44040</v>
      </c>
      <c r="AA168" s="8">
        <f>IFERROR(((Z168-X168)/Z168),0)</f>
        <v>0.16666666666666666</v>
      </c>
      <c r="AB168" s="8">
        <v>0.1</v>
      </c>
    </row>
    <row r="169" spans="1:28" x14ac:dyDescent="0.25">
      <c r="A169">
        <v>2026</v>
      </c>
      <c r="B169" t="s">
        <v>54</v>
      </c>
      <c r="C169" t="s">
        <v>57</v>
      </c>
      <c r="D169" t="s">
        <v>58</v>
      </c>
      <c r="G169" t="s">
        <v>63</v>
      </c>
      <c r="H169" t="s">
        <v>63</v>
      </c>
      <c r="I169" t="s">
        <v>68</v>
      </c>
      <c r="J169" t="s">
        <v>69</v>
      </c>
      <c r="K169" t="s">
        <v>33</v>
      </c>
      <c r="L169">
        <v>28000</v>
      </c>
      <c r="M169" s="7">
        <v>28000</v>
      </c>
      <c r="O169" s="7"/>
      <c r="P169" s="7">
        <v>0</v>
      </c>
      <c r="Q169" s="8">
        <v>0</v>
      </c>
      <c r="R169" s="7">
        <v>0</v>
      </c>
      <c r="S169" s="9">
        <v>0</v>
      </c>
      <c r="T169" s="7">
        <v>0</v>
      </c>
      <c r="U169" s="8">
        <v>0</v>
      </c>
      <c r="V169" s="7">
        <v>0</v>
      </c>
      <c r="W169" s="8">
        <v>0</v>
      </c>
      <c r="X169" s="7">
        <f>M169</f>
        <v>28000</v>
      </c>
      <c r="Y169" s="8">
        <v>0.2</v>
      </c>
      <c r="Z169" s="7">
        <f t="shared" si="18"/>
        <v>33600</v>
      </c>
      <c r="AA169" s="8">
        <f>IFERROR(((Z169-X169)/Z169),0)</f>
        <v>0.16666666666666666</v>
      </c>
      <c r="AB169" s="8">
        <v>0.1</v>
      </c>
    </row>
    <row r="170" spans="1:28" x14ac:dyDescent="0.25">
      <c r="A170">
        <v>2026</v>
      </c>
      <c r="B170" t="s">
        <v>54</v>
      </c>
      <c r="C170" t="s">
        <v>57</v>
      </c>
      <c r="D170" t="s">
        <v>58</v>
      </c>
      <c r="G170" t="s">
        <v>63</v>
      </c>
      <c r="H170" t="s">
        <v>63</v>
      </c>
      <c r="I170" t="s">
        <v>70</v>
      </c>
      <c r="J170" t="s">
        <v>69</v>
      </c>
      <c r="K170" t="s">
        <v>33</v>
      </c>
      <c r="L170">
        <v>36700</v>
      </c>
      <c r="M170" s="7">
        <v>36700</v>
      </c>
      <c r="O170" s="7"/>
      <c r="P170" s="7">
        <v>0</v>
      </c>
      <c r="Q170" s="8">
        <v>0</v>
      </c>
      <c r="R170" s="7">
        <v>0</v>
      </c>
      <c r="S170" s="9">
        <v>0</v>
      </c>
      <c r="T170" s="7">
        <v>0</v>
      </c>
      <c r="U170" s="8">
        <v>0</v>
      </c>
      <c r="V170" s="7">
        <v>0</v>
      </c>
      <c r="W170" s="8">
        <v>0</v>
      </c>
      <c r="X170" s="7">
        <f>M170</f>
        <v>36700</v>
      </c>
      <c r="Y170" s="8">
        <v>0.2</v>
      </c>
      <c r="Z170" s="7">
        <f t="shared" si="18"/>
        <v>44040</v>
      </c>
      <c r="AA170" s="8">
        <f>IFERROR(((Z170-X170)/Z170),0)</f>
        <v>0.16666666666666666</v>
      </c>
      <c r="AB170" s="8">
        <v>0.1</v>
      </c>
    </row>
    <row r="171" spans="1:28" x14ac:dyDescent="0.25">
      <c r="A171">
        <v>2026</v>
      </c>
      <c r="B171" t="s">
        <v>54</v>
      </c>
      <c r="C171" t="s">
        <v>57</v>
      </c>
      <c r="D171" t="s">
        <v>58</v>
      </c>
      <c r="G171" t="s">
        <v>63</v>
      </c>
      <c r="H171" t="s">
        <v>63</v>
      </c>
      <c r="I171" t="s">
        <v>71</v>
      </c>
      <c r="J171" t="s">
        <v>69</v>
      </c>
      <c r="K171" t="s">
        <v>33</v>
      </c>
      <c r="L171">
        <v>21900</v>
      </c>
      <c r="M171" s="7">
        <v>21900</v>
      </c>
      <c r="O171" s="7"/>
      <c r="P171" s="7">
        <v>0</v>
      </c>
      <c r="Q171" s="8">
        <v>0</v>
      </c>
      <c r="R171" s="7">
        <v>0</v>
      </c>
      <c r="S171" s="9">
        <v>0</v>
      </c>
      <c r="T171" s="7">
        <v>0</v>
      </c>
      <c r="U171" s="8">
        <v>0</v>
      </c>
      <c r="V171" s="7">
        <v>0</v>
      </c>
      <c r="W171" s="8">
        <v>0</v>
      </c>
      <c r="X171" s="7">
        <f>M171</f>
        <v>21900</v>
      </c>
      <c r="Y171" s="8">
        <v>0.2</v>
      </c>
      <c r="Z171" s="7">
        <f t="shared" si="18"/>
        <v>26280</v>
      </c>
      <c r="AA171" s="8">
        <f>IFERROR(((Z171-X171)/Z171),0)</f>
        <v>0.16666666666666666</v>
      </c>
      <c r="AB171" s="8">
        <v>0.1</v>
      </c>
    </row>
    <row r="172" spans="1:28" x14ac:dyDescent="0.25">
      <c r="A172">
        <v>2026</v>
      </c>
      <c r="B172" t="s">
        <v>54</v>
      </c>
      <c r="C172" t="s">
        <v>57</v>
      </c>
      <c r="D172" t="s">
        <v>58</v>
      </c>
      <c r="G172" t="s">
        <v>63</v>
      </c>
      <c r="H172" t="s">
        <v>63</v>
      </c>
      <c r="I172" t="s">
        <v>72</v>
      </c>
      <c r="J172" t="s">
        <v>69</v>
      </c>
      <c r="K172" t="s">
        <v>33</v>
      </c>
      <c r="L172">
        <v>114900</v>
      </c>
      <c r="M172" s="7">
        <v>114900</v>
      </c>
      <c r="O172" s="7"/>
      <c r="P172" s="7">
        <v>0</v>
      </c>
      <c r="Q172" s="8">
        <v>0</v>
      </c>
      <c r="R172" s="7">
        <v>0</v>
      </c>
      <c r="S172" s="9">
        <v>0</v>
      </c>
      <c r="T172" s="7">
        <v>0</v>
      </c>
      <c r="U172" s="8">
        <v>0</v>
      </c>
      <c r="V172" s="7">
        <v>0</v>
      </c>
      <c r="W172" s="8">
        <v>0</v>
      </c>
      <c r="X172" s="7">
        <f>M172</f>
        <v>114900</v>
      </c>
      <c r="Y172" s="8">
        <v>0.2</v>
      </c>
      <c r="Z172" s="7">
        <f t="shared" si="18"/>
        <v>137880</v>
      </c>
      <c r="AA172" s="8">
        <f>IFERROR(((Z172-X172)/Z172),0)</f>
        <v>0.16666666666666666</v>
      </c>
      <c r="AB172" s="8">
        <v>0.1</v>
      </c>
    </row>
    <row r="173" spans="1:28" x14ac:dyDescent="0.25">
      <c r="A173">
        <v>2026</v>
      </c>
      <c r="B173" t="s">
        <v>54</v>
      </c>
      <c r="C173" t="s">
        <v>57</v>
      </c>
      <c r="D173" t="s">
        <v>58</v>
      </c>
      <c r="G173" t="s">
        <v>63</v>
      </c>
      <c r="H173" t="s">
        <v>63</v>
      </c>
      <c r="I173" t="s">
        <v>73</v>
      </c>
      <c r="J173" t="s">
        <v>69</v>
      </c>
      <c r="K173" t="s">
        <v>33</v>
      </c>
      <c r="L173">
        <v>28000</v>
      </c>
      <c r="M173" s="7">
        <v>28000</v>
      </c>
      <c r="O173" s="7"/>
      <c r="P173" s="7">
        <v>0</v>
      </c>
      <c r="Q173" s="8">
        <v>0</v>
      </c>
      <c r="R173" s="7">
        <v>0</v>
      </c>
      <c r="S173" s="9">
        <v>0</v>
      </c>
      <c r="T173" s="7">
        <v>0</v>
      </c>
      <c r="U173" s="8">
        <v>0</v>
      </c>
      <c r="V173" s="7">
        <v>0</v>
      </c>
      <c r="W173" s="8">
        <v>0</v>
      </c>
      <c r="X173" s="7">
        <f>M173</f>
        <v>28000</v>
      </c>
      <c r="Y173" s="8">
        <v>0.2</v>
      </c>
      <c r="Z173" s="7">
        <f t="shared" si="18"/>
        <v>33600</v>
      </c>
      <c r="AA173" s="8">
        <f>IFERROR(((Z173-X173)/Z173),0)</f>
        <v>0.16666666666666666</v>
      </c>
      <c r="AB173" s="8">
        <v>0.1</v>
      </c>
    </row>
    <row r="174" spans="1:28" x14ac:dyDescent="0.25">
      <c r="A174">
        <v>2026</v>
      </c>
      <c r="B174" t="s">
        <v>54</v>
      </c>
      <c r="C174" t="s">
        <v>57</v>
      </c>
      <c r="D174" t="s">
        <v>58</v>
      </c>
      <c r="G174" t="s">
        <v>63</v>
      </c>
      <c r="H174" t="s">
        <v>63</v>
      </c>
      <c r="I174" t="s">
        <v>74</v>
      </c>
      <c r="J174" t="s">
        <v>69</v>
      </c>
      <c r="K174" t="s">
        <v>33</v>
      </c>
      <c r="L174">
        <v>49200</v>
      </c>
      <c r="M174" s="7">
        <v>49200</v>
      </c>
      <c r="O174" s="7"/>
      <c r="P174" s="7">
        <v>0</v>
      </c>
      <c r="Q174" s="8">
        <v>0</v>
      </c>
      <c r="R174" s="7">
        <v>0</v>
      </c>
      <c r="S174" s="9">
        <v>0</v>
      </c>
      <c r="T174" s="7">
        <v>0</v>
      </c>
      <c r="U174" s="8">
        <v>0</v>
      </c>
      <c r="V174" s="7">
        <v>0</v>
      </c>
      <c r="W174" s="8">
        <v>0</v>
      </c>
      <c r="X174" s="7">
        <f>M174</f>
        <v>49200</v>
      </c>
      <c r="Y174" s="8">
        <v>0.2</v>
      </c>
      <c r="Z174" s="7">
        <f t="shared" si="18"/>
        <v>59040</v>
      </c>
      <c r="AA174" s="8">
        <f>IFERROR(((Z174-X174)/Z174),0)</f>
        <v>0.16666666666666666</v>
      </c>
      <c r="AB174" s="8">
        <v>0.1</v>
      </c>
    </row>
    <row r="175" spans="1:28" x14ac:dyDescent="0.25">
      <c r="A175">
        <v>2026</v>
      </c>
      <c r="B175" t="s">
        <v>54</v>
      </c>
      <c r="C175" t="s">
        <v>57</v>
      </c>
      <c r="D175" t="s">
        <v>58</v>
      </c>
      <c r="G175" t="s">
        <v>63</v>
      </c>
      <c r="H175" t="s">
        <v>63</v>
      </c>
      <c r="I175" t="s">
        <v>75</v>
      </c>
      <c r="J175" t="s">
        <v>69</v>
      </c>
      <c r="K175" t="s">
        <v>33</v>
      </c>
      <c r="L175">
        <v>141600</v>
      </c>
      <c r="M175" s="7">
        <v>141600</v>
      </c>
      <c r="O175" s="7"/>
      <c r="P175" s="7">
        <v>0</v>
      </c>
      <c r="Q175" s="8">
        <v>0</v>
      </c>
      <c r="R175" s="7">
        <v>0</v>
      </c>
      <c r="S175" s="9">
        <v>0</v>
      </c>
      <c r="T175" s="7">
        <v>0</v>
      </c>
      <c r="U175" s="8">
        <v>0</v>
      </c>
      <c r="V175" s="7">
        <v>0</v>
      </c>
      <c r="W175" s="8">
        <v>0</v>
      </c>
      <c r="X175" s="7">
        <f>M175</f>
        <v>141600</v>
      </c>
      <c r="Y175" s="8">
        <v>0.2</v>
      </c>
      <c r="Z175" s="7">
        <f t="shared" si="18"/>
        <v>169920</v>
      </c>
      <c r="AA175" s="8">
        <f>IFERROR(((Z175-X175)/Z175),0)</f>
        <v>0.16666666666666666</v>
      </c>
      <c r="AB175" s="8">
        <v>0.1</v>
      </c>
    </row>
    <row r="176" spans="1:28" x14ac:dyDescent="0.25">
      <c r="A176">
        <v>2026</v>
      </c>
      <c r="B176" t="s">
        <v>54</v>
      </c>
      <c r="C176" t="s">
        <v>57</v>
      </c>
      <c r="D176" t="s">
        <v>58</v>
      </c>
      <c r="G176" t="s">
        <v>63</v>
      </c>
      <c r="H176" t="s">
        <v>63</v>
      </c>
      <c r="I176" t="s">
        <v>76</v>
      </c>
      <c r="J176" t="s">
        <v>69</v>
      </c>
      <c r="K176" t="s">
        <v>33</v>
      </c>
      <c r="L176">
        <v>174700</v>
      </c>
      <c r="M176" s="7">
        <v>174700</v>
      </c>
      <c r="O176" s="7"/>
      <c r="P176" s="7">
        <v>0</v>
      </c>
      <c r="Q176" s="8">
        <v>0</v>
      </c>
      <c r="R176" s="7">
        <v>0</v>
      </c>
      <c r="S176" s="9">
        <v>0</v>
      </c>
      <c r="T176" s="7">
        <v>0</v>
      </c>
      <c r="U176" s="8">
        <v>0</v>
      </c>
      <c r="V176" s="7">
        <v>0</v>
      </c>
      <c r="W176" s="8">
        <v>0</v>
      </c>
      <c r="X176" s="7">
        <f>M176</f>
        <v>174700</v>
      </c>
      <c r="Y176" s="8">
        <v>0.2</v>
      </c>
      <c r="Z176" s="7">
        <f t="shared" si="18"/>
        <v>209640</v>
      </c>
      <c r="AA176" s="8">
        <f>IFERROR(((Z176-X176)/Z176),0)</f>
        <v>0.16666666666666666</v>
      </c>
      <c r="AB176" s="8">
        <v>0.1</v>
      </c>
    </row>
    <row r="177" spans="1:28" x14ac:dyDescent="0.25">
      <c r="A177">
        <v>2026</v>
      </c>
      <c r="B177" t="s">
        <v>54</v>
      </c>
      <c r="C177" t="s">
        <v>57</v>
      </c>
      <c r="D177" t="s">
        <v>58</v>
      </c>
      <c r="G177" t="s">
        <v>63</v>
      </c>
      <c r="H177" t="s">
        <v>63</v>
      </c>
      <c r="I177" t="s">
        <v>77</v>
      </c>
      <c r="J177" t="s">
        <v>69</v>
      </c>
      <c r="K177" t="s">
        <v>33</v>
      </c>
      <c r="L177">
        <v>204000</v>
      </c>
      <c r="M177" s="7">
        <v>204000</v>
      </c>
      <c r="O177" s="7"/>
      <c r="P177" s="7">
        <v>0</v>
      </c>
      <c r="Q177" s="8">
        <v>0</v>
      </c>
      <c r="R177" s="7">
        <v>0</v>
      </c>
      <c r="S177" s="9">
        <v>0</v>
      </c>
      <c r="T177" s="7">
        <v>0</v>
      </c>
      <c r="U177" s="8">
        <v>0</v>
      </c>
      <c r="V177" s="7">
        <v>0</v>
      </c>
      <c r="W177" s="8">
        <v>0</v>
      </c>
      <c r="X177" s="7">
        <f>M177</f>
        <v>204000</v>
      </c>
      <c r="Y177" s="8">
        <v>0.2</v>
      </c>
      <c r="Z177" s="7">
        <f t="shared" si="18"/>
        <v>244800</v>
      </c>
      <c r="AA177" s="8">
        <f>IFERROR(((Z177-X177)/Z177),0)</f>
        <v>0.16666666666666666</v>
      </c>
      <c r="AB177" s="8">
        <v>0.1</v>
      </c>
    </row>
    <row r="178" spans="1:28" x14ac:dyDescent="0.25">
      <c r="A178">
        <v>2026</v>
      </c>
      <c r="B178" t="s">
        <v>54</v>
      </c>
      <c r="C178" t="s">
        <v>57</v>
      </c>
      <c r="D178" t="s">
        <v>58</v>
      </c>
      <c r="G178" t="s">
        <v>63</v>
      </c>
      <c r="H178" t="s">
        <v>63</v>
      </c>
      <c r="I178" t="s">
        <v>78</v>
      </c>
      <c r="J178" t="s">
        <v>69</v>
      </c>
      <c r="K178" t="s">
        <v>33</v>
      </c>
      <c r="L178">
        <v>49000</v>
      </c>
      <c r="M178" s="7">
        <v>49000</v>
      </c>
      <c r="O178" s="7"/>
      <c r="P178" s="7">
        <v>0</v>
      </c>
      <c r="Q178" s="8">
        <v>0</v>
      </c>
      <c r="R178" s="7">
        <v>0</v>
      </c>
      <c r="S178" s="9">
        <v>0</v>
      </c>
      <c r="T178" s="7">
        <v>0</v>
      </c>
      <c r="U178" s="8">
        <v>0</v>
      </c>
      <c r="V178" s="7">
        <v>0</v>
      </c>
      <c r="W178" s="8">
        <v>0</v>
      </c>
      <c r="X178" s="7">
        <f>M178</f>
        <v>49000</v>
      </c>
      <c r="Y178" s="8">
        <v>0.2</v>
      </c>
      <c r="Z178" s="7">
        <f t="shared" si="18"/>
        <v>58800</v>
      </c>
      <c r="AA178" s="8">
        <f>IFERROR(((Z178-X178)/Z178),0)</f>
        <v>0.16666666666666666</v>
      </c>
      <c r="AB178" s="8">
        <v>0.1</v>
      </c>
    </row>
    <row r="179" spans="1:28" x14ac:dyDescent="0.25">
      <c r="A179">
        <v>2026</v>
      </c>
      <c r="B179" t="s">
        <v>54</v>
      </c>
      <c r="C179" t="s">
        <v>57</v>
      </c>
      <c r="D179" t="s">
        <v>58</v>
      </c>
      <c r="G179" t="s">
        <v>63</v>
      </c>
      <c r="H179" t="s">
        <v>63</v>
      </c>
      <c r="I179" t="s">
        <v>79</v>
      </c>
      <c r="J179" t="s">
        <v>66</v>
      </c>
      <c r="K179" t="s">
        <v>33</v>
      </c>
      <c r="L179">
        <v>224100</v>
      </c>
      <c r="M179" s="7">
        <v>224100</v>
      </c>
      <c r="O179" s="7"/>
      <c r="P179" s="7">
        <v>0</v>
      </c>
      <c r="Q179" s="8">
        <v>0</v>
      </c>
      <c r="R179" s="7">
        <v>0</v>
      </c>
      <c r="S179" s="9">
        <v>0</v>
      </c>
      <c r="T179" s="7">
        <v>0</v>
      </c>
      <c r="U179" s="8">
        <v>0</v>
      </c>
      <c r="V179" s="7">
        <v>0</v>
      </c>
      <c r="W179" s="8">
        <v>0</v>
      </c>
      <c r="X179" s="7">
        <f>M179</f>
        <v>224100</v>
      </c>
      <c r="Y179" s="8">
        <v>0.2</v>
      </c>
      <c r="Z179" s="7">
        <f t="shared" si="18"/>
        <v>268920</v>
      </c>
      <c r="AA179" s="8">
        <f>IFERROR(((Z179-X179)/Z179),0)</f>
        <v>0.16666666666666666</v>
      </c>
      <c r="AB179" s="8">
        <v>0.1</v>
      </c>
    </row>
    <row r="180" spans="1:28" x14ac:dyDescent="0.25">
      <c r="A180">
        <v>2026</v>
      </c>
      <c r="B180" t="s">
        <v>54</v>
      </c>
      <c r="C180" t="s">
        <v>57</v>
      </c>
      <c r="D180" t="s">
        <v>58</v>
      </c>
      <c r="G180" t="s">
        <v>63</v>
      </c>
      <c r="H180" t="s">
        <v>63</v>
      </c>
      <c r="I180" t="s">
        <v>80</v>
      </c>
      <c r="J180" t="s">
        <v>66</v>
      </c>
      <c r="K180" t="s">
        <v>33</v>
      </c>
      <c r="L180">
        <v>38000</v>
      </c>
      <c r="M180" s="7">
        <v>38000</v>
      </c>
      <c r="O180" s="7"/>
      <c r="P180" s="7">
        <v>0</v>
      </c>
      <c r="Q180" s="8">
        <v>0</v>
      </c>
      <c r="R180" s="7">
        <v>0</v>
      </c>
      <c r="S180" s="9">
        <v>0</v>
      </c>
      <c r="T180" s="7">
        <v>0</v>
      </c>
      <c r="U180" s="8">
        <v>0</v>
      </c>
      <c r="V180" s="7">
        <v>0</v>
      </c>
      <c r="W180" s="8">
        <v>0</v>
      </c>
      <c r="X180" s="7">
        <f>M180</f>
        <v>38000</v>
      </c>
      <c r="Y180" s="8">
        <v>0.2</v>
      </c>
      <c r="Z180" s="7">
        <f t="shared" si="18"/>
        <v>45600</v>
      </c>
      <c r="AA180" s="8">
        <f>IFERROR(((Z180-X180)/Z180),0)</f>
        <v>0.16666666666666666</v>
      </c>
      <c r="AB180" s="8">
        <v>0.1</v>
      </c>
    </row>
    <row r="181" spans="1:28" x14ac:dyDescent="0.25">
      <c r="A181">
        <v>2026</v>
      </c>
      <c r="B181" t="s">
        <v>54</v>
      </c>
      <c r="C181" t="s">
        <v>57</v>
      </c>
      <c r="D181" t="s">
        <v>58</v>
      </c>
      <c r="G181" t="s">
        <v>63</v>
      </c>
      <c r="H181" t="s">
        <v>63</v>
      </c>
      <c r="I181" t="s">
        <v>81</v>
      </c>
      <c r="J181" t="s">
        <v>66</v>
      </c>
      <c r="K181" t="s">
        <v>33</v>
      </c>
      <c r="L181">
        <v>39800</v>
      </c>
      <c r="M181" s="7">
        <v>39800</v>
      </c>
      <c r="O181" s="7"/>
      <c r="P181" s="7">
        <v>0</v>
      </c>
      <c r="Q181" s="8">
        <v>0</v>
      </c>
      <c r="R181" s="7">
        <v>0</v>
      </c>
      <c r="S181" s="9">
        <v>0</v>
      </c>
      <c r="T181" s="7">
        <v>0</v>
      </c>
      <c r="U181" s="8">
        <v>0</v>
      </c>
      <c r="V181" s="7">
        <v>0</v>
      </c>
      <c r="W181" s="8">
        <v>0</v>
      </c>
      <c r="X181" s="7">
        <f>M181</f>
        <v>39800</v>
      </c>
      <c r="Y181" s="8">
        <v>0.2</v>
      </c>
      <c r="Z181" s="7">
        <f t="shared" si="18"/>
        <v>47760</v>
      </c>
      <c r="AA181" s="8">
        <f>IFERROR(((Z181-X181)/Z181),0)</f>
        <v>0.16666666666666666</v>
      </c>
      <c r="AB181" s="8">
        <v>0.1</v>
      </c>
    </row>
    <row r="182" spans="1:28" x14ac:dyDescent="0.25">
      <c r="A182">
        <v>2026</v>
      </c>
      <c r="B182" t="s">
        <v>55</v>
      </c>
      <c r="C182" t="s">
        <v>57</v>
      </c>
      <c r="D182" t="s">
        <v>58</v>
      </c>
      <c r="G182" t="s">
        <v>63</v>
      </c>
      <c r="H182" t="s">
        <v>63</v>
      </c>
      <c r="I182" t="s">
        <v>65</v>
      </c>
      <c r="J182" t="s">
        <v>66</v>
      </c>
      <c r="K182" t="s">
        <v>33</v>
      </c>
      <c r="L182">
        <v>28800</v>
      </c>
      <c r="M182" s="7">
        <v>28800</v>
      </c>
      <c r="O182" s="7"/>
      <c r="P182" s="7">
        <v>0</v>
      </c>
      <c r="Q182" s="8">
        <v>0</v>
      </c>
      <c r="R182" s="7">
        <v>0</v>
      </c>
      <c r="S182" s="9">
        <v>0</v>
      </c>
      <c r="T182" s="7">
        <v>0</v>
      </c>
      <c r="U182" s="8">
        <v>0</v>
      </c>
      <c r="V182" s="7">
        <v>0</v>
      </c>
      <c r="W182" s="8">
        <v>0</v>
      </c>
      <c r="X182" s="7">
        <f>M182</f>
        <v>28800</v>
      </c>
      <c r="Y182" s="8">
        <v>0.2</v>
      </c>
      <c r="Z182" s="7">
        <f>X182+(X182*Y182)</f>
        <v>34560</v>
      </c>
      <c r="AA182" s="8">
        <f>IFERROR(((Z182-X182)/Z182),0)</f>
        <v>0.16666666666666666</v>
      </c>
      <c r="AB182" s="8">
        <v>0.1</v>
      </c>
    </row>
    <row r="183" spans="1:28" x14ac:dyDescent="0.25">
      <c r="A183">
        <v>2026</v>
      </c>
      <c r="B183" t="s">
        <v>55</v>
      </c>
      <c r="C183" t="s">
        <v>57</v>
      </c>
      <c r="D183" t="s">
        <v>58</v>
      </c>
      <c r="G183" t="s">
        <v>63</v>
      </c>
      <c r="H183" t="s">
        <v>63</v>
      </c>
      <c r="I183" t="s">
        <v>67</v>
      </c>
      <c r="J183" t="s">
        <v>66</v>
      </c>
      <c r="K183" t="s">
        <v>33</v>
      </c>
      <c r="L183">
        <v>36700</v>
      </c>
      <c r="M183" s="7">
        <v>36700</v>
      </c>
      <c r="O183" s="7"/>
      <c r="P183" s="7">
        <v>0</v>
      </c>
      <c r="Q183" s="8">
        <v>0</v>
      </c>
      <c r="R183" s="7">
        <v>0</v>
      </c>
      <c r="S183" s="9">
        <v>0</v>
      </c>
      <c r="T183" s="7">
        <v>0</v>
      </c>
      <c r="U183" s="8">
        <v>0</v>
      </c>
      <c r="V183" s="7">
        <v>0</v>
      </c>
      <c r="W183" s="8">
        <v>0</v>
      </c>
      <c r="X183" s="7">
        <f>M183</f>
        <v>36700</v>
      </c>
      <c r="Y183" s="8">
        <v>0.2</v>
      </c>
      <c r="Z183" s="7">
        <f t="shared" ref="Z183:Z196" si="19">X183+(X183*Y183)</f>
        <v>44040</v>
      </c>
      <c r="AA183" s="8">
        <f>IFERROR(((Z183-X183)/Z183),0)</f>
        <v>0.16666666666666666</v>
      </c>
      <c r="AB183" s="8">
        <v>0.1</v>
      </c>
    </row>
    <row r="184" spans="1:28" x14ac:dyDescent="0.25">
      <c r="A184">
        <v>2026</v>
      </c>
      <c r="B184" t="s">
        <v>55</v>
      </c>
      <c r="C184" t="s">
        <v>57</v>
      </c>
      <c r="D184" t="s">
        <v>58</v>
      </c>
      <c r="G184" t="s">
        <v>63</v>
      </c>
      <c r="H184" t="s">
        <v>63</v>
      </c>
      <c r="I184" t="s">
        <v>68</v>
      </c>
      <c r="J184" t="s">
        <v>69</v>
      </c>
      <c r="K184" t="s">
        <v>33</v>
      </c>
      <c r="L184">
        <v>28000</v>
      </c>
      <c r="M184" s="7">
        <v>28000</v>
      </c>
      <c r="O184" s="7"/>
      <c r="P184" s="7">
        <v>0</v>
      </c>
      <c r="Q184" s="8">
        <v>0</v>
      </c>
      <c r="R184" s="7">
        <v>0</v>
      </c>
      <c r="S184" s="9">
        <v>0</v>
      </c>
      <c r="T184" s="7">
        <v>0</v>
      </c>
      <c r="U184" s="8">
        <v>0</v>
      </c>
      <c r="V184" s="7">
        <v>0</v>
      </c>
      <c r="W184" s="8">
        <v>0</v>
      </c>
      <c r="X184" s="7">
        <f>M184</f>
        <v>28000</v>
      </c>
      <c r="Y184" s="8">
        <v>0.2</v>
      </c>
      <c r="Z184" s="7">
        <f t="shared" si="19"/>
        <v>33600</v>
      </c>
      <c r="AA184" s="8">
        <f>IFERROR(((Z184-X184)/Z184),0)</f>
        <v>0.16666666666666666</v>
      </c>
      <c r="AB184" s="8">
        <v>0.1</v>
      </c>
    </row>
    <row r="185" spans="1:28" x14ac:dyDescent="0.25">
      <c r="A185">
        <v>2026</v>
      </c>
      <c r="B185" t="s">
        <v>55</v>
      </c>
      <c r="C185" t="s">
        <v>57</v>
      </c>
      <c r="D185" t="s">
        <v>58</v>
      </c>
      <c r="G185" t="s">
        <v>63</v>
      </c>
      <c r="H185" t="s">
        <v>63</v>
      </c>
      <c r="I185" t="s">
        <v>70</v>
      </c>
      <c r="J185" t="s">
        <v>69</v>
      </c>
      <c r="K185" t="s">
        <v>33</v>
      </c>
      <c r="L185">
        <v>36700</v>
      </c>
      <c r="M185" s="7">
        <v>36700</v>
      </c>
      <c r="O185" s="7"/>
      <c r="P185" s="7">
        <v>0</v>
      </c>
      <c r="Q185" s="8">
        <v>0</v>
      </c>
      <c r="R185" s="7">
        <v>0</v>
      </c>
      <c r="S185" s="9">
        <v>0</v>
      </c>
      <c r="T185" s="7">
        <v>0</v>
      </c>
      <c r="U185" s="8">
        <v>0</v>
      </c>
      <c r="V185" s="7">
        <v>0</v>
      </c>
      <c r="W185" s="8">
        <v>0</v>
      </c>
      <c r="X185" s="7">
        <f>M185</f>
        <v>36700</v>
      </c>
      <c r="Y185" s="8">
        <v>0.2</v>
      </c>
      <c r="Z185" s="7">
        <f t="shared" si="19"/>
        <v>44040</v>
      </c>
      <c r="AA185" s="8">
        <f>IFERROR(((Z185-X185)/Z185),0)</f>
        <v>0.16666666666666666</v>
      </c>
      <c r="AB185" s="8">
        <v>0.1</v>
      </c>
    </row>
    <row r="186" spans="1:28" x14ac:dyDescent="0.25">
      <c r="A186">
        <v>2026</v>
      </c>
      <c r="B186" t="s">
        <v>55</v>
      </c>
      <c r="C186" t="s">
        <v>57</v>
      </c>
      <c r="D186" t="s">
        <v>58</v>
      </c>
      <c r="G186" t="s">
        <v>63</v>
      </c>
      <c r="H186" t="s">
        <v>63</v>
      </c>
      <c r="I186" t="s">
        <v>71</v>
      </c>
      <c r="J186" t="s">
        <v>69</v>
      </c>
      <c r="K186" t="s">
        <v>33</v>
      </c>
      <c r="L186">
        <v>21900</v>
      </c>
      <c r="M186" s="7">
        <v>21900</v>
      </c>
      <c r="O186" s="7"/>
      <c r="P186" s="7">
        <v>0</v>
      </c>
      <c r="Q186" s="8">
        <v>0</v>
      </c>
      <c r="R186" s="7">
        <v>0</v>
      </c>
      <c r="S186" s="9">
        <v>0</v>
      </c>
      <c r="T186" s="7">
        <v>0</v>
      </c>
      <c r="U186" s="8">
        <v>0</v>
      </c>
      <c r="V186" s="7">
        <v>0</v>
      </c>
      <c r="W186" s="8">
        <v>0</v>
      </c>
      <c r="X186" s="7">
        <f>M186</f>
        <v>21900</v>
      </c>
      <c r="Y186" s="8">
        <v>0.2</v>
      </c>
      <c r="Z186" s="7">
        <f t="shared" si="19"/>
        <v>26280</v>
      </c>
      <c r="AA186" s="8">
        <f>IFERROR(((Z186-X186)/Z186),0)</f>
        <v>0.16666666666666666</v>
      </c>
      <c r="AB186" s="8">
        <v>0.1</v>
      </c>
    </row>
    <row r="187" spans="1:28" x14ac:dyDescent="0.25">
      <c r="A187">
        <v>2026</v>
      </c>
      <c r="B187" t="s">
        <v>55</v>
      </c>
      <c r="C187" t="s">
        <v>57</v>
      </c>
      <c r="D187" t="s">
        <v>58</v>
      </c>
      <c r="G187" t="s">
        <v>63</v>
      </c>
      <c r="H187" t="s">
        <v>63</v>
      </c>
      <c r="I187" t="s">
        <v>72</v>
      </c>
      <c r="J187" t="s">
        <v>69</v>
      </c>
      <c r="K187" t="s">
        <v>33</v>
      </c>
      <c r="L187">
        <v>114900</v>
      </c>
      <c r="M187" s="7">
        <v>114900</v>
      </c>
      <c r="O187" s="7"/>
      <c r="P187" s="7">
        <v>0</v>
      </c>
      <c r="Q187" s="8">
        <v>0</v>
      </c>
      <c r="R187" s="7">
        <v>0</v>
      </c>
      <c r="S187" s="9">
        <v>0</v>
      </c>
      <c r="T187" s="7">
        <v>0</v>
      </c>
      <c r="U187" s="8">
        <v>0</v>
      </c>
      <c r="V187" s="7">
        <v>0</v>
      </c>
      <c r="W187" s="8">
        <v>0</v>
      </c>
      <c r="X187" s="7">
        <f>M187</f>
        <v>114900</v>
      </c>
      <c r="Y187" s="8">
        <v>0.2</v>
      </c>
      <c r="Z187" s="7">
        <f t="shared" si="19"/>
        <v>137880</v>
      </c>
      <c r="AA187" s="8">
        <f>IFERROR(((Z187-X187)/Z187),0)</f>
        <v>0.16666666666666666</v>
      </c>
      <c r="AB187" s="8">
        <v>0.1</v>
      </c>
    </row>
    <row r="188" spans="1:28" x14ac:dyDescent="0.25">
      <c r="A188">
        <v>2026</v>
      </c>
      <c r="B188" t="s">
        <v>55</v>
      </c>
      <c r="C188" t="s">
        <v>57</v>
      </c>
      <c r="D188" t="s">
        <v>58</v>
      </c>
      <c r="G188" t="s">
        <v>63</v>
      </c>
      <c r="H188" t="s">
        <v>63</v>
      </c>
      <c r="I188" t="s">
        <v>73</v>
      </c>
      <c r="J188" t="s">
        <v>69</v>
      </c>
      <c r="K188" t="s">
        <v>33</v>
      </c>
      <c r="L188">
        <v>28000</v>
      </c>
      <c r="M188" s="7">
        <v>28000</v>
      </c>
      <c r="O188" s="7"/>
      <c r="P188" s="7">
        <v>0</v>
      </c>
      <c r="Q188" s="8">
        <v>0</v>
      </c>
      <c r="R188" s="7">
        <v>0</v>
      </c>
      <c r="S188" s="9">
        <v>0</v>
      </c>
      <c r="T188" s="7">
        <v>0</v>
      </c>
      <c r="U188" s="8">
        <v>0</v>
      </c>
      <c r="V188" s="7">
        <v>0</v>
      </c>
      <c r="W188" s="8">
        <v>0</v>
      </c>
      <c r="X188" s="7">
        <f>M188</f>
        <v>28000</v>
      </c>
      <c r="Y188" s="8">
        <v>0.2</v>
      </c>
      <c r="Z188" s="7">
        <f t="shared" si="19"/>
        <v>33600</v>
      </c>
      <c r="AA188" s="8">
        <f>IFERROR(((Z188-X188)/Z188),0)</f>
        <v>0.16666666666666666</v>
      </c>
      <c r="AB188" s="8">
        <v>0.1</v>
      </c>
    </row>
    <row r="189" spans="1:28" x14ac:dyDescent="0.25">
      <c r="A189">
        <v>2026</v>
      </c>
      <c r="B189" t="s">
        <v>55</v>
      </c>
      <c r="C189" t="s">
        <v>57</v>
      </c>
      <c r="D189" t="s">
        <v>58</v>
      </c>
      <c r="G189" t="s">
        <v>63</v>
      </c>
      <c r="H189" t="s">
        <v>63</v>
      </c>
      <c r="I189" t="s">
        <v>74</v>
      </c>
      <c r="J189" t="s">
        <v>69</v>
      </c>
      <c r="K189" t="s">
        <v>33</v>
      </c>
      <c r="L189">
        <v>49200</v>
      </c>
      <c r="M189" s="7">
        <v>49200</v>
      </c>
      <c r="O189" s="7"/>
      <c r="P189" s="7">
        <v>0</v>
      </c>
      <c r="Q189" s="8">
        <v>0</v>
      </c>
      <c r="R189" s="7">
        <v>0</v>
      </c>
      <c r="S189" s="9">
        <v>0</v>
      </c>
      <c r="T189" s="7">
        <v>0</v>
      </c>
      <c r="U189" s="8">
        <v>0</v>
      </c>
      <c r="V189" s="7">
        <v>0</v>
      </c>
      <c r="W189" s="8">
        <v>0</v>
      </c>
      <c r="X189" s="7">
        <f>M189</f>
        <v>49200</v>
      </c>
      <c r="Y189" s="8">
        <v>0.2</v>
      </c>
      <c r="Z189" s="7">
        <f t="shared" si="19"/>
        <v>59040</v>
      </c>
      <c r="AA189" s="8">
        <f>IFERROR(((Z189-X189)/Z189),0)</f>
        <v>0.16666666666666666</v>
      </c>
      <c r="AB189" s="8">
        <v>0.1</v>
      </c>
    </row>
    <row r="190" spans="1:28" x14ac:dyDescent="0.25">
      <c r="A190">
        <v>2026</v>
      </c>
      <c r="B190" t="s">
        <v>55</v>
      </c>
      <c r="C190" t="s">
        <v>57</v>
      </c>
      <c r="D190" t="s">
        <v>58</v>
      </c>
      <c r="G190" t="s">
        <v>63</v>
      </c>
      <c r="H190" t="s">
        <v>63</v>
      </c>
      <c r="I190" t="s">
        <v>75</v>
      </c>
      <c r="J190" t="s">
        <v>69</v>
      </c>
      <c r="K190" t="s">
        <v>33</v>
      </c>
      <c r="L190">
        <v>141600</v>
      </c>
      <c r="M190" s="7">
        <v>141600</v>
      </c>
      <c r="O190" s="7"/>
      <c r="P190" s="7">
        <v>0</v>
      </c>
      <c r="Q190" s="8">
        <v>0</v>
      </c>
      <c r="R190" s="7">
        <v>0</v>
      </c>
      <c r="S190" s="9">
        <v>0</v>
      </c>
      <c r="T190" s="7">
        <v>0</v>
      </c>
      <c r="U190" s="8">
        <v>0</v>
      </c>
      <c r="V190" s="7">
        <v>0</v>
      </c>
      <c r="W190" s="8">
        <v>0</v>
      </c>
      <c r="X190" s="7">
        <f>M190</f>
        <v>141600</v>
      </c>
      <c r="Y190" s="8">
        <v>0.2</v>
      </c>
      <c r="Z190" s="7">
        <f t="shared" si="19"/>
        <v>169920</v>
      </c>
      <c r="AA190" s="8">
        <f>IFERROR(((Z190-X190)/Z190),0)</f>
        <v>0.16666666666666666</v>
      </c>
      <c r="AB190" s="8">
        <v>0.1</v>
      </c>
    </row>
    <row r="191" spans="1:28" x14ac:dyDescent="0.25">
      <c r="A191">
        <v>2026</v>
      </c>
      <c r="B191" t="s">
        <v>55</v>
      </c>
      <c r="C191" t="s">
        <v>57</v>
      </c>
      <c r="D191" t="s">
        <v>58</v>
      </c>
      <c r="G191" t="s">
        <v>63</v>
      </c>
      <c r="H191" t="s">
        <v>63</v>
      </c>
      <c r="I191" t="s">
        <v>76</v>
      </c>
      <c r="J191" t="s">
        <v>69</v>
      </c>
      <c r="K191" t="s">
        <v>33</v>
      </c>
      <c r="L191">
        <v>174700</v>
      </c>
      <c r="M191" s="7">
        <v>174700</v>
      </c>
      <c r="O191" s="7"/>
      <c r="P191" s="7">
        <v>0</v>
      </c>
      <c r="Q191" s="8">
        <v>0</v>
      </c>
      <c r="R191" s="7">
        <v>0</v>
      </c>
      <c r="S191" s="9">
        <v>0</v>
      </c>
      <c r="T191" s="7">
        <v>0</v>
      </c>
      <c r="U191" s="8">
        <v>0</v>
      </c>
      <c r="V191" s="7">
        <v>0</v>
      </c>
      <c r="W191" s="8">
        <v>0</v>
      </c>
      <c r="X191" s="7">
        <f>M191</f>
        <v>174700</v>
      </c>
      <c r="Y191" s="8">
        <v>0.2</v>
      </c>
      <c r="Z191" s="7">
        <f t="shared" si="19"/>
        <v>209640</v>
      </c>
      <c r="AA191" s="8">
        <f>IFERROR(((Z191-X191)/Z191),0)</f>
        <v>0.16666666666666666</v>
      </c>
      <c r="AB191" s="8">
        <v>0.1</v>
      </c>
    </row>
    <row r="192" spans="1:28" x14ac:dyDescent="0.25">
      <c r="A192">
        <v>2026</v>
      </c>
      <c r="B192" t="s">
        <v>55</v>
      </c>
      <c r="C192" t="s">
        <v>57</v>
      </c>
      <c r="D192" t="s">
        <v>58</v>
      </c>
      <c r="G192" t="s">
        <v>63</v>
      </c>
      <c r="H192" t="s">
        <v>63</v>
      </c>
      <c r="I192" t="s">
        <v>77</v>
      </c>
      <c r="J192" t="s">
        <v>69</v>
      </c>
      <c r="K192" t="s">
        <v>33</v>
      </c>
      <c r="L192">
        <v>204000</v>
      </c>
      <c r="M192" s="7">
        <v>204000</v>
      </c>
      <c r="O192" s="7"/>
      <c r="P192" s="7">
        <v>0</v>
      </c>
      <c r="Q192" s="8">
        <v>0</v>
      </c>
      <c r="R192" s="7">
        <v>0</v>
      </c>
      <c r="S192" s="9">
        <v>0</v>
      </c>
      <c r="T192" s="7">
        <v>0</v>
      </c>
      <c r="U192" s="8">
        <v>0</v>
      </c>
      <c r="V192" s="7">
        <v>0</v>
      </c>
      <c r="W192" s="8">
        <v>0</v>
      </c>
      <c r="X192" s="7">
        <f>M192</f>
        <v>204000</v>
      </c>
      <c r="Y192" s="8">
        <v>0.2</v>
      </c>
      <c r="Z192" s="7">
        <f t="shared" si="19"/>
        <v>244800</v>
      </c>
      <c r="AA192" s="8">
        <f>IFERROR(((Z192-X192)/Z192),0)</f>
        <v>0.16666666666666666</v>
      </c>
      <c r="AB192" s="8">
        <v>0.1</v>
      </c>
    </row>
    <row r="193" spans="1:28" x14ac:dyDescent="0.25">
      <c r="A193">
        <v>2026</v>
      </c>
      <c r="B193" t="s">
        <v>55</v>
      </c>
      <c r="C193" t="s">
        <v>57</v>
      </c>
      <c r="D193" t="s">
        <v>58</v>
      </c>
      <c r="G193" t="s">
        <v>63</v>
      </c>
      <c r="H193" t="s">
        <v>63</v>
      </c>
      <c r="I193" t="s">
        <v>78</v>
      </c>
      <c r="J193" t="s">
        <v>69</v>
      </c>
      <c r="K193" t="s">
        <v>33</v>
      </c>
      <c r="L193">
        <v>49000</v>
      </c>
      <c r="M193" s="7">
        <v>49000</v>
      </c>
      <c r="O193" s="7"/>
      <c r="P193" s="7">
        <v>0</v>
      </c>
      <c r="Q193" s="8">
        <v>0</v>
      </c>
      <c r="R193" s="7">
        <v>0</v>
      </c>
      <c r="S193" s="9">
        <v>0</v>
      </c>
      <c r="T193" s="7">
        <v>0</v>
      </c>
      <c r="U193" s="8">
        <v>0</v>
      </c>
      <c r="V193" s="7">
        <v>0</v>
      </c>
      <c r="W193" s="8">
        <v>0</v>
      </c>
      <c r="X193" s="7">
        <f>M193</f>
        <v>49000</v>
      </c>
      <c r="Y193" s="8">
        <v>0.2</v>
      </c>
      <c r="Z193" s="7">
        <f t="shared" si="19"/>
        <v>58800</v>
      </c>
      <c r="AA193" s="8">
        <f>IFERROR(((Z193-X193)/Z193),0)</f>
        <v>0.16666666666666666</v>
      </c>
      <c r="AB193" s="8">
        <v>0.1</v>
      </c>
    </row>
    <row r="194" spans="1:28" x14ac:dyDescent="0.25">
      <c r="A194">
        <v>2026</v>
      </c>
      <c r="B194" t="s">
        <v>55</v>
      </c>
      <c r="C194" t="s">
        <v>57</v>
      </c>
      <c r="D194" t="s">
        <v>58</v>
      </c>
      <c r="G194" t="s">
        <v>63</v>
      </c>
      <c r="H194" t="s">
        <v>63</v>
      </c>
      <c r="I194" t="s">
        <v>79</v>
      </c>
      <c r="J194" t="s">
        <v>66</v>
      </c>
      <c r="K194" t="s">
        <v>33</v>
      </c>
      <c r="L194">
        <v>224100</v>
      </c>
      <c r="M194" s="7">
        <v>224100</v>
      </c>
      <c r="O194" s="7"/>
      <c r="P194" s="7">
        <v>0</v>
      </c>
      <c r="Q194" s="8">
        <v>0</v>
      </c>
      <c r="R194" s="7">
        <v>0</v>
      </c>
      <c r="S194" s="9">
        <v>0</v>
      </c>
      <c r="T194" s="7">
        <v>0</v>
      </c>
      <c r="U194" s="8">
        <v>0</v>
      </c>
      <c r="V194" s="7">
        <v>0</v>
      </c>
      <c r="W194" s="8">
        <v>0</v>
      </c>
      <c r="X194" s="7">
        <f>M194</f>
        <v>224100</v>
      </c>
      <c r="Y194" s="8">
        <v>0.2</v>
      </c>
      <c r="Z194" s="7">
        <f t="shared" si="19"/>
        <v>268920</v>
      </c>
      <c r="AA194" s="8">
        <f>IFERROR(((Z194-X194)/Z194),0)</f>
        <v>0.16666666666666666</v>
      </c>
      <c r="AB194" s="8">
        <v>0.1</v>
      </c>
    </row>
    <row r="195" spans="1:28" x14ac:dyDescent="0.25">
      <c r="A195">
        <v>2026</v>
      </c>
      <c r="B195" t="s">
        <v>55</v>
      </c>
      <c r="C195" t="s">
        <v>57</v>
      </c>
      <c r="D195" t="s">
        <v>58</v>
      </c>
      <c r="G195" t="s">
        <v>63</v>
      </c>
      <c r="H195" t="s">
        <v>63</v>
      </c>
      <c r="I195" t="s">
        <v>80</v>
      </c>
      <c r="J195" t="s">
        <v>66</v>
      </c>
      <c r="K195" t="s">
        <v>33</v>
      </c>
      <c r="L195">
        <v>38000</v>
      </c>
      <c r="M195" s="7">
        <v>38000</v>
      </c>
      <c r="O195" s="7"/>
      <c r="P195" s="7">
        <v>0</v>
      </c>
      <c r="Q195" s="8">
        <v>0</v>
      </c>
      <c r="R195" s="7">
        <v>0</v>
      </c>
      <c r="S195" s="9">
        <v>0</v>
      </c>
      <c r="T195" s="7">
        <v>0</v>
      </c>
      <c r="U195" s="8">
        <v>0</v>
      </c>
      <c r="V195" s="7">
        <v>0</v>
      </c>
      <c r="W195" s="8">
        <v>0</v>
      </c>
      <c r="X195" s="7">
        <f>M195</f>
        <v>38000</v>
      </c>
      <c r="Y195" s="8">
        <v>0.2</v>
      </c>
      <c r="Z195" s="7">
        <f t="shared" si="19"/>
        <v>45600</v>
      </c>
      <c r="AA195" s="8">
        <f>IFERROR(((Z195-X195)/Z195),0)</f>
        <v>0.16666666666666666</v>
      </c>
      <c r="AB195" s="8">
        <v>0.1</v>
      </c>
    </row>
    <row r="196" spans="1:28" x14ac:dyDescent="0.25">
      <c r="A196">
        <v>2026</v>
      </c>
      <c r="B196" t="s">
        <v>55</v>
      </c>
      <c r="C196" t="s">
        <v>57</v>
      </c>
      <c r="D196" t="s">
        <v>58</v>
      </c>
      <c r="G196" t="s">
        <v>63</v>
      </c>
      <c r="H196" t="s">
        <v>63</v>
      </c>
      <c r="I196" t="s">
        <v>81</v>
      </c>
      <c r="J196" t="s">
        <v>66</v>
      </c>
      <c r="K196" t="s">
        <v>33</v>
      </c>
      <c r="L196">
        <v>39800</v>
      </c>
      <c r="M196" s="7">
        <v>39800</v>
      </c>
      <c r="O196" s="7"/>
      <c r="P196" s="7">
        <v>0</v>
      </c>
      <c r="Q196" s="8">
        <v>0</v>
      </c>
      <c r="R196" s="7">
        <v>0</v>
      </c>
      <c r="S196" s="9">
        <v>0</v>
      </c>
      <c r="T196" s="7">
        <v>0</v>
      </c>
      <c r="U196" s="8">
        <v>0</v>
      </c>
      <c r="V196" s="7">
        <v>0</v>
      </c>
      <c r="W196" s="8">
        <v>0</v>
      </c>
      <c r="X196" s="7">
        <f>M196</f>
        <v>39800</v>
      </c>
      <c r="Y196" s="8">
        <v>0.2</v>
      </c>
      <c r="Z196" s="7">
        <f t="shared" si="19"/>
        <v>47760</v>
      </c>
      <c r="AA196" s="8">
        <f>IFERROR(((Z196-X196)/Z196),0)</f>
        <v>0.16666666666666666</v>
      </c>
      <c r="AB196" s="8">
        <v>0.1</v>
      </c>
    </row>
    <row r="197" spans="1:28" x14ac:dyDescent="0.25">
      <c r="A197">
        <v>2026</v>
      </c>
      <c r="B197" t="s">
        <v>56</v>
      </c>
      <c r="C197" t="s">
        <v>57</v>
      </c>
      <c r="D197" t="s">
        <v>58</v>
      </c>
      <c r="G197" t="s">
        <v>63</v>
      </c>
      <c r="H197" t="s">
        <v>63</v>
      </c>
      <c r="I197" t="s">
        <v>65</v>
      </c>
      <c r="J197" t="s">
        <v>66</v>
      </c>
      <c r="K197" t="s">
        <v>33</v>
      </c>
      <c r="L197">
        <v>28800</v>
      </c>
      <c r="M197" s="7">
        <v>28800</v>
      </c>
      <c r="O197" s="7"/>
      <c r="P197" s="7">
        <v>0</v>
      </c>
      <c r="Q197" s="8">
        <v>0</v>
      </c>
      <c r="R197" s="7">
        <v>0</v>
      </c>
      <c r="S197" s="9">
        <v>0</v>
      </c>
      <c r="T197" s="7">
        <v>0</v>
      </c>
      <c r="U197" s="8">
        <v>0</v>
      </c>
      <c r="V197" s="7">
        <v>0</v>
      </c>
      <c r="W197" s="8">
        <v>0</v>
      </c>
      <c r="X197" s="7">
        <f>M197</f>
        <v>28800</v>
      </c>
      <c r="Y197" s="8">
        <v>0.2</v>
      </c>
      <c r="Z197" s="7">
        <f>X197+(X197*Y197)</f>
        <v>34560</v>
      </c>
      <c r="AA197" s="8">
        <f>IFERROR(((Z197-X197)/Z197),0)</f>
        <v>0.16666666666666666</v>
      </c>
      <c r="AB197" s="8">
        <v>0.1</v>
      </c>
    </row>
    <row r="198" spans="1:28" x14ac:dyDescent="0.25">
      <c r="A198">
        <v>2026</v>
      </c>
      <c r="B198" t="s">
        <v>56</v>
      </c>
      <c r="C198" t="s">
        <v>57</v>
      </c>
      <c r="D198" t="s">
        <v>58</v>
      </c>
      <c r="G198" t="s">
        <v>63</v>
      </c>
      <c r="H198" t="s">
        <v>63</v>
      </c>
      <c r="I198" t="s">
        <v>67</v>
      </c>
      <c r="J198" t="s">
        <v>66</v>
      </c>
      <c r="K198" t="s">
        <v>33</v>
      </c>
      <c r="L198">
        <v>36700</v>
      </c>
      <c r="M198" s="7">
        <v>36700</v>
      </c>
      <c r="O198" s="7"/>
      <c r="P198" s="7">
        <v>0</v>
      </c>
      <c r="Q198" s="8">
        <v>0</v>
      </c>
      <c r="R198" s="7">
        <v>0</v>
      </c>
      <c r="S198" s="9">
        <v>0</v>
      </c>
      <c r="T198" s="7">
        <v>0</v>
      </c>
      <c r="U198" s="8">
        <v>0</v>
      </c>
      <c r="V198" s="7">
        <v>0</v>
      </c>
      <c r="W198" s="8">
        <v>0</v>
      </c>
      <c r="X198" s="7">
        <f>M198</f>
        <v>36700</v>
      </c>
      <c r="Y198" s="8">
        <v>0.2</v>
      </c>
      <c r="Z198" s="7">
        <f t="shared" ref="Z198:Z211" si="20">X198+(X198*Y198)</f>
        <v>44040</v>
      </c>
      <c r="AA198" s="8">
        <f>IFERROR(((Z198-X198)/Z198),0)</f>
        <v>0.16666666666666666</v>
      </c>
      <c r="AB198" s="8">
        <v>0.1</v>
      </c>
    </row>
    <row r="199" spans="1:28" x14ac:dyDescent="0.25">
      <c r="A199">
        <v>2026</v>
      </c>
      <c r="B199" t="s">
        <v>56</v>
      </c>
      <c r="C199" t="s">
        <v>57</v>
      </c>
      <c r="D199" t="s">
        <v>58</v>
      </c>
      <c r="G199" t="s">
        <v>63</v>
      </c>
      <c r="H199" t="s">
        <v>63</v>
      </c>
      <c r="I199" t="s">
        <v>68</v>
      </c>
      <c r="J199" t="s">
        <v>69</v>
      </c>
      <c r="K199" t="s">
        <v>33</v>
      </c>
      <c r="L199">
        <v>28000</v>
      </c>
      <c r="M199" s="7">
        <v>28000</v>
      </c>
      <c r="O199" s="7"/>
      <c r="P199" s="7">
        <v>0</v>
      </c>
      <c r="Q199" s="8">
        <v>0</v>
      </c>
      <c r="R199" s="7">
        <v>0</v>
      </c>
      <c r="S199" s="9">
        <v>0</v>
      </c>
      <c r="T199" s="7">
        <v>0</v>
      </c>
      <c r="U199" s="8">
        <v>0</v>
      </c>
      <c r="V199" s="7">
        <v>0</v>
      </c>
      <c r="W199" s="8">
        <v>0</v>
      </c>
      <c r="X199" s="7">
        <f>M199</f>
        <v>28000</v>
      </c>
      <c r="Y199" s="8">
        <v>0.2</v>
      </c>
      <c r="Z199" s="7">
        <f t="shared" si="20"/>
        <v>33600</v>
      </c>
      <c r="AA199" s="8">
        <f>IFERROR(((Z199-X199)/Z199),0)</f>
        <v>0.16666666666666666</v>
      </c>
      <c r="AB199" s="8">
        <v>0.1</v>
      </c>
    </row>
    <row r="200" spans="1:28" x14ac:dyDescent="0.25">
      <c r="A200">
        <v>2026</v>
      </c>
      <c r="B200" t="s">
        <v>56</v>
      </c>
      <c r="C200" t="s">
        <v>57</v>
      </c>
      <c r="D200" t="s">
        <v>58</v>
      </c>
      <c r="G200" t="s">
        <v>63</v>
      </c>
      <c r="H200" t="s">
        <v>63</v>
      </c>
      <c r="I200" t="s">
        <v>70</v>
      </c>
      <c r="J200" t="s">
        <v>69</v>
      </c>
      <c r="K200" t="s">
        <v>33</v>
      </c>
      <c r="L200">
        <v>36700</v>
      </c>
      <c r="M200" s="7">
        <v>36700</v>
      </c>
      <c r="O200" s="7"/>
      <c r="P200" s="7">
        <v>0</v>
      </c>
      <c r="Q200" s="8">
        <v>0</v>
      </c>
      <c r="R200" s="7">
        <v>0</v>
      </c>
      <c r="S200" s="9">
        <v>0</v>
      </c>
      <c r="T200" s="7">
        <v>0</v>
      </c>
      <c r="U200" s="8">
        <v>0</v>
      </c>
      <c r="V200" s="7">
        <v>0</v>
      </c>
      <c r="W200" s="8">
        <v>0</v>
      </c>
      <c r="X200" s="7">
        <f>M200</f>
        <v>36700</v>
      </c>
      <c r="Y200" s="8">
        <v>0.2</v>
      </c>
      <c r="Z200" s="7">
        <f t="shared" si="20"/>
        <v>44040</v>
      </c>
      <c r="AA200" s="8">
        <f>IFERROR(((Z200-X200)/Z200),0)</f>
        <v>0.16666666666666666</v>
      </c>
      <c r="AB200" s="8">
        <v>0.1</v>
      </c>
    </row>
    <row r="201" spans="1:28" x14ac:dyDescent="0.25">
      <c r="A201">
        <v>2026</v>
      </c>
      <c r="B201" t="s">
        <v>56</v>
      </c>
      <c r="C201" t="s">
        <v>57</v>
      </c>
      <c r="D201" t="s">
        <v>58</v>
      </c>
      <c r="G201" t="s">
        <v>63</v>
      </c>
      <c r="H201" t="s">
        <v>63</v>
      </c>
      <c r="I201" t="s">
        <v>71</v>
      </c>
      <c r="J201" t="s">
        <v>69</v>
      </c>
      <c r="K201" t="s">
        <v>33</v>
      </c>
      <c r="L201">
        <v>21900</v>
      </c>
      <c r="M201" s="7">
        <v>21900</v>
      </c>
      <c r="O201" s="7"/>
      <c r="P201" s="7">
        <v>0</v>
      </c>
      <c r="Q201" s="8">
        <v>0</v>
      </c>
      <c r="R201" s="7">
        <v>0</v>
      </c>
      <c r="S201" s="9">
        <v>0</v>
      </c>
      <c r="T201" s="7">
        <v>0</v>
      </c>
      <c r="U201" s="8">
        <v>0</v>
      </c>
      <c r="V201" s="7">
        <v>0</v>
      </c>
      <c r="W201" s="8">
        <v>0</v>
      </c>
      <c r="X201" s="7">
        <f>M201</f>
        <v>21900</v>
      </c>
      <c r="Y201" s="8">
        <v>0.2</v>
      </c>
      <c r="Z201" s="7">
        <f t="shared" si="20"/>
        <v>26280</v>
      </c>
      <c r="AA201" s="8">
        <f>IFERROR(((Z201-X201)/Z201),0)</f>
        <v>0.16666666666666666</v>
      </c>
      <c r="AB201" s="8">
        <v>0.1</v>
      </c>
    </row>
    <row r="202" spans="1:28" x14ac:dyDescent="0.25">
      <c r="A202">
        <v>2026</v>
      </c>
      <c r="B202" t="s">
        <v>56</v>
      </c>
      <c r="C202" t="s">
        <v>57</v>
      </c>
      <c r="D202" t="s">
        <v>58</v>
      </c>
      <c r="G202" t="s">
        <v>63</v>
      </c>
      <c r="H202" t="s">
        <v>63</v>
      </c>
      <c r="I202" t="s">
        <v>72</v>
      </c>
      <c r="J202" t="s">
        <v>69</v>
      </c>
      <c r="K202" t="s">
        <v>33</v>
      </c>
      <c r="L202">
        <v>114900</v>
      </c>
      <c r="M202" s="7">
        <v>114900</v>
      </c>
      <c r="O202" s="7"/>
      <c r="P202" s="7">
        <v>0</v>
      </c>
      <c r="Q202" s="8">
        <v>0</v>
      </c>
      <c r="R202" s="7">
        <v>0</v>
      </c>
      <c r="S202" s="9">
        <v>0</v>
      </c>
      <c r="T202" s="7">
        <v>0</v>
      </c>
      <c r="U202" s="8">
        <v>0</v>
      </c>
      <c r="V202" s="7">
        <v>0</v>
      </c>
      <c r="W202" s="8">
        <v>0</v>
      </c>
      <c r="X202" s="7">
        <f>M202</f>
        <v>114900</v>
      </c>
      <c r="Y202" s="8">
        <v>0.2</v>
      </c>
      <c r="Z202" s="7">
        <f t="shared" si="20"/>
        <v>137880</v>
      </c>
      <c r="AA202" s="8">
        <f>IFERROR(((Z202-X202)/Z202),0)</f>
        <v>0.16666666666666666</v>
      </c>
      <c r="AB202" s="8">
        <v>0.1</v>
      </c>
    </row>
    <row r="203" spans="1:28" x14ac:dyDescent="0.25">
      <c r="A203">
        <v>2026</v>
      </c>
      <c r="B203" t="s">
        <v>56</v>
      </c>
      <c r="C203" t="s">
        <v>57</v>
      </c>
      <c r="D203" t="s">
        <v>58</v>
      </c>
      <c r="G203" t="s">
        <v>63</v>
      </c>
      <c r="H203" t="s">
        <v>63</v>
      </c>
      <c r="I203" t="s">
        <v>73</v>
      </c>
      <c r="J203" t="s">
        <v>69</v>
      </c>
      <c r="K203" t="s">
        <v>33</v>
      </c>
      <c r="L203">
        <v>28000</v>
      </c>
      <c r="M203" s="7">
        <v>28000</v>
      </c>
      <c r="O203" s="7"/>
      <c r="P203" s="7">
        <v>0</v>
      </c>
      <c r="Q203" s="8">
        <v>0</v>
      </c>
      <c r="R203" s="7">
        <v>0</v>
      </c>
      <c r="S203" s="9">
        <v>0</v>
      </c>
      <c r="T203" s="7">
        <v>0</v>
      </c>
      <c r="U203" s="8">
        <v>0</v>
      </c>
      <c r="V203" s="7">
        <v>0</v>
      </c>
      <c r="W203" s="8">
        <v>0</v>
      </c>
      <c r="X203" s="7">
        <f>M203</f>
        <v>28000</v>
      </c>
      <c r="Y203" s="8">
        <v>0.2</v>
      </c>
      <c r="Z203" s="7">
        <f t="shared" si="20"/>
        <v>33600</v>
      </c>
      <c r="AA203" s="8">
        <f>IFERROR(((Z203-X203)/Z203),0)</f>
        <v>0.16666666666666666</v>
      </c>
      <c r="AB203" s="8">
        <v>0.1</v>
      </c>
    </row>
    <row r="204" spans="1:28" x14ac:dyDescent="0.25">
      <c r="A204">
        <v>2026</v>
      </c>
      <c r="B204" t="s">
        <v>56</v>
      </c>
      <c r="C204" t="s">
        <v>57</v>
      </c>
      <c r="D204" t="s">
        <v>58</v>
      </c>
      <c r="G204" t="s">
        <v>63</v>
      </c>
      <c r="H204" t="s">
        <v>63</v>
      </c>
      <c r="I204" t="s">
        <v>74</v>
      </c>
      <c r="J204" t="s">
        <v>69</v>
      </c>
      <c r="K204" t="s">
        <v>33</v>
      </c>
      <c r="L204">
        <v>49200</v>
      </c>
      <c r="M204" s="7">
        <v>49200</v>
      </c>
      <c r="O204" s="7"/>
      <c r="P204" s="7">
        <v>0</v>
      </c>
      <c r="Q204" s="8">
        <v>0</v>
      </c>
      <c r="R204" s="7">
        <v>0</v>
      </c>
      <c r="S204" s="9">
        <v>0</v>
      </c>
      <c r="T204" s="7">
        <v>0</v>
      </c>
      <c r="U204" s="8">
        <v>0</v>
      </c>
      <c r="V204" s="7">
        <v>0</v>
      </c>
      <c r="W204" s="8">
        <v>0</v>
      </c>
      <c r="X204" s="7">
        <f>M204</f>
        <v>49200</v>
      </c>
      <c r="Y204" s="8">
        <v>0.2</v>
      </c>
      <c r="Z204" s="7">
        <f t="shared" si="20"/>
        <v>59040</v>
      </c>
      <c r="AA204" s="8">
        <f>IFERROR(((Z204-X204)/Z204),0)</f>
        <v>0.16666666666666666</v>
      </c>
      <c r="AB204" s="8">
        <v>0.1</v>
      </c>
    </row>
    <row r="205" spans="1:28" x14ac:dyDescent="0.25">
      <c r="A205">
        <v>2026</v>
      </c>
      <c r="B205" t="s">
        <v>56</v>
      </c>
      <c r="C205" t="s">
        <v>57</v>
      </c>
      <c r="D205" t="s">
        <v>58</v>
      </c>
      <c r="G205" t="s">
        <v>63</v>
      </c>
      <c r="H205" t="s">
        <v>63</v>
      </c>
      <c r="I205" t="s">
        <v>75</v>
      </c>
      <c r="J205" t="s">
        <v>69</v>
      </c>
      <c r="K205" t="s">
        <v>33</v>
      </c>
      <c r="L205">
        <v>141600</v>
      </c>
      <c r="M205" s="7">
        <v>141600</v>
      </c>
      <c r="O205" s="7"/>
      <c r="P205" s="7">
        <v>0</v>
      </c>
      <c r="Q205" s="8">
        <v>0</v>
      </c>
      <c r="R205" s="7">
        <v>0</v>
      </c>
      <c r="S205" s="9">
        <v>0</v>
      </c>
      <c r="T205" s="7">
        <v>0</v>
      </c>
      <c r="U205" s="8">
        <v>0</v>
      </c>
      <c r="V205" s="7">
        <v>0</v>
      </c>
      <c r="W205" s="8">
        <v>0</v>
      </c>
      <c r="X205" s="7">
        <f>M205</f>
        <v>141600</v>
      </c>
      <c r="Y205" s="8">
        <v>0.2</v>
      </c>
      <c r="Z205" s="7">
        <f t="shared" si="20"/>
        <v>169920</v>
      </c>
      <c r="AA205" s="8">
        <f>IFERROR(((Z205-X205)/Z205),0)</f>
        <v>0.16666666666666666</v>
      </c>
      <c r="AB205" s="8">
        <v>0.1</v>
      </c>
    </row>
    <row r="206" spans="1:28" x14ac:dyDescent="0.25">
      <c r="A206">
        <v>2026</v>
      </c>
      <c r="B206" t="s">
        <v>56</v>
      </c>
      <c r="C206" t="s">
        <v>57</v>
      </c>
      <c r="D206" t="s">
        <v>58</v>
      </c>
      <c r="G206" t="s">
        <v>63</v>
      </c>
      <c r="H206" t="s">
        <v>63</v>
      </c>
      <c r="I206" t="s">
        <v>76</v>
      </c>
      <c r="J206" t="s">
        <v>69</v>
      </c>
      <c r="K206" t="s">
        <v>33</v>
      </c>
      <c r="L206">
        <v>174700</v>
      </c>
      <c r="M206" s="7">
        <v>174700</v>
      </c>
      <c r="O206" s="7"/>
      <c r="P206" s="7">
        <v>0</v>
      </c>
      <c r="Q206" s="8">
        <v>0</v>
      </c>
      <c r="R206" s="7">
        <v>0</v>
      </c>
      <c r="S206" s="9">
        <v>0</v>
      </c>
      <c r="T206" s="7">
        <v>0</v>
      </c>
      <c r="U206" s="8">
        <v>0</v>
      </c>
      <c r="V206" s="7">
        <v>0</v>
      </c>
      <c r="W206" s="8">
        <v>0</v>
      </c>
      <c r="X206" s="7">
        <f>M206</f>
        <v>174700</v>
      </c>
      <c r="Y206" s="8">
        <v>0.2</v>
      </c>
      <c r="Z206" s="7">
        <f t="shared" si="20"/>
        <v>209640</v>
      </c>
      <c r="AA206" s="8">
        <f>IFERROR(((Z206-X206)/Z206),0)</f>
        <v>0.16666666666666666</v>
      </c>
      <c r="AB206" s="8">
        <v>0.1</v>
      </c>
    </row>
    <row r="207" spans="1:28" x14ac:dyDescent="0.25">
      <c r="A207">
        <v>2026</v>
      </c>
      <c r="B207" t="s">
        <v>56</v>
      </c>
      <c r="C207" t="s">
        <v>57</v>
      </c>
      <c r="D207" t="s">
        <v>58</v>
      </c>
      <c r="G207" t="s">
        <v>63</v>
      </c>
      <c r="H207" t="s">
        <v>63</v>
      </c>
      <c r="I207" t="s">
        <v>77</v>
      </c>
      <c r="J207" t="s">
        <v>69</v>
      </c>
      <c r="K207" t="s">
        <v>33</v>
      </c>
      <c r="L207">
        <v>204000</v>
      </c>
      <c r="M207" s="7">
        <v>204000</v>
      </c>
      <c r="O207" s="7"/>
      <c r="P207" s="7">
        <v>0</v>
      </c>
      <c r="Q207" s="8">
        <v>0</v>
      </c>
      <c r="R207" s="7">
        <v>0</v>
      </c>
      <c r="S207" s="9">
        <v>0</v>
      </c>
      <c r="T207" s="7">
        <v>0</v>
      </c>
      <c r="U207" s="8">
        <v>0</v>
      </c>
      <c r="V207" s="7">
        <v>0</v>
      </c>
      <c r="W207" s="8">
        <v>0</v>
      </c>
      <c r="X207" s="7">
        <f>M207</f>
        <v>204000</v>
      </c>
      <c r="Y207" s="8">
        <v>0.2</v>
      </c>
      <c r="Z207" s="7">
        <f t="shared" si="20"/>
        <v>244800</v>
      </c>
      <c r="AA207" s="8">
        <f>IFERROR(((Z207-X207)/Z207),0)</f>
        <v>0.16666666666666666</v>
      </c>
      <c r="AB207" s="8">
        <v>0.1</v>
      </c>
    </row>
    <row r="208" spans="1:28" x14ac:dyDescent="0.25">
      <c r="A208">
        <v>2026</v>
      </c>
      <c r="B208" t="s">
        <v>56</v>
      </c>
      <c r="C208" t="s">
        <v>57</v>
      </c>
      <c r="D208" t="s">
        <v>58</v>
      </c>
      <c r="G208" t="s">
        <v>63</v>
      </c>
      <c r="H208" t="s">
        <v>63</v>
      </c>
      <c r="I208" t="s">
        <v>78</v>
      </c>
      <c r="J208" t="s">
        <v>69</v>
      </c>
      <c r="K208" t="s">
        <v>33</v>
      </c>
      <c r="L208">
        <v>49000</v>
      </c>
      <c r="M208" s="7">
        <v>49000</v>
      </c>
      <c r="O208" s="7"/>
      <c r="P208" s="7">
        <v>0</v>
      </c>
      <c r="Q208" s="8">
        <v>0</v>
      </c>
      <c r="R208" s="7">
        <v>0</v>
      </c>
      <c r="S208" s="9">
        <v>0</v>
      </c>
      <c r="T208" s="7">
        <v>0</v>
      </c>
      <c r="U208" s="8">
        <v>0</v>
      </c>
      <c r="V208" s="7">
        <v>0</v>
      </c>
      <c r="W208" s="8">
        <v>0</v>
      </c>
      <c r="X208" s="7">
        <f>M208</f>
        <v>49000</v>
      </c>
      <c r="Y208" s="8">
        <v>0.2</v>
      </c>
      <c r="Z208" s="7">
        <f t="shared" si="20"/>
        <v>58800</v>
      </c>
      <c r="AA208" s="8">
        <f>IFERROR(((Z208-X208)/Z208),0)</f>
        <v>0.16666666666666666</v>
      </c>
      <c r="AB208" s="8">
        <v>0.1</v>
      </c>
    </row>
    <row r="209" spans="1:28" x14ac:dyDescent="0.25">
      <c r="A209">
        <v>2026</v>
      </c>
      <c r="B209" t="s">
        <v>56</v>
      </c>
      <c r="C209" t="s">
        <v>57</v>
      </c>
      <c r="D209" t="s">
        <v>58</v>
      </c>
      <c r="G209" t="s">
        <v>63</v>
      </c>
      <c r="H209" t="s">
        <v>63</v>
      </c>
      <c r="I209" t="s">
        <v>79</v>
      </c>
      <c r="J209" t="s">
        <v>66</v>
      </c>
      <c r="K209" t="s">
        <v>33</v>
      </c>
      <c r="L209">
        <v>224100</v>
      </c>
      <c r="M209" s="7">
        <v>224100</v>
      </c>
      <c r="O209" s="7"/>
      <c r="P209" s="7">
        <v>0</v>
      </c>
      <c r="Q209" s="8">
        <v>0</v>
      </c>
      <c r="R209" s="7">
        <v>0</v>
      </c>
      <c r="S209" s="9">
        <v>0</v>
      </c>
      <c r="T209" s="7">
        <v>0</v>
      </c>
      <c r="U209" s="8">
        <v>0</v>
      </c>
      <c r="V209" s="7">
        <v>0</v>
      </c>
      <c r="W209" s="8">
        <v>0</v>
      </c>
      <c r="X209" s="7">
        <f>M209</f>
        <v>224100</v>
      </c>
      <c r="Y209" s="8">
        <v>0.2</v>
      </c>
      <c r="Z209" s="7">
        <f t="shared" si="20"/>
        <v>268920</v>
      </c>
      <c r="AA209" s="8">
        <f>IFERROR(((Z209-X209)/Z209),0)</f>
        <v>0.16666666666666666</v>
      </c>
      <c r="AB209" s="8">
        <v>0.1</v>
      </c>
    </row>
    <row r="210" spans="1:28" x14ac:dyDescent="0.25">
      <c r="A210">
        <v>2026</v>
      </c>
      <c r="B210" t="s">
        <v>56</v>
      </c>
      <c r="C210" t="s">
        <v>57</v>
      </c>
      <c r="D210" t="s">
        <v>58</v>
      </c>
      <c r="G210" t="s">
        <v>63</v>
      </c>
      <c r="H210" t="s">
        <v>63</v>
      </c>
      <c r="I210" t="s">
        <v>80</v>
      </c>
      <c r="J210" t="s">
        <v>66</v>
      </c>
      <c r="K210" t="s">
        <v>33</v>
      </c>
      <c r="L210">
        <v>38000</v>
      </c>
      <c r="M210" s="7">
        <v>38000</v>
      </c>
      <c r="O210" s="7"/>
      <c r="P210" s="7">
        <v>0</v>
      </c>
      <c r="Q210" s="8">
        <v>0</v>
      </c>
      <c r="R210" s="7">
        <v>0</v>
      </c>
      <c r="S210" s="9">
        <v>0</v>
      </c>
      <c r="T210" s="7">
        <v>0</v>
      </c>
      <c r="U210" s="8">
        <v>0</v>
      </c>
      <c r="V210" s="7">
        <v>0</v>
      </c>
      <c r="W210" s="8">
        <v>0</v>
      </c>
      <c r="X210" s="7">
        <f>M210</f>
        <v>38000</v>
      </c>
      <c r="Y210" s="8">
        <v>0.2</v>
      </c>
      <c r="Z210" s="7">
        <f t="shared" si="20"/>
        <v>45600</v>
      </c>
      <c r="AA210" s="8">
        <f>IFERROR(((Z210-X210)/Z210),0)</f>
        <v>0.16666666666666666</v>
      </c>
      <c r="AB210" s="8">
        <v>0.1</v>
      </c>
    </row>
    <row r="211" spans="1:28" x14ac:dyDescent="0.25">
      <c r="A211">
        <v>2026</v>
      </c>
      <c r="B211" t="s">
        <v>56</v>
      </c>
      <c r="C211" t="s">
        <v>57</v>
      </c>
      <c r="D211" t="s">
        <v>58</v>
      </c>
      <c r="G211" t="s">
        <v>63</v>
      </c>
      <c r="H211" t="s">
        <v>63</v>
      </c>
      <c r="I211" t="s">
        <v>81</v>
      </c>
      <c r="J211" t="s">
        <v>66</v>
      </c>
      <c r="K211" t="s">
        <v>33</v>
      </c>
      <c r="L211">
        <v>39800</v>
      </c>
      <c r="M211" s="7">
        <v>39800</v>
      </c>
      <c r="O211" s="7"/>
      <c r="P211" s="7">
        <v>0</v>
      </c>
      <c r="Q211" s="8">
        <v>0</v>
      </c>
      <c r="R211" s="7">
        <v>0</v>
      </c>
      <c r="S211" s="9">
        <v>0</v>
      </c>
      <c r="T211" s="7">
        <v>0</v>
      </c>
      <c r="U211" s="8">
        <v>0</v>
      </c>
      <c r="V211" s="7">
        <v>0</v>
      </c>
      <c r="W211" s="8">
        <v>0</v>
      </c>
      <c r="X211" s="7">
        <f>M211</f>
        <v>39800</v>
      </c>
      <c r="Y211" s="8">
        <v>0.2</v>
      </c>
      <c r="Z211" s="7">
        <f t="shared" si="20"/>
        <v>47760</v>
      </c>
      <c r="AA211" s="8">
        <f>IFERROR(((Z211-X211)/Z211),0)</f>
        <v>0.16666666666666666</v>
      </c>
      <c r="AB211" s="8">
        <v>0.1</v>
      </c>
    </row>
    <row r="212" spans="1:28" x14ac:dyDescent="0.25">
      <c r="A212">
        <v>2026</v>
      </c>
      <c r="B212" t="s">
        <v>28</v>
      </c>
      <c r="C212" t="s">
        <v>60</v>
      </c>
      <c r="D212" t="s">
        <v>61</v>
      </c>
      <c r="G212" t="s">
        <v>63</v>
      </c>
      <c r="H212" t="s">
        <v>63</v>
      </c>
      <c r="I212" t="s">
        <v>65</v>
      </c>
      <c r="J212" t="s">
        <v>66</v>
      </c>
      <c r="K212" t="s">
        <v>33</v>
      </c>
      <c r="L212">
        <v>28800</v>
      </c>
      <c r="M212" s="7">
        <v>28800</v>
      </c>
      <c r="O212" s="7">
        <f>V212</f>
        <v>34560</v>
      </c>
      <c r="P212" s="7">
        <v>0</v>
      </c>
      <c r="Q212" s="8">
        <v>0</v>
      </c>
      <c r="R212" s="7">
        <v>0</v>
      </c>
      <c r="S212" s="9">
        <v>0</v>
      </c>
      <c r="T212" s="7">
        <f>IF(C212="Mediana Complejidad",M212,0)</f>
        <v>28800</v>
      </c>
      <c r="U212" s="8">
        <v>0.2</v>
      </c>
      <c r="V212" s="7">
        <f>T212+(U212*T212)</f>
        <v>34560</v>
      </c>
      <c r="W212" s="10">
        <f>IFERROR(((V212-T212)/V212),0)</f>
        <v>0.16666666666666666</v>
      </c>
      <c r="X212" s="7">
        <v>0</v>
      </c>
      <c r="Y212" s="8">
        <v>0</v>
      </c>
      <c r="Z212" s="7">
        <v>0</v>
      </c>
      <c r="AA212" s="8">
        <v>0</v>
      </c>
      <c r="AB212" s="8">
        <v>0.1</v>
      </c>
    </row>
    <row r="213" spans="1:28" x14ac:dyDescent="0.25">
      <c r="A213">
        <v>2026</v>
      </c>
      <c r="B213" t="s">
        <v>28</v>
      </c>
      <c r="C213" t="s">
        <v>60</v>
      </c>
      <c r="D213" t="s">
        <v>61</v>
      </c>
      <c r="G213" t="s">
        <v>63</v>
      </c>
      <c r="H213" t="s">
        <v>63</v>
      </c>
      <c r="I213" t="s">
        <v>67</v>
      </c>
      <c r="J213" t="s">
        <v>66</v>
      </c>
      <c r="K213" t="s">
        <v>33</v>
      </c>
      <c r="L213">
        <v>36700</v>
      </c>
      <c r="M213" s="7">
        <v>36700</v>
      </c>
      <c r="O213" s="7">
        <f t="shared" ref="O213:O226" si="21">V213</f>
        <v>44040</v>
      </c>
      <c r="P213" s="7">
        <v>0</v>
      </c>
      <c r="Q213" s="8">
        <v>0</v>
      </c>
      <c r="R213" s="7">
        <v>0</v>
      </c>
      <c r="S213" s="9">
        <v>0</v>
      </c>
      <c r="T213" s="7">
        <f>IF(C213="Mediana Complejidad",M213,0)</f>
        <v>36700</v>
      </c>
      <c r="U213" s="8">
        <v>0.2</v>
      </c>
      <c r="V213" s="7">
        <f t="shared" ref="V213:V226" si="22">T213+(U213*T213)</f>
        <v>44040</v>
      </c>
      <c r="W213" s="10">
        <f>IFERROR(((V213-T213)/V213),0)</f>
        <v>0.16666666666666666</v>
      </c>
      <c r="X213" s="7">
        <v>0</v>
      </c>
      <c r="Y213" s="8">
        <v>0</v>
      </c>
      <c r="Z213" s="7">
        <v>0</v>
      </c>
      <c r="AA213" s="8">
        <v>0</v>
      </c>
      <c r="AB213" s="8">
        <v>0.1</v>
      </c>
    </row>
    <row r="214" spans="1:28" x14ac:dyDescent="0.25">
      <c r="A214">
        <v>2026</v>
      </c>
      <c r="B214" t="s">
        <v>28</v>
      </c>
      <c r="C214" t="s">
        <v>60</v>
      </c>
      <c r="D214" t="s">
        <v>61</v>
      </c>
      <c r="G214" t="s">
        <v>63</v>
      </c>
      <c r="H214" t="s">
        <v>63</v>
      </c>
      <c r="I214" t="s">
        <v>68</v>
      </c>
      <c r="J214" t="s">
        <v>69</v>
      </c>
      <c r="K214" t="s">
        <v>33</v>
      </c>
      <c r="L214">
        <v>28000</v>
      </c>
      <c r="M214" s="7">
        <v>28000</v>
      </c>
      <c r="O214" s="7">
        <f t="shared" si="21"/>
        <v>33600</v>
      </c>
      <c r="P214" s="7">
        <v>0</v>
      </c>
      <c r="Q214" s="8">
        <v>0</v>
      </c>
      <c r="R214" s="7">
        <v>0</v>
      </c>
      <c r="S214" s="9">
        <v>0</v>
      </c>
      <c r="T214" s="7">
        <f>IF(C214="Mediana Complejidad",M214,0)</f>
        <v>28000</v>
      </c>
      <c r="U214" s="8">
        <v>0.2</v>
      </c>
      <c r="V214" s="7">
        <f t="shared" si="22"/>
        <v>33600</v>
      </c>
      <c r="W214" s="10">
        <f>IFERROR(((V214-T214)/V214),0)</f>
        <v>0.16666666666666666</v>
      </c>
      <c r="X214" s="7">
        <v>0</v>
      </c>
      <c r="Y214" s="8">
        <v>0</v>
      </c>
      <c r="Z214" s="7">
        <v>0</v>
      </c>
      <c r="AA214" s="8">
        <v>0</v>
      </c>
      <c r="AB214" s="8">
        <v>0.1</v>
      </c>
    </row>
    <row r="215" spans="1:28" x14ac:dyDescent="0.25">
      <c r="A215">
        <v>2026</v>
      </c>
      <c r="B215" t="s">
        <v>28</v>
      </c>
      <c r="C215" t="s">
        <v>60</v>
      </c>
      <c r="D215" t="s">
        <v>61</v>
      </c>
      <c r="G215" t="s">
        <v>63</v>
      </c>
      <c r="H215" t="s">
        <v>63</v>
      </c>
      <c r="I215" t="s">
        <v>70</v>
      </c>
      <c r="J215" t="s">
        <v>69</v>
      </c>
      <c r="K215" t="s">
        <v>33</v>
      </c>
      <c r="L215">
        <v>36700</v>
      </c>
      <c r="M215" s="7">
        <v>36700</v>
      </c>
      <c r="O215" s="7">
        <f t="shared" si="21"/>
        <v>44040</v>
      </c>
      <c r="P215" s="7">
        <v>0</v>
      </c>
      <c r="Q215" s="8">
        <v>0</v>
      </c>
      <c r="R215" s="7">
        <v>0</v>
      </c>
      <c r="S215" s="9">
        <v>0</v>
      </c>
      <c r="T215" s="7">
        <f>IF(C215="Mediana Complejidad",M215,0)</f>
        <v>36700</v>
      </c>
      <c r="U215" s="8">
        <v>0.2</v>
      </c>
      <c r="V215" s="7">
        <f t="shared" si="22"/>
        <v>44040</v>
      </c>
      <c r="W215" s="10">
        <f>IFERROR(((V215-T215)/V215),0)</f>
        <v>0.16666666666666666</v>
      </c>
      <c r="X215" s="7">
        <v>0</v>
      </c>
      <c r="Y215" s="8">
        <v>0</v>
      </c>
      <c r="Z215" s="7">
        <v>0</v>
      </c>
      <c r="AA215" s="8">
        <v>0</v>
      </c>
      <c r="AB215" s="8">
        <v>0.1</v>
      </c>
    </row>
    <row r="216" spans="1:28" x14ac:dyDescent="0.25">
      <c r="A216">
        <v>2026</v>
      </c>
      <c r="B216" t="s">
        <v>28</v>
      </c>
      <c r="C216" t="s">
        <v>60</v>
      </c>
      <c r="D216" t="s">
        <v>61</v>
      </c>
      <c r="G216" t="s">
        <v>63</v>
      </c>
      <c r="H216" t="s">
        <v>63</v>
      </c>
      <c r="I216" t="s">
        <v>71</v>
      </c>
      <c r="J216" t="s">
        <v>69</v>
      </c>
      <c r="K216" t="s">
        <v>33</v>
      </c>
      <c r="L216">
        <v>21900</v>
      </c>
      <c r="M216" s="7">
        <v>21900</v>
      </c>
      <c r="O216" s="7">
        <f t="shared" si="21"/>
        <v>26280</v>
      </c>
      <c r="P216" s="7">
        <v>0</v>
      </c>
      <c r="Q216" s="8">
        <v>0</v>
      </c>
      <c r="R216" s="7">
        <v>0</v>
      </c>
      <c r="S216" s="9">
        <v>0</v>
      </c>
      <c r="T216" s="7">
        <f>IF(C216="Mediana Complejidad",M216,0)</f>
        <v>21900</v>
      </c>
      <c r="U216" s="8">
        <v>0.2</v>
      </c>
      <c r="V216" s="7">
        <f t="shared" si="22"/>
        <v>26280</v>
      </c>
      <c r="W216" s="10">
        <f>IFERROR(((V216-T216)/V216),0)</f>
        <v>0.16666666666666666</v>
      </c>
      <c r="X216" s="7">
        <v>0</v>
      </c>
      <c r="Y216" s="8">
        <v>0</v>
      </c>
      <c r="Z216" s="7">
        <v>0</v>
      </c>
      <c r="AA216" s="8">
        <v>0</v>
      </c>
      <c r="AB216" s="8">
        <v>0.1</v>
      </c>
    </row>
    <row r="217" spans="1:28" x14ac:dyDescent="0.25">
      <c r="A217">
        <v>2026</v>
      </c>
      <c r="B217" t="s">
        <v>28</v>
      </c>
      <c r="C217" t="s">
        <v>60</v>
      </c>
      <c r="D217" t="s">
        <v>61</v>
      </c>
      <c r="G217" t="s">
        <v>63</v>
      </c>
      <c r="H217" t="s">
        <v>63</v>
      </c>
      <c r="I217" t="s">
        <v>72</v>
      </c>
      <c r="J217" t="s">
        <v>69</v>
      </c>
      <c r="K217" t="s">
        <v>33</v>
      </c>
      <c r="L217">
        <v>114900</v>
      </c>
      <c r="M217" s="7">
        <v>114900</v>
      </c>
      <c r="O217" s="7">
        <f t="shared" si="21"/>
        <v>137880</v>
      </c>
      <c r="P217" s="7">
        <v>0</v>
      </c>
      <c r="Q217" s="8">
        <v>0</v>
      </c>
      <c r="R217" s="7">
        <v>0</v>
      </c>
      <c r="S217" s="9">
        <v>0</v>
      </c>
      <c r="T217" s="7">
        <f>IF(C217="Mediana Complejidad",M217,0)</f>
        <v>114900</v>
      </c>
      <c r="U217" s="8">
        <v>0.2</v>
      </c>
      <c r="V217" s="7">
        <f t="shared" si="22"/>
        <v>137880</v>
      </c>
      <c r="W217" s="10">
        <f>IFERROR(((V217-T217)/V217),0)</f>
        <v>0.16666666666666666</v>
      </c>
      <c r="X217" s="7">
        <v>0</v>
      </c>
      <c r="Y217" s="8">
        <v>0</v>
      </c>
      <c r="Z217" s="7">
        <v>0</v>
      </c>
      <c r="AA217" s="8">
        <v>0</v>
      </c>
      <c r="AB217" s="8">
        <v>0.1</v>
      </c>
    </row>
    <row r="218" spans="1:28" x14ac:dyDescent="0.25">
      <c r="A218">
        <v>2026</v>
      </c>
      <c r="B218" t="s">
        <v>28</v>
      </c>
      <c r="C218" t="s">
        <v>60</v>
      </c>
      <c r="D218" t="s">
        <v>61</v>
      </c>
      <c r="G218" t="s">
        <v>63</v>
      </c>
      <c r="H218" t="s">
        <v>63</v>
      </c>
      <c r="I218" t="s">
        <v>73</v>
      </c>
      <c r="J218" t="s">
        <v>69</v>
      </c>
      <c r="K218" t="s">
        <v>33</v>
      </c>
      <c r="L218">
        <v>28000</v>
      </c>
      <c r="M218" s="7">
        <v>28000</v>
      </c>
      <c r="O218" s="7">
        <f t="shared" si="21"/>
        <v>33600</v>
      </c>
      <c r="P218" s="7">
        <v>0</v>
      </c>
      <c r="Q218" s="8">
        <v>0</v>
      </c>
      <c r="R218" s="7">
        <v>0</v>
      </c>
      <c r="S218" s="9">
        <v>0</v>
      </c>
      <c r="T218" s="7">
        <f>IF(C218="Mediana Complejidad",M218,0)</f>
        <v>28000</v>
      </c>
      <c r="U218" s="8">
        <v>0.2</v>
      </c>
      <c r="V218" s="7">
        <f t="shared" si="22"/>
        <v>33600</v>
      </c>
      <c r="W218" s="10">
        <f>IFERROR(((V218-T218)/V218),0)</f>
        <v>0.16666666666666666</v>
      </c>
      <c r="X218" s="7">
        <v>0</v>
      </c>
      <c r="Y218" s="8">
        <v>0</v>
      </c>
      <c r="Z218" s="7">
        <v>0</v>
      </c>
      <c r="AA218" s="8">
        <v>0</v>
      </c>
      <c r="AB218" s="8">
        <v>0.1</v>
      </c>
    </row>
    <row r="219" spans="1:28" x14ac:dyDescent="0.25">
      <c r="A219">
        <v>2026</v>
      </c>
      <c r="B219" t="s">
        <v>28</v>
      </c>
      <c r="C219" t="s">
        <v>60</v>
      </c>
      <c r="D219" t="s">
        <v>61</v>
      </c>
      <c r="G219" t="s">
        <v>63</v>
      </c>
      <c r="H219" t="s">
        <v>63</v>
      </c>
      <c r="I219" t="s">
        <v>74</v>
      </c>
      <c r="J219" t="s">
        <v>69</v>
      </c>
      <c r="K219" t="s">
        <v>33</v>
      </c>
      <c r="L219">
        <v>49200</v>
      </c>
      <c r="M219" s="7">
        <v>49200</v>
      </c>
      <c r="O219" s="7">
        <f t="shared" si="21"/>
        <v>59040</v>
      </c>
      <c r="P219" s="7">
        <v>0</v>
      </c>
      <c r="Q219" s="8">
        <v>0</v>
      </c>
      <c r="R219" s="7">
        <v>0</v>
      </c>
      <c r="S219" s="9">
        <v>0</v>
      </c>
      <c r="T219" s="7">
        <f>IF(C219="Mediana Complejidad",M219,0)</f>
        <v>49200</v>
      </c>
      <c r="U219" s="8">
        <v>0.2</v>
      </c>
      <c r="V219" s="7">
        <f t="shared" si="22"/>
        <v>59040</v>
      </c>
      <c r="W219" s="10">
        <f>IFERROR(((V219-T219)/V219),0)</f>
        <v>0.16666666666666666</v>
      </c>
      <c r="X219" s="7">
        <v>0</v>
      </c>
      <c r="Y219" s="8">
        <v>0</v>
      </c>
      <c r="Z219" s="7">
        <v>0</v>
      </c>
      <c r="AA219" s="8">
        <v>0</v>
      </c>
      <c r="AB219" s="8">
        <v>0.1</v>
      </c>
    </row>
    <row r="220" spans="1:28" x14ac:dyDescent="0.25">
      <c r="A220">
        <v>2026</v>
      </c>
      <c r="B220" t="s">
        <v>28</v>
      </c>
      <c r="C220" t="s">
        <v>60</v>
      </c>
      <c r="D220" t="s">
        <v>61</v>
      </c>
      <c r="G220" t="s">
        <v>63</v>
      </c>
      <c r="H220" t="s">
        <v>63</v>
      </c>
      <c r="I220" t="s">
        <v>75</v>
      </c>
      <c r="J220" t="s">
        <v>69</v>
      </c>
      <c r="K220" t="s">
        <v>33</v>
      </c>
      <c r="L220">
        <v>141600</v>
      </c>
      <c r="M220" s="7">
        <v>141600</v>
      </c>
      <c r="O220" s="7">
        <f t="shared" si="21"/>
        <v>169920</v>
      </c>
      <c r="P220" s="7">
        <v>0</v>
      </c>
      <c r="Q220" s="8">
        <v>0</v>
      </c>
      <c r="R220" s="7">
        <v>0</v>
      </c>
      <c r="S220" s="9">
        <v>0</v>
      </c>
      <c r="T220" s="7">
        <f>IF(C220="Mediana Complejidad",M220,0)</f>
        <v>141600</v>
      </c>
      <c r="U220" s="8">
        <v>0.2</v>
      </c>
      <c r="V220" s="7">
        <f t="shared" si="22"/>
        <v>169920</v>
      </c>
      <c r="W220" s="10">
        <f>IFERROR(((V220-T220)/V220),0)</f>
        <v>0.16666666666666666</v>
      </c>
      <c r="X220" s="7">
        <v>0</v>
      </c>
      <c r="Y220" s="8">
        <v>0</v>
      </c>
      <c r="Z220" s="7">
        <v>0</v>
      </c>
      <c r="AA220" s="8">
        <v>0</v>
      </c>
      <c r="AB220" s="8">
        <v>0.1</v>
      </c>
    </row>
    <row r="221" spans="1:28" x14ac:dyDescent="0.25">
      <c r="A221">
        <v>2026</v>
      </c>
      <c r="B221" t="s">
        <v>28</v>
      </c>
      <c r="C221" t="s">
        <v>60</v>
      </c>
      <c r="D221" t="s">
        <v>61</v>
      </c>
      <c r="G221" t="s">
        <v>63</v>
      </c>
      <c r="H221" t="s">
        <v>63</v>
      </c>
      <c r="I221" t="s">
        <v>76</v>
      </c>
      <c r="J221" t="s">
        <v>69</v>
      </c>
      <c r="K221" t="s">
        <v>33</v>
      </c>
      <c r="L221">
        <v>174700</v>
      </c>
      <c r="M221" s="7">
        <v>174700</v>
      </c>
      <c r="O221" s="7">
        <f t="shared" si="21"/>
        <v>209640</v>
      </c>
      <c r="P221" s="7">
        <v>0</v>
      </c>
      <c r="Q221" s="8">
        <v>0</v>
      </c>
      <c r="R221" s="7">
        <v>0</v>
      </c>
      <c r="S221" s="9">
        <v>0</v>
      </c>
      <c r="T221" s="7">
        <f>IF(C221="Mediana Complejidad",M221,0)</f>
        <v>174700</v>
      </c>
      <c r="U221" s="8">
        <v>0.2</v>
      </c>
      <c r="V221" s="7">
        <f t="shared" si="22"/>
        <v>209640</v>
      </c>
      <c r="W221" s="10">
        <f>IFERROR(((V221-T221)/V221),0)</f>
        <v>0.16666666666666666</v>
      </c>
      <c r="X221" s="7">
        <v>0</v>
      </c>
      <c r="Y221" s="8">
        <v>0</v>
      </c>
      <c r="Z221" s="7">
        <v>0</v>
      </c>
      <c r="AA221" s="8">
        <v>0</v>
      </c>
      <c r="AB221" s="8">
        <v>0.1</v>
      </c>
    </row>
    <row r="222" spans="1:28" x14ac:dyDescent="0.25">
      <c r="A222">
        <v>2026</v>
      </c>
      <c r="B222" t="s">
        <v>28</v>
      </c>
      <c r="C222" t="s">
        <v>60</v>
      </c>
      <c r="D222" t="s">
        <v>61</v>
      </c>
      <c r="G222" t="s">
        <v>63</v>
      </c>
      <c r="H222" t="s">
        <v>63</v>
      </c>
      <c r="I222" t="s">
        <v>77</v>
      </c>
      <c r="J222" t="s">
        <v>69</v>
      </c>
      <c r="K222" t="s">
        <v>33</v>
      </c>
      <c r="L222">
        <v>204000</v>
      </c>
      <c r="M222" s="7">
        <v>204000</v>
      </c>
      <c r="O222" s="7">
        <f t="shared" si="21"/>
        <v>244800</v>
      </c>
      <c r="P222" s="7">
        <v>0</v>
      </c>
      <c r="Q222" s="8">
        <v>0</v>
      </c>
      <c r="R222" s="7">
        <v>0</v>
      </c>
      <c r="S222" s="9">
        <v>0</v>
      </c>
      <c r="T222" s="7">
        <f>IF(C222="Mediana Complejidad",M222,0)</f>
        <v>204000</v>
      </c>
      <c r="U222" s="8">
        <v>0.2</v>
      </c>
      <c r="V222" s="7">
        <f t="shared" si="22"/>
        <v>244800</v>
      </c>
      <c r="W222" s="10">
        <f>IFERROR(((V222-T222)/V222),0)</f>
        <v>0.16666666666666666</v>
      </c>
      <c r="X222" s="7">
        <v>0</v>
      </c>
      <c r="Y222" s="8">
        <v>0</v>
      </c>
      <c r="Z222" s="7">
        <v>0</v>
      </c>
      <c r="AA222" s="8">
        <v>0</v>
      </c>
      <c r="AB222" s="8">
        <v>0.1</v>
      </c>
    </row>
    <row r="223" spans="1:28" x14ac:dyDescent="0.25">
      <c r="A223">
        <v>2026</v>
      </c>
      <c r="B223" t="s">
        <v>28</v>
      </c>
      <c r="C223" t="s">
        <v>60</v>
      </c>
      <c r="D223" t="s">
        <v>61</v>
      </c>
      <c r="G223" t="s">
        <v>63</v>
      </c>
      <c r="H223" t="s">
        <v>63</v>
      </c>
      <c r="I223" t="s">
        <v>78</v>
      </c>
      <c r="J223" t="s">
        <v>69</v>
      </c>
      <c r="K223" t="s">
        <v>33</v>
      </c>
      <c r="L223">
        <v>49000</v>
      </c>
      <c r="M223" s="7">
        <v>49000</v>
      </c>
      <c r="O223" s="7">
        <f t="shared" si="21"/>
        <v>58800</v>
      </c>
      <c r="P223" s="7">
        <v>0</v>
      </c>
      <c r="Q223" s="8">
        <v>0</v>
      </c>
      <c r="R223" s="7">
        <v>0</v>
      </c>
      <c r="S223" s="9">
        <v>0</v>
      </c>
      <c r="T223" s="7">
        <f>IF(C223="Mediana Complejidad",M223,0)</f>
        <v>49000</v>
      </c>
      <c r="U223" s="8">
        <v>0.2</v>
      </c>
      <c r="V223" s="7">
        <f t="shared" si="22"/>
        <v>58800</v>
      </c>
      <c r="W223" s="10">
        <f>IFERROR(((V223-T223)/V223),0)</f>
        <v>0.16666666666666666</v>
      </c>
      <c r="X223" s="7">
        <v>0</v>
      </c>
      <c r="Y223" s="8">
        <v>0</v>
      </c>
      <c r="Z223" s="7">
        <v>0</v>
      </c>
      <c r="AA223" s="8">
        <v>0</v>
      </c>
      <c r="AB223" s="8">
        <v>0.1</v>
      </c>
    </row>
    <row r="224" spans="1:28" x14ac:dyDescent="0.25">
      <c r="A224">
        <v>2026</v>
      </c>
      <c r="B224" t="s">
        <v>28</v>
      </c>
      <c r="C224" t="s">
        <v>60</v>
      </c>
      <c r="D224" t="s">
        <v>61</v>
      </c>
      <c r="G224" t="s">
        <v>63</v>
      </c>
      <c r="H224" t="s">
        <v>63</v>
      </c>
      <c r="I224" t="s">
        <v>79</v>
      </c>
      <c r="J224" t="s">
        <v>66</v>
      </c>
      <c r="K224" t="s">
        <v>33</v>
      </c>
      <c r="L224">
        <v>224100</v>
      </c>
      <c r="M224" s="7">
        <v>224100</v>
      </c>
      <c r="O224" s="7">
        <f t="shared" si="21"/>
        <v>268920</v>
      </c>
      <c r="P224" s="7">
        <v>0</v>
      </c>
      <c r="Q224" s="8">
        <v>0</v>
      </c>
      <c r="R224" s="7">
        <v>0</v>
      </c>
      <c r="S224" s="9">
        <v>0</v>
      </c>
      <c r="T224" s="7">
        <f>IF(C224="Mediana Complejidad",M224,0)</f>
        <v>224100</v>
      </c>
      <c r="U224" s="8">
        <v>0.2</v>
      </c>
      <c r="V224" s="7">
        <f t="shared" si="22"/>
        <v>268920</v>
      </c>
      <c r="W224" s="10">
        <f>IFERROR(((V224-T224)/V224),0)</f>
        <v>0.16666666666666666</v>
      </c>
      <c r="X224" s="7">
        <v>0</v>
      </c>
      <c r="Y224" s="8">
        <v>0</v>
      </c>
      <c r="Z224" s="7">
        <v>0</v>
      </c>
      <c r="AA224" s="8">
        <v>0</v>
      </c>
      <c r="AB224" s="8">
        <v>0.1</v>
      </c>
    </row>
    <row r="225" spans="1:28" x14ac:dyDescent="0.25">
      <c r="A225">
        <v>2026</v>
      </c>
      <c r="B225" t="s">
        <v>28</v>
      </c>
      <c r="C225" t="s">
        <v>60</v>
      </c>
      <c r="D225" t="s">
        <v>61</v>
      </c>
      <c r="G225" t="s">
        <v>63</v>
      </c>
      <c r="H225" t="s">
        <v>63</v>
      </c>
      <c r="I225" t="s">
        <v>80</v>
      </c>
      <c r="J225" t="s">
        <v>66</v>
      </c>
      <c r="K225" t="s">
        <v>33</v>
      </c>
      <c r="L225">
        <v>38000</v>
      </c>
      <c r="M225" s="7">
        <v>38000</v>
      </c>
      <c r="O225" s="7">
        <f t="shared" si="21"/>
        <v>45600</v>
      </c>
      <c r="P225" s="7">
        <v>0</v>
      </c>
      <c r="Q225" s="8">
        <v>0</v>
      </c>
      <c r="R225" s="7">
        <v>0</v>
      </c>
      <c r="S225" s="9">
        <v>0</v>
      </c>
      <c r="T225" s="7">
        <f>IF(C225="Mediana Complejidad",M225,0)</f>
        <v>38000</v>
      </c>
      <c r="U225" s="8">
        <v>0.2</v>
      </c>
      <c r="V225" s="7">
        <f t="shared" si="22"/>
        <v>45600</v>
      </c>
      <c r="W225" s="10">
        <f>IFERROR(((V225-T225)/V225),0)</f>
        <v>0.16666666666666666</v>
      </c>
      <c r="X225" s="7">
        <v>0</v>
      </c>
      <c r="Y225" s="8">
        <v>0</v>
      </c>
      <c r="Z225" s="7">
        <v>0</v>
      </c>
      <c r="AA225" s="8">
        <v>0</v>
      </c>
      <c r="AB225" s="8">
        <v>0.1</v>
      </c>
    </row>
    <row r="226" spans="1:28" x14ac:dyDescent="0.25">
      <c r="A226">
        <v>2026</v>
      </c>
      <c r="B226" t="s">
        <v>28</v>
      </c>
      <c r="C226" t="s">
        <v>60</v>
      </c>
      <c r="D226" t="s">
        <v>61</v>
      </c>
      <c r="G226" t="s">
        <v>63</v>
      </c>
      <c r="H226" t="s">
        <v>63</v>
      </c>
      <c r="I226" t="s">
        <v>81</v>
      </c>
      <c r="J226" t="s">
        <v>66</v>
      </c>
      <c r="K226" t="s">
        <v>33</v>
      </c>
      <c r="L226">
        <v>39800</v>
      </c>
      <c r="M226" s="7">
        <v>39800</v>
      </c>
      <c r="O226" s="7">
        <f t="shared" si="21"/>
        <v>47760</v>
      </c>
      <c r="P226" s="7">
        <v>0</v>
      </c>
      <c r="Q226" s="8">
        <v>0</v>
      </c>
      <c r="R226" s="7">
        <v>0</v>
      </c>
      <c r="S226" s="9">
        <v>0</v>
      </c>
      <c r="T226" s="7">
        <f>IF(C226="Mediana Complejidad",M226,0)</f>
        <v>39800</v>
      </c>
      <c r="U226" s="8">
        <v>0.2</v>
      </c>
      <c r="V226" s="7">
        <f t="shared" si="22"/>
        <v>47760</v>
      </c>
      <c r="W226" s="10">
        <f>IFERROR(((V226-T226)/V226),0)</f>
        <v>0.16666666666666666</v>
      </c>
      <c r="X226" s="7">
        <v>0</v>
      </c>
      <c r="Y226" s="8">
        <v>0</v>
      </c>
      <c r="Z226" s="7">
        <v>0</v>
      </c>
      <c r="AA226" s="8">
        <v>0</v>
      </c>
      <c r="AB226" s="8">
        <v>0.1</v>
      </c>
    </row>
    <row r="227" spans="1:28" x14ac:dyDescent="0.25">
      <c r="A227">
        <v>2026</v>
      </c>
      <c r="B227" t="s">
        <v>51</v>
      </c>
      <c r="C227" t="s">
        <v>60</v>
      </c>
      <c r="D227" t="s">
        <v>61</v>
      </c>
      <c r="G227" t="s">
        <v>63</v>
      </c>
      <c r="H227" t="s">
        <v>63</v>
      </c>
      <c r="I227" t="s">
        <v>65</v>
      </c>
      <c r="J227" t="s">
        <v>66</v>
      </c>
      <c r="K227" t="s">
        <v>33</v>
      </c>
      <c r="L227">
        <v>28800</v>
      </c>
      <c r="M227" s="7">
        <v>28800</v>
      </c>
      <c r="O227" s="7">
        <f>V227</f>
        <v>34560</v>
      </c>
      <c r="P227" s="7">
        <v>0</v>
      </c>
      <c r="Q227" s="8">
        <v>0</v>
      </c>
      <c r="R227" s="7">
        <v>0</v>
      </c>
      <c r="S227" s="9">
        <v>0</v>
      </c>
      <c r="T227" s="7">
        <f>IF(C227="Mediana Complejidad",M227,0)</f>
        <v>28800</v>
      </c>
      <c r="U227" s="8">
        <v>0.2</v>
      </c>
      <c r="V227" s="7">
        <f>T227+(U227*T227)</f>
        <v>34560</v>
      </c>
      <c r="W227" s="10">
        <f>IFERROR(((V227-T227)/V227),0)</f>
        <v>0.16666666666666666</v>
      </c>
      <c r="X227" s="7">
        <v>0</v>
      </c>
      <c r="Y227" s="8">
        <v>0</v>
      </c>
      <c r="Z227" s="7">
        <v>0</v>
      </c>
      <c r="AA227" s="8">
        <v>0</v>
      </c>
      <c r="AB227" s="8">
        <v>0.1</v>
      </c>
    </row>
    <row r="228" spans="1:28" x14ac:dyDescent="0.25">
      <c r="A228">
        <v>2026</v>
      </c>
      <c r="B228" t="s">
        <v>51</v>
      </c>
      <c r="C228" t="s">
        <v>60</v>
      </c>
      <c r="D228" t="s">
        <v>61</v>
      </c>
      <c r="G228" t="s">
        <v>63</v>
      </c>
      <c r="H228" t="s">
        <v>63</v>
      </c>
      <c r="I228" t="s">
        <v>67</v>
      </c>
      <c r="J228" t="s">
        <v>66</v>
      </c>
      <c r="K228" t="s">
        <v>33</v>
      </c>
      <c r="L228">
        <v>36700</v>
      </c>
      <c r="M228" s="7">
        <v>36700</v>
      </c>
      <c r="O228" s="7">
        <f t="shared" ref="O228:O241" si="23">V228</f>
        <v>44040</v>
      </c>
      <c r="P228" s="7">
        <v>0</v>
      </c>
      <c r="Q228" s="8">
        <v>0</v>
      </c>
      <c r="R228" s="7">
        <v>0</v>
      </c>
      <c r="S228" s="9">
        <v>0</v>
      </c>
      <c r="T228" s="7">
        <f>IF(C228="Mediana Complejidad",M228,0)</f>
        <v>36700</v>
      </c>
      <c r="U228" s="8">
        <v>0.2</v>
      </c>
      <c r="V228" s="7">
        <f t="shared" ref="V228:V241" si="24">T228+(U228*T228)</f>
        <v>44040</v>
      </c>
      <c r="W228" s="10">
        <f>IFERROR(((V228-T228)/V228),0)</f>
        <v>0.16666666666666666</v>
      </c>
      <c r="X228" s="7">
        <v>0</v>
      </c>
      <c r="Y228" s="8">
        <v>0</v>
      </c>
      <c r="Z228" s="7">
        <v>0</v>
      </c>
      <c r="AA228" s="8">
        <v>0</v>
      </c>
      <c r="AB228" s="8">
        <v>0.1</v>
      </c>
    </row>
    <row r="229" spans="1:28" x14ac:dyDescent="0.25">
      <c r="A229">
        <v>2026</v>
      </c>
      <c r="B229" t="s">
        <v>51</v>
      </c>
      <c r="C229" t="s">
        <v>60</v>
      </c>
      <c r="D229" t="s">
        <v>61</v>
      </c>
      <c r="G229" t="s">
        <v>63</v>
      </c>
      <c r="H229" t="s">
        <v>63</v>
      </c>
      <c r="I229" t="s">
        <v>68</v>
      </c>
      <c r="J229" t="s">
        <v>69</v>
      </c>
      <c r="K229" t="s">
        <v>33</v>
      </c>
      <c r="L229">
        <v>28000</v>
      </c>
      <c r="M229" s="7">
        <v>28000</v>
      </c>
      <c r="O229" s="7">
        <f t="shared" si="23"/>
        <v>33600</v>
      </c>
      <c r="P229" s="7">
        <v>0</v>
      </c>
      <c r="Q229" s="8">
        <v>0</v>
      </c>
      <c r="R229" s="7">
        <v>0</v>
      </c>
      <c r="S229" s="9">
        <v>0</v>
      </c>
      <c r="T229" s="7">
        <f>IF(C229="Mediana Complejidad",M229,0)</f>
        <v>28000</v>
      </c>
      <c r="U229" s="8">
        <v>0.2</v>
      </c>
      <c r="V229" s="7">
        <f t="shared" si="24"/>
        <v>33600</v>
      </c>
      <c r="W229" s="10">
        <f>IFERROR(((V229-T229)/V229),0)</f>
        <v>0.16666666666666666</v>
      </c>
      <c r="X229" s="7">
        <v>0</v>
      </c>
      <c r="Y229" s="8">
        <v>0</v>
      </c>
      <c r="Z229" s="7">
        <v>0</v>
      </c>
      <c r="AA229" s="8">
        <v>0</v>
      </c>
      <c r="AB229" s="8">
        <v>0.1</v>
      </c>
    </row>
    <row r="230" spans="1:28" x14ac:dyDescent="0.25">
      <c r="A230">
        <v>2026</v>
      </c>
      <c r="B230" t="s">
        <v>51</v>
      </c>
      <c r="C230" t="s">
        <v>60</v>
      </c>
      <c r="D230" t="s">
        <v>61</v>
      </c>
      <c r="G230" t="s">
        <v>63</v>
      </c>
      <c r="H230" t="s">
        <v>63</v>
      </c>
      <c r="I230" t="s">
        <v>70</v>
      </c>
      <c r="J230" t="s">
        <v>69</v>
      </c>
      <c r="K230" t="s">
        <v>33</v>
      </c>
      <c r="L230">
        <v>36700</v>
      </c>
      <c r="M230" s="7">
        <v>36700</v>
      </c>
      <c r="O230" s="7">
        <f t="shared" si="23"/>
        <v>44040</v>
      </c>
      <c r="P230" s="7">
        <v>0</v>
      </c>
      <c r="Q230" s="8">
        <v>0</v>
      </c>
      <c r="R230" s="7">
        <v>0</v>
      </c>
      <c r="S230" s="9">
        <v>0</v>
      </c>
      <c r="T230" s="7">
        <f>IF(C230="Mediana Complejidad",M230,0)</f>
        <v>36700</v>
      </c>
      <c r="U230" s="8">
        <v>0.2</v>
      </c>
      <c r="V230" s="7">
        <f t="shared" si="24"/>
        <v>44040</v>
      </c>
      <c r="W230" s="10">
        <f>IFERROR(((V230-T230)/V230),0)</f>
        <v>0.16666666666666666</v>
      </c>
      <c r="X230" s="7">
        <v>0</v>
      </c>
      <c r="Y230" s="8">
        <v>0</v>
      </c>
      <c r="Z230" s="7">
        <v>0</v>
      </c>
      <c r="AA230" s="8">
        <v>0</v>
      </c>
      <c r="AB230" s="8">
        <v>0.1</v>
      </c>
    </row>
    <row r="231" spans="1:28" x14ac:dyDescent="0.25">
      <c r="A231">
        <v>2026</v>
      </c>
      <c r="B231" t="s">
        <v>51</v>
      </c>
      <c r="C231" t="s">
        <v>60</v>
      </c>
      <c r="D231" t="s">
        <v>61</v>
      </c>
      <c r="G231" t="s">
        <v>63</v>
      </c>
      <c r="H231" t="s">
        <v>63</v>
      </c>
      <c r="I231" t="s">
        <v>71</v>
      </c>
      <c r="J231" t="s">
        <v>69</v>
      </c>
      <c r="K231" t="s">
        <v>33</v>
      </c>
      <c r="L231">
        <v>21900</v>
      </c>
      <c r="M231" s="7">
        <v>21900</v>
      </c>
      <c r="O231" s="7">
        <f t="shared" si="23"/>
        <v>26280</v>
      </c>
      <c r="P231" s="7">
        <v>0</v>
      </c>
      <c r="Q231" s="8">
        <v>0</v>
      </c>
      <c r="R231" s="7">
        <v>0</v>
      </c>
      <c r="S231" s="9">
        <v>0</v>
      </c>
      <c r="T231" s="7">
        <f>IF(C231="Mediana Complejidad",M231,0)</f>
        <v>21900</v>
      </c>
      <c r="U231" s="8">
        <v>0.2</v>
      </c>
      <c r="V231" s="7">
        <f t="shared" si="24"/>
        <v>26280</v>
      </c>
      <c r="W231" s="10">
        <f>IFERROR(((V231-T231)/V231),0)</f>
        <v>0.16666666666666666</v>
      </c>
      <c r="X231" s="7">
        <v>0</v>
      </c>
      <c r="Y231" s="8">
        <v>0</v>
      </c>
      <c r="Z231" s="7">
        <v>0</v>
      </c>
      <c r="AA231" s="8">
        <v>0</v>
      </c>
      <c r="AB231" s="8">
        <v>0.1</v>
      </c>
    </row>
    <row r="232" spans="1:28" x14ac:dyDescent="0.25">
      <c r="A232">
        <v>2026</v>
      </c>
      <c r="B232" t="s">
        <v>51</v>
      </c>
      <c r="C232" t="s">
        <v>60</v>
      </c>
      <c r="D232" t="s">
        <v>61</v>
      </c>
      <c r="G232" t="s">
        <v>63</v>
      </c>
      <c r="H232" t="s">
        <v>63</v>
      </c>
      <c r="I232" t="s">
        <v>72</v>
      </c>
      <c r="J232" t="s">
        <v>69</v>
      </c>
      <c r="K232" t="s">
        <v>33</v>
      </c>
      <c r="L232">
        <v>114900</v>
      </c>
      <c r="M232" s="7">
        <v>114900</v>
      </c>
      <c r="O232" s="7">
        <f t="shared" si="23"/>
        <v>137880</v>
      </c>
      <c r="P232" s="7">
        <v>0</v>
      </c>
      <c r="Q232" s="8">
        <v>0</v>
      </c>
      <c r="R232" s="7">
        <v>0</v>
      </c>
      <c r="S232" s="9">
        <v>0</v>
      </c>
      <c r="T232" s="7">
        <f>IF(C232="Mediana Complejidad",M232,0)</f>
        <v>114900</v>
      </c>
      <c r="U232" s="8">
        <v>0.2</v>
      </c>
      <c r="V232" s="7">
        <f t="shared" si="24"/>
        <v>137880</v>
      </c>
      <c r="W232" s="10">
        <f>IFERROR(((V232-T232)/V232),0)</f>
        <v>0.16666666666666666</v>
      </c>
      <c r="X232" s="7">
        <v>0</v>
      </c>
      <c r="Y232" s="8">
        <v>0</v>
      </c>
      <c r="Z232" s="7">
        <v>0</v>
      </c>
      <c r="AA232" s="8">
        <v>0</v>
      </c>
      <c r="AB232" s="8">
        <v>0.1</v>
      </c>
    </row>
    <row r="233" spans="1:28" x14ac:dyDescent="0.25">
      <c r="A233">
        <v>2026</v>
      </c>
      <c r="B233" t="s">
        <v>51</v>
      </c>
      <c r="C233" t="s">
        <v>60</v>
      </c>
      <c r="D233" t="s">
        <v>61</v>
      </c>
      <c r="G233" t="s">
        <v>63</v>
      </c>
      <c r="H233" t="s">
        <v>63</v>
      </c>
      <c r="I233" t="s">
        <v>73</v>
      </c>
      <c r="J233" t="s">
        <v>69</v>
      </c>
      <c r="K233" t="s">
        <v>33</v>
      </c>
      <c r="L233">
        <v>28000</v>
      </c>
      <c r="M233" s="7">
        <v>28000</v>
      </c>
      <c r="O233" s="7">
        <f t="shared" si="23"/>
        <v>33600</v>
      </c>
      <c r="P233" s="7">
        <v>0</v>
      </c>
      <c r="Q233" s="8">
        <v>0</v>
      </c>
      <c r="R233" s="7">
        <v>0</v>
      </c>
      <c r="S233" s="9">
        <v>0</v>
      </c>
      <c r="T233" s="7">
        <f>IF(C233="Mediana Complejidad",M233,0)</f>
        <v>28000</v>
      </c>
      <c r="U233" s="8">
        <v>0.2</v>
      </c>
      <c r="V233" s="7">
        <f t="shared" si="24"/>
        <v>33600</v>
      </c>
      <c r="W233" s="10">
        <f>IFERROR(((V233-T233)/V233),0)</f>
        <v>0.16666666666666666</v>
      </c>
      <c r="X233" s="7">
        <v>0</v>
      </c>
      <c r="Y233" s="8">
        <v>0</v>
      </c>
      <c r="Z233" s="7">
        <v>0</v>
      </c>
      <c r="AA233" s="8">
        <v>0</v>
      </c>
      <c r="AB233" s="8">
        <v>0.1</v>
      </c>
    </row>
    <row r="234" spans="1:28" x14ac:dyDescent="0.25">
      <c r="A234">
        <v>2026</v>
      </c>
      <c r="B234" t="s">
        <v>51</v>
      </c>
      <c r="C234" t="s">
        <v>60</v>
      </c>
      <c r="D234" t="s">
        <v>61</v>
      </c>
      <c r="G234" t="s">
        <v>63</v>
      </c>
      <c r="H234" t="s">
        <v>63</v>
      </c>
      <c r="I234" t="s">
        <v>74</v>
      </c>
      <c r="J234" t="s">
        <v>69</v>
      </c>
      <c r="K234" t="s">
        <v>33</v>
      </c>
      <c r="L234">
        <v>49200</v>
      </c>
      <c r="M234" s="7">
        <v>49200</v>
      </c>
      <c r="O234" s="7">
        <f t="shared" si="23"/>
        <v>59040</v>
      </c>
      <c r="P234" s="7">
        <v>0</v>
      </c>
      <c r="Q234" s="8">
        <v>0</v>
      </c>
      <c r="R234" s="7">
        <v>0</v>
      </c>
      <c r="S234" s="9">
        <v>0</v>
      </c>
      <c r="T234" s="7">
        <f>IF(C234="Mediana Complejidad",M234,0)</f>
        <v>49200</v>
      </c>
      <c r="U234" s="8">
        <v>0.2</v>
      </c>
      <c r="V234" s="7">
        <f t="shared" si="24"/>
        <v>59040</v>
      </c>
      <c r="W234" s="10">
        <f>IFERROR(((V234-T234)/V234),0)</f>
        <v>0.16666666666666666</v>
      </c>
      <c r="X234" s="7">
        <v>0</v>
      </c>
      <c r="Y234" s="8">
        <v>0</v>
      </c>
      <c r="Z234" s="7">
        <v>0</v>
      </c>
      <c r="AA234" s="8">
        <v>0</v>
      </c>
      <c r="AB234" s="8">
        <v>0.1</v>
      </c>
    </row>
    <row r="235" spans="1:28" x14ac:dyDescent="0.25">
      <c r="A235">
        <v>2026</v>
      </c>
      <c r="B235" t="s">
        <v>51</v>
      </c>
      <c r="C235" t="s">
        <v>60</v>
      </c>
      <c r="D235" t="s">
        <v>61</v>
      </c>
      <c r="G235" t="s">
        <v>63</v>
      </c>
      <c r="H235" t="s">
        <v>63</v>
      </c>
      <c r="I235" t="s">
        <v>75</v>
      </c>
      <c r="J235" t="s">
        <v>69</v>
      </c>
      <c r="K235" t="s">
        <v>33</v>
      </c>
      <c r="L235">
        <v>141600</v>
      </c>
      <c r="M235" s="7">
        <v>141600</v>
      </c>
      <c r="O235" s="7">
        <f t="shared" si="23"/>
        <v>169920</v>
      </c>
      <c r="P235" s="7">
        <v>0</v>
      </c>
      <c r="Q235" s="8">
        <v>0</v>
      </c>
      <c r="R235" s="7">
        <v>0</v>
      </c>
      <c r="S235" s="9">
        <v>0</v>
      </c>
      <c r="T235" s="7">
        <f>IF(C235="Mediana Complejidad",M235,0)</f>
        <v>141600</v>
      </c>
      <c r="U235" s="8">
        <v>0.2</v>
      </c>
      <c r="V235" s="7">
        <f t="shared" si="24"/>
        <v>169920</v>
      </c>
      <c r="W235" s="10">
        <f>IFERROR(((V235-T235)/V235),0)</f>
        <v>0.16666666666666666</v>
      </c>
      <c r="X235" s="7">
        <v>0</v>
      </c>
      <c r="Y235" s="8">
        <v>0</v>
      </c>
      <c r="Z235" s="7">
        <v>0</v>
      </c>
      <c r="AA235" s="8">
        <v>0</v>
      </c>
      <c r="AB235" s="8">
        <v>0.1</v>
      </c>
    </row>
    <row r="236" spans="1:28" x14ac:dyDescent="0.25">
      <c r="A236">
        <v>2026</v>
      </c>
      <c r="B236" t="s">
        <v>51</v>
      </c>
      <c r="C236" t="s">
        <v>60</v>
      </c>
      <c r="D236" t="s">
        <v>61</v>
      </c>
      <c r="G236" t="s">
        <v>63</v>
      </c>
      <c r="H236" t="s">
        <v>63</v>
      </c>
      <c r="I236" t="s">
        <v>76</v>
      </c>
      <c r="J236" t="s">
        <v>69</v>
      </c>
      <c r="K236" t="s">
        <v>33</v>
      </c>
      <c r="L236">
        <v>174700</v>
      </c>
      <c r="M236" s="7">
        <v>174700</v>
      </c>
      <c r="O236" s="7">
        <f t="shared" si="23"/>
        <v>209640</v>
      </c>
      <c r="P236" s="7">
        <v>0</v>
      </c>
      <c r="Q236" s="8">
        <v>0</v>
      </c>
      <c r="R236" s="7">
        <v>0</v>
      </c>
      <c r="S236" s="9">
        <v>0</v>
      </c>
      <c r="T236" s="7">
        <f>IF(C236="Mediana Complejidad",M236,0)</f>
        <v>174700</v>
      </c>
      <c r="U236" s="8">
        <v>0.2</v>
      </c>
      <c r="V236" s="7">
        <f t="shared" si="24"/>
        <v>209640</v>
      </c>
      <c r="W236" s="10">
        <f>IFERROR(((V236-T236)/V236),0)</f>
        <v>0.16666666666666666</v>
      </c>
      <c r="X236" s="7">
        <v>0</v>
      </c>
      <c r="Y236" s="8">
        <v>0</v>
      </c>
      <c r="Z236" s="7">
        <v>0</v>
      </c>
      <c r="AA236" s="8">
        <v>0</v>
      </c>
      <c r="AB236" s="8">
        <v>0.1</v>
      </c>
    </row>
    <row r="237" spans="1:28" x14ac:dyDescent="0.25">
      <c r="A237">
        <v>2026</v>
      </c>
      <c r="B237" t="s">
        <v>51</v>
      </c>
      <c r="C237" t="s">
        <v>60</v>
      </c>
      <c r="D237" t="s">
        <v>61</v>
      </c>
      <c r="G237" t="s">
        <v>63</v>
      </c>
      <c r="H237" t="s">
        <v>63</v>
      </c>
      <c r="I237" t="s">
        <v>77</v>
      </c>
      <c r="J237" t="s">
        <v>69</v>
      </c>
      <c r="K237" t="s">
        <v>33</v>
      </c>
      <c r="L237">
        <v>204000</v>
      </c>
      <c r="M237" s="7">
        <v>204000</v>
      </c>
      <c r="O237" s="7">
        <f t="shared" si="23"/>
        <v>244800</v>
      </c>
      <c r="P237" s="7">
        <v>0</v>
      </c>
      <c r="Q237" s="8">
        <v>0</v>
      </c>
      <c r="R237" s="7">
        <v>0</v>
      </c>
      <c r="S237" s="9">
        <v>0</v>
      </c>
      <c r="T237" s="7">
        <f>IF(C237="Mediana Complejidad",M237,0)</f>
        <v>204000</v>
      </c>
      <c r="U237" s="8">
        <v>0.2</v>
      </c>
      <c r="V237" s="7">
        <f t="shared" si="24"/>
        <v>244800</v>
      </c>
      <c r="W237" s="10">
        <f>IFERROR(((V237-T237)/V237),0)</f>
        <v>0.16666666666666666</v>
      </c>
      <c r="X237" s="7">
        <v>0</v>
      </c>
      <c r="Y237" s="8">
        <v>0</v>
      </c>
      <c r="Z237" s="7">
        <v>0</v>
      </c>
      <c r="AA237" s="8">
        <v>0</v>
      </c>
      <c r="AB237" s="8">
        <v>0.1</v>
      </c>
    </row>
    <row r="238" spans="1:28" x14ac:dyDescent="0.25">
      <c r="A238">
        <v>2026</v>
      </c>
      <c r="B238" t="s">
        <v>51</v>
      </c>
      <c r="C238" t="s">
        <v>60</v>
      </c>
      <c r="D238" t="s">
        <v>61</v>
      </c>
      <c r="G238" t="s">
        <v>63</v>
      </c>
      <c r="H238" t="s">
        <v>63</v>
      </c>
      <c r="I238" t="s">
        <v>78</v>
      </c>
      <c r="J238" t="s">
        <v>69</v>
      </c>
      <c r="K238" t="s">
        <v>33</v>
      </c>
      <c r="L238">
        <v>49000</v>
      </c>
      <c r="M238" s="7">
        <v>49000</v>
      </c>
      <c r="O238" s="7">
        <f t="shared" si="23"/>
        <v>58800</v>
      </c>
      <c r="P238" s="7">
        <v>0</v>
      </c>
      <c r="Q238" s="8">
        <v>0</v>
      </c>
      <c r="R238" s="7">
        <v>0</v>
      </c>
      <c r="S238" s="9">
        <v>0</v>
      </c>
      <c r="T238" s="7">
        <f>IF(C238="Mediana Complejidad",M238,0)</f>
        <v>49000</v>
      </c>
      <c r="U238" s="8">
        <v>0.2</v>
      </c>
      <c r="V238" s="7">
        <f t="shared" si="24"/>
        <v>58800</v>
      </c>
      <c r="W238" s="10">
        <f>IFERROR(((V238-T238)/V238),0)</f>
        <v>0.16666666666666666</v>
      </c>
      <c r="X238" s="7">
        <v>0</v>
      </c>
      <c r="Y238" s="8">
        <v>0</v>
      </c>
      <c r="Z238" s="7">
        <v>0</v>
      </c>
      <c r="AA238" s="8">
        <v>0</v>
      </c>
      <c r="AB238" s="8">
        <v>0.1</v>
      </c>
    </row>
    <row r="239" spans="1:28" x14ac:dyDescent="0.25">
      <c r="A239">
        <v>2026</v>
      </c>
      <c r="B239" t="s">
        <v>51</v>
      </c>
      <c r="C239" t="s">
        <v>60</v>
      </c>
      <c r="D239" t="s">
        <v>61</v>
      </c>
      <c r="G239" t="s">
        <v>63</v>
      </c>
      <c r="H239" t="s">
        <v>63</v>
      </c>
      <c r="I239" t="s">
        <v>79</v>
      </c>
      <c r="J239" t="s">
        <v>66</v>
      </c>
      <c r="K239" t="s">
        <v>33</v>
      </c>
      <c r="L239">
        <v>224100</v>
      </c>
      <c r="M239" s="7">
        <v>224100</v>
      </c>
      <c r="O239" s="7">
        <f t="shared" si="23"/>
        <v>268920</v>
      </c>
      <c r="P239" s="7">
        <v>0</v>
      </c>
      <c r="Q239" s="8">
        <v>0</v>
      </c>
      <c r="R239" s="7">
        <v>0</v>
      </c>
      <c r="S239" s="9">
        <v>0</v>
      </c>
      <c r="T239" s="7">
        <f>IF(C239="Mediana Complejidad",M239,0)</f>
        <v>224100</v>
      </c>
      <c r="U239" s="8">
        <v>0.2</v>
      </c>
      <c r="V239" s="7">
        <f t="shared" si="24"/>
        <v>268920</v>
      </c>
      <c r="W239" s="10">
        <f>IFERROR(((V239-T239)/V239),0)</f>
        <v>0.16666666666666666</v>
      </c>
      <c r="X239" s="7">
        <v>0</v>
      </c>
      <c r="Y239" s="8">
        <v>0</v>
      </c>
      <c r="Z239" s="7">
        <v>0</v>
      </c>
      <c r="AA239" s="8">
        <v>0</v>
      </c>
      <c r="AB239" s="8">
        <v>0.1</v>
      </c>
    </row>
    <row r="240" spans="1:28" x14ac:dyDescent="0.25">
      <c r="A240">
        <v>2026</v>
      </c>
      <c r="B240" t="s">
        <v>51</v>
      </c>
      <c r="C240" t="s">
        <v>60</v>
      </c>
      <c r="D240" t="s">
        <v>61</v>
      </c>
      <c r="G240" t="s">
        <v>63</v>
      </c>
      <c r="H240" t="s">
        <v>63</v>
      </c>
      <c r="I240" t="s">
        <v>80</v>
      </c>
      <c r="J240" t="s">
        <v>66</v>
      </c>
      <c r="K240" t="s">
        <v>33</v>
      </c>
      <c r="L240">
        <v>38000</v>
      </c>
      <c r="M240" s="7">
        <v>38000</v>
      </c>
      <c r="O240" s="7">
        <f t="shared" si="23"/>
        <v>45600</v>
      </c>
      <c r="P240" s="7">
        <v>0</v>
      </c>
      <c r="Q240" s="8">
        <v>0</v>
      </c>
      <c r="R240" s="7">
        <v>0</v>
      </c>
      <c r="S240" s="9">
        <v>0</v>
      </c>
      <c r="T240" s="7">
        <f>IF(C240="Mediana Complejidad",M240,0)</f>
        <v>38000</v>
      </c>
      <c r="U240" s="8">
        <v>0.2</v>
      </c>
      <c r="V240" s="7">
        <f t="shared" si="24"/>
        <v>45600</v>
      </c>
      <c r="W240" s="10">
        <f>IFERROR(((V240-T240)/V240),0)</f>
        <v>0.16666666666666666</v>
      </c>
      <c r="X240" s="7">
        <v>0</v>
      </c>
      <c r="Y240" s="8">
        <v>0</v>
      </c>
      <c r="Z240" s="7">
        <v>0</v>
      </c>
      <c r="AA240" s="8">
        <v>0</v>
      </c>
      <c r="AB240" s="8">
        <v>0.1</v>
      </c>
    </row>
    <row r="241" spans="1:28" x14ac:dyDescent="0.25">
      <c r="A241">
        <v>2026</v>
      </c>
      <c r="B241" t="s">
        <v>51</v>
      </c>
      <c r="C241" t="s">
        <v>60</v>
      </c>
      <c r="D241" t="s">
        <v>61</v>
      </c>
      <c r="G241" t="s">
        <v>63</v>
      </c>
      <c r="H241" t="s">
        <v>63</v>
      </c>
      <c r="I241" t="s">
        <v>81</v>
      </c>
      <c r="J241" t="s">
        <v>66</v>
      </c>
      <c r="K241" t="s">
        <v>33</v>
      </c>
      <c r="L241">
        <v>39800</v>
      </c>
      <c r="M241" s="7">
        <v>39800</v>
      </c>
      <c r="O241" s="7">
        <f t="shared" si="23"/>
        <v>47760</v>
      </c>
      <c r="P241" s="7">
        <v>0</v>
      </c>
      <c r="Q241" s="8">
        <v>0</v>
      </c>
      <c r="R241" s="7">
        <v>0</v>
      </c>
      <c r="S241" s="9">
        <v>0</v>
      </c>
      <c r="T241" s="7">
        <f>IF(C241="Mediana Complejidad",M241,0)</f>
        <v>39800</v>
      </c>
      <c r="U241" s="8">
        <v>0.2</v>
      </c>
      <c r="V241" s="7">
        <f t="shared" si="24"/>
        <v>47760</v>
      </c>
      <c r="W241" s="10">
        <f>IFERROR(((V241-T241)/V241),0)</f>
        <v>0.16666666666666666</v>
      </c>
      <c r="X241" s="7">
        <v>0</v>
      </c>
      <c r="Y241" s="8">
        <v>0</v>
      </c>
      <c r="Z241" s="7">
        <v>0</v>
      </c>
      <c r="AA241" s="8">
        <v>0</v>
      </c>
      <c r="AB241" s="8">
        <v>0.1</v>
      </c>
    </row>
    <row r="242" spans="1:28" x14ac:dyDescent="0.25">
      <c r="A242">
        <v>2026</v>
      </c>
      <c r="B242" t="s">
        <v>52</v>
      </c>
      <c r="C242" t="s">
        <v>60</v>
      </c>
      <c r="D242" t="s">
        <v>61</v>
      </c>
      <c r="G242" t="s">
        <v>63</v>
      </c>
      <c r="H242" t="s">
        <v>63</v>
      </c>
      <c r="I242" t="s">
        <v>65</v>
      </c>
      <c r="J242" t="s">
        <v>66</v>
      </c>
      <c r="K242" t="s">
        <v>33</v>
      </c>
      <c r="L242">
        <v>28800</v>
      </c>
      <c r="M242" s="7">
        <v>28800</v>
      </c>
      <c r="O242" s="7">
        <f>V242</f>
        <v>34560</v>
      </c>
      <c r="P242" s="7">
        <v>0</v>
      </c>
      <c r="Q242" s="8">
        <v>0</v>
      </c>
      <c r="R242" s="7">
        <v>0</v>
      </c>
      <c r="S242" s="9">
        <v>0</v>
      </c>
      <c r="T242" s="7">
        <f>IF(C242="Mediana Complejidad",M242,0)</f>
        <v>28800</v>
      </c>
      <c r="U242" s="8">
        <v>0.2</v>
      </c>
      <c r="V242" s="7">
        <f>T242+(U242*T242)</f>
        <v>34560</v>
      </c>
      <c r="W242" s="10">
        <f>IFERROR(((V242-T242)/V242),0)</f>
        <v>0.16666666666666666</v>
      </c>
      <c r="X242" s="7">
        <v>0</v>
      </c>
      <c r="Y242" s="8">
        <v>0</v>
      </c>
      <c r="Z242" s="7">
        <v>0</v>
      </c>
      <c r="AA242" s="8">
        <v>0</v>
      </c>
      <c r="AB242" s="8">
        <v>0.1</v>
      </c>
    </row>
    <row r="243" spans="1:28" x14ac:dyDescent="0.25">
      <c r="A243">
        <v>2026</v>
      </c>
      <c r="B243" t="s">
        <v>52</v>
      </c>
      <c r="C243" t="s">
        <v>60</v>
      </c>
      <c r="D243" t="s">
        <v>61</v>
      </c>
      <c r="G243" t="s">
        <v>63</v>
      </c>
      <c r="H243" t="s">
        <v>63</v>
      </c>
      <c r="I243" t="s">
        <v>67</v>
      </c>
      <c r="J243" t="s">
        <v>66</v>
      </c>
      <c r="K243" t="s">
        <v>33</v>
      </c>
      <c r="L243">
        <v>36700</v>
      </c>
      <c r="M243" s="7">
        <v>36700</v>
      </c>
      <c r="O243" s="7">
        <f t="shared" ref="O243:O256" si="25">V243</f>
        <v>44040</v>
      </c>
      <c r="P243" s="7">
        <v>0</v>
      </c>
      <c r="Q243" s="8">
        <v>0</v>
      </c>
      <c r="R243" s="7">
        <v>0</v>
      </c>
      <c r="S243" s="9">
        <v>0</v>
      </c>
      <c r="T243" s="7">
        <f>IF(C243="Mediana Complejidad",M243,0)</f>
        <v>36700</v>
      </c>
      <c r="U243" s="8">
        <v>0.2</v>
      </c>
      <c r="V243" s="7">
        <f t="shared" ref="V243:V256" si="26">T243+(U243*T243)</f>
        <v>44040</v>
      </c>
      <c r="W243" s="10">
        <f>IFERROR(((V243-T243)/V243),0)</f>
        <v>0.16666666666666666</v>
      </c>
      <c r="X243" s="7">
        <v>0</v>
      </c>
      <c r="Y243" s="8">
        <v>0</v>
      </c>
      <c r="Z243" s="7">
        <v>0</v>
      </c>
      <c r="AA243" s="8">
        <v>0</v>
      </c>
      <c r="AB243" s="8">
        <v>0.1</v>
      </c>
    </row>
    <row r="244" spans="1:28" x14ac:dyDescent="0.25">
      <c r="A244">
        <v>2026</v>
      </c>
      <c r="B244" t="s">
        <v>52</v>
      </c>
      <c r="C244" t="s">
        <v>60</v>
      </c>
      <c r="D244" t="s">
        <v>61</v>
      </c>
      <c r="G244" t="s">
        <v>63</v>
      </c>
      <c r="H244" t="s">
        <v>63</v>
      </c>
      <c r="I244" t="s">
        <v>68</v>
      </c>
      <c r="J244" t="s">
        <v>69</v>
      </c>
      <c r="K244" t="s">
        <v>33</v>
      </c>
      <c r="L244">
        <v>28000</v>
      </c>
      <c r="M244" s="7">
        <v>28000</v>
      </c>
      <c r="O244" s="7">
        <f t="shared" si="25"/>
        <v>33600</v>
      </c>
      <c r="P244" s="7">
        <v>0</v>
      </c>
      <c r="Q244" s="8">
        <v>0</v>
      </c>
      <c r="R244" s="7">
        <v>0</v>
      </c>
      <c r="S244" s="9">
        <v>0</v>
      </c>
      <c r="T244" s="7">
        <f>IF(C244="Mediana Complejidad",M244,0)</f>
        <v>28000</v>
      </c>
      <c r="U244" s="8">
        <v>0.2</v>
      </c>
      <c r="V244" s="7">
        <f t="shared" si="26"/>
        <v>33600</v>
      </c>
      <c r="W244" s="10">
        <f>IFERROR(((V244-T244)/V244),0)</f>
        <v>0.16666666666666666</v>
      </c>
      <c r="X244" s="7">
        <v>0</v>
      </c>
      <c r="Y244" s="8">
        <v>0</v>
      </c>
      <c r="Z244" s="7">
        <v>0</v>
      </c>
      <c r="AA244" s="8">
        <v>0</v>
      </c>
      <c r="AB244" s="8">
        <v>0.1</v>
      </c>
    </row>
    <row r="245" spans="1:28" x14ac:dyDescent="0.25">
      <c r="A245">
        <v>2026</v>
      </c>
      <c r="B245" t="s">
        <v>52</v>
      </c>
      <c r="C245" t="s">
        <v>60</v>
      </c>
      <c r="D245" t="s">
        <v>61</v>
      </c>
      <c r="G245" t="s">
        <v>63</v>
      </c>
      <c r="H245" t="s">
        <v>63</v>
      </c>
      <c r="I245" t="s">
        <v>70</v>
      </c>
      <c r="J245" t="s">
        <v>69</v>
      </c>
      <c r="K245" t="s">
        <v>33</v>
      </c>
      <c r="L245">
        <v>36700</v>
      </c>
      <c r="M245" s="7">
        <v>36700</v>
      </c>
      <c r="O245" s="7">
        <f t="shared" si="25"/>
        <v>44040</v>
      </c>
      <c r="P245" s="7">
        <v>0</v>
      </c>
      <c r="Q245" s="8">
        <v>0</v>
      </c>
      <c r="R245" s="7">
        <v>0</v>
      </c>
      <c r="S245" s="9">
        <v>0</v>
      </c>
      <c r="T245" s="7">
        <f>IF(C245="Mediana Complejidad",M245,0)</f>
        <v>36700</v>
      </c>
      <c r="U245" s="8">
        <v>0.2</v>
      </c>
      <c r="V245" s="7">
        <f t="shared" si="26"/>
        <v>44040</v>
      </c>
      <c r="W245" s="10">
        <f>IFERROR(((V245-T245)/V245),0)</f>
        <v>0.16666666666666666</v>
      </c>
      <c r="X245" s="7">
        <v>0</v>
      </c>
      <c r="Y245" s="8">
        <v>0</v>
      </c>
      <c r="Z245" s="7">
        <v>0</v>
      </c>
      <c r="AA245" s="8">
        <v>0</v>
      </c>
      <c r="AB245" s="8">
        <v>0.1</v>
      </c>
    </row>
    <row r="246" spans="1:28" x14ac:dyDescent="0.25">
      <c r="A246">
        <v>2026</v>
      </c>
      <c r="B246" t="s">
        <v>52</v>
      </c>
      <c r="C246" t="s">
        <v>60</v>
      </c>
      <c r="D246" t="s">
        <v>61</v>
      </c>
      <c r="G246" t="s">
        <v>63</v>
      </c>
      <c r="H246" t="s">
        <v>63</v>
      </c>
      <c r="I246" t="s">
        <v>71</v>
      </c>
      <c r="J246" t="s">
        <v>69</v>
      </c>
      <c r="K246" t="s">
        <v>33</v>
      </c>
      <c r="L246">
        <v>21900</v>
      </c>
      <c r="M246" s="7">
        <v>21900</v>
      </c>
      <c r="O246" s="7">
        <f t="shared" si="25"/>
        <v>26280</v>
      </c>
      <c r="P246" s="7">
        <v>0</v>
      </c>
      <c r="Q246" s="8">
        <v>0</v>
      </c>
      <c r="R246" s="7">
        <v>0</v>
      </c>
      <c r="S246" s="9">
        <v>0</v>
      </c>
      <c r="T246" s="7">
        <f>IF(C246="Mediana Complejidad",M246,0)</f>
        <v>21900</v>
      </c>
      <c r="U246" s="8">
        <v>0.2</v>
      </c>
      <c r="V246" s="7">
        <f t="shared" si="26"/>
        <v>26280</v>
      </c>
      <c r="W246" s="10">
        <f>IFERROR(((V246-T246)/V246),0)</f>
        <v>0.16666666666666666</v>
      </c>
      <c r="X246" s="7">
        <v>0</v>
      </c>
      <c r="Y246" s="8">
        <v>0</v>
      </c>
      <c r="Z246" s="7">
        <v>0</v>
      </c>
      <c r="AA246" s="8">
        <v>0</v>
      </c>
      <c r="AB246" s="8">
        <v>0.1</v>
      </c>
    </row>
    <row r="247" spans="1:28" x14ac:dyDescent="0.25">
      <c r="A247">
        <v>2026</v>
      </c>
      <c r="B247" t="s">
        <v>52</v>
      </c>
      <c r="C247" t="s">
        <v>60</v>
      </c>
      <c r="D247" t="s">
        <v>61</v>
      </c>
      <c r="G247" t="s">
        <v>63</v>
      </c>
      <c r="H247" t="s">
        <v>63</v>
      </c>
      <c r="I247" t="s">
        <v>72</v>
      </c>
      <c r="J247" t="s">
        <v>69</v>
      </c>
      <c r="K247" t="s">
        <v>33</v>
      </c>
      <c r="L247">
        <v>114900</v>
      </c>
      <c r="M247" s="7">
        <v>114900</v>
      </c>
      <c r="O247" s="7">
        <f t="shared" si="25"/>
        <v>137880</v>
      </c>
      <c r="P247" s="7">
        <v>0</v>
      </c>
      <c r="Q247" s="8">
        <v>0</v>
      </c>
      <c r="R247" s="7">
        <v>0</v>
      </c>
      <c r="S247" s="9">
        <v>0</v>
      </c>
      <c r="T247" s="7">
        <f>IF(C247="Mediana Complejidad",M247,0)</f>
        <v>114900</v>
      </c>
      <c r="U247" s="8">
        <v>0.2</v>
      </c>
      <c r="V247" s="7">
        <f t="shared" si="26"/>
        <v>137880</v>
      </c>
      <c r="W247" s="10">
        <f>IFERROR(((V247-T247)/V247),0)</f>
        <v>0.16666666666666666</v>
      </c>
      <c r="X247" s="7">
        <v>0</v>
      </c>
      <c r="Y247" s="8">
        <v>0</v>
      </c>
      <c r="Z247" s="7">
        <v>0</v>
      </c>
      <c r="AA247" s="8">
        <v>0</v>
      </c>
      <c r="AB247" s="8">
        <v>0.1</v>
      </c>
    </row>
    <row r="248" spans="1:28" x14ac:dyDescent="0.25">
      <c r="A248">
        <v>2026</v>
      </c>
      <c r="B248" t="s">
        <v>52</v>
      </c>
      <c r="C248" t="s">
        <v>60</v>
      </c>
      <c r="D248" t="s">
        <v>61</v>
      </c>
      <c r="G248" t="s">
        <v>63</v>
      </c>
      <c r="H248" t="s">
        <v>63</v>
      </c>
      <c r="I248" t="s">
        <v>73</v>
      </c>
      <c r="J248" t="s">
        <v>69</v>
      </c>
      <c r="K248" t="s">
        <v>33</v>
      </c>
      <c r="L248">
        <v>28000</v>
      </c>
      <c r="M248" s="7">
        <v>28000</v>
      </c>
      <c r="O248" s="7">
        <f t="shared" si="25"/>
        <v>33600</v>
      </c>
      <c r="P248" s="7">
        <v>0</v>
      </c>
      <c r="Q248" s="8">
        <v>0</v>
      </c>
      <c r="R248" s="7">
        <v>0</v>
      </c>
      <c r="S248" s="9">
        <v>0</v>
      </c>
      <c r="T248" s="7">
        <f>IF(C248="Mediana Complejidad",M248,0)</f>
        <v>28000</v>
      </c>
      <c r="U248" s="8">
        <v>0.2</v>
      </c>
      <c r="V248" s="7">
        <f t="shared" si="26"/>
        <v>33600</v>
      </c>
      <c r="W248" s="10">
        <f>IFERROR(((V248-T248)/V248),0)</f>
        <v>0.16666666666666666</v>
      </c>
      <c r="X248" s="7">
        <v>0</v>
      </c>
      <c r="Y248" s="8">
        <v>0</v>
      </c>
      <c r="Z248" s="7">
        <v>0</v>
      </c>
      <c r="AA248" s="8">
        <v>0</v>
      </c>
      <c r="AB248" s="8">
        <v>0.1</v>
      </c>
    </row>
    <row r="249" spans="1:28" x14ac:dyDescent="0.25">
      <c r="A249">
        <v>2026</v>
      </c>
      <c r="B249" t="s">
        <v>52</v>
      </c>
      <c r="C249" t="s">
        <v>60</v>
      </c>
      <c r="D249" t="s">
        <v>61</v>
      </c>
      <c r="G249" t="s">
        <v>63</v>
      </c>
      <c r="H249" t="s">
        <v>63</v>
      </c>
      <c r="I249" t="s">
        <v>74</v>
      </c>
      <c r="J249" t="s">
        <v>69</v>
      </c>
      <c r="K249" t="s">
        <v>33</v>
      </c>
      <c r="L249">
        <v>49200</v>
      </c>
      <c r="M249" s="7">
        <v>49200</v>
      </c>
      <c r="O249" s="7">
        <f t="shared" si="25"/>
        <v>59040</v>
      </c>
      <c r="P249" s="7">
        <v>0</v>
      </c>
      <c r="Q249" s="8">
        <v>0</v>
      </c>
      <c r="R249" s="7">
        <v>0</v>
      </c>
      <c r="S249" s="9">
        <v>0</v>
      </c>
      <c r="T249" s="7">
        <f>IF(C249="Mediana Complejidad",M249,0)</f>
        <v>49200</v>
      </c>
      <c r="U249" s="8">
        <v>0.2</v>
      </c>
      <c r="V249" s="7">
        <f t="shared" si="26"/>
        <v>59040</v>
      </c>
      <c r="W249" s="10">
        <f>IFERROR(((V249-T249)/V249),0)</f>
        <v>0.16666666666666666</v>
      </c>
      <c r="X249" s="7">
        <v>0</v>
      </c>
      <c r="Y249" s="8">
        <v>0</v>
      </c>
      <c r="Z249" s="7">
        <v>0</v>
      </c>
      <c r="AA249" s="8">
        <v>0</v>
      </c>
      <c r="AB249" s="8">
        <v>0.1</v>
      </c>
    </row>
    <row r="250" spans="1:28" x14ac:dyDescent="0.25">
      <c r="A250">
        <v>2026</v>
      </c>
      <c r="B250" t="s">
        <v>52</v>
      </c>
      <c r="C250" t="s">
        <v>60</v>
      </c>
      <c r="D250" t="s">
        <v>61</v>
      </c>
      <c r="G250" t="s">
        <v>63</v>
      </c>
      <c r="H250" t="s">
        <v>63</v>
      </c>
      <c r="I250" t="s">
        <v>75</v>
      </c>
      <c r="J250" t="s">
        <v>69</v>
      </c>
      <c r="K250" t="s">
        <v>33</v>
      </c>
      <c r="L250">
        <v>141600</v>
      </c>
      <c r="M250" s="7">
        <v>141600</v>
      </c>
      <c r="O250" s="7">
        <f t="shared" si="25"/>
        <v>169920</v>
      </c>
      <c r="P250" s="7">
        <v>0</v>
      </c>
      <c r="Q250" s="8">
        <v>0</v>
      </c>
      <c r="R250" s="7">
        <v>0</v>
      </c>
      <c r="S250" s="9">
        <v>0</v>
      </c>
      <c r="T250" s="7">
        <f>IF(C250="Mediana Complejidad",M250,0)</f>
        <v>141600</v>
      </c>
      <c r="U250" s="8">
        <v>0.2</v>
      </c>
      <c r="V250" s="7">
        <f t="shared" si="26"/>
        <v>169920</v>
      </c>
      <c r="W250" s="10">
        <f>IFERROR(((V250-T250)/V250),0)</f>
        <v>0.16666666666666666</v>
      </c>
      <c r="X250" s="7">
        <v>0</v>
      </c>
      <c r="Y250" s="8">
        <v>0</v>
      </c>
      <c r="Z250" s="7">
        <v>0</v>
      </c>
      <c r="AA250" s="8">
        <v>0</v>
      </c>
      <c r="AB250" s="8">
        <v>0.1</v>
      </c>
    </row>
    <row r="251" spans="1:28" x14ac:dyDescent="0.25">
      <c r="A251">
        <v>2026</v>
      </c>
      <c r="B251" t="s">
        <v>52</v>
      </c>
      <c r="C251" t="s">
        <v>60</v>
      </c>
      <c r="D251" t="s">
        <v>61</v>
      </c>
      <c r="G251" t="s">
        <v>63</v>
      </c>
      <c r="H251" t="s">
        <v>63</v>
      </c>
      <c r="I251" t="s">
        <v>76</v>
      </c>
      <c r="J251" t="s">
        <v>69</v>
      </c>
      <c r="K251" t="s">
        <v>33</v>
      </c>
      <c r="L251">
        <v>174700</v>
      </c>
      <c r="M251" s="7">
        <v>174700</v>
      </c>
      <c r="O251" s="7">
        <f t="shared" si="25"/>
        <v>209640</v>
      </c>
      <c r="P251" s="7">
        <v>0</v>
      </c>
      <c r="Q251" s="8">
        <v>0</v>
      </c>
      <c r="R251" s="7">
        <v>0</v>
      </c>
      <c r="S251" s="9">
        <v>0</v>
      </c>
      <c r="T251" s="7">
        <f>IF(C251="Mediana Complejidad",M251,0)</f>
        <v>174700</v>
      </c>
      <c r="U251" s="8">
        <v>0.2</v>
      </c>
      <c r="V251" s="7">
        <f t="shared" si="26"/>
        <v>209640</v>
      </c>
      <c r="W251" s="10">
        <f>IFERROR(((V251-T251)/V251),0)</f>
        <v>0.16666666666666666</v>
      </c>
      <c r="X251" s="7">
        <v>0</v>
      </c>
      <c r="Y251" s="8">
        <v>0</v>
      </c>
      <c r="Z251" s="7">
        <v>0</v>
      </c>
      <c r="AA251" s="8">
        <v>0</v>
      </c>
      <c r="AB251" s="8">
        <v>0.1</v>
      </c>
    </row>
    <row r="252" spans="1:28" x14ac:dyDescent="0.25">
      <c r="A252">
        <v>2026</v>
      </c>
      <c r="B252" t="s">
        <v>52</v>
      </c>
      <c r="C252" t="s">
        <v>60</v>
      </c>
      <c r="D252" t="s">
        <v>61</v>
      </c>
      <c r="G252" t="s">
        <v>63</v>
      </c>
      <c r="H252" t="s">
        <v>63</v>
      </c>
      <c r="I252" t="s">
        <v>77</v>
      </c>
      <c r="J252" t="s">
        <v>69</v>
      </c>
      <c r="K252" t="s">
        <v>33</v>
      </c>
      <c r="L252">
        <v>204000</v>
      </c>
      <c r="M252" s="7">
        <v>204000</v>
      </c>
      <c r="O252" s="7">
        <f t="shared" si="25"/>
        <v>244800</v>
      </c>
      <c r="P252" s="7">
        <v>0</v>
      </c>
      <c r="Q252" s="8">
        <v>0</v>
      </c>
      <c r="R252" s="7">
        <v>0</v>
      </c>
      <c r="S252" s="9">
        <v>0</v>
      </c>
      <c r="T252" s="7">
        <f>IF(C252="Mediana Complejidad",M252,0)</f>
        <v>204000</v>
      </c>
      <c r="U252" s="8">
        <v>0.2</v>
      </c>
      <c r="V252" s="7">
        <f t="shared" si="26"/>
        <v>244800</v>
      </c>
      <c r="W252" s="10">
        <f>IFERROR(((V252-T252)/V252),0)</f>
        <v>0.16666666666666666</v>
      </c>
      <c r="X252" s="7">
        <v>0</v>
      </c>
      <c r="Y252" s="8">
        <v>0</v>
      </c>
      <c r="Z252" s="7">
        <v>0</v>
      </c>
      <c r="AA252" s="8">
        <v>0</v>
      </c>
      <c r="AB252" s="8">
        <v>0.1</v>
      </c>
    </row>
    <row r="253" spans="1:28" x14ac:dyDescent="0.25">
      <c r="A253">
        <v>2026</v>
      </c>
      <c r="B253" t="s">
        <v>52</v>
      </c>
      <c r="C253" t="s">
        <v>60</v>
      </c>
      <c r="D253" t="s">
        <v>61</v>
      </c>
      <c r="G253" t="s">
        <v>63</v>
      </c>
      <c r="H253" t="s">
        <v>63</v>
      </c>
      <c r="I253" t="s">
        <v>78</v>
      </c>
      <c r="J253" t="s">
        <v>69</v>
      </c>
      <c r="K253" t="s">
        <v>33</v>
      </c>
      <c r="L253">
        <v>49000</v>
      </c>
      <c r="M253" s="7">
        <v>49000</v>
      </c>
      <c r="O253" s="7">
        <f t="shared" si="25"/>
        <v>58800</v>
      </c>
      <c r="P253" s="7">
        <v>0</v>
      </c>
      <c r="Q253" s="8">
        <v>0</v>
      </c>
      <c r="R253" s="7">
        <v>0</v>
      </c>
      <c r="S253" s="9">
        <v>0</v>
      </c>
      <c r="T253" s="7">
        <f>IF(C253="Mediana Complejidad",M253,0)</f>
        <v>49000</v>
      </c>
      <c r="U253" s="8">
        <v>0.2</v>
      </c>
      <c r="V253" s="7">
        <f t="shared" si="26"/>
        <v>58800</v>
      </c>
      <c r="W253" s="10">
        <f>IFERROR(((V253-T253)/V253),0)</f>
        <v>0.16666666666666666</v>
      </c>
      <c r="X253" s="7">
        <v>0</v>
      </c>
      <c r="Y253" s="8">
        <v>0</v>
      </c>
      <c r="Z253" s="7">
        <v>0</v>
      </c>
      <c r="AA253" s="8">
        <v>0</v>
      </c>
      <c r="AB253" s="8">
        <v>0.1</v>
      </c>
    </row>
    <row r="254" spans="1:28" x14ac:dyDescent="0.25">
      <c r="A254">
        <v>2026</v>
      </c>
      <c r="B254" t="s">
        <v>52</v>
      </c>
      <c r="C254" t="s">
        <v>60</v>
      </c>
      <c r="D254" t="s">
        <v>61</v>
      </c>
      <c r="G254" t="s">
        <v>63</v>
      </c>
      <c r="H254" t="s">
        <v>63</v>
      </c>
      <c r="I254" t="s">
        <v>79</v>
      </c>
      <c r="J254" t="s">
        <v>66</v>
      </c>
      <c r="K254" t="s">
        <v>33</v>
      </c>
      <c r="L254">
        <v>224100</v>
      </c>
      <c r="M254" s="7">
        <v>224100</v>
      </c>
      <c r="O254" s="7">
        <f t="shared" si="25"/>
        <v>268920</v>
      </c>
      <c r="P254" s="7">
        <v>0</v>
      </c>
      <c r="Q254" s="8">
        <v>0</v>
      </c>
      <c r="R254" s="7">
        <v>0</v>
      </c>
      <c r="S254" s="9">
        <v>0</v>
      </c>
      <c r="T254" s="7">
        <f>IF(C254="Mediana Complejidad",M254,0)</f>
        <v>224100</v>
      </c>
      <c r="U254" s="8">
        <v>0.2</v>
      </c>
      <c r="V254" s="7">
        <f t="shared" si="26"/>
        <v>268920</v>
      </c>
      <c r="W254" s="10">
        <f>IFERROR(((V254-T254)/V254),0)</f>
        <v>0.16666666666666666</v>
      </c>
      <c r="X254" s="7">
        <v>0</v>
      </c>
      <c r="Y254" s="8">
        <v>0</v>
      </c>
      <c r="Z254" s="7">
        <v>0</v>
      </c>
      <c r="AA254" s="8">
        <v>0</v>
      </c>
      <c r="AB254" s="8">
        <v>0.1</v>
      </c>
    </row>
    <row r="255" spans="1:28" x14ac:dyDescent="0.25">
      <c r="A255">
        <v>2026</v>
      </c>
      <c r="B255" t="s">
        <v>52</v>
      </c>
      <c r="C255" t="s">
        <v>60</v>
      </c>
      <c r="D255" t="s">
        <v>61</v>
      </c>
      <c r="G255" t="s">
        <v>63</v>
      </c>
      <c r="H255" t="s">
        <v>63</v>
      </c>
      <c r="I255" t="s">
        <v>80</v>
      </c>
      <c r="J255" t="s">
        <v>66</v>
      </c>
      <c r="K255" t="s">
        <v>33</v>
      </c>
      <c r="L255">
        <v>38000</v>
      </c>
      <c r="M255" s="7">
        <v>38000</v>
      </c>
      <c r="O255" s="7">
        <f t="shared" si="25"/>
        <v>45600</v>
      </c>
      <c r="P255" s="7">
        <v>0</v>
      </c>
      <c r="Q255" s="8">
        <v>0</v>
      </c>
      <c r="R255" s="7">
        <v>0</v>
      </c>
      <c r="S255" s="9">
        <v>0</v>
      </c>
      <c r="T255" s="7">
        <f>IF(C255="Mediana Complejidad",M255,0)</f>
        <v>38000</v>
      </c>
      <c r="U255" s="8">
        <v>0.2</v>
      </c>
      <c r="V255" s="7">
        <f t="shared" si="26"/>
        <v>45600</v>
      </c>
      <c r="W255" s="10">
        <f>IFERROR(((V255-T255)/V255),0)</f>
        <v>0.16666666666666666</v>
      </c>
      <c r="X255" s="7">
        <v>0</v>
      </c>
      <c r="Y255" s="8">
        <v>0</v>
      </c>
      <c r="Z255" s="7">
        <v>0</v>
      </c>
      <c r="AA255" s="8">
        <v>0</v>
      </c>
      <c r="AB255" s="8">
        <v>0.1</v>
      </c>
    </row>
    <row r="256" spans="1:28" x14ac:dyDescent="0.25">
      <c r="A256">
        <v>2026</v>
      </c>
      <c r="B256" t="s">
        <v>52</v>
      </c>
      <c r="C256" t="s">
        <v>60</v>
      </c>
      <c r="D256" t="s">
        <v>61</v>
      </c>
      <c r="G256" t="s">
        <v>63</v>
      </c>
      <c r="H256" t="s">
        <v>63</v>
      </c>
      <c r="I256" t="s">
        <v>81</v>
      </c>
      <c r="J256" t="s">
        <v>66</v>
      </c>
      <c r="K256" t="s">
        <v>33</v>
      </c>
      <c r="L256">
        <v>39800</v>
      </c>
      <c r="M256" s="7">
        <v>39800</v>
      </c>
      <c r="O256" s="7">
        <f t="shared" si="25"/>
        <v>47760</v>
      </c>
      <c r="P256" s="7">
        <v>0</v>
      </c>
      <c r="Q256" s="8">
        <v>0</v>
      </c>
      <c r="R256" s="7">
        <v>0</v>
      </c>
      <c r="S256" s="9">
        <v>0</v>
      </c>
      <c r="T256" s="7">
        <f>IF(C256="Mediana Complejidad",M256,0)</f>
        <v>39800</v>
      </c>
      <c r="U256" s="8">
        <v>0.2</v>
      </c>
      <c r="V256" s="7">
        <f t="shared" si="26"/>
        <v>47760</v>
      </c>
      <c r="W256" s="10">
        <f>IFERROR(((V256-T256)/V256),0)</f>
        <v>0.16666666666666666</v>
      </c>
      <c r="X256" s="7">
        <v>0</v>
      </c>
      <c r="Y256" s="8">
        <v>0</v>
      </c>
      <c r="Z256" s="7">
        <v>0</v>
      </c>
      <c r="AA256" s="8">
        <v>0</v>
      </c>
      <c r="AB256" s="8">
        <v>0.1</v>
      </c>
    </row>
    <row r="257" spans="1:28" x14ac:dyDescent="0.25">
      <c r="A257">
        <v>2026</v>
      </c>
      <c r="B257" t="s">
        <v>53</v>
      </c>
      <c r="C257" t="s">
        <v>60</v>
      </c>
      <c r="D257" t="s">
        <v>61</v>
      </c>
      <c r="G257" t="s">
        <v>63</v>
      </c>
      <c r="H257" t="s">
        <v>63</v>
      </c>
      <c r="I257" t="s">
        <v>65</v>
      </c>
      <c r="J257" t="s">
        <v>66</v>
      </c>
      <c r="K257" t="s">
        <v>33</v>
      </c>
      <c r="L257">
        <v>28800</v>
      </c>
      <c r="M257" s="7">
        <v>28800</v>
      </c>
      <c r="O257" s="7">
        <f>V257</f>
        <v>34560</v>
      </c>
      <c r="P257" s="7">
        <v>0</v>
      </c>
      <c r="Q257" s="8">
        <v>0</v>
      </c>
      <c r="R257" s="7">
        <v>0</v>
      </c>
      <c r="S257" s="9">
        <v>0</v>
      </c>
      <c r="T257" s="7">
        <f>IF(C257="Mediana Complejidad",M257,0)</f>
        <v>28800</v>
      </c>
      <c r="U257" s="8">
        <v>0.2</v>
      </c>
      <c r="V257" s="7">
        <f>T257+(U257*T257)</f>
        <v>34560</v>
      </c>
      <c r="W257" s="10">
        <f>IFERROR(((V257-T257)/V257),0)</f>
        <v>0.16666666666666666</v>
      </c>
      <c r="X257" s="7">
        <v>0</v>
      </c>
      <c r="Y257" s="8">
        <v>0</v>
      </c>
      <c r="Z257" s="7">
        <v>0</v>
      </c>
      <c r="AA257" s="8">
        <v>0</v>
      </c>
      <c r="AB257" s="8">
        <v>0.1</v>
      </c>
    </row>
    <row r="258" spans="1:28" x14ac:dyDescent="0.25">
      <c r="A258">
        <v>2026</v>
      </c>
      <c r="B258" t="s">
        <v>53</v>
      </c>
      <c r="C258" t="s">
        <v>60</v>
      </c>
      <c r="D258" t="s">
        <v>61</v>
      </c>
      <c r="G258" t="s">
        <v>63</v>
      </c>
      <c r="H258" t="s">
        <v>63</v>
      </c>
      <c r="I258" t="s">
        <v>67</v>
      </c>
      <c r="J258" t="s">
        <v>66</v>
      </c>
      <c r="K258" t="s">
        <v>33</v>
      </c>
      <c r="L258">
        <v>36700</v>
      </c>
      <c r="M258" s="7">
        <v>36700</v>
      </c>
      <c r="O258" s="7">
        <f t="shared" ref="O258:O271" si="27">V258</f>
        <v>44040</v>
      </c>
      <c r="P258" s="7">
        <v>0</v>
      </c>
      <c r="Q258" s="8">
        <v>0</v>
      </c>
      <c r="R258" s="7">
        <v>0</v>
      </c>
      <c r="S258" s="9">
        <v>0</v>
      </c>
      <c r="T258" s="7">
        <f>IF(C258="Mediana Complejidad",M258,0)</f>
        <v>36700</v>
      </c>
      <c r="U258" s="8">
        <v>0.2</v>
      </c>
      <c r="V258" s="7">
        <f t="shared" ref="V258:V271" si="28">T258+(U258*T258)</f>
        <v>44040</v>
      </c>
      <c r="W258" s="10">
        <f>IFERROR(((V258-T258)/V258),0)</f>
        <v>0.16666666666666666</v>
      </c>
      <c r="X258" s="7">
        <v>0</v>
      </c>
      <c r="Y258" s="8">
        <v>0</v>
      </c>
      <c r="Z258" s="7">
        <v>0</v>
      </c>
      <c r="AA258" s="8">
        <v>0</v>
      </c>
      <c r="AB258" s="8">
        <v>0.1</v>
      </c>
    </row>
    <row r="259" spans="1:28" x14ac:dyDescent="0.25">
      <c r="A259">
        <v>2026</v>
      </c>
      <c r="B259" t="s">
        <v>53</v>
      </c>
      <c r="C259" t="s">
        <v>60</v>
      </c>
      <c r="D259" t="s">
        <v>61</v>
      </c>
      <c r="G259" t="s">
        <v>63</v>
      </c>
      <c r="H259" t="s">
        <v>63</v>
      </c>
      <c r="I259" t="s">
        <v>68</v>
      </c>
      <c r="J259" t="s">
        <v>69</v>
      </c>
      <c r="K259" t="s">
        <v>33</v>
      </c>
      <c r="L259">
        <v>28000</v>
      </c>
      <c r="M259" s="7">
        <v>28000</v>
      </c>
      <c r="O259" s="7">
        <f t="shared" si="27"/>
        <v>33600</v>
      </c>
      <c r="P259" s="7">
        <v>0</v>
      </c>
      <c r="Q259" s="8">
        <v>0</v>
      </c>
      <c r="R259" s="7">
        <v>0</v>
      </c>
      <c r="S259" s="9">
        <v>0</v>
      </c>
      <c r="T259" s="7">
        <f>IF(C259="Mediana Complejidad",M259,0)</f>
        <v>28000</v>
      </c>
      <c r="U259" s="8">
        <v>0.2</v>
      </c>
      <c r="V259" s="7">
        <f t="shared" si="28"/>
        <v>33600</v>
      </c>
      <c r="W259" s="10">
        <f>IFERROR(((V259-T259)/V259),0)</f>
        <v>0.16666666666666666</v>
      </c>
      <c r="X259" s="7">
        <v>0</v>
      </c>
      <c r="Y259" s="8">
        <v>0</v>
      </c>
      <c r="Z259" s="7">
        <v>0</v>
      </c>
      <c r="AA259" s="8">
        <v>0</v>
      </c>
      <c r="AB259" s="8">
        <v>0.1</v>
      </c>
    </row>
    <row r="260" spans="1:28" x14ac:dyDescent="0.25">
      <c r="A260">
        <v>2026</v>
      </c>
      <c r="B260" t="s">
        <v>53</v>
      </c>
      <c r="C260" t="s">
        <v>60</v>
      </c>
      <c r="D260" t="s">
        <v>61</v>
      </c>
      <c r="G260" t="s">
        <v>63</v>
      </c>
      <c r="H260" t="s">
        <v>63</v>
      </c>
      <c r="I260" t="s">
        <v>70</v>
      </c>
      <c r="J260" t="s">
        <v>69</v>
      </c>
      <c r="K260" t="s">
        <v>33</v>
      </c>
      <c r="L260">
        <v>36700</v>
      </c>
      <c r="M260" s="7">
        <v>36700</v>
      </c>
      <c r="O260" s="7">
        <f t="shared" si="27"/>
        <v>44040</v>
      </c>
      <c r="P260" s="7">
        <v>0</v>
      </c>
      <c r="Q260" s="8">
        <v>0</v>
      </c>
      <c r="R260" s="7">
        <v>0</v>
      </c>
      <c r="S260" s="9">
        <v>0</v>
      </c>
      <c r="T260" s="7">
        <f>IF(C260="Mediana Complejidad",M260,0)</f>
        <v>36700</v>
      </c>
      <c r="U260" s="8">
        <v>0.2</v>
      </c>
      <c r="V260" s="7">
        <f t="shared" si="28"/>
        <v>44040</v>
      </c>
      <c r="W260" s="10">
        <f>IFERROR(((V260-T260)/V260),0)</f>
        <v>0.16666666666666666</v>
      </c>
      <c r="X260" s="7">
        <v>0</v>
      </c>
      <c r="Y260" s="8">
        <v>0</v>
      </c>
      <c r="Z260" s="7">
        <v>0</v>
      </c>
      <c r="AA260" s="8">
        <v>0</v>
      </c>
      <c r="AB260" s="8">
        <v>0.1</v>
      </c>
    </row>
    <row r="261" spans="1:28" x14ac:dyDescent="0.25">
      <c r="A261">
        <v>2026</v>
      </c>
      <c r="B261" t="s">
        <v>53</v>
      </c>
      <c r="C261" t="s">
        <v>60</v>
      </c>
      <c r="D261" t="s">
        <v>61</v>
      </c>
      <c r="G261" t="s">
        <v>63</v>
      </c>
      <c r="H261" t="s">
        <v>63</v>
      </c>
      <c r="I261" t="s">
        <v>71</v>
      </c>
      <c r="J261" t="s">
        <v>69</v>
      </c>
      <c r="K261" t="s">
        <v>33</v>
      </c>
      <c r="L261">
        <v>21900</v>
      </c>
      <c r="M261" s="7">
        <v>21900</v>
      </c>
      <c r="O261" s="7">
        <f t="shared" si="27"/>
        <v>26280</v>
      </c>
      <c r="P261" s="7">
        <v>0</v>
      </c>
      <c r="Q261" s="8">
        <v>0</v>
      </c>
      <c r="R261" s="7">
        <v>0</v>
      </c>
      <c r="S261" s="9">
        <v>0</v>
      </c>
      <c r="T261" s="7">
        <f>IF(C261="Mediana Complejidad",M261,0)</f>
        <v>21900</v>
      </c>
      <c r="U261" s="8">
        <v>0.2</v>
      </c>
      <c r="V261" s="7">
        <f t="shared" si="28"/>
        <v>26280</v>
      </c>
      <c r="W261" s="10">
        <f>IFERROR(((V261-T261)/V261),0)</f>
        <v>0.16666666666666666</v>
      </c>
      <c r="X261" s="7">
        <v>0</v>
      </c>
      <c r="Y261" s="8">
        <v>0</v>
      </c>
      <c r="Z261" s="7">
        <v>0</v>
      </c>
      <c r="AA261" s="8">
        <v>0</v>
      </c>
      <c r="AB261" s="8">
        <v>0.1</v>
      </c>
    </row>
    <row r="262" spans="1:28" x14ac:dyDescent="0.25">
      <c r="A262">
        <v>2026</v>
      </c>
      <c r="B262" t="s">
        <v>53</v>
      </c>
      <c r="C262" t="s">
        <v>60</v>
      </c>
      <c r="D262" t="s">
        <v>61</v>
      </c>
      <c r="G262" t="s">
        <v>63</v>
      </c>
      <c r="H262" t="s">
        <v>63</v>
      </c>
      <c r="I262" t="s">
        <v>72</v>
      </c>
      <c r="J262" t="s">
        <v>69</v>
      </c>
      <c r="K262" t="s">
        <v>33</v>
      </c>
      <c r="L262">
        <v>114900</v>
      </c>
      <c r="M262" s="7">
        <v>114900</v>
      </c>
      <c r="O262" s="7">
        <f t="shared" si="27"/>
        <v>137880</v>
      </c>
      <c r="P262" s="7">
        <v>0</v>
      </c>
      <c r="Q262" s="8">
        <v>0</v>
      </c>
      <c r="R262" s="7">
        <v>0</v>
      </c>
      <c r="S262" s="9">
        <v>0</v>
      </c>
      <c r="T262" s="7">
        <f>IF(C262="Mediana Complejidad",M262,0)</f>
        <v>114900</v>
      </c>
      <c r="U262" s="8">
        <v>0.2</v>
      </c>
      <c r="V262" s="7">
        <f t="shared" si="28"/>
        <v>137880</v>
      </c>
      <c r="W262" s="10">
        <f>IFERROR(((V262-T262)/V262),0)</f>
        <v>0.16666666666666666</v>
      </c>
      <c r="X262" s="7">
        <v>0</v>
      </c>
      <c r="Y262" s="8">
        <v>0</v>
      </c>
      <c r="Z262" s="7">
        <v>0</v>
      </c>
      <c r="AA262" s="8">
        <v>0</v>
      </c>
      <c r="AB262" s="8">
        <v>0.1</v>
      </c>
    </row>
    <row r="263" spans="1:28" x14ac:dyDescent="0.25">
      <c r="A263">
        <v>2026</v>
      </c>
      <c r="B263" t="s">
        <v>53</v>
      </c>
      <c r="C263" t="s">
        <v>60</v>
      </c>
      <c r="D263" t="s">
        <v>61</v>
      </c>
      <c r="G263" t="s">
        <v>63</v>
      </c>
      <c r="H263" t="s">
        <v>63</v>
      </c>
      <c r="I263" t="s">
        <v>73</v>
      </c>
      <c r="J263" t="s">
        <v>69</v>
      </c>
      <c r="K263" t="s">
        <v>33</v>
      </c>
      <c r="L263">
        <v>28000</v>
      </c>
      <c r="M263" s="7">
        <v>28000</v>
      </c>
      <c r="O263" s="7">
        <f t="shared" si="27"/>
        <v>33600</v>
      </c>
      <c r="P263" s="7">
        <v>0</v>
      </c>
      <c r="Q263" s="8">
        <v>0</v>
      </c>
      <c r="R263" s="7">
        <v>0</v>
      </c>
      <c r="S263" s="9">
        <v>0</v>
      </c>
      <c r="T263" s="7">
        <f>IF(C263="Mediana Complejidad",M263,0)</f>
        <v>28000</v>
      </c>
      <c r="U263" s="8">
        <v>0.2</v>
      </c>
      <c r="V263" s="7">
        <f t="shared" si="28"/>
        <v>33600</v>
      </c>
      <c r="W263" s="10">
        <f>IFERROR(((V263-T263)/V263),0)</f>
        <v>0.16666666666666666</v>
      </c>
      <c r="X263" s="7">
        <v>0</v>
      </c>
      <c r="Y263" s="8">
        <v>0</v>
      </c>
      <c r="Z263" s="7">
        <v>0</v>
      </c>
      <c r="AA263" s="8">
        <v>0</v>
      </c>
      <c r="AB263" s="8">
        <v>0.1</v>
      </c>
    </row>
    <row r="264" spans="1:28" x14ac:dyDescent="0.25">
      <c r="A264">
        <v>2026</v>
      </c>
      <c r="B264" t="s">
        <v>53</v>
      </c>
      <c r="C264" t="s">
        <v>60</v>
      </c>
      <c r="D264" t="s">
        <v>61</v>
      </c>
      <c r="G264" t="s">
        <v>63</v>
      </c>
      <c r="H264" t="s">
        <v>63</v>
      </c>
      <c r="I264" t="s">
        <v>74</v>
      </c>
      <c r="J264" t="s">
        <v>69</v>
      </c>
      <c r="K264" t="s">
        <v>33</v>
      </c>
      <c r="L264">
        <v>49200</v>
      </c>
      <c r="M264" s="7">
        <v>49200</v>
      </c>
      <c r="O264" s="7">
        <f t="shared" si="27"/>
        <v>59040</v>
      </c>
      <c r="P264" s="7">
        <v>0</v>
      </c>
      <c r="Q264" s="8">
        <v>0</v>
      </c>
      <c r="R264" s="7">
        <v>0</v>
      </c>
      <c r="S264" s="9">
        <v>0</v>
      </c>
      <c r="T264" s="7">
        <f>IF(C264="Mediana Complejidad",M264,0)</f>
        <v>49200</v>
      </c>
      <c r="U264" s="8">
        <v>0.2</v>
      </c>
      <c r="V264" s="7">
        <f t="shared" si="28"/>
        <v>59040</v>
      </c>
      <c r="W264" s="10">
        <f>IFERROR(((V264-T264)/V264),0)</f>
        <v>0.16666666666666666</v>
      </c>
      <c r="X264" s="7">
        <v>0</v>
      </c>
      <c r="Y264" s="8">
        <v>0</v>
      </c>
      <c r="Z264" s="7">
        <v>0</v>
      </c>
      <c r="AA264" s="8">
        <v>0</v>
      </c>
      <c r="AB264" s="8">
        <v>0.1</v>
      </c>
    </row>
    <row r="265" spans="1:28" x14ac:dyDescent="0.25">
      <c r="A265">
        <v>2026</v>
      </c>
      <c r="B265" t="s">
        <v>53</v>
      </c>
      <c r="C265" t="s">
        <v>60</v>
      </c>
      <c r="D265" t="s">
        <v>61</v>
      </c>
      <c r="G265" t="s">
        <v>63</v>
      </c>
      <c r="H265" t="s">
        <v>63</v>
      </c>
      <c r="I265" t="s">
        <v>75</v>
      </c>
      <c r="J265" t="s">
        <v>69</v>
      </c>
      <c r="K265" t="s">
        <v>33</v>
      </c>
      <c r="L265">
        <v>141600</v>
      </c>
      <c r="M265" s="7">
        <v>141600</v>
      </c>
      <c r="O265" s="7">
        <f t="shared" si="27"/>
        <v>169920</v>
      </c>
      <c r="P265" s="7">
        <v>0</v>
      </c>
      <c r="Q265" s="8">
        <v>0</v>
      </c>
      <c r="R265" s="7">
        <v>0</v>
      </c>
      <c r="S265" s="9">
        <v>0</v>
      </c>
      <c r="T265" s="7">
        <f>IF(C265="Mediana Complejidad",M265,0)</f>
        <v>141600</v>
      </c>
      <c r="U265" s="8">
        <v>0.2</v>
      </c>
      <c r="V265" s="7">
        <f t="shared" si="28"/>
        <v>169920</v>
      </c>
      <c r="W265" s="10">
        <f>IFERROR(((V265-T265)/V265),0)</f>
        <v>0.16666666666666666</v>
      </c>
      <c r="X265" s="7">
        <v>0</v>
      </c>
      <c r="Y265" s="8">
        <v>0</v>
      </c>
      <c r="Z265" s="7">
        <v>0</v>
      </c>
      <c r="AA265" s="8">
        <v>0</v>
      </c>
      <c r="AB265" s="8">
        <v>0.1</v>
      </c>
    </row>
    <row r="266" spans="1:28" x14ac:dyDescent="0.25">
      <c r="A266">
        <v>2026</v>
      </c>
      <c r="B266" t="s">
        <v>53</v>
      </c>
      <c r="C266" t="s">
        <v>60</v>
      </c>
      <c r="D266" t="s">
        <v>61</v>
      </c>
      <c r="G266" t="s">
        <v>63</v>
      </c>
      <c r="H266" t="s">
        <v>63</v>
      </c>
      <c r="I266" t="s">
        <v>76</v>
      </c>
      <c r="J266" t="s">
        <v>69</v>
      </c>
      <c r="K266" t="s">
        <v>33</v>
      </c>
      <c r="L266">
        <v>174700</v>
      </c>
      <c r="M266" s="7">
        <v>174700</v>
      </c>
      <c r="O266" s="7">
        <f t="shared" si="27"/>
        <v>209640</v>
      </c>
      <c r="P266" s="7">
        <v>0</v>
      </c>
      <c r="Q266" s="8">
        <v>0</v>
      </c>
      <c r="R266" s="7">
        <v>0</v>
      </c>
      <c r="S266" s="9">
        <v>0</v>
      </c>
      <c r="T266" s="7">
        <f>IF(C266="Mediana Complejidad",M266,0)</f>
        <v>174700</v>
      </c>
      <c r="U266" s="8">
        <v>0.2</v>
      </c>
      <c r="V266" s="7">
        <f t="shared" si="28"/>
        <v>209640</v>
      </c>
      <c r="W266" s="10">
        <f>IFERROR(((V266-T266)/V266),0)</f>
        <v>0.16666666666666666</v>
      </c>
      <c r="X266" s="7">
        <v>0</v>
      </c>
      <c r="Y266" s="8">
        <v>0</v>
      </c>
      <c r="Z266" s="7">
        <v>0</v>
      </c>
      <c r="AA266" s="8">
        <v>0</v>
      </c>
      <c r="AB266" s="8">
        <v>0.1</v>
      </c>
    </row>
    <row r="267" spans="1:28" x14ac:dyDescent="0.25">
      <c r="A267">
        <v>2026</v>
      </c>
      <c r="B267" t="s">
        <v>53</v>
      </c>
      <c r="C267" t="s">
        <v>60</v>
      </c>
      <c r="D267" t="s">
        <v>61</v>
      </c>
      <c r="G267" t="s">
        <v>63</v>
      </c>
      <c r="H267" t="s">
        <v>63</v>
      </c>
      <c r="I267" t="s">
        <v>77</v>
      </c>
      <c r="J267" t="s">
        <v>69</v>
      </c>
      <c r="K267" t="s">
        <v>33</v>
      </c>
      <c r="L267">
        <v>204000</v>
      </c>
      <c r="M267" s="7">
        <v>204000</v>
      </c>
      <c r="O267" s="7">
        <f t="shared" si="27"/>
        <v>244800</v>
      </c>
      <c r="P267" s="7">
        <v>0</v>
      </c>
      <c r="Q267" s="8">
        <v>0</v>
      </c>
      <c r="R267" s="7">
        <v>0</v>
      </c>
      <c r="S267" s="9">
        <v>0</v>
      </c>
      <c r="T267" s="7">
        <f>IF(C267="Mediana Complejidad",M267,0)</f>
        <v>204000</v>
      </c>
      <c r="U267" s="8">
        <v>0.2</v>
      </c>
      <c r="V267" s="7">
        <f t="shared" si="28"/>
        <v>244800</v>
      </c>
      <c r="W267" s="10">
        <f>IFERROR(((V267-T267)/V267),0)</f>
        <v>0.16666666666666666</v>
      </c>
      <c r="X267" s="7">
        <v>0</v>
      </c>
      <c r="Y267" s="8">
        <v>0</v>
      </c>
      <c r="Z267" s="7">
        <v>0</v>
      </c>
      <c r="AA267" s="8">
        <v>0</v>
      </c>
      <c r="AB267" s="8">
        <v>0.1</v>
      </c>
    </row>
    <row r="268" spans="1:28" x14ac:dyDescent="0.25">
      <c r="A268">
        <v>2026</v>
      </c>
      <c r="B268" t="s">
        <v>53</v>
      </c>
      <c r="C268" t="s">
        <v>60</v>
      </c>
      <c r="D268" t="s">
        <v>61</v>
      </c>
      <c r="G268" t="s">
        <v>63</v>
      </c>
      <c r="H268" t="s">
        <v>63</v>
      </c>
      <c r="I268" t="s">
        <v>78</v>
      </c>
      <c r="J268" t="s">
        <v>69</v>
      </c>
      <c r="K268" t="s">
        <v>33</v>
      </c>
      <c r="L268">
        <v>49000</v>
      </c>
      <c r="M268" s="7">
        <v>49000</v>
      </c>
      <c r="O268" s="7">
        <f t="shared" si="27"/>
        <v>58800</v>
      </c>
      <c r="P268" s="7">
        <v>0</v>
      </c>
      <c r="Q268" s="8">
        <v>0</v>
      </c>
      <c r="R268" s="7">
        <v>0</v>
      </c>
      <c r="S268" s="9">
        <v>0</v>
      </c>
      <c r="T268" s="7">
        <f>IF(C268="Mediana Complejidad",M268,0)</f>
        <v>49000</v>
      </c>
      <c r="U268" s="8">
        <v>0.2</v>
      </c>
      <c r="V268" s="7">
        <f t="shared" si="28"/>
        <v>58800</v>
      </c>
      <c r="W268" s="10">
        <f>IFERROR(((V268-T268)/V268),0)</f>
        <v>0.16666666666666666</v>
      </c>
      <c r="X268" s="7">
        <v>0</v>
      </c>
      <c r="Y268" s="8">
        <v>0</v>
      </c>
      <c r="Z268" s="7">
        <v>0</v>
      </c>
      <c r="AA268" s="8">
        <v>0</v>
      </c>
      <c r="AB268" s="8">
        <v>0.1</v>
      </c>
    </row>
    <row r="269" spans="1:28" x14ac:dyDescent="0.25">
      <c r="A269">
        <v>2026</v>
      </c>
      <c r="B269" t="s">
        <v>53</v>
      </c>
      <c r="C269" t="s">
        <v>60</v>
      </c>
      <c r="D269" t="s">
        <v>61</v>
      </c>
      <c r="G269" t="s">
        <v>63</v>
      </c>
      <c r="H269" t="s">
        <v>63</v>
      </c>
      <c r="I269" t="s">
        <v>79</v>
      </c>
      <c r="J269" t="s">
        <v>66</v>
      </c>
      <c r="K269" t="s">
        <v>33</v>
      </c>
      <c r="L269">
        <v>224100</v>
      </c>
      <c r="M269" s="7">
        <v>224100</v>
      </c>
      <c r="O269" s="7">
        <f t="shared" si="27"/>
        <v>268920</v>
      </c>
      <c r="P269" s="7">
        <v>0</v>
      </c>
      <c r="Q269" s="8">
        <v>0</v>
      </c>
      <c r="R269" s="7">
        <v>0</v>
      </c>
      <c r="S269" s="9">
        <v>0</v>
      </c>
      <c r="T269" s="7">
        <f>IF(C269="Mediana Complejidad",M269,0)</f>
        <v>224100</v>
      </c>
      <c r="U269" s="8">
        <v>0.2</v>
      </c>
      <c r="V269" s="7">
        <f t="shared" si="28"/>
        <v>268920</v>
      </c>
      <c r="W269" s="10">
        <f>IFERROR(((V269-T269)/V269),0)</f>
        <v>0.16666666666666666</v>
      </c>
      <c r="X269" s="7">
        <v>0</v>
      </c>
      <c r="Y269" s="8">
        <v>0</v>
      </c>
      <c r="Z269" s="7">
        <v>0</v>
      </c>
      <c r="AA269" s="8">
        <v>0</v>
      </c>
      <c r="AB269" s="8">
        <v>0.1</v>
      </c>
    </row>
    <row r="270" spans="1:28" x14ac:dyDescent="0.25">
      <c r="A270">
        <v>2026</v>
      </c>
      <c r="B270" t="s">
        <v>53</v>
      </c>
      <c r="C270" t="s">
        <v>60</v>
      </c>
      <c r="D270" t="s">
        <v>61</v>
      </c>
      <c r="G270" t="s">
        <v>63</v>
      </c>
      <c r="H270" t="s">
        <v>63</v>
      </c>
      <c r="I270" t="s">
        <v>80</v>
      </c>
      <c r="J270" t="s">
        <v>66</v>
      </c>
      <c r="K270" t="s">
        <v>33</v>
      </c>
      <c r="L270">
        <v>38000</v>
      </c>
      <c r="M270" s="7">
        <v>38000</v>
      </c>
      <c r="O270" s="7">
        <f t="shared" si="27"/>
        <v>45600</v>
      </c>
      <c r="P270" s="7">
        <v>0</v>
      </c>
      <c r="Q270" s="8">
        <v>0</v>
      </c>
      <c r="R270" s="7">
        <v>0</v>
      </c>
      <c r="S270" s="9">
        <v>0</v>
      </c>
      <c r="T270" s="7">
        <f>IF(C270="Mediana Complejidad",M270,0)</f>
        <v>38000</v>
      </c>
      <c r="U270" s="8">
        <v>0.2</v>
      </c>
      <c r="V270" s="7">
        <f t="shared" si="28"/>
        <v>45600</v>
      </c>
      <c r="W270" s="10">
        <f>IFERROR(((V270-T270)/V270),0)</f>
        <v>0.16666666666666666</v>
      </c>
      <c r="X270" s="7">
        <v>0</v>
      </c>
      <c r="Y270" s="8">
        <v>0</v>
      </c>
      <c r="Z270" s="7">
        <v>0</v>
      </c>
      <c r="AA270" s="8">
        <v>0</v>
      </c>
      <c r="AB270" s="8">
        <v>0.1</v>
      </c>
    </row>
    <row r="271" spans="1:28" x14ac:dyDescent="0.25">
      <c r="A271">
        <v>2026</v>
      </c>
      <c r="B271" t="s">
        <v>53</v>
      </c>
      <c r="C271" t="s">
        <v>60</v>
      </c>
      <c r="D271" t="s">
        <v>61</v>
      </c>
      <c r="G271" t="s">
        <v>63</v>
      </c>
      <c r="H271" t="s">
        <v>63</v>
      </c>
      <c r="I271" t="s">
        <v>81</v>
      </c>
      <c r="J271" t="s">
        <v>66</v>
      </c>
      <c r="K271" t="s">
        <v>33</v>
      </c>
      <c r="L271">
        <v>39800</v>
      </c>
      <c r="M271" s="7">
        <v>39800</v>
      </c>
      <c r="O271" s="7">
        <f t="shared" si="27"/>
        <v>47760</v>
      </c>
      <c r="P271" s="7">
        <v>0</v>
      </c>
      <c r="Q271" s="8">
        <v>0</v>
      </c>
      <c r="R271" s="7">
        <v>0</v>
      </c>
      <c r="S271" s="9">
        <v>0</v>
      </c>
      <c r="T271" s="7">
        <f>IF(C271="Mediana Complejidad",M271,0)</f>
        <v>39800</v>
      </c>
      <c r="U271" s="8">
        <v>0.2</v>
      </c>
      <c r="V271" s="7">
        <f t="shared" si="28"/>
        <v>47760</v>
      </c>
      <c r="W271" s="10">
        <f>IFERROR(((V271-T271)/V271),0)</f>
        <v>0.16666666666666666</v>
      </c>
      <c r="X271" s="7">
        <v>0</v>
      </c>
      <c r="Y271" s="8">
        <v>0</v>
      </c>
      <c r="Z271" s="7">
        <v>0</v>
      </c>
      <c r="AA271" s="8">
        <v>0</v>
      </c>
      <c r="AB271" s="8">
        <v>0.1</v>
      </c>
    </row>
    <row r="272" spans="1:28" x14ac:dyDescent="0.25">
      <c r="A272">
        <v>2026</v>
      </c>
      <c r="B272" t="s">
        <v>54</v>
      </c>
      <c r="C272" t="s">
        <v>60</v>
      </c>
      <c r="D272" t="s">
        <v>61</v>
      </c>
      <c r="G272" t="s">
        <v>63</v>
      </c>
      <c r="H272" t="s">
        <v>63</v>
      </c>
      <c r="I272" t="s">
        <v>65</v>
      </c>
      <c r="J272" t="s">
        <v>66</v>
      </c>
      <c r="K272" t="s">
        <v>33</v>
      </c>
      <c r="L272">
        <v>28800</v>
      </c>
      <c r="M272" s="7">
        <v>28800</v>
      </c>
      <c r="O272" s="7">
        <f>V272</f>
        <v>34560</v>
      </c>
      <c r="P272" s="7">
        <v>0</v>
      </c>
      <c r="Q272" s="8">
        <v>0</v>
      </c>
      <c r="R272" s="7">
        <v>0</v>
      </c>
      <c r="S272" s="9">
        <v>0</v>
      </c>
      <c r="T272" s="7">
        <f>IF(C272="Mediana Complejidad",M272,0)</f>
        <v>28800</v>
      </c>
      <c r="U272" s="8">
        <v>0.2</v>
      </c>
      <c r="V272" s="7">
        <f>T272+(U272*T272)</f>
        <v>34560</v>
      </c>
      <c r="W272" s="10">
        <f>IFERROR(((V272-T272)/V272),0)</f>
        <v>0.16666666666666666</v>
      </c>
      <c r="X272" s="7">
        <v>0</v>
      </c>
      <c r="Y272" s="8">
        <v>0</v>
      </c>
      <c r="Z272" s="7">
        <v>0</v>
      </c>
      <c r="AA272" s="8">
        <v>0</v>
      </c>
      <c r="AB272" s="8">
        <v>0.1</v>
      </c>
    </row>
    <row r="273" spans="1:28" x14ac:dyDescent="0.25">
      <c r="A273">
        <v>2026</v>
      </c>
      <c r="B273" t="s">
        <v>54</v>
      </c>
      <c r="C273" t="s">
        <v>60</v>
      </c>
      <c r="D273" t="s">
        <v>61</v>
      </c>
      <c r="G273" t="s">
        <v>63</v>
      </c>
      <c r="H273" t="s">
        <v>63</v>
      </c>
      <c r="I273" t="s">
        <v>67</v>
      </c>
      <c r="J273" t="s">
        <v>66</v>
      </c>
      <c r="K273" t="s">
        <v>33</v>
      </c>
      <c r="L273">
        <v>36700</v>
      </c>
      <c r="M273" s="7">
        <v>36700</v>
      </c>
      <c r="O273" s="7">
        <f t="shared" ref="O273:O286" si="29">V273</f>
        <v>44040</v>
      </c>
      <c r="P273" s="7">
        <v>0</v>
      </c>
      <c r="Q273" s="8">
        <v>0</v>
      </c>
      <c r="R273" s="7">
        <v>0</v>
      </c>
      <c r="S273" s="9">
        <v>0</v>
      </c>
      <c r="T273" s="7">
        <f>IF(C273="Mediana Complejidad",M273,0)</f>
        <v>36700</v>
      </c>
      <c r="U273" s="8">
        <v>0.2</v>
      </c>
      <c r="V273" s="7">
        <f t="shared" ref="V273:V286" si="30">T273+(U273*T273)</f>
        <v>44040</v>
      </c>
      <c r="W273" s="10">
        <f>IFERROR(((V273-T273)/V273),0)</f>
        <v>0.16666666666666666</v>
      </c>
      <c r="X273" s="7">
        <v>0</v>
      </c>
      <c r="Y273" s="8">
        <v>0</v>
      </c>
      <c r="Z273" s="7">
        <v>0</v>
      </c>
      <c r="AA273" s="8">
        <v>0</v>
      </c>
      <c r="AB273" s="8">
        <v>0.1</v>
      </c>
    </row>
    <row r="274" spans="1:28" x14ac:dyDescent="0.25">
      <c r="A274">
        <v>2026</v>
      </c>
      <c r="B274" t="s">
        <v>54</v>
      </c>
      <c r="C274" t="s">
        <v>60</v>
      </c>
      <c r="D274" t="s">
        <v>61</v>
      </c>
      <c r="G274" t="s">
        <v>63</v>
      </c>
      <c r="H274" t="s">
        <v>63</v>
      </c>
      <c r="I274" t="s">
        <v>68</v>
      </c>
      <c r="J274" t="s">
        <v>69</v>
      </c>
      <c r="K274" t="s">
        <v>33</v>
      </c>
      <c r="L274">
        <v>28000</v>
      </c>
      <c r="M274" s="7">
        <v>28000</v>
      </c>
      <c r="O274" s="7">
        <f t="shared" si="29"/>
        <v>33600</v>
      </c>
      <c r="P274" s="7">
        <v>0</v>
      </c>
      <c r="Q274" s="8">
        <v>0</v>
      </c>
      <c r="R274" s="7">
        <v>0</v>
      </c>
      <c r="S274" s="9">
        <v>0</v>
      </c>
      <c r="T274" s="7">
        <f>IF(C274="Mediana Complejidad",M274,0)</f>
        <v>28000</v>
      </c>
      <c r="U274" s="8">
        <v>0.2</v>
      </c>
      <c r="V274" s="7">
        <f t="shared" si="30"/>
        <v>33600</v>
      </c>
      <c r="W274" s="10">
        <f>IFERROR(((V274-T274)/V274),0)</f>
        <v>0.16666666666666666</v>
      </c>
      <c r="X274" s="7">
        <v>0</v>
      </c>
      <c r="Y274" s="8">
        <v>0</v>
      </c>
      <c r="Z274" s="7">
        <v>0</v>
      </c>
      <c r="AA274" s="8">
        <v>0</v>
      </c>
      <c r="AB274" s="8">
        <v>0.1</v>
      </c>
    </row>
    <row r="275" spans="1:28" x14ac:dyDescent="0.25">
      <c r="A275">
        <v>2026</v>
      </c>
      <c r="B275" t="s">
        <v>54</v>
      </c>
      <c r="C275" t="s">
        <v>60</v>
      </c>
      <c r="D275" t="s">
        <v>61</v>
      </c>
      <c r="G275" t="s">
        <v>63</v>
      </c>
      <c r="H275" t="s">
        <v>63</v>
      </c>
      <c r="I275" t="s">
        <v>70</v>
      </c>
      <c r="J275" t="s">
        <v>69</v>
      </c>
      <c r="K275" t="s">
        <v>33</v>
      </c>
      <c r="L275">
        <v>36700</v>
      </c>
      <c r="M275" s="7">
        <v>36700</v>
      </c>
      <c r="O275" s="7">
        <f t="shared" si="29"/>
        <v>44040</v>
      </c>
      <c r="P275" s="7">
        <v>0</v>
      </c>
      <c r="Q275" s="8">
        <v>0</v>
      </c>
      <c r="R275" s="7">
        <v>0</v>
      </c>
      <c r="S275" s="9">
        <v>0</v>
      </c>
      <c r="T275" s="7">
        <f>IF(C275="Mediana Complejidad",M275,0)</f>
        <v>36700</v>
      </c>
      <c r="U275" s="8">
        <v>0.2</v>
      </c>
      <c r="V275" s="7">
        <f t="shared" si="30"/>
        <v>44040</v>
      </c>
      <c r="W275" s="10">
        <f>IFERROR(((V275-T275)/V275),0)</f>
        <v>0.16666666666666666</v>
      </c>
      <c r="X275" s="7">
        <v>0</v>
      </c>
      <c r="Y275" s="8">
        <v>0</v>
      </c>
      <c r="Z275" s="7">
        <v>0</v>
      </c>
      <c r="AA275" s="8">
        <v>0</v>
      </c>
      <c r="AB275" s="8">
        <v>0.1</v>
      </c>
    </row>
    <row r="276" spans="1:28" x14ac:dyDescent="0.25">
      <c r="A276">
        <v>2026</v>
      </c>
      <c r="B276" t="s">
        <v>54</v>
      </c>
      <c r="C276" t="s">
        <v>60</v>
      </c>
      <c r="D276" t="s">
        <v>61</v>
      </c>
      <c r="G276" t="s">
        <v>63</v>
      </c>
      <c r="H276" t="s">
        <v>63</v>
      </c>
      <c r="I276" t="s">
        <v>71</v>
      </c>
      <c r="J276" t="s">
        <v>69</v>
      </c>
      <c r="K276" t="s">
        <v>33</v>
      </c>
      <c r="L276">
        <v>21900</v>
      </c>
      <c r="M276" s="7">
        <v>21900</v>
      </c>
      <c r="O276" s="7">
        <f t="shared" si="29"/>
        <v>26280</v>
      </c>
      <c r="P276" s="7">
        <v>0</v>
      </c>
      <c r="Q276" s="8">
        <v>0</v>
      </c>
      <c r="R276" s="7">
        <v>0</v>
      </c>
      <c r="S276" s="9">
        <v>0</v>
      </c>
      <c r="T276" s="7">
        <f>IF(C276="Mediana Complejidad",M276,0)</f>
        <v>21900</v>
      </c>
      <c r="U276" s="8">
        <v>0.2</v>
      </c>
      <c r="V276" s="7">
        <f t="shared" si="30"/>
        <v>26280</v>
      </c>
      <c r="W276" s="10">
        <f>IFERROR(((V276-T276)/V276),0)</f>
        <v>0.16666666666666666</v>
      </c>
      <c r="X276" s="7">
        <v>0</v>
      </c>
      <c r="Y276" s="8">
        <v>0</v>
      </c>
      <c r="Z276" s="7">
        <v>0</v>
      </c>
      <c r="AA276" s="8">
        <v>0</v>
      </c>
      <c r="AB276" s="8">
        <v>0.1</v>
      </c>
    </row>
    <row r="277" spans="1:28" x14ac:dyDescent="0.25">
      <c r="A277">
        <v>2026</v>
      </c>
      <c r="B277" t="s">
        <v>54</v>
      </c>
      <c r="C277" t="s">
        <v>60</v>
      </c>
      <c r="D277" t="s">
        <v>61</v>
      </c>
      <c r="G277" t="s">
        <v>63</v>
      </c>
      <c r="H277" t="s">
        <v>63</v>
      </c>
      <c r="I277" t="s">
        <v>72</v>
      </c>
      <c r="J277" t="s">
        <v>69</v>
      </c>
      <c r="K277" t="s">
        <v>33</v>
      </c>
      <c r="L277">
        <v>114900</v>
      </c>
      <c r="M277" s="7">
        <v>114900</v>
      </c>
      <c r="O277" s="7">
        <f t="shared" si="29"/>
        <v>137880</v>
      </c>
      <c r="P277" s="7">
        <v>0</v>
      </c>
      <c r="Q277" s="8">
        <v>0</v>
      </c>
      <c r="R277" s="7">
        <v>0</v>
      </c>
      <c r="S277" s="9">
        <v>0</v>
      </c>
      <c r="T277" s="7">
        <f>IF(C277="Mediana Complejidad",M277,0)</f>
        <v>114900</v>
      </c>
      <c r="U277" s="8">
        <v>0.2</v>
      </c>
      <c r="V277" s="7">
        <f t="shared" si="30"/>
        <v>137880</v>
      </c>
      <c r="W277" s="10">
        <f>IFERROR(((V277-T277)/V277),0)</f>
        <v>0.16666666666666666</v>
      </c>
      <c r="X277" s="7">
        <v>0</v>
      </c>
      <c r="Y277" s="8">
        <v>0</v>
      </c>
      <c r="Z277" s="7">
        <v>0</v>
      </c>
      <c r="AA277" s="8">
        <v>0</v>
      </c>
      <c r="AB277" s="8">
        <v>0.1</v>
      </c>
    </row>
    <row r="278" spans="1:28" x14ac:dyDescent="0.25">
      <c r="A278">
        <v>2026</v>
      </c>
      <c r="B278" t="s">
        <v>54</v>
      </c>
      <c r="C278" t="s">
        <v>60</v>
      </c>
      <c r="D278" t="s">
        <v>61</v>
      </c>
      <c r="G278" t="s">
        <v>63</v>
      </c>
      <c r="H278" t="s">
        <v>63</v>
      </c>
      <c r="I278" t="s">
        <v>73</v>
      </c>
      <c r="J278" t="s">
        <v>69</v>
      </c>
      <c r="K278" t="s">
        <v>33</v>
      </c>
      <c r="L278">
        <v>28000</v>
      </c>
      <c r="M278" s="7">
        <v>28000</v>
      </c>
      <c r="O278" s="7">
        <f t="shared" si="29"/>
        <v>33600</v>
      </c>
      <c r="P278" s="7">
        <v>0</v>
      </c>
      <c r="Q278" s="8">
        <v>0</v>
      </c>
      <c r="R278" s="7">
        <v>0</v>
      </c>
      <c r="S278" s="9">
        <v>0</v>
      </c>
      <c r="T278" s="7">
        <f>IF(C278="Mediana Complejidad",M278,0)</f>
        <v>28000</v>
      </c>
      <c r="U278" s="8">
        <v>0.2</v>
      </c>
      <c r="V278" s="7">
        <f t="shared" si="30"/>
        <v>33600</v>
      </c>
      <c r="W278" s="10">
        <f>IFERROR(((V278-T278)/V278),0)</f>
        <v>0.16666666666666666</v>
      </c>
      <c r="X278" s="7">
        <v>0</v>
      </c>
      <c r="Y278" s="8">
        <v>0</v>
      </c>
      <c r="Z278" s="7">
        <v>0</v>
      </c>
      <c r="AA278" s="8">
        <v>0</v>
      </c>
      <c r="AB278" s="8">
        <v>0.1</v>
      </c>
    </row>
    <row r="279" spans="1:28" x14ac:dyDescent="0.25">
      <c r="A279">
        <v>2026</v>
      </c>
      <c r="B279" t="s">
        <v>54</v>
      </c>
      <c r="C279" t="s">
        <v>60</v>
      </c>
      <c r="D279" t="s">
        <v>61</v>
      </c>
      <c r="G279" t="s">
        <v>63</v>
      </c>
      <c r="H279" t="s">
        <v>63</v>
      </c>
      <c r="I279" t="s">
        <v>74</v>
      </c>
      <c r="J279" t="s">
        <v>69</v>
      </c>
      <c r="K279" t="s">
        <v>33</v>
      </c>
      <c r="L279">
        <v>49200</v>
      </c>
      <c r="M279" s="7">
        <v>49200</v>
      </c>
      <c r="O279" s="7">
        <f t="shared" si="29"/>
        <v>59040</v>
      </c>
      <c r="P279" s="7">
        <v>0</v>
      </c>
      <c r="Q279" s="8">
        <v>0</v>
      </c>
      <c r="R279" s="7">
        <v>0</v>
      </c>
      <c r="S279" s="9">
        <v>0</v>
      </c>
      <c r="T279" s="7">
        <f>IF(C279="Mediana Complejidad",M279,0)</f>
        <v>49200</v>
      </c>
      <c r="U279" s="8">
        <v>0.2</v>
      </c>
      <c r="V279" s="7">
        <f t="shared" si="30"/>
        <v>59040</v>
      </c>
      <c r="W279" s="10">
        <f>IFERROR(((V279-T279)/V279),0)</f>
        <v>0.16666666666666666</v>
      </c>
      <c r="X279" s="7">
        <v>0</v>
      </c>
      <c r="Y279" s="8">
        <v>0</v>
      </c>
      <c r="Z279" s="7">
        <v>0</v>
      </c>
      <c r="AA279" s="8">
        <v>0</v>
      </c>
      <c r="AB279" s="8">
        <v>0.1</v>
      </c>
    </row>
    <row r="280" spans="1:28" x14ac:dyDescent="0.25">
      <c r="A280">
        <v>2026</v>
      </c>
      <c r="B280" t="s">
        <v>54</v>
      </c>
      <c r="C280" t="s">
        <v>60</v>
      </c>
      <c r="D280" t="s">
        <v>61</v>
      </c>
      <c r="G280" t="s">
        <v>63</v>
      </c>
      <c r="H280" t="s">
        <v>63</v>
      </c>
      <c r="I280" t="s">
        <v>75</v>
      </c>
      <c r="J280" t="s">
        <v>69</v>
      </c>
      <c r="K280" t="s">
        <v>33</v>
      </c>
      <c r="L280">
        <v>141600</v>
      </c>
      <c r="M280" s="7">
        <v>141600</v>
      </c>
      <c r="O280" s="7">
        <f t="shared" si="29"/>
        <v>169920</v>
      </c>
      <c r="P280" s="7">
        <v>0</v>
      </c>
      <c r="Q280" s="8">
        <v>0</v>
      </c>
      <c r="R280" s="7">
        <v>0</v>
      </c>
      <c r="S280" s="9">
        <v>0</v>
      </c>
      <c r="T280" s="7">
        <f>IF(C280="Mediana Complejidad",M280,0)</f>
        <v>141600</v>
      </c>
      <c r="U280" s="8">
        <v>0.2</v>
      </c>
      <c r="V280" s="7">
        <f t="shared" si="30"/>
        <v>169920</v>
      </c>
      <c r="W280" s="10">
        <f>IFERROR(((V280-T280)/V280),0)</f>
        <v>0.16666666666666666</v>
      </c>
      <c r="X280" s="7">
        <v>0</v>
      </c>
      <c r="Y280" s="8">
        <v>0</v>
      </c>
      <c r="Z280" s="7">
        <v>0</v>
      </c>
      <c r="AA280" s="8">
        <v>0</v>
      </c>
      <c r="AB280" s="8">
        <v>0.1</v>
      </c>
    </row>
    <row r="281" spans="1:28" x14ac:dyDescent="0.25">
      <c r="A281">
        <v>2026</v>
      </c>
      <c r="B281" t="s">
        <v>54</v>
      </c>
      <c r="C281" t="s">
        <v>60</v>
      </c>
      <c r="D281" t="s">
        <v>61</v>
      </c>
      <c r="G281" t="s">
        <v>63</v>
      </c>
      <c r="H281" t="s">
        <v>63</v>
      </c>
      <c r="I281" t="s">
        <v>76</v>
      </c>
      <c r="J281" t="s">
        <v>69</v>
      </c>
      <c r="K281" t="s">
        <v>33</v>
      </c>
      <c r="L281">
        <v>174700</v>
      </c>
      <c r="M281" s="7">
        <v>174700</v>
      </c>
      <c r="O281" s="7">
        <f t="shared" si="29"/>
        <v>209640</v>
      </c>
      <c r="P281" s="7">
        <v>0</v>
      </c>
      <c r="Q281" s="8">
        <v>0</v>
      </c>
      <c r="R281" s="7">
        <v>0</v>
      </c>
      <c r="S281" s="9">
        <v>0</v>
      </c>
      <c r="T281" s="7">
        <f>IF(C281="Mediana Complejidad",M281,0)</f>
        <v>174700</v>
      </c>
      <c r="U281" s="8">
        <v>0.2</v>
      </c>
      <c r="V281" s="7">
        <f t="shared" si="30"/>
        <v>209640</v>
      </c>
      <c r="W281" s="10">
        <f>IFERROR(((V281-T281)/V281),0)</f>
        <v>0.16666666666666666</v>
      </c>
      <c r="X281" s="7">
        <v>0</v>
      </c>
      <c r="Y281" s="8">
        <v>0</v>
      </c>
      <c r="Z281" s="7">
        <v>0</v>
      </c>
      <c r="AA281" s="8">
        <v>0</v>
      </c>
      <c r="AB281" s="8">
        <v>0.1</v>
      </c>
    </row>
    <row r="282" spans="1:28" x14ac:dyDescent="0.25">
      <c r="A282">
        <v>2026</v>
      </c>
      <c r="B282" t="s">
        <v>54</v>
      </c>
      <c r="C282" t="s">
        <v>60</v>
      </c>
      <c r="D282" t="s">
        <v>61</v>
      </c>
      <c r="G282" t="s">
        <v>63</v>
      </c>
      <c r="H282" t="s">
        <v>63</v>
      </c>
      <c r="I282" t="s">
        <v>77</v>
      </c>
      <c r="J282" t="s">
        <v>69</v>
      </c>
      <c r="K282" t="s">
        <v>33</v>
      </c>
      <c r="L282">
        <v>204000</v>
      </c>
      <c r="M282" s="7">
        <v>204000</v>
      </c>
      <c r="O282" s="7">
        <f t="shared" si="29"/>
        <v>244800</v>
      </c>
      <c r="P282" s="7">
        <v>0</v>
      </c>
      <c r="Q282" s="8">
        <v>0</v>
      </c>
      <c r="R282" s="7">
        <v>0</v>
      </c>
      <c r="S282" s="9">
        <v>0</v>
      </c>
      <c r="T282" s="7">
        <f>IF(C282="Mediana Complejidad",M282,0)</f>
        <v>204000</v>
      </c>
      <c r="U282" s="8">
        <v>0.2</v>
      </c>
      <c r="V282" s="7">
        <f t="shared" si="30"/>
        <v>244800</v>
      </c>
      <c r="W282" s="10">
        <f>IFERROR(((V282-T282)/V282),0)</f>
        <v>0.16666666666666666</v>
      </c>
      <c r="X282" s="7">
        <v>0</v>
      </c>
      <c r="Y282" s="8">
        <v>0</v>
      </c>
      <c r="Z282" s="7">
        <v>0</v>
      </c>
      <c r="AA282" s="8">
        <v>0</v>
      </c>
      <c r="AB282" s="8">
        <v>0.1</v>
      </c>
    </row>
    <row r="283" spans="1:28" x14ac:dyDescent="0.25">
      <c r="A283">
        <v>2026</v>
      </c>
      <c r="B283" t="s">
        <v>54</v>
      </c>
      <c r="C283" t="s">
        <v>60</v>
      </c>
      <c r="D283" t="s">
        <v>61</v>
      </c>
      <c r="G283" t="s">
        <v>63</v>
      </c>
      <c r="H283" t="s">
        <v>63</v>
      </c>
      <c r="I283" t="s">
        <v>78</v>
      </c>
      <c r="J283" t="s">
        <v>69</v>
      </c>
      <c r="K283" t="s">
        <v>33</v>
      </c>
      <c r="L283">
        <v>49000</v>
      </c>
      <c r="M283" s="7">
        <v>49000</v>
      </c>
      <c r="O283" s="7">
        <f t="shared" si="29"/>
        <v>58800</v>
      </c>
      <c r="P283" s="7">
        <v>0</v>
      </c>
      <c r="Q283" s="8">
        <v>0</v>
      </c>
      <c r="R283" s="7">
        <v>0</v>
      </c>
      <c r="S283" s="9">
        <v>0</v>
      </c>
      <c r="T283" s="7">
        <f>IF(C283="Mediana Complejidad",M283,0)</f>
        <v>49000</v>
      </c>
      <c r="U283" s="8">
        <v>0.2</v>
      </c>
      <c r="V283" s="7">
        <f t="shared" si="30"/>
        <v>58800</v>
      </c>
      <c r="W283" s="10">
        <f>IFERROR(((V283-T283)/V283),0)</f>
        <v>0.16666666666666666</v>
      </c>
      <c r="X283" s="7">
        <v>0</v>
      </c>
      <c r="Y283" s="8">
        <v>0</v>
      </c>
      <c r="Z283" s="7">
        <v>0</v>
      </c>
      <c r="AA283" s="8">
        <v>0</v>
      </c>
      <c r="AB283" s="8">
        <v>0.1</v>
      </c>
    </row>
    <row r="284" spans="1:28" x14ac:dyDescent="0.25">
      <c r="A284">
        <v>2026</v>
      </c>
      <c r="B284" t="s">
        <v>54</v>
      </c>
      <c r="C284" t="s">
        <v>60</v>
      </c>
      <c r="D284" t="s">
        <v>61</v>
      </c>
      <c r="G284" t="s">
        <v>63</v>
      </c>
      <c r="H284" t="s">
        <v>63</v>
      </c>
      <c r="I284" t="s">
        <v>79</v>
      </c>
      <c r="J284" t="s">
        <v>66</v>
      </c>
      <c r="K284" t="s">
        <v>33</v>
      </c>
      <c r="L284">
        <v>224100</v>
      </c>
      <c r="M284" s="7">
        <v>224100</v>
      </c>
      <c r="O284" s="7">
        <f t="shared" si="29"/>
        <v>268920</v>
      </c>
      <c r="P284" s="7">
        <v>0</v>
      </c>
      <c r="Q284" s="8">
        <v>0</v>
      </c>
      <c r="R284" s="7">
        <v>0</v>
      </c>
      <c r="S284" s="9">
        <v>0</v>
      </c>
      <c r="T284" s="7">
        <f>IF(C284="Mediana Complejidad",M284,0)</f>
        <v>224100</v>
      </c>
      <c r="U284" s="8">
        <v>0.2</v>
      </c>
      <c r="V284" s="7">
        <f t="shared" si="30"/>
        <v>268920</v>
      </c>
      <c r="W284" s="10">
        <f>IFERROR(((V284-T284)/V284),0)</f>
        <v>0.16666666666666666</v>
      </c>
      <c r="X284" s="7">
        <v>0</v>
      </c>
      <c r="Y284" s="8">
        <v>0</v>
      </c>
      <c r="Z284" s="7">
        <v>0</v>
      </c>
      <c r="AA284" s="8">
        <v>0</v>
      </c>
      <c r="AB284" s="8">
        <v>0.1</v>
      </c>
    </row>
    <row r="285" spans="1:28" x14ac:dyDescent="0.25">
      <c r="A285">
        <v>2026</v>
      </c>
      <c r="B285" t="s">
        <v>54</v>
      </c>
      <c r="C285" t="s">
        <v>60</v>
      </c>
      <c r="D285" t="s">
        <v>61</v>
      </c>
      <c r="G285" t="s">
        <v>63</v>
      </c>
      <c r="H285" t="s">
        <v>63</v>
      </c>
      <c r="I285" t="s">
        <v>80</v>
      </c>
      <c r="J285" t="s">
        <v>66</v>
      </c>
      <c r="K285" t="s">
        <v>33</v>
      </c>
      <c r="L285">
        <v>38000</v>
      </c>
      <c r="M285" s="7">
        <v>38000</v>
      </c>
      <c r="O285" s="7">
        <f t="shared" si="29"/>
        <v>45600</v>
      </c>
      <c r="P285" s="7">
        <v>0</v>
      </c>
      <c r="Q285" s="8">
        <v>0</v>
      </c>
      <c r="R285" s="7">
        <v>0</v>
      </c>
      <c r="S285" s="9">
        <v>0</v>
      </c>
      <c r="T285" s="7">
        <f>IF(C285="Mediana Complejidad",M285,0)</f>
        <v>38000</v>
      </c>
      <c r="U285" s="8">
        <v>0.2</v>
      </c>
      <c r="V285" s="7">
        <f t="shared" si="30"/>
        <v>45600</v>
      </c>
      <c r="W285" s="10">
        <f>IFERROR(((V285-T285)/V285),0)</f>
        <v>0.16666666666666666</v>
      </c>
      <c r="X285" s="7">
        <v>0</v>
      </c>
      <c r="Y285" s="8">
        <v>0</v>
      </c>
      <c r="Z285" s="7">
        <v>0</v>
      </c>
      <c r="AA285" s="8">
        <v>0</v>
      </c>
      <c r="AB285" s="8">
        <v>0.1</v>
      </c>
    </row>
    <row r="286" spans="1:28" x14ac:dyDescent="0.25">
      <c r="A286">
        <v>2026</v>
      </c>
      <c r="B286" t="s">
        <v>54</v>
      </c>
      <c r="C286" t="s">
        <v>60</v>
      </c>
      <c r="D286" t="s">
        <v>61</v>
      </c>
      <c r="G286" t="s">
        <v>63</v>
      </c>
      <c r="H286" t="s">
        <v>63</v>
      </c>
      <c r="I286" t="s">
        <v>81</v>
      </c>
      <c r="J286" t="s">
        <v>66</v>
      </c>
      <c r="K286" t="s">
        <v>33</v>
      </c>
      <c r="L286">
        <v>39800</v>
      </c>
      <c r="M286" s="7">
        <v>39800</v>
      </c>
      <c r="O286" s="7">
        <f t="shared" si="29"/>
        <v>47760</v>
      </c>
      <c r="P286" s="7">
        <v>0</v>
      </c>
      <c r="Q286" s="8">
        <v>0</v>
      </c>
      <c r="R286" s="7">
        <v>0</v>
      </c>
      <c r="S286" s="9">
        <v>0</v>
      </c>
      <c r="T286" s="7">
        <f>IF(C286="Mediana Complejidad",M286,0)</f>
        <v>39800</v>
      </c>
      <c r="U286" s="8">
        <v>0.2</v>
      </c>
      <c r="V286" s="7">
        <f t="shared" si="30"/>
        <v>47760</v>
      </c>
      <c r="W286" s="10">
        <f>IFERROR(((V286-T286)/V286),0)</f>
        <v>0.16666666666666666</v>
      </c>
      <c r="X286" s="7">
        <v>0</v>
      </c>
      <c r="Y286" s="8">
        <v>0</v>
      </c>
      <c r="Z286" s="7">
        <v>0</v>
      </c>
      <c r="AA286" s="8">
        <v>0</v>
      </c>
      <c r="AB286" s="8">
        <v>0.1</v>
      </c>
    </row>
    <row r="287" spans="1:28" x14ac:dyDescent="0.25">
      <c r="A287">
        <v>2026</v>
      </c>
      <c r="B287" t="s">
        <v>55</v>
      </c>
      <c r="C287" t="s">
        <v>60</v>
      </c>
      <c r="D287" t="s">
        <v>61</v>
      </c>
      <c r="G287" t="s">
        <v>63</v>
      </c>
      <c r="H287" t="s">
        <v>63</v>
      </c>
      <c r="I287" t="s">
        <v>65</v>
      </c>
      <c r="J287" t="s">
        <v>66</v>
      </c>
      <c r="K287" t="s">
        <v>33</v>
      </c>
      <c r="L287">
        <v>28800</v>
      </c>
      <c r="M287" s="7">
        <v>28800</v>
      </c>
      <c r="O287" s="7">
        <f>V287</f>
        <v>34560</v>
      </c>
      <c r="P287" s="7">
        <v>0</v>
      </c>
      <c r="Q287" s="8">
        <v>0</v>
      </c>
      <c r="R287" s="7">
        <v>0</v>
      </c>
      <c r="S287" s="9">
        <v>0</v>
      </c>
      <c r="T287" s="7">
        <f>IF(C287="Mediana Complejidad",M287,0)</f>
        <v>28800</v>
      </c>
      <c r="U287" s="8">
        <v>0.2</v>
      </c>
      <c r="V287" s="7">
        <f>T287+(U287*T287)</f>
        <v>34560</v>
      </c>
      <c r="W287" s="10">
        <f>IFERROR(((V287-T287)/V287),0)</f>
        <v>0.16666666666666666</v>
      </c>
      <c r="X287" s="7">
        <v>0</v>
      </c>
      <c r="Y287" s="8">
        <v>0</v>
      </c>
      <c r="Z287" s="7">
        <v>0</v>
      </c>
      <c r="AA287" s="8">
        <v>0</v>
      </c>
      <c r="AB287" s="8">
        <v>0.1</v>
      </c>
    </row>
    <row r="288" spans="1:28" x14ac:dyDescent="0.25">
      <c r="A288">
        <v>2026</v>
      </c>
      <c r="B288" t="s">
        <v>55</v>
      </c>
      <c r="C288" t="s">
        <v>60</v>
      </c>
      <c r="D288" t="s">
        <v>61</v>
      </c>
      <c r="G288" t="s">
        <v>63</v>
      </c>
      <c r="H288" t="s">
        <v>63</v>
      </c>
      <c r="I288" t="s">
        <v>67</v>
      </c>
      <c r="J288" t="s">
        <v>66</v>
      </c>
      <c r="K288" t="s">
        <v>33</v>
      </c>
      <c r="L288">
        <v>36700</v>
      </c>
      <c r="M288" s="7">
        <v>36700</v>
      </c>
      <c r="O288" s="7">
        <f t="shared" ref="O288:O301" si="31">V288</f>
        <v>44040</v>
      </c>
      <c r="P288" s="7">
        <v>0</v>
      </c>
      <c r="Q288" s="8">
        <v>0</v>
      </c>
      <c r="R288" s="7">
        <v>0</v>
      </c>
      <c r="S288" s="9">
        <v>0</v>
      </c>
      <c r="T288" s="7">
        <f>IF(C288="Mediana Complejidad",M288,0)</f>
        <v>36700</v>
      </c>
      <c r="U288" s="8">
        <v>0.2</v>
      </c>
      <c r="V288" s="7">
        <f t="shared" ref="V288:V301" si="32">T288+(U288*T288)</f>
        <v>44040</v>
      </c>
      <c r="W288" s="10">
        <f>IFERROR(((V288-T288)/V288),0)</f>
        <v>0.16666666666666666</v>
      </c>
      <c r="X288" s="7">
        <v>0</v>
      </c>
      <c r="Y288" s="8">
        <v>0</v>
      </c>
      <c r="Z288" s="7">
        <v>0</v>
      </c>
      <c r="AA288" s="8">
        <v>0</v>
      </c>
      <c r="AB288" s="8">
        <v>0.1</v>
      </c>
    </row>
    <row r="289" spans="1:28" x14ac:dyDescent="0.25">
      <c r="A289">
        <v>2026</v>
      </c>
      <c r="B289" t="s">
        <v>55</v>
      </c>
      <c r="C289" t="s">
        <v>60</v>
      </c>
      <c r="D289" t="s">
        <v>61</v>
      </c>
      <c r="G289" t="s">
        <v>63</v>
      </c>
      <c r="H289" t="s">
        <v>63</v>
      </c>
      <c r="I289" t="s">
        <v>68</v>
      </c>
      <c r="J289" t="s">
        <v>69</v>
      </c>
      <c r="K289" t="s">
        <v>33</v>
      </c>
      <c r="L289">
        <v>28000</v>
      </c>
      <c r="M289" s="7">
        <v>28000</v>
      </c>
      <c r="O289" s="7">
        <f t="shared" si="31"/>
        <v>33600</v>
      </c>
      <c r="P289" s="7">
        <v>0</v>
      </c>
      <c r="Q289" s="8">
        <v>0</v>
      </c>
      <c r="R289" s="7">
        <v>0</v>
      </c>
      <c r="S289" s="9">
        <v>0</v>
      </c>
      <c r="T289" s="7">
        <f>IF(C289="Mediana Complejidad",M289,0)</f>
        <v>28000</v>
      </c>
      <c r="U289" s="8">
        <v>0.2</v>
      </c>
      <c r="V289" s="7">
        <f t="shared" si="32"/>
        <v>33600</v>
      </c>
      <c r="W289" s="10">
        <f>IFERROR(((V289-T289)/V289),0)</f>
        <v>0.16666666666666666</v>
      </c>
      <c r="X289" s="7">
        <v>0</v>
      </c>
      <c r="Y289" s="8">
        <v>0</v>
      </c>
      <c r="Z289" s="7">
        <v>0</v>
      </c>
      <c r="AA289" s="8">
        <v>0</v>
      </c>
      <c r="AB289" s="8">
        <v>0.1</v>
      </c>
    </row>
    <row r="290" spans="1:28" x14ac:dyDescent="0.25">
      <c r="A290">
        <v>2026</v>
      </c>
      <c r="B290" t="s">
        <v>55</v>
      </c>
      <c r="C290" t="s">
        <v>60</v>
      </c>
      <c r="D290" t="s">
        <v>61</v>
      </c>
      <c r="G290" t="s">
        <v>63</v>
      </c>
      <c r="H290" t="s">
        <v>63</v>
      </c>
      <c r="I290" t="s">
        <v>70</v>
      </c>
      <c r="J290" t="s">
        <v>69</v>
      </c>
      <c r="K290" t="s">
        <v>33</v>
      </c>
      <c r="L290">
        <v>36700</v>
      </c>
      <c r="M290" s="7">
        <v>36700</v>
      </c>
      <c r="O290" s="7">
        <f t="shared" si="31"/>
        <v>44040</v>
      </c>
      <c r="P290" s="7">
        <v>0</v>
      </c>
      <c r="Q290" s="8">
        <v>0</v>
      </c>
      <c r="R290" s="7">
        <v>0</v>
      </c>
      <c r="S290" s="9">
        <v>0</v>
      </c>
      <c r="T290" s="7">
        <f>IF(C290="Mediana Complejidad",M290,0)</f>
        <v>36700</v>
      </c>
      <c r="U290" s="8">
        <v>0.2</v>
      </c>
      <c r="V290" s="7">
        <f t="shared" si="32"/>
        <v>44040</v>
      </c>
      <c r="W290" s="10">
        <f>IFERROR(((V290-T290)/V290),0)</f>
        <v>0.16666666666666666</v>
      </c>
      <c r="X290" s="7">
        <v>0</v>
      </c>
      <c r="Y290" s="8">
        <v>0</v>
      </c>
      <c r="Z290" s="7">
        <v>0</v>
      </c>
      <c r="AA290" s="8">
        <v>0</v>
      </c>
      <c r="AB290" s="8">
        <v>0.1</v>
      </c>
    </row>
    <row r="291" spans="1:28" x14ac:dyDescent="0.25">
      <c r="A291">
        <v>2026</v>
      </c>
      <c r="B291" t="s">
        <v>55</v>
      </c>
      <c r="C291" t="s">
        <v>60</v>
      </c>
      <c r="D291" t="s">
        <v>61</v>
      </c>
      <c r="G291" t="s">
        <v>63</v>
      </c>
      <c r="H291" t="s">
        <v>63</v>
      </c>
      <c r="I291" t="s">
        <v>71</v>
      </c>
      <c r="J291" t="s">
        <v>69</v>
      </c>
      <c r="K291" t="s">
        <v>33</v>
      </c>
      <c r="L291">
        <v>21900</v>
      </c>
      <c r="M291" s="7">
        <v>21900</v>
      </c>
      <c r="O291" s="7">
        <f t="shared" si="31"/>
        <v>26280</v>
      </c>
      <c r="P291" s="7">
        <v>0</v>
      </c>
      <c r="Q291" s="8">
        <v>0</v>
      </c>
      <c r="R291" s="7">
        <v>0</v>
      </c>
      <c r="S291" s="9">
        <v>0</v>
      </c>
      <c r="T291" s="7">
        <f>IF(C291="Mediana Complejidad",M291,0)</f>
        <v>21900</v>
      </c>
      <c r="U291" s="8">
        <v>0.2</v>
      </c>
      <c r="V291" s="7">
        <f t="shared" si="32"/>
        <v>26280</v>
      </c>
      <c r="W291" s="10">
        <f>IFERROR(((V291-T291)/V291),0)</f>
        <v>0.16666666666666666</v>
      </c>
      <c r="X291" s="7">
        <v>0</v>
      </c>
      <c r="Y291" s="8">
        <v>0</v>
      </c>
      <c r="Z291" s="7">
        <v>0</v>
      </c>
      <c r="AA291" s="8">
        <v>0</v>
      </c>
      <c r="AB291" s="8">
        <v>0.1</v>
      </c>
    </row>
    <row r="292" spans="1:28" x14ac:dyDescent="0.25">
      <c r="A292">
        <v>2026</v>
      </c>
      <c r="B292" t="s">
        <v>55</v>
      </c>
      <c r="C292" t="s">
        <v>60</v>
      </c>
      <c r="D292" t="s">
        <v>61</v>
      </c>
      <c r="G292" t="s">
        <v>63</v>
      </c>
      <c r="H292" t="s">
        <v>63</v>
      </c>
      <c r="I292" t="s">
        <v>72</v>
      </c>
      <c r="J292" t="s">
        <v>69</v>
      </c>
      <c r="K292" t="s">
        <v>33</v>
      </c>
      <c r="L292">
        <v>114900</v>
      </c>
      <c r="M292" s="7">
        <v>114900</v>
      </c>
      <c r="O292" s="7">
        <f t="shared" si="31"/>
        <v>137880</v>
      </c>
      <c r="P292" s="7">
        <v>0</v>
      </c>
      <c r="Q292" s="8">
        <v>0</v>
      </c>
      <c r="R292" s="7">
        <v>0</v>
      </c>
      <c r="S292" s="9">
        <v>0</v>
      </c>
      <c r="T292" s="7">
        <f>IF(C292="Mediana Complejidad",M292,0)</f>
        <v>114900</v>
      </c>
      <c r="U292" s="8">
        <v>0.2</v>
      </c>
      <c r="V292" s="7">
        <f t="shared" si="32"/>
        <v>137880</v>
      </c>
      <c r="W292" s="10">
        <f>IFERROR(((V292-T292)/V292),0)</f>
        <v>0.16666666666666666</v>
      </c>
      <c r="X292" s="7">
        <v>0</v>
      </c>
      <c r="Y292" s="8">
        <v>0</v>
      </c>
      <c r="Z292" s="7">
        <v>0</v>
      </c>
      <c r="AA292" s="8">
        <v>0</v>
      </c>
      <c r="AB292" s="8">
        <v>0.1</v>
      </c>
    </row>
    <row r="293" spans="1:28" x14ac:dyDescent="0.25">
      <c r="A293">
        <v>2026</v>
      </c>
      <c r="B293" t="s">
        <v>55</v>
      </c>
      <c r="C293" t="s">
        <v>60</v>
      </c>
      <c r="D293" t="s">
        <v>61</v>
      </c>
      <c r="G293" t="s">
        <v>63</v>
      </c>
      <c r="H293" t="s">
        <v>63</v>
      </c>
      <c r="I293" t="s">
        <v>73</v>
      </c>
      <c r="J293" t="s">
        <v>69</v>
      </c>
      <c r="K293" t="s">
        <v>33</v>
      </c>
      <c r="L293">
        <v>28000</v>
      </c>
      <c r="M293" s="7">
        <v>28000</v>
      </c>
      <c r="O293" s="7">
        <f t="shared" si="31"/>
        <v>33600</v>
      </c>
      <c r="P293" s="7">
        <v>0</v>
      </c>
      <c r="Q293" s="8">
        <v>0</v>
      </c>
      <c r="R293" s="7">
        <v>0</v>
      </c>
      <c r="S293" s="9">
        <v>0</v>
      </c>
      <c r="T293" s="7">
        <f>IF(C293="Mediana Complejidad",M293,0)</f>
        <v>28000</v>
      </c>
      <c r="U293" s="8">
        <v>0.2</v>
      </c>
      <c r="V293" s="7">
        <f t="shared" si="32"/>
        <v>33600</v>
      </c>
      <c r="W293" s="10">
        <f>IFERROR(((V293-T293)/V293),0)</f>
        <v>0.16666666666666666</v>
      </c>
      <c r="X293" s="7">
        <v>0</v>
      </c>
      <c r="Y293" s="8">
        <v>0</v>
      </c>
      <c r="Z293" s="7">
        <v>0</v>
      </c>
      <c r="AA293" s="8">
        <v>0</v>
      </c>
      <c r="AB293" s="8">
        <v>0.1</v>
      </c>
    </row>
    <row r="294" spans="1:28" x14ac:dyDescent="0.25">
      <c r="A294">
        <v>2026</v>
      </c>
      <c r="B294" t="s">
        <v>55</v>
      </c>
      <c r="C294" t="s">
        <v>60</v>
      </c>
      <c r="D294" t="s">
        <v>61</v>
      </c>
      <c r="G294" t="s">
        <v>63</v>
      </c>
      <c r="H294" t="s">
        <v>63</v>
      </c>
      <c r="I294" t="s">
        <v>74</v>
      </c>
      <c r="J294" t="s">
        <v>69</v>
      </c>
      <c r="K294" t="s">
        <v>33</v>
      </c>
      <c r="L294">
        <v>49200</v>
      </c>
      <c r="M294" s="7">
        <v>49200</v>
      </c>
      <c r="O294" s="7">
        <f t="shared" si="31"/>
        <v>59040</v>
      </c>
      <c r="P294" s="7">
        <v>0</v>
      </c>
      <c r="Q294" s="8">
        <v>0</v>
      </c>
      <c r="R294" s="7">
        <v>0</v>
      </c>
      <c r="S294" s="9">
        <v>0</v>
      </c>
      <c r="T294" s="7">
        <f>IF(C294="Mediana Complejidad",M294,0)</f>
        <v>49200</v>
      </c>
      <c r="U294" s="8">
        <v>0.2</v>
      </c>
      <c r="V294" s="7">
        <f t="shared" si="32"/>
        <v>59040</v>
      </c>
      <c r="W294" s="10">
        <f>IFERROR(((V294-T294)/V294),0)</f>
        <v>0.16666666666666666</v>
      </c>
      <c r="X294" s="7">
        <v>0</v>
      </c>
      <c r="Y294" s="8">
        <v>0</v>
      </c>
      <c r="Z294" s="7">
        <v>0</v>
      </c>
      <c r="AA294" s="8">
        <v>0</v>
      </c>
      <c r="AB294" s="8">
        <v>0.1</v>
      </c>
    </row>
    <row r="295" spans="1:28" x14ac:dyDescent="0.25">
      <c r="A295">
        <v>2026</v>
      </c>
      <c r="B295" t="s">
        <v>55</v>
      </c>
      <c r="C295" t="s">
        <v>60</v>
      </c>
      <c r="D295" t="s">
        <v>61</v>
      </c>
      <c r="G295" t="s">
        <v>63</v>
      </c>
      <c r="H295" t="s">
        <v>63</v>
      </c>
      <c r="I295" t="s">
        <v>75</v>
      </c>
      <c r="J295" t="s">
        <v>69</v>
      </c>
      <c r="K295" t="s">
        <v>33</v>
      </c>
      <c r="L295">
        <v>141600</v>
      </c>
      <c r="M295" s="7">
        <v>141600</v>
      </c>
      <c r="O295" s="7">
        <f t="shared" si="31"/>
        <v>169920</v>
      </c>
      <c r="P295" s="7">
        <v>0</v>
      </c>
      <c r="Q295" s="8">
        <v>0</v>
      </c>
      <c r="R295" s="7">
        <v>0</v>
      </c>
      <c r="S295" s="9">
        <v>0</v>
      </c>
      <c r="T295" s="7">
        <f>IF(C295="Mediana Complejidad",M295,0)</f>
        <v>141600</v>
      </c>
      <c r="U295" s="8">
        <v>0.2</v>
      </c>
      <c r="V295" s="7">
        <f t="shared" si="32"/>
        <v>169920</v>
      </c>
      <c r="W295" s="10">
        <f>IFERROR(((V295-T295)/V295),0)</f>
        <v>0.16666666666666666</v>
      </c>
      <c r="X295" s="7">
        <v>0</v>
      </c>
      <c r="Y295" s="8">
        <v>0</v>
      </c>
      <c r="Z295" s="7">
        <v>0</v>
      </c>
      <c r="AA295" s="8">
        <v>0</v>
      </c>
      <c r="AB295" s="8">
        <v>0.1</v>
      </c>
    </row>
    <row r="296" spans="1:28" x14ac:dyDescent="0.25">
      <c r="A296">
        <v>2026</v>
      </c>
      <c r="B296" t="s">
        <v>55</v>
      </c>
      <c r="C296" t="s">
        <v>60</v>
      </c>
      <c r="D296" t="s">
        <v>61</v>
      </c>
      <c r="G296" t="s">
        <v>63</v>
      </c>
      <c r="H296" t="s">
        <v>63</v>
      </c>
      <c r="I296" t="s">
        <v>76</v>
      </c>
      <c r="J296" t="s">
        <v>69</v>
      </c>
      <c r="K296" t="s">
        <v>33</v>
      </c>
      <c r="L296">
        <v>174700</v>
      </c>
      <c r="M296" s="7">
        <v>174700</v>
      </c>
      <c r="O296" s="7">
        <f t="shared" si="31"/>
        <v>209640</v>
      </c>
      <c r="P296" s="7">
        <v>0</v>
      </c>
      <c r="Q296" s="8">
        <v>0</v>
      </c>
      <c r="R296" s="7">
        <v>0</v>
      </c>
      <c r="S296" s="9">
        <v>0</v>
      </c>
      <c r="T296" s="7">
        <f>IF(C296="Mediana Complejidad",M296,0)</f>
        <v>174700</v>
      </c>
      <c r="U296" s="8">
        <v>0.2</v>
      </c>
      <c r="V296" s="7">
        <f t="shared" si="32"/>
        <v>209640</v>
      </c>
      <c r="W296" s="10">
        <f>IFERROR(((V296-T296)/V296),0)</f>
        <v>0.16666666666666666</v>
      </c>
      <c r="X296" s="7">
        <v>0</v>
      </c>
      <c r="Y296" s="8">
        <v>0</v>
      </c>
      <c r="Z296" s="7">
        <v>0</v>
      </c>
      <c r="AA296" s="8">
        <v>0</v>
      </c>
      <c r="AB296" s="8">
        <v>0.1</v>
      </c>
    </row>
    <row r="297" spans="1:28" x14ac:dyDescent="0.25">
      <c r="A297">
        <v>2026</v>
      </c>
      <c r="B297" t="s">
        <v>55</v>
      </c>
      <c r="C297" t="s">
        <v>60</v>
      </c>
      <c r="D297" t="s">
        <v>61</v>
      </c>
      <c r="G297" t="s">
        <v>63</v>
      </c>
      <c r="H297" t="s">
        <v>63</v>
      </c>
      <c r="I297" t="s">
        <v>77</v>
      </c>
      <c r="J297" t="s">
        <v>69</v>
      </c>
      <c r="K297" t="s">
        <v>33</v>
      </c>
      <c r="L297">
        <v>204000</v>
      </c>
      <c r="M297" s="7">
        <v>204000</v>
      </c>
      <c r="O297" s="7">
        <f t="shared" si="31"/>
        <v>244800</v>
      </c>
      <c r="P297" s="7">
        <v>0</v>
      </c>
      <c r="Q297" s="8">
        <v>0</v>
      </c>
      <c r="R297" s="7">
        <v>0</v>
      </c>
      <c r="S297" s="9">
        <v>0</v>
      </c>
      <c r="T297" s="7">
        <f>IF(C297="Mediana Complejidad",M297,0)</f>
        <v>204000</v>
      </c>
      <c r="U297" s="8">
        <v>0.2</v>
      </c>
      <c r="V297" s="7">
        <f t="shared" si="32"/>
        <v>244800</v>
      </c>
      <c r="W297" s="10">
        <f>IFERROR(((V297-T297)/V297),0)</f>
        <v>0.16666666666666666</v>
      </c>
      <c r="X297" s="7">
        <v>0</v>
      </c>
      <c r="Y297" s="8">
        <v>0</v>
      </c>
      <c r="Z297" s="7">
        <v>0</v>
      </c>
      <c r="AA297" s="8">
        <v>0</v>
      </c>
      <c r="AB297" s="8">
        <v>0.1</v>
      </c>
    </row>
    <row r="298" spans="1:28" x14ac:dyDescent="0.25">
      <c r="A298">
        <v>2026</v>
      </c>
      <c r="B298" t="s">
        <v>55</v>
      </c>
      <c r="C298" t="s">
        <v>60</v>
      </c>
      <c r="D298" t="s">
        <v>61</v>
      </c>
      <c r="G298" t="s">
        <v>63</v>
      </c>
      <c r="H298" t="s">
        <v>63</v>
      </c>
      <c r="I298" t="s">
        <v>78</v>
      </c>
      <c r="J298" t="s">
        <v>69</v>
      </c>
      <c r="K298" t="s">
        <v>33</v>
      </c>
      <c r="L298">
        <v>49000</v>
      </c>
      <c r="M298" s="7">
        <v>49000</v>
      </c>
      <c r="O298" s="7">
        <f t="shared" si="31"/>
        <v>58800</v>
      </c>
      <c r="P298" s="7">
        <v>0</v>
      </c>
      <c r="Q298" s="8">
        <v>0</v>
      </c>
      <c r="R298" s="7">
        <v>0</v>
      </c>
      <c r="S298" s="9">
        <v>0</v>
      </c>
      <c r="T298" s="7">
        <f>IF(C298="Mediana Complejidad",M298,0)</f>
        <v>49000</v>
      </c>
      <c r="U298" s="8">
        <v>0.2</v>
      </c>
      <c r="V298" s="7">
        <f t="shared" si="32"/>
        <v>58800</v>
      </c>
      <c r="W298" s="10">
        <f>IFERROR(((V298-T298)/V298),0)</f>
        <v>0.16666666666666666</v>
      </c>
      <c r="X298" s="7">
        <v>0</v>
      </c>
      <c r="Y298" s="8">
        <v>0</v>
      </c>
      <c r="Z298" s="7">
        <v>0</v>
      </c>
      <c r="AA298" s="8">
        <v>0</v>
      </c>
      <c r="AB298" s="8">
        <v>0.1</v>
      </c>
    </row>
    <row r="299" spans="1:28" x14ac:dyDescent="0.25">
      <c r="A299">
        <v>2026</v>
      </c>
      <c r="B299" t="s">
        <v>55</v>
      </c>
      <c r="C299" t="s">
        <v>60</v>
      </c>
      <c r="D299" t="s">
        <v>61</v>
      </c>
      <c r="G299" t="s">
        <v>63</v>
      </c>
      <c r="H299" t="s">
        <v>63</v>
      </c>
      <c r="I299" t="s">
        <v>79</v>
      </c>
      <c r="J299" t="s">
        <v>66</v>
      </c>
      <c r="K299" t="s">
        <v>33</v>
      </c>
      <c r="L299">
        <v>224100</v>
      </c>
      <c r="M299" s="7">
        <v>224100</v>
      </c>
      <c r="O299" s="7">
        <f t="shared" si="31"/>
        <v>268920</v>
      </c>
      <c r="P299" s="7">
        <v>0</v>
      </c>
      <c r="Q299" s="8">
        <v>0</v>
      </c>
      <c r="R299" s="7">
        <v>0</v>
      </c>
      <c r="S299" s="9">
        <v>0</v>
      </c>
      <c r="T299" s="7">
        <f>IF(C299="Mediana Complejidad",M299,0)</f>
        <v>224100</v>
      </c>
      <c r="U299" s="8">
        <v>0.2</v>
      </c>
      <c r="V299" s="7">
        <f t="shared" si="32"/>
        <v>268920</v>
      </c>
      <c r="W299" s="10">
        <f>IFERROR(((V299-T299)/V299),0)</f>
        <v>0.16666666666666666</v>
      </c>
      <c r="X299" s="7">
        <v>0</v>
      </c>
      <c r="Y299" s="8">
        <v>0</v>
      </c>
      <c r="Z299" s="7">
        <v>0</v>
      </c>
      <c r="AA299" s="8">
        <v>0</v>
      </c>
      <c r="AB299" s="8">
        <v>0.1</v>
      </c>
    </row>
    <row r="300" spans="1:28" x14ac:dyDescent="0.25">
      <c r="A300">
        <v>2026</v>
      </c>
      <c r="B300" t="s">
        <v>55</v>
      </c>
      <c r="C300" t="s">
        <v>60</v>
      </c>
      <c r="D300" t="s">
        <v>61</v>
      </c>
      <c r="G300" t="s">
        <v>63</v>
      </c>
      <c r="H300" t="s">
        <v>63</v>
      </c>
      <c r="I300" t="s">
        <v>80</v>
      </c>
      <c r="J300" t="s">
        <v>66</v>
      </c>
      <c r="K300" t="s">
        <v>33</v>
      </c>
      <c r="L300">
        <v>38000</v>
      </c>
      <c r="M300" s="7">
        <v>38000</v>
      </c>
      <c r="O300" s="7">
        <f t="shared" si="31"/>
        <v>45600</v>
      </c>
      <c r="P300" s="7">
        <v>0</v>
      </c>
      <c r="Q300" s="8">
        <v>0</v>
      </c>
      <c r="R300" s="7">
        <v>0</v>
      </c>
      <c r="S300" s="9">
        <v>0</v>
      </c>
      <c r="T300" s="7">
        <f>IF(C300="Mediana Complejidad",M300,0)</f>
        <v>38000</v>
      </c>
      <c r="U300" s="8">
        <v>0.2</v>
      </c>
      <c r="V300" s="7">
        <f t="shared" si="32"/>
        <v>45600</v>
      </c>
      <c r="W300" s="10">
        <f>IFERROR(((V300-T300)/V300),0)</f>
        <v>0.16666666666666666</v>
      </c>
      <c r="X300" s="7">
        <v>0</v>
      </c>
      <c r="Y300" s="8">
        <v>0</v>
      </c>
      <c r="Z300" s="7">
        <v>0</v>
      </c>
      <c r="AA300" s="8">
        <v>0</v>
      </c>
      <c r="AB300" s="8">
        <v>0.1</v>
      </c>
    </row>
    <row r="301" spans="1:28" x14ac:dyDescent="0.25">
      <c r="A301">
        <v>2026</v>
      </c>
      <c r="B301" t="s">
        <v>55</v>
      </c>
      <c r="C301" t="s">
        <v>60</v>
      </c>
      <c r="D301" t="s">
        <v>61</v>
      </c>
      <c r="G301" t="s">
        <v>63</v>
      </c>
      <c r="H301" t="s">
        <v>63</v>
      </c>
      <c r="I301" t="s">
        <v>81</v>
      </c>
      <c r="J301" t="s">
        <v>66</v>
      </c>
      <c r="K301" t="s">
        <v>33</v>
      </c>
      <c r="L301">
        <v>39800</v>
      </c>
      <c r="M301" s="7">
        <v>39800</v>
      </c>
      <c r="O301" s="7">
        <f t="shared" si="31"/>
        <v>47760</v>
      </c>
      <c r="P301" s="7">
        <v>0</v>
      </c>
      <c r="Q301" s="8">
        <v>0</v>
      </c>
      <c r="R301" s="7">
        <v>0</v>
      </c>
      <c r="S301" s="9">
        <v>0</v>
      </c>
      <c r="T301" s="7">
        <f>IF(C301="Mediana Complejidad",M301,0)</f>
        <v>39800</v>
      </c>
      <c r="U301" s="8">
        <v>0.2</v>
      </c>
      <c r="V301" s="7">
        <f t="shared" si="32"/>
        <v>47760</v>
      </c>
      <c r="W301" s="10">
        <f>IFERROR(((V301-T301)/V301),0)</f>
        <v>0.16666666666666666</v>
      </c>
      <c r="X301" s="7">
        <v>0</v>
      </c>
      <c r="Y301" s="8">
        <v>0</v>
      </c>
      <c r="Z301" s="7">
        <v>0</v>
      </c>
      <c r="AA301" s="8">
        <v>0</v>
      </c>
      <c r="AB301" s="8">
        <v>0.1</v>
      </c>
    </row>
    <row r="302" spans="1:28" x14ac:dyDescent="0.25">
      <c r="A302">
        <v>2026</v>
      </c>
      <c r="B302" t="s">
        <v>56</v>
      </c>
      <c r="C302" t="s">
        <v>60</v>
      </c>
      <c r="D302" t="s">
        <v>61</v>
      </c>
      <c r="G302" t="s">
        <v>63</v>
      </c>
      <c r="H302" t="s">
        <v>63</v>
      </c>
      <c r="I302" t="s">
        <v>65</v>
      </c>
      <c r="J302" t="s">
        <v>66</v>
      </c>
      <c r="K302" t="s">
        <v>33</v>
      </c>
      <c r="L302">
        <v>28800</v>
      </c>
      <c r="M302" s="7">
        <v>28800</v>
      </c>
      <c r="O302" s="7">
        <f>V302</f>
        <v>34560</v>
      </c>
      <c r="P302" s="7">
        <v>0</v>
      </c>
      <c r="Q302" s="8">
        <v>0</v>
      </c>
      <c r="R302" s="7">
        <v>0</v>
      </c>
      <c r="S302" s="9">
        <v>0</v>
      </c>
      <c r="T302" s="7">
        <f>IF(C302="Mediana Complejidad",M302,0)</f>
        <v>28800</v>
      </c>
      <c r="U302" s="8">
        <v>0.2</v>
      </c>
      <c r="V302" s="7">
        <f>T302+(U302*T302)</f>
        <v>34560</v>
      </c>
      <c r="W302" s="10">
        <f>IFERROR(((V302-T302)/V302),0)</f>
        <v>0.16666666666666666</v>
      </c>
      <c r="X302" s="7">
        <v>0</v>
      </c>
      <c r="Y302" s="8">
        <v>0</v>
      </c>
      <c r="Z302" s="7">
        <v>0</v>
      </c>
      <c r="AA302" s="8">
        <v>0</v>
      </c>
      <c r="AB302" s="8">
        <v>0.1</v>
      </c>
    </row>
    <row r="303" spans="1:28" x14ac:dyDescent="0.25">
      <c r="A303">
        <v>2026</v>
      </c>
      <c r="B303" t="s">
        <v>56</v>
      </c>
      <c r="C303" t="s">
        <v>60</v>
      </c>
      <c r="D303" t="s">
        <v>61</v>
      </c>
      <c r="G303" t="s">
        <v>63</v>
      </c>
      <c r="H303" t="s">
        <v>63</v>
      </c>
      <c r="I303" t="s">
        <v>67</v>
      </c>
      <c r="J303" t="s">
        <v>66</v>
      </c>
      <c r="K303" t="s">
        <v>33</v>
      </c>
      <c r="L303">
        <v>36700</v>
      </c>
      <c r="M303" s="7">
        <v>36700</v>
      </c>
      <c r="O303" s="7">
        <f t="shared" ref="O303:O316" si="33">V303</f>
        <v>44040</v>
      </c>
      <c r="P303" s="7">
        <v>0</v>
      </c>
      <c r="Q303" s="8">
        <v>0</v>
      </c>
      <c r="R303" s="7">
        <v>0</v>
      </c>
      <c r="S303" s="9">
        <v>0</v>
      </c>
      <c r="T303" s="7">
        <f>IF(C303="Mediana Complejidad",M303,0)</f>
        <v>36700</v>
      </c>
      <c r="U303" s="8">
        <v>0.2</v>
      </c>
      <c r="V303" s="7">
        <f t="shared" ref="V303:V316" si="34">T303+(U303*T303)</f>
        <v>44040</v>
      </c>
      <c r="W303" s="10">
        <f>IFERROR(((V303-T303)/V303),0)</f>
        <v>0.16666666666666666</v>
      </c>
      <c r="X303" s="7">
        <v>0</v>
      </c>
      <c r="Y303" s="8">
        <v>0</v>
      </c>
      <c r="Z303" s="7">
        <v>0</v>
      </c>
      <c r="AA303" s="8">
        <v>0</v>
      </c>
      <c r="AB303" s="8">
        <v>0.1</v>
      </c>
    </row>
    <row r="304" spans="1:28" x14ac:dyDescent="0.25">
      <c r="A304">
        <v>2026</v>
      </c>
      <c r="B304" t="s">
        <v>56</v>
      </c>
      <c r="C304" t="s">
        <v>60</v>
      </c>
      <c r="D304" t="s">
        <v>61</v>
      </c>
      <c r="G304" t="s">
        <v>63</v>
      </c>
      <c r="H304" t="s">
        <v>63</v>
      </c>
      <c r="I304" t="s">
        <v>68</v>
      </c>
      <c r="J304" t="s">
        <v>69</v>
      </c>
      <c r="K304" t="s">
        <v>33</v>
      </c>
      <c r="L304">
        <v>28000</v>
      </c>
      <c r="M304" s="7">
        <v>28000</v>
      </c>
      <c r="O304" s="7">
        <f t="shared" si="33"/>
        <v>33600</v>
      </c>
      <c r="P304" s="7">
        <v>0</v>
      </c>
      <c r="Q304" s="8">
        <v>0</v>
      </c>
      <c r="R304" s="7">
        <v>0</v>
      </c>
      <c r="S304" s="9">
        <v>0</v>
      </c>
      <c r="T304" s="7">
        <f>IF(C304="Mediana Complejidad",M304,0)</f>
        <v>28000</v>
      </c>
      <c r="U304" s="8">
        <v>0.2</v>
      </c>
      <c r="V304" s="7">
        <f t="shared" si="34"/>
        <v>33600</v>
      </c>
      <c r="W304" s="10">
        <f>IFERROR(((V304-T304)/V304),0)</f>
        <v>0.16666666666666666</v>
      </c>
      <c r="X304" s="7">
        <v>0</v>
      </c>
      <c r="Y304" s="8">
        <v>0</v>
      </c>
      <c r="Z304" s="7">
        <v>0</v>
      </c>
      <c r="AA304" s="8">
        <v>0</v>
      </c>
      <c r="AB304" s="8">
        <v>0.1</v>
      </c>
    </row>
    <row r="305" spans="1:28" x14ac:dyDescent="0.25">
      <c r="A305">
        <v>2026</v>
      </c>
      <c r="B305" t="s">
        <v>56</v>
      </c>
      <c r="C305" t="s">
        <v>60</v>
      </c>
      <c r="D305" t="s">
        <v>61</v>
      </c>
      <c r="G305" t="s">
        <v>63</v>
      </c>
      <c r="H305" t="s">
        <v>63</v>
      </c>
      <c r="I305" t="s">
        <v>70</v>
      </c>
      <c r="J305" t="s">
        <v>69</v>
      </c>
      <c r="K305" t="s">
        <v>33</v>
      </c>
      <c r="L305">
        <v>36700</v>
      </c>
      <c r="M305" s="7">
        <v>36700</v>
      </c>
      <c r="O305" s="7">
        <f t="shared" si="33"/>
        <v>44040</v>
      </c>
      <c r="P305" s="7">
        <v>0</v>
      </c>
      <c r="Q305" s="8">
        <v>0</v>
      </c>
      <c r="R305" s="7">
        <v>0</v>
      </c>
      <c r="S305" s="9">
        <v>0</v>
      </c>
      <c r="T305" s="7">
        <f>IF(C305="Mediana Complejidad",M305,0)</f>
        <v>36700</v>
      </c>
      <c r="U305" s="8">
        <v>0.2</v>
      </c>
      <c r="V305" s="7">
        <f t="shared" si="34"/>
        <v>44040</v>
      </c>
      <c r="W305" s="10">
        <f>IFERROR(((V305-T305)/V305),0)</f>
        <v>0.16666666666666666</v>
      </c>
      <c r="X305" s="7">
        <v>0</v>
      </c>
      <c r="Y305" s="8">
        <v>0</v>
      </c>
      <c r="Z305" s="7">
        <v>0</v>
      </c>
      <c r="AA305" s="8">
        <v>0</v>
      </c>
      <c r="AB305" s="8">
        <v>0.1</v>
      </c>
    </row>
    <row r="306" spans="1:28" x14ac:dyDescent="0.25">
      <c r="A306">
        <v>2026</v>
      </c>
      <c r="B306" t="s">
        <v>56</v>
      </c>
      <c r="C306" t="s">
        <v>60</v>
      </c>
      <c r="D306" t="s">
        <v>61</v>
      </c>
      <c r="G306" t="s">
        <v>63</v>
      </c>
      <c r="H306" t="s">
        <v>63</v>
      </c>
      <c r="I306" t="s">
        <v>71</v>
      </c>
      <c r="J306" t="s">
        <v>69</v>
      </c>
      <c r="K306" t="s">
        <v>33</v>
      </c>
      <c r="L306">
        <v>21900</v>
      </c>
      <c r="M306" s="7">
        <v>21900</v>
      </c>
      <c r="O306" s="7">
        <f t="shared" si="33"/>
        <v>26280</v>
      </c>
      <c r="P306" s="7">
        <v>0</v>
      </c>
      <c r="Q306" s="8">
        <v>0</v>
      </c>
      <c r="R306" s="7">
        <v>0</v>
      </c>
      <c r="S306" s="9">
        <v>0</v>
      </c>
      <c r="T306" s="7">
        <f>IF(C306="Mediana Complejidad",M306,0)</f>
        <v>21900</v>
      </c>
      <c r="U306" s="8">
        <v>0.2</v>
      </c>
      <c r="V306" s="7">
        <f t="shared" si="34"/>
        <v>26280</v>
      </c>
      <c r="W306" s="10">
        <f>IFERROR(((V306-T306)/V306),0)</f>
        <v>0.16666666666666666</v>
      </c>
      <c r="X306" s="7">
        <v>0</v>
      </c>
      <c r="Y306" s="8">
        <v>0</v>
      </c>
      <c r="Z306" s="7">
        <v>0</v>
      </c>
      <c r="AA306" s="8">
        <v>0</v>
      </c>
      <c r="AB306" s="8">
        <v>0.1</v>
      </c>
    </row>
    <row r="307" spans="1:28" x14ac:dyDescent="0.25">
      <c r="A307">
        <v>2026</v>
      </c>
      <c r="B307" t="s">
        <v>56</v>
      </c>
      <c r="C307" t="s">
        <v>60</v>
      </c>
      <c r="D307" t="s">
        <v>61</v>
      </c>
      <c r="G307" t="s">
        <v>63</v>
      </c>
      <c r="H307" t="s">
        <v>63</v>
      </c>
      <c r="I307" t="s">
        <v>72</v>
      </c>
      <c r="J307" t="s">
        <v>69</v>
      </c>
      <c r="K307" t="s">
        <v>33</v>
      </c>
      <c r="L307">
        <v>114900</v>
      </c>
      <c r="M307" s="7">
        <v>114900</v>
      </c>
      <c r="O307" s="7">
        <f t="shared" si="33"/>
        <v>137880</v>
      </c>
      <c r="P307" s="7">
        <v>0</v>
      </c>
      <c r="Q307" s="8">
        <v>0</v>
      </c>
      <c r="R307" s="7">
        <v>0</v>
      </c>
      <c r="S307" s="9">
        <v>0</v>
      </c>
      <c r="T307" s="7">
        <f>IF(C307="Mediana Complejidad",M307,0)</f>
        <v>114900</v>
      </c>
      <c r="U307" s="8">
        <v>0.2</v>
      </c>
      <c r="V307" s="7">
        <f t="shared" si="34"/>
        <v>137880</v>
      </c>
      <c r="W307" s="10">
        <f>IFERROR(((V307-T307)/V307),0)</f>
        <v>0.16666666666666666</v>
      </c>
      <c r="X307" s="7">
        <v>0</v>
      </c>
      <c r="Y307" s="8">
        <v>0</v>
      </c>
      <c r="Z307" s="7">
        <v>0</v>
      </c>
      <c r="AA307" s="8">
        <v>0</v>
      </c>
      <c r="AB307" s="8">
        <v>0.1</v>
      </c>
    </row>
    <row r="308" spans="1:28" x14ac:dyDescent="0.25">
      <c r="A308">
        <v>2026</v>
      </c>
      <c r="B308" t="s">
        <v>56</v>
      </c>
      <c r="C308" t="s">
        <v>60</v>
      </c>
      <c r="D308" t="s">
        <v>61</v>
      </c>
      <c r="G308" t="s">
        <v>63</v>
      </c>
      <c r="H308" t="s">
        <v>63</v>
      </c>
      <c r="I308" t="s">
        <v>73</v>
      </c>
      <c r="J308" t="s">
        <v>69</v>
      </c>
      <c r="K308" t="s">
        <v>33</v>
      </c>
      <c r="L308">
        <v>28000</v>
      </c>
      <c r="M308" s="7">
        <v>28000</v>
      </c>
      <c r="O308" s="7">
        <f t="shared" si="33"/>
        <v>33600</v>
      </c>
      <c r="P308" s="7">
        <v>0</v>
      </c>
      <c r="Q308" s="8">
        <v>0</v>
      </c>
      <c r="R308" s="7">
        <v>0</v>
      </c>
      <c r="S308" s="9">
        <v>0</v>
      </c>
      <c r="T308" s="7">
        <f>IF(C308="Mediana Complejidad",M308,0)</f>
        <v>28000</v>
      </c>
      <c r="U308" s="8">
        <v>0.2</v>
      </c>
      <c r="V308" s="7">
        <f t="shared" si="34"/>
        <v>33600</v>
      </c>
      <c r="W308" s="10">
        <f>IFERROR(((V308-T308)/V308),0)</f>
        <v>0.16666666666666666</v>
      </c>
      <c r="X308" s="7">
        <v>0</v>
      </c>
      <c r="Y308" s="8">
        <v>0</v>
      </c>
      <c r="Z308" s="7">
        <v>0</v>
      </c>
      <c r="AA308" s="8">
        <v>0</v>
      </c>
      <c r="AB308" s="8">
        <v>0.1</v>
      </c>
    </row>
    <row r="309" spans="1:28" x14ac:dyDescent="0.25">
      <c r="A309">
        <v>2026</v>
      </c>
      <c r="B309" t="s">
        <v>56</v>
      </c>
      <c r="C309" t="s">
        <v>60</v>
      </c>
      <c r="D309" t="s">
        <v>61</v>
      </c>
      <c r="G309" t="s">
        <v>63</v>
      </c>
      <c r="H309" t="s">
        <v>63</v>
      </c>
      <c r="I309" t="s">
        <v>74</v>
      </c>
      <c r="J309" t="s">
        <v>69</v>
      </c>
      <c r="K309" t="s">
        <v>33</v>
      </c>
      <c r="L309">
        <v>49200</v>
      </c>
      <c r="M309" s="7">
        <v>49200</v>
      </c>
      <c r="O309" s="7">
        <f t="shared" si="33"/>
        <v>59040</v>
      </c>
      <c r="P309" s="7">
        <v>0</v>
      </c>
      <c r="Q309" s="8">
        <v>0</v>
      </c>
      <c r="R309" s="7">
        <v>0</v>
      </c>
      <c r="S309" s="9">
        <v>0</v>
      </c>
      <c r="T309" s="7">
        <f>IF(C309="Mediana Complejidad",M309,0)</f>
        <v>49200</v>
      </c>
      <c r="U309" s="8">
        <v>0.2</v>
      </c>
      <c r="V309" s="7">
        <f t="shared" si="34"/>
        <v>59040</v>
      </c>
      <c r="W309" s="10">
        <f>IFERROR(((V309-T309)/V309),0)</f>
        <v>0.16666666666666666</v>
      </c>
      <c r="X309" s="7">
        <v>0</v>
      </c>
      <c r="Y309" s="8">
        <v>0</v>
      </c>
      <c r="Z309" s="7">
        <v>0</v>
      </c>
      <c r="AA309" s="8">
        <v>0</v>
      </c>
      <c r="AB309" s="8">
        <v>0.1</v>
      </c>
    </row>
    <row r="310" spans="1:28" x14ac:dyDescent="0.25">
      <c r="A310">
        <v>2026</v>
      </c>
      <c r="B310" t="s">
        <v>56</v>
      </c>
      <c r="C310" t="s">
        <v>60</v>
      </c>
      <c r="D310" t="s">
        <v>61</v>
      </c>
      <c r="G310" t="s">
        <v>63</v>
      </c>
      <c r="H310" t="s">
        <v>63</v>
      </c>
      <c r="I310" t="s">
        <v>75</v>
      </c>
      <c r="J310" t="s">
        <v>69</v>
      </c>
      <c r="K310" t="s">
        <v>33</v>
      </c>
      <c r="L310">
        <v>141600</v>
      </c>
      <c r="M310" s="7">
        <v>141600</v>
      </c>
      <c r="O310" s="7">
        <f t="shared" si="33"/>
        <v>169920</v>
      </c>
      <c r="P310" s="7">
        <v>0</v>
      </c>
      <c r="Q310" s="8">
        <v>0</v>
      </c>
      <c r="R310" s="7">
        <v>0</v>
      </c>
      <c r="S310" s="9">
        <v>0</v>
      </c>
      <c r="T310" s="7">
        <f>IF(C310="Mediana Complejidad",M310,0)</f>
        <v>141600</v>
      </c>
      <c r="U310" s="8">
        <v>0.2</v>
      </c>
      <c r="V310" s="7">
        <f t="shared" si="34"/>
        <v>169920</v>
      </c>
      <c r="W310" s="10">
        <f>IFERROR(((V310-T310)/V310),0)</f>
        <v>0.16666666666666666</v>
      </c>
      <c r="X310" s="7">
        <v>0</v>
      </c>
      <c r="Y310" s="8">
        <v>0</v>
      </c>
      <c r="Z310" s="7">
        <v>0</v>
      </c>
      <c r="AA310" s="8">
        <v>0</v>
      </c>
      <c r="AB310" s="8">
        <v>0.1</v>
      </c>
    </row>
    <row r="311" spans="1:28" x14ac:dyDescent="0.25">
      <c r="A311">
        <v>2026</v>
      </c>
      <c r="B311" t="s">
        <v>56</v>
      </c>
      <c r="C311" t="s">
        <v>60</v>
      </c>
      <c r="D311" t="s">
        <v>61</v>
      </c>
      <c r="G311" t="s">
        <v>63</v>
      </c>
      <c r="H311" t="s">
        <v>63</v>
      </c>
      <c r="I311" t="s">
        <v>76</v>
      </c>
      <c r="J311" t="s">
        <v>69</v>
      </c>
      <c r="K311" t="s">
        <v>33</v>
      </c>
      <c r="L311">
        <v>174700</v>
      </c>
      <c r="M311" s="7">
        <v>174700</v>
      </c>
      <c r="O311" s="7">
        <f t="shared" si="33"/>
        <v>209640</v>
      </c>
      <c r="P311" s="7">
        <v>0</v>
      </c>
      <c r="Q311" s="8">
        <v>0</v>
      </c>
      <c r="R311" s="7">
        <v>0</v>
      </c>
      <c r="S311" s="9">
        <v>0</v>
      </c>
      <c r="T311" s="7">
        <f>IF(C311="Mediana Complejidad",M311,0)</f>
        <v>174700</v>
      </c>
      <c r="U311" s="8">
        <v>0.2</v>
      </c>
      <c r="V311" s="7">
        <f t="shared" si="34"/>
        <v>209640</v>
      </c>
      <c r="W311" s="10">
        <f>IFERROR(((V311-T311)/V311),0)</f>
        <v>0.16666666666666666</v>
      </c>
      <c r="X311" s="7">
        <v>0</v>
      </c>
      <c r="Y311" s="8">
        <v>0</v>
      </c>
      <c r="Z311" s="7">
        <v>0</v>
      </c>
      <c r="AA311" s="8">
        <v>0</v>
      </c>
      <c r="AB311" s="8">
        <v>0.1</v>
      </c>
    </row>
    <row r="312" spans="1:28" x14ac:dyDescent="0.25">
      <c r="A312">
        <v>2026</v>
      </c>
      <c r="B312" t="s">
        <v>56</v>
      </c>
      <c r="C312" t="s">
        <v>60</v>
      </c>
      <c r="D312" t="s">
        <v>61</v>
      </c>
      <c r="G312" t="s">
        <v>63</v>
      </c>
      <c r="H312" t="s">
        <v>63</v>
      </c>
      <c r="I312" t="s">
        <v>77</v>
      </c>
      <c r="J312" t="s">
        <v>69</v>
      </c>
      <c r="K312" t="s">
        <v>33</v>
      </c>
      <c r="L312">
        <v>204000</v>
      </c>
      <c r="M312" s="7">
        <v>204000</v>
      </c>
      <c r="O312" s="7">
        <f t="shared" si="33"/>
        <v>244800</v>
      </c>
      <c r="P312" s="7">
        <v>0</v>
      </c>
      <c r="Q312" s="8">
        <v>0</v>
      </c>
      <c r="R312" s="7">
        <v>0</v>
      </c>
      <c r="S312" s="9">
        <v>0</v>
      </c>
      <c r="T312" s="7">
        <f>IF(C312="Mediana Complejidad",M312,0)</f>
        <v>204000</v>
      </c>
      <c r="U312" s="8">
        <v>0.2</v>
      </c>
      <c r="V312" s="7">
        <f t="shared" si="34"/>
        <v>244800</v>
      </c>
      <c r="W312" s="10">
        <f>IFERROR(((V312-T312)/V312),0)</f>
        <v>0.16666666666666666</v>
      </c>
      <c r="X312" s="7">
        <v>0</v>
      </c>
      <c r="Y312" s="8">
        <v>0</v>
      </c>
      <c r="Z312" s="7">
        <v>0</v>
      </c>
      <c r="AA312" s="8">
        <v>0</v>
      </c>
      <c r="AB312" s="8">
        <v>0.1</v>
      </c>
    </row>
    <row r="313" spans="1:28" x14ac:dyDescent="0.25">
      <c r="A313">
        <v>2026</v>
      </c>
      <c r="B313" t="s">
        <v>56</v>
      </c>
      <c r="C313" t="s">
        <v>60</v>
      </c>
      <c r="D313" t="s">
        <v>61</v>
      </c>
      <c r="G313" t="s">
        <v>63</v>
      </c>
      <c r="H313" t="s">
        <v>63</v>
      </c>
      <c r="I313" t="s">
        <v>78</v>
      </c>
      <c r="J313" t="s">
        <v>69</v>
      </c>
      <c r="K313" t="s">
        <v>33</v>
      </c>
      <c r="L313">
        <v>49000</v>
      </c>
      <c r="M313" s="7">
        <v>49000</v>
      </c>
      <c r="O313" s="7">
        <f t="shared" si="33"/>
        <v>58800</v>
      </c>
      <c r="P313" s="7">
        <v>0</v>
      </c>
      <c r="Q313" s="8">
        <v>0</v>
      </c>
      <c r="R313" s="7">
        <v>0</v>
      </c>
      <c r="S313" s="9">
        <v>0</v>
      </c>
      <c r="T313" s="7">
        <f>IF(C313="Mediana Complejidad",M313,0)</f>
        <v>49000</v>
      </c>
      <c r="U313" s="8">
        <v>0.2</v>
      </c>
      <c r="V313" s="7">
        <f t="shared" si="34"/>
        <v>58800</v>
      </c>
      <c r="W313" s="10">
        <f>IFERROR(((V313-T313)/V313),0)</f>
        <v>0.16666666666666666</v>
      </c>
      <c r="X313" s="7">
        <v>0</v>
      </c>
      <c r="Y313" s="8">
        <v>0</v>
      </c>
      <c r="Z313" s="7">
        <v>0</v>
      </c>
      <c r="AA313" s="8">
        <v>0</v>
      </c>
      <c r="AB313" s="8">
        <v>0.1</v>
      </c>
    </row>
    <row r="314" spans="1:28" x14ac:dyDescent="0.25">
      <c r="A314">
        <v>2026</v>
      </c>
      <c r="B314" t="s">
        <v>56</v>
      </c>
      <c r="C314" t="s">
        <v>60</v>
      </c>
      <c r="D314" t="s">
        <v>61</v>
      </c>
      <c r="G314" t="s">
        <v>63</v>
      </c>
      <c r="H314" t="s">
        <v>63</v>
      </c>
      <c r="I314" t="s">
        <v>79</v>
      </c>
      <c r="J314" t="s">
        <v>66</v>
      </c>
      <c r="K314" t="s">
        <v>33</v>
      </c>
      <c r="L314">
        <v>224100</v>
      </c>
      <c r="M314" s="7">
        <v>224100</v>
      </c>
      <c r="O314" s="7">
        <f t="shared" si="33"/>
        <v>268920</v>
      </c>
      <c r="P314" s="7">
        <v>0</v>
      </c>
      <c r="Q314" s="8">
        <v>0</v>
      </c>
      <c r="R314" s="7">
        <v>0</v>
      </c>
      <c r="S314" s="9">
        <v>0</v>
      </c>
      <c r="T314" s="7">
        <f>IF(C314="Mediana Complejidad",M314,0)</f>
        <v>224100</v>
      </c>
      <c r="U314" s="8">
        <v>0.2</v>
      </c>
      <c r="V314" s="7">
        <f t="shared" si="34"/>
        <v>268920</v>
      </c>
      <c r="W314" s="10">
        <f>IFERROR(((V314-T314)/V314),0)</f>
        <v>0.16666666666666666</v>
      </c>
      <c r="X314" s="7">
        <v>0</v>
      </c>
      <c r="Y314" s="8">
        <v>0</v>
      </c>
      <c r="Z314" s="7">
        <v>0</v>
      </c>
      <c r="AA314" s="8">
        <v>0</v>
      </c>
      <c r="AB314" s="8">
        <v>0.1</v>
      </c>
    </row>
    <row r="315" spans="1:28" x14ac:dyDescent="0.25">
      <c r="A315">
        <v>2026</v>
      </c>
      <c r="B315" t="s">
        <v>56</v>
      </c>
      <c r="C315" t="s">
        <v>60</v>
      </c>
      <c r="D315" t="s">
        <v>61</v>
      </c>
      <c r="G315" t="s">
        <v>63</v>
      </c>
      <c r="H315" t="s">
        <v>63</v>
      </c>
      <c r="I315" t="s">
        <v>80</v>
      </c>
      <c r="J315" t="s">
        <v>66</v>
      </c>
      <c r="K315" t="s">
        <v>33</v>
      </c>
      <c r="L315">
        <v>38000</v>
      </c>
      <c r="M315" s="7">
        <v>38000</v>
      </c>
      <c r="O315" s="7">
        <f t="shared" si="33"/>
        <v>45600</v>
      </c>
      <c r="P315" s="7">
        <v>0</v>
      </c>
      <c r="Q315" s="8">
        <v>0</v>
      </c>
      <c r="R315" s="7">
        <v>0</v>
      </c>
      <c r="S315" s="9">
        <v>0</v>
      </c>
      <c r="T315" s="7">
        <f>IF(C315="Mediana Complejidad",M315,0)</f>
        <v>38000</v>
      </c>
      <c r="U315" s="8">
        <v>0.2</v>
      </c>
      <c r="V315" s="7">
        <f t="shared" si="34"/>
        <v>45600</v>
      </c>
      <c r="W315" s="10">
        <f>IFERROR(((V315-T315)/V315),0)</f>
        <v>0.16666666666666666</v>
      </c>
      <c r="X315" s="7">
        <v>0</v>
      </c>
      <c r="Y315" s="8">
        <v>0</v>
      </c>
      <c r="Z315" s="7">
        <v>0</v>
      </c>
      <c r="AA315" s="8">
        <v>0</v>
      </c>
      <c r="AB315" s="8">
        <v>0.1</v>
      </c>
    </row>
    <row r="316" spans="1:28" x14ac:dyDescent="0.25">
      <c r="A316">
        <v>2026</v>
      </c>
      <c r="B316" t="s">
        <v>56</v>
      </c>
      <c r="C316" t="s">
        <v>60</v>
      </c>
      <c r="D316" t="s">
        <v>61</v>
      </c>
      <c r="G316" t="s">
        <v>63</v>
      </c>
      <c r="H316" t="s">
        <v>63</v>
      </c>
      <c r="I316" t="s">
        <v>81</v>
      </c>
      <c r="J316" t="s">
        <v>66</v>
      </c>
      <c r="K316" t="s">
        <v>33</v>
      </c>
      <c r="L316">
        <v>39800</v>
      </c>
      <c r="M316" s="7">
        <v>39800</v>
      </c>
      <c r="O316" s="7">
        <f t="shared" si="33"/>
        <v>47760</v>
      </c>
      <c r="P316" s="7">
        <v>0</v>
      </c>
      <c r="Q316" s="8">
        <v>0</v>
      </c>
      <c r="R316" s="7">
        <v>0</v>
      </c>
      <c r="S316" s="9">
        <v>0</v>
      </c>
      <c r="T316" s="7">
        <f>IF(C316="Mediana Complejidad",M316,0)</f>
        <v>39800</v>
      </c>
      <c r="U316" s="8">
        <v>0.2</v>
      </c>
      <c r="V316" s="7">
        <f t="shared" si="34"/>
        <v>47760</v>
      </c>
      <c r="W316" s="10">
        <f>IFERROR(((V316-T316)/V316),0)</f>
        <v>0.16666666666666666</v>
      </c>
      <c r="X316" s="7">
        <v>0</v>
      </c>
      <c r="Y316" s="8">
        <v>0</v>
      </c>
      <c r="Z316" s="7">
        <v>0</v>
      </c>
      <c r="AA316" s="8">
        <v>0</v>
      </c>
      <c r="AB316" s="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Alta complejidad</vt:lpstr>
      <vt:lpstr>Mediana complejidad</vt:lpstr>
      <vt:lpstr>Baja complejidad</vt:lpstr>
      <vt:lpstr>insumos alta  </vt:lpstr>
      <vt:lpstr>insumos baja</vt:lpstr>
      <vt:lpstr>insumos media</vt:lpstr>
      <vt:lpstr>consollidado insumos alta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2026-06-02T21:55:10Z</dcterms:created>
  <dcterms:modified xsi:type="dcterms:W3CDTF">2026-06-03T04:33:28Z</dcterms:modified>
</cp:coreProperties>
</file>