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Talero Jenn\"/>
    </mc:Choice>
  </mc:AlternateContent>
  <xr:revisionPtr revIDLastSave="0" documentId="13_ncr:1_{5FE5B5BF-9A9C-4E94-BDAA-7B8E3303AD52}" xr6:coauthVersionLast="47" xr6:coauthVersionMax="47" xr10:uidLastSave="{00000000-0000-0000-0000-000000000000}"/>
  <bookViews>
    <workbookView xWindow="-120" yWindow="-120" windowWidth="20730" windowHeight="11040" activeTab="1" xr2:uid="{8753D54C-362A-4C63-A4ED-1DD86705779D}"/>
  </bookViews>
  <sheets>
    <sheet name="Hoja2" sheetId="2" r:id="rId1"/>
    <sheet name="Hoja1" sheetId="1" r:id="rId2"/>
  </sheets>
  <calcPr calcId="191029"/>
  <pivotCaches>
    <pivotCache cacheId="4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<sst xmlns="http://schemas.openxmlformats.org/spreadsheetml/2006/main" count="130" uniqueCount="37">
  <si>
    <t>DESCRIPCIÓN DE INSUMOS UTILIZADOS</t>
  </si>
  <si>
    <t>CANTIDAD</t>
  </si>
  <si>
    <t>COSTO UNITARIO</t>
  </si>
  <si>
    <t>COSTO TOTAL</t>
  </si>
  <si>
    <t>Solucion Salina 0.9% Bolsa 100 ml</t>
  </si>
  <si>
    <t xml:space="preserve">agua esteril 100 ml </t>
  </si>
  <si>
    <t>Bata Desechable con Manga No Esteril (según condición)</t>
  </si>
  <si>
    <t/>
  </si>
  <si>
    <t>Gorro Desechable Estandar Blanco</t>
  </si>
  <si>
    <t>Toalla de Manos Pre-cortada Natural   R7</t>
  </si>
  <si>
    <t>Guante examen talla M</t>
  </si>
  <si>
    <t>pasta</t>
  </si>
  <si>
    <t>polvos adapt</t>
  </si>
  <si>
    <t>Barrera plana o convexa (depende del tipo de estoma)</t>
  </si>
  <si>
    <t xml:space="preserve">Bolsa colostomia </t>
  </si>
  <si>
    <t>protector cutaneo</t>
  </si>
  <si>
    <t>removedor de adhesivo</t>
  </si>
  <si>
    <t>Guante quirurgico esteril 7.0</t>
  </si>
  <si>
    <t>Gasa esteril 7.5 X 7.5 sobre x 5 unid</t>
  </si>
  <si>
    <t>TIPO</t>
  </si>
  <si>
    <t>Manejo de Ostomias</t>
  </si>
  <si>
    <t>Cinta adhesiva x 200cm Fixomull</t>
  </si>
  <si>
    <t>Tapabocas Estandar 1405</t>
  </si>
  <si>
    <t>Bata Desechable con Manga No Esteril</t>
  </si>
  <si>
    <t xml:space="preserve">acido hipocloroso </t>
  </si>
  <si>
    <t>Hoja para bisturi 15</t>
  </si>
  <si>
    <t>Venda de algodon 6 x 5</t>
  </si>
  <si>
    <t>Venda elastica 6 x 5</t>
  </si>
  <si>
    <t>Mediana Complejidad</t>
  </si>
  <si>
    <t>Cinta adhesiva x 200cm Fixomull ( por centimetro)</t>
  </si>
  <si>
    <t>Baja Complejidad</t>
  </si>
  <si>
    <t>Etiquetas de fila</t>
  </si>
  <si>
    <t>Total general</t>
  </si>
  <si>
    <t>Suma de COSTO TOTAL</t>
  </si>
  <si>
    <t>MODO VALORACION</t>
  </si>
  <si>
    <t>INTEMERDIARIO</t>
  </si>
  <si>
    <t>NUTRICIONISTA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</si>
</sst>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"/>
    <numFmt numFmtId="165" formatCode="&quot;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8">
    <dxf>
      <numFmt numFmtId="164" formatCode="&quot;$&quot;\ #,##0.0"/>
    </dxf>
    <dxf>
      <numFmt numFmtId="164" formatCode="&quot;$&quot;\ #,##0.0"/>
    </dxf>
    <dxf>
      <numFmt numFmtId="164" formatCode="&quot;$&quot;\ #,##0.0"/>
    </dxf>
    <dxf>
      <numFmt numFmtId="164" formatCode="&quot;$&quot;\ #,##0.0"/>
    </dxf>
    <dxf>
      <numFmt numFmtId="164" formatCode="&quot;$&quot;\ #,##0.0"/>
    </dxf>
    <dxf>
      <numFmt numFmtId="164" formatCode="&quot;$&quot;\ #,##0.0"/>
    </dxf>
    <dxf>
      <numFmt numFmtId="164" formatCode="&quot;$&quot;\ #,##0.0"/>
    </dxf>
    <dxf>
      <numFmt numFmtId="164" formatCode="&quot;$&quot;\ 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EDUARDO GONZALEZ BUITRAGO" refreshedDate="46160.657904513886" createdVersion="8" refreshedVersion="8" minRefreshableVersion="3" recordCount="39" xr:uid="{09545CBA-DDB8-40E3-A2F2-18F9B39F66DE}">
  <cacheSource type="worksheet">
    <worksheetSource ref="A1:F1048576" sheet="Hoja1"/>
  </cacheSource>
  <cacheFields count="6">
    <cacheField name="MODO VALORACION" numFmtId="0">
      <sharedItems containsBlank="1" count="3">
        <s v="INTEMERDIARIO"/>
        <s v="NUTRICIONISTA"/>
        <m/>
      </sharedItems>
    </cacheField>
    <cacheField name="TIPO" numFmtId="0">
      <sharedItems containsBlank="1" count="4">
        <s v="Manejo de Ostomias"/>
        <s v="Mediana Complejidad"/>
        <s v="Baja Complejidad"/>
        <m/>
      </sharedItems>
    </cacheField>
    <cacheField name="DESCRIPCIÓN DE INSUMOS UTILIZADOS" numFmtId="0">
      <sharedItems containsBlank="1"/>
    </cacheField>
    <cacheField name="CANTIDAD" numFmtId="0">
      <sharedItems containsString="0" containsBlank="1" containsNumber="1" minValue="0.4" maxValue="6"/>
    </cacheField>
    <cacheField name="COSTO UNITARIO" numFmtId="0">
      <sharedItems containsString="0" containsBlank="1" containsNumber="1" minValue="111.86" maxValue="26180"/>
    </cacheField>
    <cacheField name="COSTO TOTAL" numFmtId="0">
      <sharedItems containsBlank="1" containsMixedTypes="1" containsNumber="1" minValue="44.744" maxValue="437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x v="0"/>
    <s v="Solucion Salina 0.9% Bolsa 100 ml"/>
    <n v="1"/>
    <n v="1965"/>
    <n v="1965"/>
  </r>
  <r>
    <x v="0"/>
    <x v="0"/>
    <s v="agua esteril 100 ml "/>
    <n v="1"/>
    <m/>
    <m/>
  </r>
  <r>
    <x v="0"/>
    <x v="0"/>
    <s v="Bata Desechable con Manga No Esteril (según condición)"/>
    <n v="2"/>
    <m/>
    <s v=""/>
  </r>
  <r>
    <x v="0"/>
    <x v="0"/>
    <s v="Gorro Desechable Estandar Blanco"/>
    <n v="0.4"/>
    <n v="111.86"/>
    <n v="44.744"/>
  </r>
  <r>
    <x v="0"/>
    <x v="0"/>
    <s v="Toalla de Manos Pre-cortada Natural   R7"/>
    <n v="0.5"/>
    <n v="17888.080000000002"/>
    <n v="89.440400000000011"/>
  </r>
  <r>
    <x v="0"/>
    <x v="0"/>
    <s v="Guante examen talla M"/>
    <n v="1"/>
    <n v="10948"/>
    <n v="10948"/>
  </r>
  <r>
    <x v="0"/>
    <x v="0"/>
    <s v="pasta"/>
    <n v="1"/>
    <m/>
    <m/>
  </r>
  <r>
    <x v="0"/>
    <x v="0"/>
    <s v="polvos adapt"/>
    <n v="1"/>
    <m/>
    <m/>
  </r>
  <r>
    <x v="0"/>
    <x v="0"/>
    <s v="Barrera plana o convexa (depende del tipo de estoma)"/>
    <n v="1"/>
    <m/>
    <m/>
  </r>
  <r>
    <x v="0"/>
    <x v="0"/>
    <s v="Bolsa colostomia "/>
    <n v="1"/>
    <m/>
    <m/>
  </r>
  <r>
    <x v="0"/>
    <x v="0"/>
    <s v="protector cutaneo"/>
    <n v="1"/>
    <m/>
    <m/>
  </r>
  <r>
    <x v="0"/>
    <x v="0"/>
    <s v="removedor de adhesivo"/>
    <n v="1"/>
    <m/>
    <m/>
  </r>
  <r>
    <x v="0"/>
    <x v="0"/>
    <s v="Guante quirurgico esteril 7.0"/>
    <n v="2"/>
    <n v="1086.232"/>
    <n v="2172.4639999999999"/>
  </r>
  <r>
    <x v="0"/>
    <x v="0"/>
    <s v="Gasa esteril 7.5 X 7.5 sobre x 5 unid"/>
    <n v="1"/>
    <n v="370"/>
    <n v="370"/>
  </r>
  <r>
    <x v="1"/>
    <x v="1"/>
    <s v="Guante examen talla M"/>
    <n v="4"/>
    <n v="10948"/>
    <n v="43792"/>
  </r>
  <r>
    <x v="1"/>
    <x v="1"/>
    <s v="Guante quirurgico esteril 7.0"/>
    <n v="2"/>
    <n v="1086.232"/>
    <n v="2172.4639999999999"/>
  </r>
  <r>
    <x v="1"/>
    <x v="1"/>
    <s v="Gasa esteril 7.5 X 7.5 sobre x 5 unid"/>
    <n v="6"/>
    <n v="370"/>
    <n v="2220"/>
  </r>
  <r>
    <x v="1"/>
    <x v="1"/>
    <s v="Solucion Salina 0.9% Bolsa 100 ml"/>
    <n v="2"/>
    <n v="1965"/>
    <n v="3930"/>
  </r>
  <r>
    <x v="1"/>
    <x v="1"/>
    <s v="Cinta adhesiva x 200cm Fixomull"/>
    <n v="1"/>
    <n v="26180"/>
    <n v="26180"/>
  </r>
  <r>
    <x v="1"/>
    <x v="1"/>
    <s v="Tapabocas Estandar 1405"/>
    <n v="0.4"/>
    <n v="135.66"/>
    <n v="54.264000000000003"/>
  </r>
  <r>
    <x v="1"/>
    <x v="1"/>
    <s v="Bata Desechable con Manga No Esteril"/>
    <n v="2"/>
    <n v="3808"/>
    <n v="7616"/>
  </r>
  <r>
    <x v="1"/>
    <x v="1"/>
    <s v="Gorro Desechable Estandar Blanco"/>
    <n v="0.4"/>
    <n v="111.86"/>
    <n v="44.744"/>
  </r>
  <r>
    <x v="1"/>
    <x v="1"/>
    <s v="acido hipocloroso "/>
    <n v="2"/>
    <m/>
    <m/>
  </r>
  <r>
    <x v="1"/>
    <x v="1"/>
    <s v="Toalla de Manos Pre-cortada Natural   R7"/>
    <n v="2"/>
    <n v="17888.080000000002"/>
    <n v="357.76160000000004"/>
  </r>
  <r>
    <x v="1"/>
    <x v="1"/>
    <s v="Hoja para bisturi 15"/>
    <n v="1"/>
    <n v="337.3837894736842"/>
    <n v="337.3837894736842"/>
  </r>
  <r>
    <x v="1"/>
    <x v="1"/>
    <s v="Venda de algodon 6 x 5"/>
    <n v="1"/>
    <n v="1843.3333333333333"/>
    <n v="1843.3333333333333"/>
  </r>
  <r>
    <x v="1"/>
    <x v="1"/>
    <s v="Venda elastica 6 x 5"/>
    <n v="1"/>
    <n v="2346"/>
    <n v="2346"/>
  </r>
  <r>
    <x v="1"/>
    <x v="2"/>
    <s v="Guante examen talla M"/>
    <n v="4"/>
    <n v="10948"/>
    <n v="218.96"/>
  </r>
  <r>
    <x v="1"/>
    <x v="2"/>
    <s v="Guante quirurgico esteril 7.0"/>
    <n v="1"/>
    <n v="1086.232"/>
    <n v="1086.232"/>
  </r>
  <r>
    <x v="1"/>
    <x v="2"/>
    <s v="Gasa esteril 7.5 X 7.5 sobre x 5 unid"/>
    <n v="4"/>
    <n v="370"/>
    <n v="1480"/>
  </r>
  <r>
    <x v="1"/>
    <x v="2"/>
    <s v="Solucion Salina 0.9% Bolsa 100 ml"/>
    <n v="1"/>
    <n v="1965"/>
    <n v="1965"/>
  </r>
  <r>
    <x v="1"/>
    <x v="2"/>
    <s v="Cinta adhesiva x 200cm Fixomull ( por centimetro)"/>
    <n v="1"/>
    <m/>
    <s v=""/>
  </r>
  <r>
    <x v="1"/>
    <x v="2"/>
    <s v="Tapabocas Estandar 1405"/>
    <n v="0.4"/>
    <n v="135.66"/>
    <n v="54.264000000000003"/>
  </r>
  <r>
    <x v="1"/>
    <x v="2"/>
    <s v="Bata Desechable con Manga No Esteril"/>
    <n v="2"/>
    <n v="3808"/>
    <n v="7616"/>
  </r>
  <r>
    <x v="1"/>
    <x v="2"/>
    <s v="Gorro Desechable Estandar Blanco"/>
    <n v="0.4"/>
    <n v="111.86"/>
    <n v="44.744"/>
  </r>
  <r>
    <x v="1"/>
    <x v="2"/>
    <s v="acido hipocloroso "/>
    <n v="2"/>
    <m/>
    <m/>
  </r>
  <r>
    <x v="1"/>
    <x v="2"/>
    <s v="Toalla de Manos Pre-cortada Natural   R7"/>
    <n v="2"/>
    <n v="17888.080000000002"/>
    <n v="357.76160000000004"/>
  </r>
  <r>
    <x v="1"/>
    <x v="2"/>
    <s v="Hoja para bisturi 15"/>
    <n v="1"/>
    <n v="337.3837894736842"/>
    <n v="337.3837894736842"/>
  </r>
  <r>
    <x v="2"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44B09-402B-4A2C-95A4-5810F288B56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</pivotFields>
  <rowFields count="2">
    <field x="0"/>
    <field x="1"/>
  </rowFields>
  <rowItems count="6">
    <i>
      <x/>
    </i>
    <i r="1">
      <x v="1"/>
    </i>
    <i>
      <x v="1"/>
    </i>
    <i r="1">
      <x/>
    </i>
    <i r="1">
      <x v="2"/>
    </i>
    <i t="grand">
      <x/>
    </i>
  </rowItems>
  <colItems count="1">
    <i/>
  </colItems>
  <dataFields count="1">
    <dataField name="Suma de COSTO TOTAL" fld="5" baseField="0" baseItem="0" numFmtId="164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D950-3900-4105-B287-7EC40CB72B74}">
  <dimension ref="A3:B9"/>
  <sheetViews>
    <sheetView workbookViewId="0">
      <selection activeCell="G11" sqref="G11"/>
    </sheetView>
  </sheetViews>
  <sheetFormatPr baseColWidth="10" defaultRowHeight="15" x14ac:dyDescent="0.25"/>
  <cols>
    <col min="1" max="1" width="24.42578125" bestFit="1" customWidth="1"/>
    <col min="2" max="2" width="21.85546875" bestFit="1" customWidth="1"/>
  </cols>
  <sheetData>
    <row r="3" spans="1:2" x14ac:dyDescent="0.25">
      <c r="A3" s="1" t="s">
        <v>31</v>
      </c>
      <c r="B3" s="3" t="s">
        <v>33</v>
      </c>
    </row>
    <row r="4" spans="1:2" x14ac:dyDescent="0.25">
      <c r="A4" s="2" t="s">
        <v>35</v>
      </c>
      <c r="B4" s="3">
        <v>15589.6484</v>
      </c>
    </row>
    <row r="5" spans="1:2" x14ac:dyDescent="0.25">
      <c r="A5" s="5" t="s">
        <v>20</v>
      </c>
      <c r="B5" s="3">
        <v>15589.6484</v>
      </c>
    </row>
    <row r="6" spans="1:2" x14ac:dyDescent="0.25">
      <c r="A6" s="2" t="s">
        <v>36</v>
      </c>
      <c r="B6" s="3">
        <v>104054.2961122807</v>
      </c>
    </row>
    <row r="7" spans="1:2" x14ac:dyDescent="0.25">
      <c r="A7" s="5" t="s">
        <v>30</v>
      </c>
      <c r="B7" s="3">
        <v>13160.345389473685</v>
      </c>
    </row>
    <row r="8" spans="1:2" x14ac:dyDescent="0.25">
      <c r="A8" s="5" t="s">
        <v>28</v>
      </c>
      <c r="B8" s="3">
        <v>90893.950722807014</v>
      </c>
    </row>
    <row r="9" spans="1:2" x14ac:dyDescent="0.25">
      <c r="A9" s="2" t="s">
        <v>32</v>
      </c>
      <c r="B9" s="3">
        <v>119643.94451228069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69A0-29EB-48E7-AEF2-98301E18C1D7}">
  <dimension ref="A1:F39"/>
  <sheetViews>
    <sheetView tabSelected="1" topLeftCell="A4" zoomScale="76" workbookViewId="0">
      <selection activeCell="H13" sqref="H13"/>
    </sheetView>
  </sheetViews>
  <sheetFormatPr baseColWidth="10" defaultRowHeight="15" x14ac:dyDescent="0.25"/>
  <cols>
    <col min="1" max="1" width="25.7109375" customWidth="1"/>
    <col min="2" max="2" width="21.42578125" customWidth="1"/>
    <col min="3" max="3" width="36.85546875" customWidth="1"/>
  </cols>
  <sheetData>
    <row r="1" spans="1:6" x14ac:dyDescent="0.25">
      <c r="A1" t="s">
        <v>34</v>
      </c>
      <c r="B1" t="s">
        <v>19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35</v>
      </c>
      <c r="B2" t="s">
        <v>20</v>
      </c>
      <c r="C2" t="s">
        <v>4</v>
      </c>
      <c r="D2">
        <v>1</v>
      </c>
      <c r="E2" s="4">
        <v>1965</v>
      </c>
      <c r="F2" s="4">
        <v>1965</v>
      </c>
    </row>
    <row r="3" spans="1:6" x14ac:dyDescent="0.25">
      <c r="A3" t="s">
        <v>35</v>
      </c>
      <c r="B3" t="s">
        <v>20</v>
      </c>
      <c r="C3" t="s">
        <v>5</v>
      </c>
      <c r="D3">
        <v>1</v>
      </c>
      <c r="E3" s="4"/>
      <c r="F3" s="4"/>
    </row>
    <row r="4" spans="1:6" x14ac:dyDescent="0.25">
      <c r="A4" t="s">
        <v>35</v>
      </c>
      <c r="B4" t="s">
        <v>20</v>
      </c>
      <c r="C4" t="s">
        <v>6</v>
      </c>
      <c r="D4">
        <v>2</v>
      </c>
      <c r="E4" s="4"/>
      <c r="F4" s="4" t="s">
        <v>7</v>
      </c>
    </row>
    <row r="5" spans="1:6" x14ac:dyDescent="0.25">
      <c r="A5" t="s">
        <v>35</v>
      </c>
      <c r="B5" t="s">
        <v>20</v>
      </c>
      <c r="C5" t="s">
        <v>8</v>
      </c>
      <c r="D5">
        <v>0.4</v>
      </c>
      <c r="E5" s="4">
        <v>111.86</v>
      </c>
      <c r="F5" s="4">
        <v>44.744</v>
      </c>
    </row>
    <row r="6" spans="1:6" x14ac:dyDescent="0.25">
      <c r="A6" t="s">
        <v>35</v>
      </c>
      <c r="B6" t="s">
        <v>20</v>
      </c>
      <c r="C6" t="s">
        <v>9</v>
      </c>
      <c r="D6">
        <v>0.5</v>
      </c>
      <c r="E6" s="4">
        <v>17888.080000000002</v>
      </c>
      <c r="F6" s="4">
        <v>89.440400000000011</v>
      </c>
    </row>
    <row r="7" spans="1:6" x14ac:dyDescent="0.25">
      <c r="A7" t="s">
        <v>35</v>
      </c>
      <c r="B7" t="s">
        <v>20</v>
      </c>
      <c r="C7" t="s">
        <v>10</v>
      </c>
      <c r="D7">
        <v>1</v>
      </c>
      <c r="E7" s="4">
        <v>10948</v>
      </c>
      <c r="F7" s="4">
        <v>10948</v>
      </c>
    </row>
    <row r="8" spans="1:6" x14ac:dyDescent="0.25">
      <c r="A8" t="s">
        <v>35</v>
      </c>
      <c r="B8" t="s">
        <v>20</v>
      </c>
      <c r="C8" t="s">
        <v>11</v>
      </c>
      <c r="D8">
        <v>1</v>
      </c>
      <c r="E8" s="4"/>
      <c r="F8" s="4"/>
    </row>
    <row r="9" spans="1:6" x14ac:dyDescent="0.25">
      <c r="A9" t="s">
        <v>35</v>
      </c>
      <c r="B9" t="s">
        <v>20</v>
      </c>
      <c r="C9" t="s">
        <v>12</v>
      </c>
      <c r="D9">
        <v>1</v>
      </c>
      <c r="E9" s="4"/>
      <c r="F9" s="4"/>
    </row>
    <row r="10" spans="1:6" x14ac:dyDescent="0.25">
      <c r="A10" t="s">
        <v>35</v>
      </c>
      <c r="B10" t="s">
        <v>20</v>
      </c>
      <c r="C10" t="s">
        <v>13</v>
      </c>
      <c r="D10">
        <v>1</v>
      </c>
      <c r="E10" s="4"/>
      <c r="F10" s="4"/>
    </row>
    <row r="11" spans="1:6" x14ac:dyDescent="0.25">
      <c r="A11" t="s">
        <v>35</v>
      </c>
      <c r="B11" t="s">
        <v>20</v>
      </c>
      <c r="C11" t="s">
        <v>14</v>
      </c>
      <c r="D11">
        <v>1</v>
      </c>
      <c r="E11" s="4"/>
      <c r="F11" s="4"/>
    </row>
    <row r="12" spans="1:6" x14ac:dyDescent="0.25">
      <c r="A12" t="s">
        <v>35</v>
      </c>
      <c r="B12" t="s">
        <v>20</v>
      </c>
      <c r="C12" t="s">
        <v>15</v>
      </c>
      <c r="D12">
        <v>1</v>
      </c>
      <c r="E12" s="4"/>
      <c r="F12" s="4"/>
    </row>
    <row r="13" spans="1:6" x14ac:dyDescent="0.25">
      <c r="A13" t="s">
        <v>35</v>
      </c>
      <c r="B13" t="s">
        <v>20</v>
      </c>
      <c r="C13" t="s">
        <v>16</v>
      </c>
      <c r="D13">
        <v>1</v>
      </c>
      <c r="E13" s="4"/>
      <c r="F13" s="4"/>
    </row>
    <row r="14" spans="1:6" x14ac:dyDescent="0.25">
      <c r="A14" t="s">
        <v>35</v>
      </c>
      <c r="B14" t="s">
        <v>20</v>
      </c>
      <c r="C14" t="s">
        <v>17</v>
      </c>
      <c r="D14">
        <v>2</v>
      </c>
      <c r="E14" s="4">
        <v>1086.232</v>
      </c>
      <c r="F14" s="4">
        <v>2172.4639999999999</v>
      </c>
    </row>
    <row r="15" spans="1:6" x14ac:dyDescent="0.25">
      <c r="A15" t="s">
        <v>35</v>
      </c>
      <c r="B15" t="s">
        <v>20</v>
      </c>
      <c r="C15" t="s">
        <v>18</v>
      </c>
      <c r="D15">
        <v>1</v>
      </c>
      <c r="E15" s="4">
        <v>370</v>
      </c>
      <c r="F15" s="4">
        <v>370</v>
      </c>
    </row>
    <row r="16" spans="1:6" x14ac:dyDescent="0.25">
      <c r="A16" t="s">
        <v>36</v>
      </c>
      <c r="B16" t="s">
        <v>28</v>
      </c>
      <c r="C16" t="s">
        <v>10</v>
      </c>
      <c r="D16">
        <v>4</v>
      </c>
      <c r="E16" s="4">
        <v>10948</v>
      </c>
      <c r="F16" s="4">
        <v>43792</v>
      </c>
    </row>
    <row r="17" spans="1:6" x14ac:dyDescent="0.25">
      <c r="A17" t="s">
        <v>36</v>
      </c>
      <c r="B17" t="s">
        <v>28</v>
      </c>
      <c r="C17" t="s">
        <v>17</v>
      </c>
      <c r="D17">
        <v>2</v>
      </c>
      <c r="E17" s="4">
        <v>1086.232</v>
      </c>
      <c r="F17" s="4">
        <v>2172.4639999999999</v>
      </c>
    </row>
    <row r="18" spans="1:6" x14ac:dyDescent="0.25">
      <c r="A18" t="s">
        <v>36</v>
      </c>
      <c r="B18" t="s">
        <v>28</v>
      </c>
      <c r="C18" t="s">
        <v>18</v>
      </c>
      <c r="D18">
        <v>6</v>
      </c>
      <c r="E18" s="4">
        <v>370</v>
      </c>
      <c r="F18" s="4">
        <v>2220</v>
      </c>
    </row>
    <row r="19" spans="1:6" x14ac:dyDescent="0.25">
      <c r="A19" t="s">
        <v>36</v>
      </c>
      <c r="B19" t="s">
        <v>28</v>
      </c>
      <c r="C19" t="s">
        <v>4</v>
      </c>
      <c r="D19">
        <v>2</v>
      </c>
      <c r="E19" s="4">
        <v>1965</v>
      </c>
      <c r="F19" s="4">
        <v>3930</v>
      </c>
    </row>
    <row r="20" spans="1:6" x14ac:dyDescent="0.25">
      <c r="A20" t="s">
        <v>36</v>
      </c>
      <c r="B20" t="s">
        <v>28</v>
      </c>
      <c r="C20" t="s">
        <v>21</v>
      </c>
      <c r="D20">
        <v>1</v>
      </c>
      <c r="E20" s="4">
        <v>26180</v>
      </c>
      <c r="F20" s="4">
        <v>26180</v>
      </c>
    </row>
    <row r="21" spans="1:6" x14ac:dyDescent="0.25">
      <c r="A21" t="s">
        <v>36</v>
      </c>
      <c r="B21" t="s">
        <v>28</v>
      </c>
      <c r="C21" t="s">
        <v>22</v>
      </c>
      <c r="D21">
        <v>0.4</v>
      </c>
      <c r="E21" s="4">
        <v>135.66</v>
      </c>
      <c r="F21" s="4">
        <v>54.264000000000003</v>
      </c>
    </row>
    <row r="22" spans="1:6" x14ac:dyDescent="0.25">
      <c r="A22" t="s">
        <v>36</v>
      </c>
      <c r="B22" t="s">
        <v>28</v>
      </c>
      <c r="C22" t="s">
        <v>23</v>
      </c>
      <c r="D22">
        <v>2</v>
      </c>
      <c r="E22" s="4">
        <v>3808</v>
      </c>
      <c r="F22" s="4">
        <v>7616</v>
      </c>
    </row>
    <row r="23" spans="1:6" x14ac:dyDescent="0.25">
      <c r="A23" t="s">
        <v>36</v>
      </c>
      <c r="B23" t="s">
        <v>28</v>
      </c>
      <c r="C23" t="s">
        <v>8</v>
      </c>
      <c r="D23">
        <v>0.4</v>
      </c>
      <c r="E23" s="4">
        <v>111.86</v>
      </c>
      <c r="F23" s="4">
        <v>44.744</v>
      </c>
    </row>
    <row r="24" spans="1:6" x14ac:dyDescent="0.25">
      <c r="A24" t="s">
        <v>36</v>
      </c>
      <c r="B24" t="s">
        <v>28</v>
      </c>
      <c r="C24" t="s">
        <v>24</v>
      </c>
      <c r="D24">
        <v>2</v>
      </c>
      <c r="E24" s="4"/>
      <c r="F24" s="4"/>
    </row>
    <row r="25" spans="1:6" x14ac:dyDescent="0.25">
      <c r="A25" t="s">
        <v>36</v>
      </c>
      <c r="B25" t="s">
        <v>28</v>
      </c>
      <c r="C25" t="s">
        <v>9</v>
      </c>
      <c r="D25">
        <v>2</v>
      </c>
      <c r="E25" s="4">
        <v>17888.080000000002</v>
      </c>
      <c r="F25" s="4">
        <v>357.76160000000004</v>
      </c>
    </row>
    <row r="26" spans="1:6" x14ac:dyDescent="0.25">
      <c r="A26" t="s">
        <v>36</v>
      </c>
      <c r="B26" t="s">
        <v>28</v>
      </c>
      <c r="C26" t="s">
        <v>25</v>
      </c>
      <c r="D26">
        <v>1</v>
      </c>
      <c r="E26" s="4">
        <v>337.3837894736842</v>
      </c>
      <c r="F26" s="4">
        <v>337.3837894736842</v>
      </c>
    </row>
    <row r="27" spans="1:6" x14ac:dyDescent="0.25">
      <c r="A27" t="s">
        <v>36</v>
      </c>
      <c r="B27" t="s">
        <v>28</v>
      </c>
      <c r="C27" t="s">
        <v>26</v>
      </c>
      <c r="D27">
        <v>1</v>
      </c>
      <c r="E27" s="4">
        <v>1843.3333333333333</v>
      </c>
      <c r="F27" s="4">
        <v>1843.3333333333333</v>
      </c>
    </row>
    <row r="28" spans="1:6" x14ac:dyDescent="0.25">
      <c r="A28" t="s">
        <v>36</v>
      </c>
      <c r="B28" t="s">
        <v>28</v>
      </c>
      <c r="C28" t="s">
        <v>27</v>
      </c>
      <c r="D28">
        <v>1</v>
      </c>
      <c r="E28" s="4">
        <v>2346</v>
      </c>
      <c r="F28" s="4">
        <v>2346</v>
      </c>
    </row>
    <row r="29" spans="1:6" x14ac:dyDescent="0.25">
      <c r="A29" t="s">
        <v>36</v>
      </c>
      <c r="B29" t="s">
        <v>30</v>
      </c>
      <c r="C29" t="s">
        <v>10</v>
      </c>
      <c r="D29">
        <v>4</v>
      </c>
      <c r="E29" s="4">
        <v>10948</v>
      </c>
      <c r="F29" s="4">
        <v>218.96</v>
      </c>
    </row>
    <row r="30" spans="1:6" x14ac:dyDescent="0.25">
      <c r="A30" t="s">
        <v>36</v>
      </c>
      <c r="B30" t="s">
        <v>30</v>
      </c>
      <c r="C30" t="s">
        <v>17</v>
      </c>
      <c r="D30">
        <v>1</v>
      </c>
      <c r="E30" s="4">
        <v>1086.232</v>
      </c>
      <c r="F30" s="4">
        <v>1086.232</v>
      </c>
    </row>
    <row r="31" spans="1:6" x14ac:dyDescent="0.25">
      <c r="A31" t="s">
        <v>36</v>
      </c>
      <c r="B31" t="s">
        <v>30</v>
      </c>
      <c r="C31" t="s">
        <v>18</v>
      </c>
      <c r="D31">
        <v>4</v>
      </c>
      <c r="E31" s="4">
        <v>370</v>
      </c>
      <c r="F31" s="4">
        <v>1480</v>
      </c>
    </row>
    <row r="32" spans="1:6" x14ac:dyDescent="0.25">
      <c r="A32" t="s">
        <v>36</v>
      </c>
      <c r="B32" t="s">
        <v>30</v>
      </c>
      <c r="C32" t="s">
        <v>4</v>
      </c>
      <c r="D32">
        <v>1</v>
      </c>
      <c r="E32" s="4">
        <v>1965</v>
      </c>
      <c r="F32" s="4">
        <v>1965</v>
      </c>
    </row>
    <row r="33" spans="1:6" x14ac:dyDescent="0.25">
      <c r="A33" t="s">
        <v>36</v>
      </c>
      <c r="B33" t="s">
        <v>30</v>
      </c>
      <c r="C33" t="s">
        <v>29</v>
      </c>
      <c r="D33">
        <v>1</v>
      </c>
      <c r="E33" s="4"/>
      <c r="F33" s="4" t="s">
        <v>7</v>
      </c>
    </row>
    <row r="34" spans="1:6" x14ac:dyDescent="0.25">
      <c r="A34" t="s">
        <v>36</v>
      </c>
      <c r="B34" t="s">
        <v>30</v>
      </c>
      <c r="C34" t="s">
        <v>22</v>
      </c>
      <c r="D34">
        <v>0.4</v>
      </c>
      <c r="E34" s="4">
        <v>135.66</v>
      </c>
      <c r="F34" s="4">
        <v>54.264000000000003</v>
      </c>
    </row>
    <row r="35" spans="1:6" x14ac:dyDescent="0.25">
      <c r="A35" t="s">
        <v>36</v>
      </c>
      <c r="B35" t="s">
        <v>30</v>
      </c>
      <c r="C35" t="s">
        <v>23</v>
      </c>
      <c r="D35">
        <v>2</v>
      </c>
      <c r="E35" s="4">
        <v>3808</v>
      </c>
      <c r="F35" s="4">
        <v>7616</v>
      </c>
    </row>
    <row r="36" spans="1:6" x14ac:dyDescent="0.25">
      <c r="A36" t="s">
        <v>36</v>
      </c>
      <c r="B36" t="s">
        <v>30</v>
      </c>
      <c r="C36" t="s">
        <v>8</v>
      </c>
      <c r="D36">
        <v>0.4</v>
      </c>
      <c r="E36" s="4">
        <v>111.86</v>
      </c>
      <c r="F36" s="4">
        <v>44.744</v>
      </c>
    </row>
    <row r="37" spans="1:6" x14ac:dyDescent="0.25">
      <c r="A37" t="s">
        <v>36</v>
      </c>
      <c r="B37" t="s">
        <v>30</v>
      </c>
      <c r="C37" t="s">
        <v>24</v>
      </c>
      <c r="D37">
        <v>2</v>
      </c>
      <c r="E37" s="4"/>
      <c r="F37" s="4"/>
    </row>
    <row r="38" spans="1:6" x14ac:dyDescent="0.25">
      <c r="A38" t="s">
        <v>36</v>
      </c>
      <c r="B38" t="s">
        <v>30</v>
      </c>
      <c r="C38" t="s">
        <v>9</v>
      </c>
      <c r="D38">
        <v>2</v>
      </c>
      <c r="E38" s="4">
        <v>17888.080000000002</v>
      </c>
      <c r="F38" s="4">
        <v>357.76160000000004</v>
      </c>
    </row>
    <row r="39" spans="1:6" x14ac:dyDescent="0.25">
      <c r="A39" t="s">
        <v>36</v>
      </c>
      <c r="B39" t="s">
        <v>30</v>
      </c>
      <c r="C39" t="s">
        <v>25</v>
      </c>
      <c r="D39">
        <v>1</v>
      </c>
      <c r="E39" s="4">
        <v>337.3837894736842</v>
      </c>
      <c r="F39" s="4">
        <v>337.3837894736842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2026-05-18T15:44:19Z</dcterms:created>
  <dcterms:modified xsi:type="dcterms:W3CDTF">2026-05-18T21:13:32Z</dcterms:modified>
</cp:coreProperties>
</file>