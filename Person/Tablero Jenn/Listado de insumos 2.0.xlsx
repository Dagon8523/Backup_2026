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showInkAnnotation="0"/>
  <mc:AlternateContent xmlns:mc="http://schemas.openxmlformats.org/markup-compatibility/2006">
    <mc:Choice Requires="x15">
      <x15ac:absPath xmlns:x15ac="http://schemas.microsoft.com/office/spreadsheetml/2010/11/ac" url="C:\Users\degonzalez\Documents\2026\Backup_2026\Person\Tablero Jenn\"/>
    </mc:Choice>
  </mc:AlternateContent>
  <xr:revisionPtr revIDLastSave="0" documentId="13_ncr:1_{A9374F5E-596E-4940-82AA-4D5F9DF8A9B7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Referencias digitalizadas" sheetId="1" r:id="rId1"/>
    <sheet name="Alta complejidad" sheetId="3" r:id="rId2"/>
    <sheet name="Baja complejidad" sheetId="4" r:id="rId3"/>
    <sheet name="Meidiana complejidad" sheetId="5" r:id="rId4"/>
    <sheet name="Resumen" sheetId="2" r:id="rId5"/>
  </sheets>
  <definedNames>
    <definedName name="_xlnm._FilterDatabase" localSheetId="1" hidden="1">'Alta complejidad'!$A$1:$AB$1</definedName>
    <definedName name="_xlnm._FilterDatabase" localSheetId="3" hidden="1">'Meidiana complejidad'!$A$1:$AB$141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41" i="5" l="1"/>
  <c r="M140" i="5"/>
  <c r="M139" i="5"/>
  <c r="M138" i="5"/>
  <c r="M137" i="5"/>
  <c r="M136" i="5"/>
  <c r="M135" i="5"/>
  <c r="M134" i="5"/>
  <c r="M133" i="5"/>
  <c r="M132" i="5"/>
  <c r="M131" i="5"/>
  <c r="M130" i="5"/>
  <c r="T130" i="5" s="1"/>
  <c r="V130" i="5" s="1"/>
  <c r="W130" i="5" s="1"/>
  <c r="M129" i="5"/>
  <c r="T129" i="5" s="1"/>
  <c r="V129" i="5" s="1"/>
  <c r="W129" i="5" s="1"/>
  <c r="M128" i="5"/>
  <c r="T128" i="5" s="1"/>
  <c r="V128" i="5" s="1"/>
  <c r="W128" i="5" s="1"/>
  <c r="M127" i="5"/>
  <c r="T127" i="5" s="1"/>
  <c r="V127" i="5" s="1"/>
  <c r="W127" i="5" s="1"/>
  <c r="M126" i="5"/>
  <c r="O126" i="5" s="1"/>
  <c r="M125" i="5"/>
  <c r="M124" i="5"/>
  <c r="M123" i="5"/>
  <c r="M122" i="5"/>
  <c r="M121" i="5"/>
  <c r="M120" i="5"/>
  <c r="M119" i="5"/>
  <c r="O119" i="5" s="1"/>
  <c r="M118" i="5"/>
  <c r="T118" i="5" s="1"/>
  <c r="V118" i="5" s="1"/>
  <c r="W118" i="5" s="1"/>
  <c r="M117" i="5"/>
  <c r="O117" i="5" s="1"/>
  <c r="M116" i="5"/>
  <c r="M115" i="5"/>
  <c r="M114" i="5"/>
  <c r="M113" i="5"/>
  <c r="T113" i="5" s="1"/>
  <c r="V113" i="5" s="1"/>
  <c r="W113" i="5" s="1"/>
  <c r="M112" i="5"/>
  <c r="O112" i="5" s="1"/>
  <c r="M111" i="5"/>
  <c r="T111" i="5" s="1"/>
  <c r="V111" i="5" s="1"/>
  <c r="W111" i="5" s="1"/>
  <c r="M110" i="5"/>
  <c r="T110" i="5" s="1"/>
  <c r="V110" i="5" s="1"/>
  <c r="W110" i="5" s="1"/>
  <c r="M109" i="5"/>
  <c r="T109" i="5" s="1"/>
  <c r="V109" i="5" s="1"/>
  <c r="W109" i="5" s="1"/>
  <c r="M108" i="5"/>
  <c r="O108" i="5" s="1"/>
  <c r="M107" i="5"/>
  <c r="T107" i="5" s="1"/>
  <c r="V107" i="5" s="1"/>
  <c r="W107" i="5" s="1"/>
  <c r="M106" i="5"/>
  <c r="T106" i="5" s="1"/>
  <c r="V106" i="5" s="1"/>
  <c r="W106" i="5" s="1"/>
  <c r="M105" i="5"/>
  <c r="M104" i="5"/>
  <c r="M103" i="5"/>
  <c r="O103" i="5" s="1"/>
  <c r="M102" i="5"/>
  <c r="T102" i="5" s="1"/>
  <c r="V102" i="5" s="1"/>
  <c r="W102" i="5" s="1"/>
  <c r="M101" i="5"/>
  <c r="M100" i="5"/>
  <c r="M99" i="5"/>
  <c r="M98" i="5"/>
  <c r="M97" i="5"/>
  <c r="T97" i="5" s="1"/>
  <c r="V97" i="5" s="1"/>
  <c r="W97" i="5" s="1"/>
  <c r="M96" i="5"/>
  <c r="T96" i="5" s="1"/>
  <c r="V96" i="5" s="1"/>
  <c r="W96" i="5" s="1"/>
  <c r="M95" i="5"/>
  <c r="O95" i="5" s="1"/>
  <c r="M94" i="5"/>
  <c r="M93" i="5"/>
  <c r="M92" i="5"/>
  <c r="T92" i="5" s="1"/>
  <c r="V92" i="5" s="1"/>
  <c r="W92" i="5" s="1"/>
  <c r="M91" i="5"/>
  <c r="T91" i="5" s="1"/>
  <c r="V91" i="5" s="1"/>
  <c r="W91" i="5" s="1"/>
  <c r="M90" i="5"/>
  <c r="T90" i="5" s="1"/>
  <c r="V90" i="5" s="1"/>
  <c r="W90" i="5" s="1"/>
  <c r="M89" i="5"/>
  <c r="T89" i="5" s="1"/>
  <c r="V89" i="5" s="1"/>
  <c r="W89" i="5" s="1"/>
  <c r="M88" i="5"/>
  <c r="T88" i="5" s="1"/>
  <c r="V88" i="5" s="1"/>
  <c r="W88" i="5" s="1"/>
  <c r="M87" i="5"/>
  <c r="T87" i="5" s="1"/>
  <c r="V87" i="5" s="1"/>
  <c r="W87" i="5" s="1"/>
  <c r="M86" i="5"/>
  <c r="T86" i="5" s="1"/>
  <c r="V86" i="5" s="1"/>
  <c r="W86" i="5" s="1"/>
  <c r="M85" i="5"/>
  <c r="M84" i="5"/>
  <c r="M83" i="5"/>
  <c r="M82" i="5"/>
  <c r="T82" i="5" s="1"/>
  <c r="V82" i="5" s="1"/>
  <c r="W82" i="5" s="1"/>
  <c r="M81" i="5"/>
  <c r="T81" i="5" s="1"/>
  <c r="V81" i="5" s="1"/>
  <c r="W81" i="5" s="1"/>
  <c r="M80" i="5"/>
  <c r="O80" i="5" s="1"/>
  <c r="M79" i="5"/>
  <c r="O79" i="5" s="1"/>
  <c r="M78" i="5"/>
  <c r="O78" i="5" s="1"/>
  <c r="M77" i="5"/>
  <c r="O77" i="5" s="1"/>
  <c r="M76" i="5"/>
  <c r="T76" i="5" s="1"/>
  <c r="V76" i="5" s="1"/>
  <c r="W76" i="5" s="1"/>
  <c r="M75" i="5"/>
  <c r="T75" i="5" s="1"/>
  <c r="V75" i="5" s="1"/>
  <c r="W75" i="5" s="1"/>
  <c r="M74" i="5"/>
  <c r="T74" i="5" s="1"/>
  <c r="V74" i="5" s="1"/>
  <c r="W74" i="5" s="1"/>
  <c r="M73" i="5"/>
  <c r="T73" i="5" s="1"/>
  <c r="V73" i="5" s="1"/>
  <c r="W73" i="5" s="1"/>
  <c r="M72" i="5"/>
  <c r="T72" i="5" s="1"/>
  <c r="V72" i="5" s="1"/>
  <c r="W72" i="5" s="1"/>
  <c r="M71" i="5"/>
  <c r="T71" i="5" s="1"/>
  <c r="V71" i="5" s="1"/>
  <c r="W71" i="5" s="1"/>
  <c r="M70" i="5"/>
  <c r="M69" i="5"/>
  <c r="M68" i="5"/>
  <c r="M67" i="5"/>
  <c r="T67" i="5" s="1"/>
  <c r="V67" i="5" s="1"/>
  <c r="W67" i="5" s="1"/>
  <c r="M66" i="5"/>
  <c r="T66" i="5" s="1"/>
  <c r="V66" i="5" s="1"/>
  <c r="W66" i="5" s="1"/>
  <c r="M65" i="5"/>
  <c r="O65" i="5" s="1"/>
  <c r="M64" i="5"/>
  <c r="T64" i="5" s="1"/>
  <c r="V64" i="5" s="1"/>
  <c r="W64" i="5" s="1"/>
  <c r="M63" i="5"/>
  <c r="O63" i="5" s="1"/>
  <c r="M62" i="5"/>
  <c r="T62" i="5" s="1"/>
  <c r="V62" i="5" s="1"/>
  <c r="W62" i="5" s="1"/>
  <c r="M61" i="5"/>
  <c r="M60" i="5"/>
  <c r="O60" i="5" s="1"/>
  <c r="M59" i="5"/>
  <c r="O59" i="5" s="1"/>
  <c r="M58" i="5"/>
  <c r="O58" i="5" s="1"/>
  <c r="M57" i="5"/>
  <c r="O57" i="5" s="1"/>
  <c r="M56" i="5"/>
  <c r="T56" i="5" s="1"/>
  <c r="V56" i="5" s="1"/>
  <c r="W56" i="5" s="1"/>
  <c r="M55" i="5"/>
  <c r="M54" i="5"/>
  <c r="O54" i="5" s="1"/>
  <c r="M53" i="5"/>
  <c r="M52" i="5"/>
  <c r="M51" i="5"/>
  <c r="T51" i="5" s="1"/>
  <c r="V51" i="5" s="1"/>
  <c r="W51" i="5" s="1"/>
  <c r="M50" i="5"/>
  <c r="T50" i="5" s="1"/>
  <c r="V50" i="5" s="1"/>
  <c r="W50" i="5" s="1"/>
  <c r="M49" i="5"/>
  <c r="T49" i="5" s="1"/>
  <c r="V49" i="5" s="1"/>
  <c r="W49" i="5" s="1"/>
  <c r="M48" i="5"/>
  <c r="T48" i="5" s="1"/>
  <c r="V48" i="5" s="1"/>
  <c r="W48" i="5" s="1"/>
  <c r="M47" i="5"/>
  <c r="T47" i="5" s="1"/>
  <c r="V47" i="5" s="1"/>
  <c r="W47" i="5" s="1"/>
  <c r="M46" i="5"/>
  <c r="T46" i="5" s="1"/>
  <c r="V46" i="5" s="1"/>
  <c r="W46" i="5" s="1"/>
  <c r="M45" i="5"/>
  <c r="T45" i="5" s="1"/>
  <c r="V45" i="5" s="1"/>
  <c r="W45" i="5" s="1"/>
  <c r="M44" i="5"/>
  <c r="O44" i="5" s="1"/>
  <c r="M43" i="5"/>
  <c r="O43" i="5" s="1"/>
  <c r="M42" i="5"/>
  <c r="T42" i="5" s="1"/>
  <c r="V42" i="5" s="1"/>
  <c r="W42" i="5" s="1"/>
  <c r="M41" i="5"/>
  <c r="T41" i="5" s="1"/>
  <c r="V41" i="5" s="1"/>
  <c r="W41" i="5" s="1"/>
  <c r="M40" i="5"/>
  <c r="O40" i="5" s="1"/>
  <c r="M39" i="5"/>
  <c r="O39" i="5" s="1"/>
  <c r="M38" i="5"/>
  <c r="T38" i="5" s="1"/>
  <c r="V38" i="5" s="1"/>
  <c r="W38" i="5" s="1"/>
  <c r="M37" i="5"/>
  <c r="T37" i="5" s="1"/>
  <c r="V37" i="5" s="1"/>
  <c r="W37" i="5" s="1"/>
  <c r="M36" i="5"/>
  <c r="M35" i="5"/>
  <c r="T35" i="5" s="1"/>
  <c r="V35" i="5" s="1"/>
  <c r="W35" i="5" s="1"/>
  <c r="M34" i="5"/>
  <c r="T34" i="5" s="1"/>
  <c r="V34" i="5" s="1"/>
  <c r="W34" i="5" s="1"/>
  <c r="M33" i="5"/>
  <c r="T33" i="5" s="1"/>
  <c r="V33" i="5" s="1"/>
  <c r="W33" i="5" s="1"/>
  <c r="M32" i="5"/>
  <c r="T32" i="5" s="1"/>
  <c r="V32" i="5" s="1"/>
  <c r="W32" i="5" s="1"/>
  <c r="M31" i="5"/>
  <c r="T31" i="5" s="1"/>
  <c r="V31" i="5" s="1"/>
  <c r="W31" i="5" s="1"/>
  <c r="M30" i="5"/>
  <c r="T30" i="5" s="1"/>
  <c r="V30" i="5" s="1"/>
  <c r="W30" i="5" s="1"/>
  <c r="M29" i="5"/>
  <c r="M28" i="5"/>
  <c r="O28" i="5" s="1"/>
  <c r="M27" i="5"/>
  <c r="T27" i="5" s="1"/>
  <c r="V27" i="5" s="1"/>
  <c r="W27" i="5" s="1"/>
  <c r="M26" i="5"/>
  <c r="T26" i="5" s="1"/>
  <c r="V26" i="5" s="1"/>
  <c r="W26" i="5" s="1"/>
  <c r="M25" i="5"/>
  <c r="T25" i="5" s="1"/>
  <c r="V25" i="5" s="1"/>
  <c r="W25" i="5" s="1"/>
  <c r="M24" i="5"/>
  <c r="T24" i="5" s="1"/>
  <c r="V24" i="5" s="1"/>
  <c r="W24" i="5" s="1"/>
  <c r="M23" i="5"/>
  <c r="M22" i="5"/>
  <c r="T22" i="5" s="1"/>
  <c r="V22" i="5" s="1"/>
  <c r="W22" i="5" s="1"/>
  <c r="M21" i="5"/>
  <c r="M20" i="5"/>
  <c r="M19" i="5"/>
  <c r="O19" i="5" s="1"/>
  <c r="M18" i="5"/>
  <c r="O18" i="5" s="1"/>
  <c r="M17" i="5"/>
  <c r="O17" i="5" s="1"/>
  <c r="M16" i="5"/>
  <c r="O16" i="5" s="1"/>
  <c r="M15" i="5"/>
  <c r="O15" i="5" s="1"/>
  <c r="M14" i="5"/>
  <c r="O14" i="5" s="1"/>
  <c r="M13" i="5"/>
  <c r="M12" i="5"/>
  <c r="T12" i="5" s="1"/>
  <c r="V12" i="5" s="1"/>
  <c r="W12" i="5" s="1"/>
  <c r="M11" i="5"/>
  <c r="O11" i="5" s="1"/>
  <c r="M10" i="5"/>
  <c r="T10" i="5" s="1"/>
  <c r="V10" i="5" s="1"/>
  <c r="W10" i="5" s="1"/>
  <c r="M9" i="5"/>
  <c r="O9" i="5" s="1"/>
  <c r="M8" i="5"/>
  <c r="T8" i="5" s="1"/>
  <c r="V8" i="5" s="1"/>
  <c r="W8" i="5" s="1"/>
  <c r="M7" i="5"/>
  <c r="T7" i="5" s="1"/>
  <c r="V7" i="5" s="1"/>
  <c r="W7" i="5" s="1"/>
  <c r="M6" i="5"/>
  <c r="T6" i="5" s="1"/>
  <c r="V6" i="5" s="1"/>
  <c r="W6" i="5" s="1"/>
  <c r="M5" i="5"/>
  <c r="T5" i="5" s="1"/>
  <c r="V5" i="5" s="1"/>
  <c r="W5" i="5" s="1"/>
  <c r="M4" i="5"/>
  <c r="M3" i="5"/>
  <c r="O3" i="5" s="1"/>
  <c r="M2" i="5"/>
  <c r="O2" i="5" s="1"/>
  <c r="M2" i="4"/>
  <c r="X2" i="4" s="1"/>
  <c r="Z2" i="4" s="1"/>
  <c r="AA2" i="4" s="1"/>
  <c r="M3" i="4"/>
  <c r="O3" i="4" s="1"/>
  <c r="M4" i="4"/>
  <c r="O4" i="4" s="1"/>
  <c r="M5" i="4"/>
  <c r="M6" i="4"/>
  <c r="M7" i="4"/>
  <c r="M8" i="4"/>
  <c r="M9" i="4"/>
  <c r="O9" i="4" s="1"/>
  <c r="M10" i="4"/>
  <c r="M11" i="4"/>
  <c r="M12" i="4"/>
  <c r="M13" i="4"/>
  <c r="O13" i="4" s="1"/>
  <c r="M14" i="4"/>
  <c r="O14" i="4" s="1"/>
  <c r="M15" i="4"/>
  <c r="X15" i="4" s="1"/>
  <c r="Z15" i="4" s="1"/>
  <c r="AA15" i="4" s="1"/>
  <c r="M16" i="4"/>
  <c r="X16" i="4" s="1"/>
  <c r="Z16" i="4" s="1"/>
  <c r="AA16" i="4" s="1"/>
  <c r="M17" i="4"/>
  <c r="X17" i="4" s="1"/>
  <c r="Z17" i="4" s="1"/>
  <c r="AA17" i="4" s="1"/>
  <c r="M18" i="4"/>
  <c r="X18" i="4" s="1"/>
  <c r="Z18" i="4" s="1"/>
  <c r="AA18" i="4" s="1"/>
  <c r="M19" i="4"/>
  <c r="O19" i="4" s="1"/>
  <c r="M20" i="4"/>
  <c r="O20" i="4" s="1"/>
  <c r="M21" i="4"/>
  <c r="M22" i="4"/>
  <c r="M23" i="4"/>
  <c r="M24" i="4"/>
  <c r="M25" i="4"/>
  <c r="X25" i="4" s="1"/>
  <c r="Z25" i="4" s="1"/>
  <c r="AA25" i="4" s="1"/>
  <c r="M26" i="4"/>
  <c r="X26" i="4" s="1"/>
  <c r="Z26" i="4" s="1"/>
  <c r="AA26" i="4" s="1"/>
  <c r="M27" i="4"/>
  <c r="X27" i="4" s="1"/>
  <c r="Z27" i="4" s="1"/>
  <c r="AA27" i="4" s="1"/>
  <c r="M28" i="4"/>
  <c r="X28" i="4" s="1"/>
  <c r="Z28" i="4" s="1"/>
  <c r="AA28" i="4" s="1"/>
  <c r="M29" i="4"/>
  <c r="X29" i="4" s="1"/>
  <c r="Z29" i="4" s="1"/>
  <c r="AA29" i="4" s="1"/>
  <c r="M30" i="4"/>
  <c r="X30" i="4" s="1"/>
  <c r="Z30" i="4" s="1"/>
  <c r="AA30" i="4" s="1"/>
  <c r="M31" i="4"/>
  <c r="X31" i="4" s="1"/>
  <c r="Z31" i="4" s="1"/>
  <c r="AA31" i="4" s="1"/>
  <c r="M32" i="4"/>
  <c r="O32" i="4" s="1"/>
  <c r="M33" i="4"/>
  <c r="X33" i="4" s="1"/>
  <c r="Z33" i="4" s="1"/>
  <c r="AA33" i="4" s="1"/>
  <c r="M34" i="4"/>
  <c r="X34" i="4" s="1"/>
  <c r="Z34" i="4" s="1"/>
  <c r="AA34" i="4" s="1"/>
  <c r="M35" i="4"/>
  <c r="X35" i="4" s="1"/>
  <c r="Z35" i="4" s="1"/>
  <c r="AA35" i="4" s="1"/>
  <c r="M36" i="4"/>
  <c r="X36" i="4" s="1"/>
  <c r="Z36" i="4" s="1"/>
  <c r="AA36" i="4" s="1"/>
  <c r="M37" i="4"/>
  <c r="M38" i="4"/>
  <c r="M39" i="4"/>
  <c r="M40" i="4"/>
  <c r="O40" i="4" s="1"/>
  <c r="M41" i="4"/>
  <c r="X41" i="4" s="1"/>
  <c r="Z41" i="4" s="1"/>
  <c r="AA41" i="4" s="1"/>
  <c r="M42" i="4"/>
  <c r="M43" i="4"/>
  <c r="X43" i="4" s="1"/>
  <c r="Z43" i="4" s="1"/>
  <c r="AA43" i="4" s="1"/>
  <c r="M44" i="4"/>
  <c r="X44" i="4" s="1"/>
  <c r="Z44" i="4" s="1"/>
  <c r="AA44" i="4" s="1"/>
  <c r="M45" i="4"/>
  <c r="X45" i="4" s="1"/>
  <c r="Z45" i="4" s="1"/>
  <c r="AA45" i="4" s="1"/>
  <c r="M46" i="4"/>
  <c r="X46" i="4" s="1"/>
  <c r="Z46" i="4" s="1"/>
  <c r="AA46" i="4" s="1"/>
  <c r="M47" i="4"/>
  <c r="X47" i="4" s="1"/>
  <c r="Z47" i="4" s="1"/>
  <c r="AA47" i="4" s="1"/>
  <c r="M48" i="4"/>
  <c r="X48" i="4" s="1"/>
  <c r="Z48" i="4" s="1"/>
  <c r="AA48" i="4" s="1"/>
  <c r="M49" i="4"/>
  <c r="O49" i="4" s="1"/>
  <c r="M50" i="4"/>
  <c r="X50" i="4" s="1"/>
  <c r="Z50" i="4" s="1"/>
  <c r="AA50" i="4" s="1"/>
  <c r="M51" i="4"/>
  <c r="X51" i="4" s="1"/>
  <c r="Z51" i="4" s="1"/>
  <c r="AA51" i="4" s="1"/>
  <c r="M52" i="4"/>
  <c r="X52" i="4" s="1"/>
  <c r="Z52" i="4" s="1"/>
  <c r="AA52" i="4" s="1"/>
  <c r="M53" i="4"/>
  <c r="M54" i="4"/>
  <c r="M55" i="4"/>
  <c r="M56" i="4"/>
  <c r="O56" i="4" s="1"/>
  <c r="M57" i="4"/>
  <c r="X57" i="4" s="1"/>
  <c r="Z57" i="4" s="1"/>
  <c r="AA57" i="4" s="1"/>
  <c r="M58" i="4"/>
  <c r="M59" i="4"/>
  <c r="X59" i="4" s="1"/>
  <c r="Z59" i="4" s="1"/>
  <c r="AA59" i="4" s="1"/>
  <c r="M60" i="4"/>
  <c r="X60" i="4" s="1"/>
  <c r="Z60" i="4" s="1"/>
  <c r="AA60" i="4" s="1"/>
  <c r="M61" i="4"/>
  <c r="X61" i="4" s="1"/>
  <c r="Z61" i="4" s="1"/>
  <c r="AA61" i="4" s="1"/>
  <c r="M62" i="4"/>
  <c r="O62" i="4" s="1"/>
  <c r="M63" i="4"/>
  <c r="X63" i="4" s="1"/>
  <c r="Z63" i="4" s="1"/>
  <c r="AA63" i="4" s="1"/>
  <c r="M64" i="4"/>
  <c r="O64" i="4" s="1"/>
  <c r="M65" i="4"/>
  <c r="X65" i="4" s="1"/>
  <c r="Z65" i="4" s="1"/>
  <c r="AA65" i="4" s="1"/>
  <c r="M66" i="4"/>
  <c r="O66" i="4" s="1"/>
  <c r="M67" i="4"/>
  <c r="X67" i="4" s="1"/>
  <c r="Z67" i="4" s="1"/>
  <c r="AA67" i="4" s="1"/>
  <c r="M68" i="4"/>
  <c r="X68" i="4" s="1"/>
  <c r="Z68" i="4" s="1"/>
  <c r="AA68" i="4" s="1"/>
  <c r="M69" i="4"/>
  <c r="M70" i="4"/>
  <c r="M71" i="4"/>
  <c r="M72" i="4"/>
  <c r="X72" i="4" s="1"/>
  <c r="Z72" i="4" s="1"/>
  <c r="AA72" i="4" s="1"/>
  <c r="M73" i="4"/>
  <c r="X73" i="4" s="1"/>
  <c r="Z73" i="4" s="1"/>
  <c r="AA73" i="4" s="1"/>
  <c r="M74" i="4"/>
  <c r="M75" i="4"/>
  <c r="X75" i="4" s="1"/>
  <c r="Z75" i="4" s="1"/>
  <c r="AA75" i="4" s="1"/>
  <c r="M76" i="4"/>
  <c r="X76" i="4" s="1"/>
  <c r="Z76" i="4" s="1"/>
  <c r="AA76" i="4" s="1"/>
  <c r="M77" i="4"/>
  <c r="O77" i="4" s="1"/>
  <c r="M78" i="4"/>
  <c r="M79" i="4"/>
  <c r="X79" i="4" s="1"/>
  <c r="Z79" i="4" s="1"/>
  <c r="AA79" i="4" s="1"/>
  <c r="M80" i="4"/>
  <c r="O80" i="4" s="1"/>
  <c r="M81" i="4"/>
  <c r="X81" i="4" s="1"/>
  <c r="Z81" i="4" s="1"/>
  <c r="AA81" i="4" s="1"/>
  <c r="M82" i="4"/>
  <c r="X82" i="4" s="1"/>
  <c r="Z82" i="4" s="1"/>
  <c r="AA82" i="4" s="1"/>
  <c r="M83" i="4"/>
  <c r="X83" i="4" s="1"/>
  <c r="Z83" i="4" s="1"/>
  <c r="AA83" i="4" s="1"/>
  <c r="M84" i="4"/>
  <c r="O84" i="4" s="1"/>
  <c r="M85" i="4"/>
  <c r="M86" i="4"/>
  <c r="M87" i="4"/>
  <c r="X87" i="4" s="1"/>
  <c r="Z87" i="4" s="1"/>
  <c r="AA87" i="4" s="1"/>
  <c r="M88" i="4"/>
  <c r="X88" i="4" s="1"/>
  <c r="Z88" i="4" s="1"/>
  <c r="AA88" i="4" s="1"/>
  <c r="M89" i="4"/>
  <c r="O89" i="4" s="1"/>
  <c r="M90" i="4"/>
  <c r="X90" i="4" s="1"/>
  <c r="Z90" i="4" s="1"/>
  <c r="AA90" i="4" s="1"/>
  <c r="M91" i="4"/>
  <c r="X91" i="4" s="1"/>
  <c r="Z91" i="4" s="1"/>
  <c r="AA91" i="4" s="1"/>
  <c r="M92" i="4"/>
  <c r="X92" i="4" s="1"/>
  <c r="Z92" i="4" s="1"/>
  <c r="AA92" i="4" s="1"/>
  <c r="M93" i="4"/>
  <c r="M94" i="4"/>
  <c r="X94" i="4" s="1"/>
  <c r="Z94" i="4" s="1"/>
  <c r="AA94" i="4" s="1"/>
  <c r="M95" i="4"/>
  <c r="X95" i="4" s="1"/>
  <c r="Z95" i="4" s="1"/>
  <c r="AA95" i="4" s="1"/>
  <c r="M96" i="4"/>
  <c r="X96" i="4" s="1"/>
  <c r="Z96" i="4" s="1"/>
  <c r="AA96" i="4" s="1"/>
  <c r="M97" i="4"/>
  <c r="X97" i="4" s="1"/>
  <c r="Z97" i="4" s="1"/>
  <c r="AA97" i="4" s="1"/>
  <c r="M98" i="4"/>
  <c r="X98" i="4" s="1"/>
  <c r="Z98" i="4" s="1"/>
  <c r="AA98" i="4" s="1"/>
  <c r="M99" i="4"/>
  <c r="X99" i="4" s="1"/>
  <c r="Z99" i="4" s="1"/>
  <c r="AA99" i="4" s="1"/>
  <c r="M100" i="4"/>
  <c r="O100" i="4" s="1"/>
  <c r="M101" i="4"/>
  <c r="O8" i="4"/>
  <c r="O7" i="4"/>
  <c r="O6" i="4"/>
  <c r="M141" i="3"/>
  <c r="M140" i="3"/>
  <c r="M139" i="3"/>
  <c r="M138" i="3"/>
  <c r="M137" i="3"/>
  <c r="M136" i="3"/>
  <c r="M135" i="3"/>
  <c r="P135" i="3" s="1"/>
  <c r="R135" i="3" s="1"/>
  <c r="S135" i="3" s="1"/>
  <c r="M134" i="3"/>
  <c r="P134" i="3" s="1"/>
  <c r="R134" i="3" s="1"/>
  <c r="S134" i="3" s="1"/>
  <c r="M133" i="3"/>
  <c r="O133" i="3" s="1"/>
  <c r="M132" i="3"/>
  <c r="P132" i="3" s="1"/>
  <c r="R132" i="3" s="1"/>
  <c r="S132" i="3" s="1"/>
  <c r="M131" i="3"/>
  <c r="M130" i="3"/>
  <c r="M129" i="3"/>
  <c r="M128" i="3"/>
  <c r="M127" i="3"/>
  <c r="P127" i="3" s="1"/>
  <c r="R127" i="3" s="1"/>
  <c r="S127" i="3" s="1"/>
  <c r="M126" i="3"/>
  <c r="P126" i="3" s="1"/>
  <c r="R126" i="3" s="1"/>
  <c r="S126" i="3" s="1"/>
  <c r="M125" i="3"/>
  <c r="M124" i="3"/>
  <c r="M123" i="3"/>
  <c r="M122" i="3"/>
  <c r="M121" i="3"/>
  <c r="M120" i="3"/>
  <c r="M119" i="3"/>
  <c r="M118" i="3"/>
  <c r="O118" i="3" s="1"/>
  <c r="M117" i="3"/>
  <c r="P117" i="3" s="1"/>
  <c r="R117" i="3" s="1"/>
  <c r="S117" i="3" s="1"/>
  <c r="M116" i="3"/>
  <c r="P116" i="3" s="1"/>
  <c r="R116" i="3" s="1"/>
  <c r="S116" i="3" s="1"/>
  <c r="M115" i="3"/>
  <c r="M114" i="3"/>
  <c r="O114" i="3" s="1"/>
  <c r="M113" i="3"/>
  <c r="O113" i="3" s="1"/>
  <c r="M112" i="3"/>
  <c r="P112" i="3" s="1"/>
  <c r="R112" i="3" s="1"/>
  <c r="S112" i="3" s="1"/>
  <c r="M111" i="3"/>
  <c r="P111" i="3" s="1"/>
  <c r="R111" i="3" s="1"/>
  <c r="S111" i="3" s="1"/>
  <c r="M110" i="3"/>
  <c r="P110" i="3" s="1"/>
  <c r="R110" i="3" s="1"/>
  <c r="S110" i="3" s="1"/>
  <c r="M109" i="3"/>
  <c r="M108" i="3"/>
  <c r="P108" i="3" s="1"/>
  <c r="R108" i="3" s="1"/>
  <c r="S108" i="3" s="1"/>
  <c r="M107" i="3"/>
  <c r="O107" i="3" s="1"/>
  <c r="M106" i="3"/>
  <c r="P106" i="3" s="1"/>
  <c r="R106" i="3" s="1"/>
  <c r="S106" i="3" s="1"/>
  <c r="M105" i="3"/>
  <c r="M104" i="3"/>
  <c r="M103" i="3"/>
  <c r="P103" i="3" s="1"/>
  <c r="R103" i="3" s="1"/>
  <c r="S103" i="3" s="1"/>
  <c r="M102" i="3"/>
  <c r="P102" i="3" s="1"/>
  <c r="R102" i="3" s="1"/>
  <c r="S102" i="3" s="1"/>
  <c r="M101" i="3"/>
  <c r="P101" i="3" s="1"/>
  <c r="R101" i="3" s="1"/>
  <c r="S101" i="3" s="1"/>
  <c r="M100" i="3"/>
  <c r="P100" i="3" s="1"/>
  <c r="R100" i="3" s="1"/>
  <c r="S100" i="3" s="1"/>
  <c r="M99" i="3"/>
  <c r="P99" i="3" s="1"/>
  <c r="R99" i="3" s="1"/>
  <c r="S99" i="3" s="1"/>
  <c r="M98" i="3"/>
  <c r="M97" i="3"/>
  <c r="P97" i="3" s="1"/>
  <c r="R97" i="3" s="1"/>
  <c r="S97" i="3" s="1"/>
  <c r="M96" i="3"/>
  <c r="O96" i="3" s="1"/>
  <c r="M95" i="3"/>
  <c r="P95" i="3" s="1"/>
  <c r="R95" i="3" s="1"/>
  <c r="S95" i="3" s="1"/>
  <c r="M94" i="3"/>
  <c r="P94" i="3" s="1"/>
  <c r="R94" i="3" s="1"/>
  <c r="S94" i="3" s="1"/>
  <c r="M93" i="3"/>
  <c r="P93" i="3" s="1"/>
  <c r="R93" i="3" s="1"/>
  <c r="S93" i="3" s="1"/>
  <c r="M92" i="3"/>
  <c r="P92" i="3" s="1"/>
  <c r="R92" i="3" s="1"/>
  <c r="S92" i="3" s="1"/>
  <c r="M91" i="3"/>
  <c r="P91" i="3" s="1"/>
  <c r="R91" i="3" s="1"/>
  <c r="S91" i="3" s="1"/>
  <c r="M90" i="3"/>
  <c r="P90" i="3" s="1"/>
  <c r="R90" i="3" s="1"/>
  <c r="S90" i="3" s="1"/>
  <c r="M89" i="3"/>
  <c r="M88" i="3"/>
  <c r="M87" i="3"/>
  <c r="P87" i="3" s="1"/>
  <c r="R87" i="3" s="1"/>
  <c r="S87" i="3" s="1"/>
  <c r="M86" i="3"/>
  <c r="P86" i="3" s="1"/>
  <c r="R86" i="3" s="1"/>
  <c r="S86" i="3" s="1"/>
  <c r="M85" i="3"/>
  <c r="P85" i="3" s="1"/>
  <c r="R85" i="3" s="1"/>
  <c r="S85" i="3" s="1"/>
  <c r="M84" i="3"/>
  <c r="P84" i="3" s="1"/>
  <c r="R84" i="3" s="1"/>
  <c r="S84" i="3" s="1"/>
  <c r="M83" i="3"/>
  <c r="P83" i="3" s="1"/>
  <c r="R83" i="3" s="1"/>
  <c r="S83" i="3" s="1"/>
  <c r="M82" i="3"/>
  <c r="M81" i="3"/>
  <c r="M80" i="3"/>
  <c r="O80" i="3" s="1"/>
  <c r="M79" i="3"/>
  <c r="P79" i="3" s="1"/>
  <c r="R79" i="3" s="1"/>
  <c r="S79" i="3" s="1"/>
  <c r="M78" i="3"/>
  <c r="O78" i="3" s="1"/>
  <c r="M77" i="3"/>
  <c r="P77" i="3" s="1"/>
  <c r="R77" i="3" s="1"/>
  <c r="S77" i="3" s="1"/>
  <c r="M76" i="3"/>
  <c r="P76" i="3" s="1"/>
  <c r="R76" i="3" s="1"/>
  <c r="S76" i="3" s="1"/>
  <c r="M75" i="3"/>
  <c r="P75" i="3" s="1"/>
  <c r="R75" i="3" s="1"/>
  <c r="S75" i="3" s="1"/>
  <c r="M74" i="3"/>
  <c r="O74" i="3" s="1"/>
  <c r="M73" i="3"/>
  <c r="M72" i="3"/>
  <c r="M71" i="3"/>
  <c r="O71" i="3" s="1"/>
  <c r="M70" i="3"/>
  <c r="P70" i="3" s="1"/>
  <c r="R70" i="3" s="1"/>
  <c r="S70" i="3" s="1"/>
  <c r="M69" i="3"/>
  <c r="P69" i="3" s="1"/>
  <c r="R69" i="3" s="1"/>
  <c r="S69" i="3" s="1"/>
  <c r="M68" i="3"/>
  <c r="O68" i="3" s="1"/>
  <c r="M67" i="3"/>
  <c r="P67" i="3" s="1"/>
  <c r="R67" i="3" s="1"/>
  <c r="S67" i="3" s="1"/>
  <c r="M66" i="3"/>
  <c r="P66" i="3" s="1"/>
  <c r="R66" i="3" s="1"/>
  <c r="S66" i="3" s="1"/>
  <c r="M65" i="3"/>
  <c r="P65" i="3" s="1"/>
  <c r="R65" i="3" s="1"/>
  <c r="S65" i="3" s="1"/>
  <c r="M64" i="3"/>
  <c r="O64" i="3" s="1"/>
  <c r="M63" i="3"/>
  <c r="P63" i="3" s="1"/>
  <c r="R63" i="3" s="1"/>
  <c r="S63" i="3" s="1"/>
  <c r="M62" i="3"/>
  <c r="P62" i="3" s="1"/>
  <c r="R62" i="3" s="1"/>
  <c r="S62" i="3" s="1"/>
  <c r="M61" i="3"/>
  <c r="O61" i="3" s="1"/>
  <c r="M60" i="3"/>
  <c r="P60" i="3" s="1"/>
  <c r="R60" i="3" s="1"/>
  <c r="S60" i="3" s="1"/>
  <c r="M59" i="3"/>
  <c r="P59" i="3" s="1"/>
  <c r="R59" i="3" s="1"/>
  <c r="S59" i="3" s="1"/>
  <c r="M58" i="3"/>
  <c r="P58" i="3" s="1"/>
  <c r="R58" i="3" s="1"/>
  <c r="S58" i="3" s="1"/>
  <c r="M57" i="3"/>
  <c r="M56" i="3"/>
  <c r="M55" i="3"/>
  <c r="M54" i="3"/>
  <c r="O54" i="3" s="1"/>
  <c r="M53" i="3"/>
  <c r="O53" i="3" s="1"/>
  <c r="M52" i="3"/>
  <c r="P52" i="3" s="1"/>
  <c r="R52" i="3" s="1"/>
  <c r="S52" i="3" s="1"/>
  <c r="M51" i="3"/>
  <c r="P51" i="3" s="1"/>
  <c r="R51" i="3" s="1"/>
  <c r="S51" i="3" s="1"/>
  <c r="M50" i="3"/>
  <c r="O50" i="3" s="1"/>
  <c r="M49" i="3"/>
  <c r="M48" i="3"/>
  <c r="O48" i="3" s="1"/>
  <c r="M47" i="3"/>
  <c r="P47" i="3" s="1"/>
  <c r="R47" i="3" s="1"/>
  <c r="S47" i="3" s="1"/>
  <c r="M46" i="3"/>
  <c r="O46" i="3" s="1"/>
  <c r="M45" i="3"/>
  <c r="O45" i="3" s="1"/>
  <c r="M44" i="3"/>
  <c r="P44" i="3" s="1"/>
  <c r="R44" i="3" s="1"/>
  <c r="S44" i="3" s="1"/>
  <c r="M43" i="3"/>
  <c r="P43" i="3" s="1"/>
  <c r="R43" i="3" s="1"/>
  <c r="S43" i="3" s="1"/>
  <c r="M42" i="3"/>
  <c r="P42" i="3" s="1"/>
  <c r="R42" i="3" s="1"/>
  <c r="S42" i="3" s="1"/>
  <c r="M41" i="3"/>
  <c r="M40" i="3"/>
  <c r="M39" i="3"/>
  <c r="O39" i="3" s="1"/>
  <c r="M38" i="3"/>
  <c r="P38" i="3" s="1"/>
  <c r="R38" i="3" s="1"/>
  <c r="S38" i="3" s="1"/>
  <c r="M37" i="3"/>
  <c r="P37" i="3" s="1"/>
  <c r="R37" i="3" s="1"/>
  <c r="S37" i="3" s="1"/>
  <c r="M36" i="3"/>
  <c r="O36" i="3" s="1"/>
  <c r="M35" i="3"/>
  <c r="P35" i="3" s="1"/>
  <c r="R35" i="3" s="1"/>
  <c r="S35" i="3" s="1"/>
  <c r="M34" i="3"/>
  <c r="O34" i="3" s="1"/>
  <c r="M33" i="3"/>
  <c r="M32" i="3"/>
  <c r="P32" i="3" s="1"/>
  <c r="R32" i="3" s="1"/>
  <c r="S32" i="3" s="1"/>
  <c r="M31" i="3"/>
  <c r="P31" i="3" s="1"/>
  <c r="R31" i="3" s="1"/>
  <c r="S31" i="3" s="1"/>
  <c r="M30" i="3"/>
  <c r="P30" i="3" s="1"/>
  <c r="R30" i="3" s="1"/>
  <c r="S30" i="3" s="1"/>
  <c r="M29" i="3"/>
  <c r="O29" i="3" s="1"/>
  <c r="M28" i="3"/>
  <c r="P28" i="3" s="1"/>
  <c r="R28" i="3" s="1"/>
  <c r="S28" i="3" s="1"/>
  <c r="M27" i="3"/>
  <c r="P27" i="3" s="1"/>
  <c r="R27" i="3" s="1"/>
  <c r="S27" i="3" s="1"/>
  <c r="M26" i="3"/>
  <c r="P26" i="3" s="1"/>
  <c r="R26" i="3" s="1"/>
  <c r="S26" i="3" s="1"/>
  <c r="M25" i="3"/>
  <c r="M24" i="3"/>
  <c r="M23" i="3"/>
  <c r="O23" i="3" s="1"/>
  <c r="M22" i="3"/>
  <c r="P22" i="3" s="1"/>
  <c r="R22" i="3" s="1"/>
  <c r="S22" i="3" s="1"/>
  <c r="M21" i="3"/>
  <c r="O21" i="3" s="1"/>
  <c r="M20" i="3"/>
  <c r="O20" i="3" s="1"/>
  <c r="M19" i="3"/>
  <c r="P19" i="3" s="1"/>
  <c r="R19" i="3" s="1"/>
  <c r="S19" i="3" s="1"/>
  <c r="M18" i="3"/>
  <c r="P18" i="3" s="1"/>
  <c r="R18" i="3" s="1"/>
  <c r="S18" i="3" s="1"/>
  <c r="M17" i="3"/>
  <c r="M16" i="3"/>
  <c r="M15" i="3"/>
  <c r="P15" i="3" s="1"/>
  <c r="R15" i="3" s="1"/>
  <c r="S15" i="3" s="1"/>
  <c r="M14" i="3"/>
  <c r="P14" i="3" s="1"/>
  <c r="R14" i="3" s="1"/>
  <c r="S14" i="3" s="1"/>
  <c r="M13" i="3"/>
  <c r="P13" i="3" s="1"/>
  <c r="R13" i="3" s="1"/>
  <c r="S13" i="3" s="1"/>
  <c r="M12" i="3"/>
  <c r="P12" i="3" s="1"/>
  <c r="R12" i="3" s="1"/>
  <c r="S12" i="3" s="1"/>
  <c r="M11" i="3"/>
  <c r="O11" i="3" s="1"/>
  <c r="M10" i="3"/>
  <c r="P10" i="3" s="1"/>
  <c r="R10" i="3" s="1"/>
  <c r="S10" i="3" s="1"/>
  <c r="M9" i="3"/>
  <c r="P9" i="3" s="1"/>
  <c r="R9" i="3" s="1"/>
  <c r="S9" i="3" s="1"/>
  <c r="M8" i="3"/>
  <c r="P8" i="3" s="1"/>
  <c r="R8" i="3" s="1"/>
  <c r="S8" i="3" s="1"/>
  <c r="M7" i="3"/>
  <c r="M6" i="3"/>
  <c r="O6" i="3" s="1"/>
  <c r="M5" i="3"/>
  <c r="P5" i="3" s="1"/>
  <c r="R5" i="3" s="1"/>
  <c r="S5" i="3" s="1"/>
  <c r="M4" i="3"/>
  <c r="O4" i="3" s="1"/>
  <c r="M3" i="3"/>
  <c r="P3" i="3" s="1"/>
  <c r="R3" i="3" s="1"/>
  <c r="S3" i="3" s="1"/>
  <c r="M2" i="3"/>
  <c r="O2" i="3" s="1"/>
  <c r="X86" i="4"/>
  <c r="Z86" i="4" s="1"/>
  <c r="AA86" i="4" s="1"/>
  <c r="X74" i="4"/>
  <c r="Z74" i="4" s="1"/>
  <c r="AA74" i="4" s="1"/>
  <c r="X71" i="4"/>
  <c r="Z71" i="4" s="1"/>
  <c r="AA71" i="4" s="1"/>
  <c r="O70" i="4"/>
  <c r="X69" i="4"/>
  <c r="Z69" i="4" s="1"/>
  <c r="AA69" i="4" s="1"/>
  <c r="X58" i="4"/>
  <c r="Z58" i="4" s="1"/>
  <c r="AA58" i="4" s="1"/>
  <c r="X55" i="4"/>
  <c r="Z55" i="4" s="1"/>
  <c r="AA55" i="4" s="1"/>
  <c r="X54" i="4"/>
  <c r="Z54" i="4" s="1"/>
  <c r="AA54" i="4" s="1"/>
  <c r="X42" i="4"/>
  <c r="Z42" i="4" s="1"/>
  <c r="AA42" i="4" s="1"/>
  <c r="X39" i="4"/>
  <c r="Z39" i="4" s="1"/>
  <c r="AA39" i="4" s="1"/>
  <c r="X38" i="4"/>
  <c r="Z38" i="4" s="1"/>
  <c r="AA38" i="4" s="1"/>
  <c r="O24" i="4"/>
  <c r="O23" i="4"/>
  <c r="X22" i="4"/>
  <c r="Z22" i="4" s="1"/>
  <c r="AA22" i="4" s="1"/>
  <c r="O21" i="4"/>
  <c r="O5" i="4"/>
  <c r="O10" i="4"/>
  <c r="O11" i="4"/>
  <c r="O12" i="4"/>
  <c r="T141" i="5"/>
  <c r="V141" i="5" s="1"/>
  <c r="W141" i="5" s="1"/>
  <c r="O140" i="5"/>
  <c r="O139" i="5"/>
  <c r="T138" i="5"/>
  <c r="V138" i="5" s="1"/>
  <c r="W138" i="5" s="1"/>
  <c r="T137" i="5"/>
  <c r="V137" i="5" s="1"/>
  <c r="W137" i="5" s="1"/>
  <c r="T136" i="5"/>
  <c r="V136" i="5" s="1"/>
  <c r="W136" i="5" s="1"/>
  <c r="O135" i="5"/>
  <c r="T134" i="5"/>
  <c r="V134" i="5" s="1"/>
  <c r="W134" i="5" s="1"/>
  <c r="T133" i="5"/>
  <c r="V133" i="5" s="1"/>
  <c r="W133" i="5" s="1"/>
  <c r="T132" i="5"/>
  <c r="V132" i="5" s="1"/>
  <c r="W132" i="5" s="1"/>
  <c r="T131" i="5"/>
  <c r="V131" i="5" s="1"/>
  <c r="W131" i="5" s="1"/>
  <c r="O125" i="5"/>
  <c r="T124" i="5"/>
  <c r="V124" i="5" s="1"/>
  <c r="W124" i="5" s="1"/>
  <c r="O123" i="5"/>
  <c r="T122" i="5"/>
  <c r="V122" i="5" s="1"/>
  <c r="W122" i="5" s="1"/>
  <c r="T121" i="5"/>
  <c r="V121" i="5" s="1"/>
  <c r="W121" i="5" s="1"/>
  <c r="O120" i="5"/>
  <c r="T116" i="5"/>
  <c r="V116" i="5" s="1"/>
  <c r="W116" i="5" s="1"/>
  <c r="O115" i="5"/>
  <c r="T114" i="5"/>
  <c r="V114" i="5" s="1"/>
  <c r="W114" i="5" s="1"/>
  <c r="T105" i="5"/>
  <c r="V105" i="5" s="1"/>
  <c r="W105" i="5" s="1"/>
  <c r="T104" i="5"/>
  <c r="V104" i="5" s="1"/>
  <c r="W104" i="5" s="1"/>
  <c r="T101" i="5"/>
  <c r="V101" i="5" s="1"/>
  <c r="W101" i="5" s="1"/>
  <c r="O100" i="5"/>
  <c r="O99" i="5"/>
  <c r="T98" i="5"/>
  <c r="V98" i="5" s="1"/>
  <c r="W98" i="5" s="1"/>
  <c r="T94" i="5"/>
  <c r="V94" i="5" s="1"/>
  <c r="W94" i="5" s="1"/>
  <c r="O93" i="5"/>
  <c r="T85" i="5"/>
  <c r="V85" i="5" s="1"/>
  <c r="W85" i="5" s="1"/>
  <c r="O84" i="5"/>
  <c r="T83" i="5"/>
  <c r="V83" i="5" s="1"/>
  <c r="W83" i="5" s="1"/>
  <c r="T70" i="5"/>
  <c r="V70" i="5" s="1"/>
  <c r="W70" i="5" s="1"/>
  <c r="T69" i="5"/>
  <c r="V69" i="5" s="1"/>
  <c r="W69" i="5" s="1"/>
  <c r="T68" i="5"/>
  <c r="V68" i="5" s="1"/>
  <c r="W68" i="5" s="1"/>
  <c r="T61" i="5"/>
  <c r="V61" i="5" s="1"/>
  <c r="W61" i="5" s="1"/>
  <c r="T55" i="5"/>
  <c r="V55" i="5" s="1"/>
  <c r="W55" i="5" s="1"/>
  <c r="T53" i="5"/>
  <c r="V53" i="5" s="1"/>
  <c r="W53" i="5" s="1"/>
  <c r="T52" i="5"/>
  <c r="V52" i="5" s="1"/>
  <c r="W52" i="5" s="1"/>
  <c r="T36" i="5"/>
  <c r="V36" i="5" s="1"/>
  <c r="W36" i="5" s="1"/>
  <c r="T29" i="5"/>
  <c r="V29" i="5" s="1"/>
  <c r="W29" i="5" s="1"/>
  <c r="T23" i="5"/>
  <c r="V23" i="5" s="1"/>
  <c r="W23" i="5" s="1"/>
  <c r="T21" i="5"/>
  <c r="V21" i="5" s="1"/>
  <c r="W21" i="5" s="1"/>
  <c r="O20" i="5"/>
  <c r="T13" i="5"/>
  <c r="V13" i="5" s="1"/>
  <c r="W13" i="5" s="1"/>
  <c r="O4" i="5"/>
  <c r="X101" i="4"/>
  <c r="Z101" i="4" s="1"/>
  <c r="AA101" i="4" s="1"/>
  <c r="X93" i="4"/>
  <c r="Z93" i="4" s="1"/>
  <c r="AA93" i="4" s="1"/>
  <c r="O85" i="4"/>
  <c r="X78" i="4"/>
  <c r="Z78" i="4" s="1"/>
  <c r="AA78" i="4" s="1"/>
  <c r="X53" i="4"/>
  <c r="Z53" i="4" s="1"/>
  <c r="AA53" i="4" s="1"/>
  <c r="O37" i="4"/>
  <c r="X141" i="3"/>
  <c r="Z141" i="3" s="1"/>
  <c r="AA141" i="3" s="1"/>
  <c r="T141" i="3"/>
  <c r="V141" i="3" s="1"/>
  <c r="W141" i="3" s="1"/>
  <c r="P141" i="3"/>
  <c r="R141" i="3" s="1"/>
  <c r="S141" i="3" s="1"/>
  <c r="X140" i="3"/>
  <c r="Z140" i="3" s="1"/>
  <c r="AA140" i="3" s="1"/>
  <c r="T140" i="3"/>
  <c r="V140" i="3" s="1"/>
  <c r="W140" i="3" s="1"/>
  <c r="P140" i="3"/>
  <c r="R140" i="3" s="1"/>
  <c r="S140" i="3" s="1"/>
  <c r="X139" i="3"/>
  <c r="Z139" i="3" s="1"/>
  <c r="AA139" i="3" s="1"/>
  <c r="T139" i="3"/>
  <c r="V139" i="3" s="1"/>
  <c r="W139" i="3" s="1"/>
  <c r="P139" i="3"/>
  <c r="R139" i="3" s="1"/>
  <c r="S139" i="3" s="1"/>
  <c r="X138" i="3"/>
  <c r="Z138" i="3" s="1"/>
  <c r="AA138" i="3" s="1"/>
  <c r="T138" i="3"/>
  <c r="V138" i="3" s="1"/>
  <c r="W138" i="3" s="1"/>
  <c r="P138" i="3"/>
  <c r="R138" i="3" s="1"/>
  <c r="S138" i="3" s="1"/>
  <c r="X137" i="3"/>
  <c r="Z137" i="3" s="1"/>
  <c r="AA137" i="3" s="1"/>
  <c r="T137" i="3"/>
  <c r="V137" i="3" s="1"/>
  <c r="W137" i="3" s="1"/>
  <c r="P137" i="3"/>
  <c r="R137" i="3" s="1"/>
  <c r="S137" i="3" s="1"/>
  <c r="X136" i="3"/>
  <c r="Z136" i="3" s="1"/>
  <c r="AA136" i="3" s="1"/>
  <c r="T136" i="3"/>
  <c r="V136" i="3" s="1"/>
  <c r="W136" i="3" s="1"/>
  <c r="P136" i="3"/>
  <c r="R136" i="3" s="1"/>
  <c r="S136" i="3" s="1"/>
  <c r="X135" i="3"/>
  <c r="Z135" i="3" s="1"/>
  <c r="AA135" i="3" s="1"/>
  <c r="T135" i="3"/>
  <c r="V135" i="3" s="1"/>
  <c r="W135" i="3" s="1"/>
  <c r="X134" i="3"/>
  <c r="Z134" i="3" s="1"/>
  <c r="AA134" i="3" s="1"/>
  <c r="T134" i="3"/>
  <c r="V134" i="3" s="1"/>
  <c r="W134" i="3" s="1"/>
  <c r="X133" i="3"/>
  <c r="Z133" i="3" s="1"/>
  <c r="AA133" i="3" s="1"/>
  <c r="T133" i="3"/>
  <c r="V133" i="3" s="1"/>
  <c r="W133" i="3" s="1"/>
  <c r="X132" i="3"/>
  <c r="Z132" i="3" s="1"/>
  <c r="AA132" i="3" s="1"/>
  <c r="T132" i="3"/>
  <c r="V132" i="3" s="1"/>
  <c r="W132" i="3" s="1"/>
  <c r="X131" i="3"/>
  <c r="Z131" i="3" s="1"/>
  <c r="AA131" i="3" s="1"/>
  <c r="T131" i="3"/>
  <c r="V131" i="3" s="1"/>
  <c r="W131" i="3" s="1"/>
  <c r="P131" i="3"/>
  <c r="R131" i="3" s="1"/>
  <c r="S131" i="3" s="1"/>
  <c r="X130" i="3"/>
  <c r="Z130" i="3" s="1"/>
  <c r="AA130" i="3" s="1"/>
  <c r="T130" i="3"/>
  <c r="V130" i="3" s="1"/>
  <c r="W130" i="3" s="1"/>
  <c r="P130" i="3"/>
  <c r="R130" i="3" s="1"/>
  <c r="S130" i="3" s="1"/>
  <c r="X129" i="3"/>
  <c r="Z129" i="3" s="1"/>
  <c r="AA129" i="3" s="1"/>
  <c r="T129" i="3"/>
  <c r="V129" i="3" s="1"/>
  <c r="W129" i="3" s="1"/>
  <c r="P129" i="3"/>
  <c r="R129" i="3" s="1"/>
  <c r="S129" i="3" s="1"/>
  <c r="X128" i="3"/>
  <c r="Z128" i="3" s="1"/>
  <c r="AA128" i="3" s="1"/>
  <c r="T128" i="3"/>
  <c r="V128" i="3" s="1"/>
  <c r="W128" i="3" s="1"/>
  <c r="O128" i="3"/>
  <c r="X127" i="3"/>
  <c r="Z127" i="3" s="1"/>
  <c r="AA127" i="3" s="1"/>
  <c r="T127" i="3"/>
  <c r="V127" i="3" s="1"/>
  <c r="W127" i="3" s="1"/>
  <c r="X126" i="3"/>
  <c r="Z126" i="3" s="1"/>
  <c r="AA126" i="3" s="1"/>
  <c r="T126" i="3"/>
  <c r="V126" i="3" s="1"/>
  <c r="W126" i="3" s="1"/>
  <c r="X125" i="3"/>
  <c r="Z125" i="3" s="1"/>
  <c r="AA125" i="3" s="1"/>
  <c r="T125" i="3"/>
  <c r="V125" i="3" s="1"/>
  <c r="W125" i="3" s="1"/>
  <c r="P125" i="3"/>
  <c r="R125" i="3" s="1"/>
  <c r="S125" i="3" s="1"/>
  <c r="X124" i="3"/>
  <c r="Z124" i="3" s="1"/>
  <c r="AA124" i="3" s="1"/>
  <c r="T124" i="3"/>
  <c r="V124" i="3" s="1"/>
  <c r="W124" i="3" s="1"/>
  <c r="P124" i="3"/>
  <c r="R124" i="3" s="1"/>
  <c r="S124" i="3" s="1"/>
  <c r="X123" i="3"/>
  <c r="Z123" i="3" s="1"/>
  <c r="AA123" i="3" s="1"/>
  <c r="T123" i="3"/>
  <c r="V123" i="3" s="1"/>
  <c r="W123" i="3" s="1"/>
  <c r="P123" i="3"/>
  <c r="R123" i="3" s="1"/>
  <c r="S123" i="3" s="1"/>
  <c r="X122" i="3"/>
  <c r="Z122" i="3" s="1"/>
  <c r="AA122" i="3" s="1"/>
  <c r="T122" i="3"/>
  <c r="V122" i="3" s="1"/>
  <c r="W122" i="3" s="1"/>
  <c r="P122" i="3"/>
  <c r="R122" i="3" s="1"/>
  <c r="S122" i="3" s="1"/>
  <c r="X121" i="3"/>
  <c r="Z121" i="3" s="1"/>
  <c r="AA121" i="3" s="1"/>
  <c r="T121" i="3"/>
  <c r="V121" i="3" s="1"/>
  <c r="W121" i="3" s="1"/>
  <c r="P121" i="3"/>
  <c r="R121" i="3" s="1"/>
  <c r="S121" i="3" s="1"/>
  <c r="X120" i="3"/>
  <c r="Z120" i="3" s="1"/>
  <c r="AA120" i="3" s="1"/>
  <c r="T120" i="3"/>
  <c r="V120" i="3" s="1"/>
  <c r="W120" i="3" s="1"/>
  <c r="P120" i="3"/>
  <c r="R120" i="3" s="1"/>
  <c r="S120" i="3" s="1"/>
  <c r="X119" i="3"/>
  <c r="Z119" i="3" s="1"/>
  <c r="AA119" i="3" s="1"/>
  <c r="T119" i="3"/>
  <c r="V119" i="3" s="1"/>
  <c r="W119" i="3" s="1"/>
  <c r="P119" i="3"/>
  <c r="R119" i="3" s="1"/>
  <c r="S119" i="3" s="1"/>
  <c r="X118" i="3"/>
  <c r="Z118" i="3" s="1"/>
  <c r="AA118" i="3" s="1"/>
  <c r="T118" i="3"/>
  <c r="V118" i="3" s="1"/>
  <c r="W118" i="3" s="1"/>
  <c r="X117" i="3"/>
  <c r="Z117" i="3" s="1"/>
  <c r="AA117" i="3" s="1"/>
  <c r="T117" i="3"/>
  <c r="V117" i="3" s="1"/>
  <c r="W117" i="3" s="1"/>
  <c r="X116" i="3"/>
  <c r="Z116" i="3" s="1"/>
  <c r="AA116" i="3" s="1"/>
  <c r="T116" i="3"/>
  <c r="V116" i="3" s="1"/>
  <c r="W116" i="3" s="1"/>
  <c r="X115" i="3"/>
  <c r="Z115" i="3" s="1"/>
  <c r="AA115" i="3" s="1"/>
  <c r="T115" i="3"/>
  <c r="V115" i="3" s="1"/>
  <c r="W115" i="3" s="1"/>
  <c r="P115" i="3"/>
  <c r="R115" i="3" s="1"/>
  <c r="S115" i="3" s="1"/>
  <c r="X114" i="3"/>
  <c r="Z114" i="3" s="1"/>
  <c r="AA114" i="3" s="1"/>
  <c r="T114" i="3"/>
  <c r="V114" i="3" s="1"/>
  <c r="W114" i="3" s="1"/>
  <c r="X113" i="3"/>
  <c r="Z113" i="3" s="1"/>
  <c r="AA113" i="3" s="1"/>
  <c r="T113" i="3"/>
  <c r="V113" i="3" s="1"/>
  <c r="W113" i="3" s="1"/>
  <c r="X112" i="3"/>
  <c r="Z112" i="3" s="1"/>
  <c r="AA112" i="3" s="1"/>
  <c r="T112" i="3"/>
  <c r="V112" i="3" s="1"/>
  <c r="W112" i="3" s="1"/>
  <c r="X111" i="3"/>
  <c r="Z111" i="3" s="1"/>
  <c r="AA111" i="3" s="1"/>
  <c r="T111" i="3"/>
  <c r="V111" i="3" s="1"/>
  <c r="W111" i="3" s="1"/>
  <c r="X110" i="3"/>
  <c r="Z110" i="3" s="1"/>
  <c r="AA110" i="3" s="1"/>
  <c r="T110" i="3"/>
  <c r="V110" i="3" s="1"/>
  <c r="W110" i="3" s="1"/>
  <c r="X109" i="3"/>
  <c r="Z109" i="3" s="1"/>
  <c r="AA109" i="3" s="1"/>
  <c r="T109" i="3"/>
  <c r="V109" i="3" s="1"/>
  <c r="W109" i="3" s="1"/>
  <c r="X108" i="3"/>
  <c r="Z108" i="3" s="1"/>
  <c r="AA108" i="3" s="1"/>
  <c r="T108" i="3"/>
  <c r="V108" i="3" s="1"/>
  <c r="W108" i="3" s="1"/>
  <c r="X107" i="3"/>
  <c r="Z107" i="3" s="1"/>
  <c r="AA107" i="3" s="1"/>
  <c r="T107" i="3"/>
  <c r="V107" i="3" s="1"/>
  <c r="W107" i="3" s="1"/>
  <c r="X106" i="3"/>
  <c r="Z106" i="3" s="1"/>
  <c r="AA106" i="3" s="1"/>
  <c r="T106" i="3"/>
  <c r="V106" i="3" s="1"/>
  <c r="W106" i="3" s="1"/>
  <c r="X105" i="3"/>
  <c r="Z105" i="3" s="1"/>
  <c r="AA105" i="3" s="1"/>
  <c r="T105" i="3"/>
  <c r="V105" i="3" s="1"/>
  <c r="W105" i="3" s="1"/>
  <c r="P105" i="3"/>
  <c r="R105" i="3" s="1"/>
  <c r="S105" i="3" s="1"/>
  <c r="X104" i="3"/>
  <c r="Z104" i="3" s="1"/>
  <c r="AA104" i="3" s="1"/>
  <c r="T104" i="3"/>
  <c r="V104" i="3" s="1"/>
  <c r="W104" i="3" s="1"/>
  <c r="P104" i="3"/>
  <c r="R104" i="3" s="1"/>
  <c r="S104" i="3" s="1"/>
  <c r="X103" i="3"/>
  <c r="Z103" i="3" s="1"/>
  <c r="AA103" i="3" s="1"/>
  <c r="T103" i="3"/>
  <c r="V103" i="3" s="1"/>
  <c r="W103" i="3" s="1"/>
  <c r="X102" i="3"/>
  <c r="Z102" i="3" s="1"/>
  <c r="AA102" i="3" s="1"/>
  <c r="T102" i="3"/>
  <c r="V102" i="3" s="1"/>
  <c r="W102" i="3" s="1"/>
  <c r="X101" i="3"/>
  <c r="Z101" i="3" s="1"/>
  <c r="AA101" i="3" s="1"/>
  <c r="T101" i="3"/>
  <c r="V101" i="3" s="1"/>
  <c r="W101" i="3" s="1"/>
  <c r="X100" i="3"/>
  <c r="Z100" i="3" s="1"/>
  <c r="AA100" i="3" s="1"/>
  <c r="T100" i="3"/>
  <c r="V100" i="3" s="1"/>
  <c r="W100" i="3" s="1"/>
  <c r="X99" i="3"/>
  <c r="Z99" i="3" s="1"/>
  <c r="AA99" i="3" s="1"/>
  <c r="T99" i="3"/>
  <c r="V99" i="3" s="1"/>
  <c r="W99" i="3" s="1"/>
  <c r="X98" i="3"/>
  <c r="Z98" i="3" s="1"/>
  <c r="AA98" i="3" s="1"/>
  <c r="T98" i="3"/>
  <c r="V98" i="3" s="1"/>
  <c r="W98" i="3" s="1"/>
  <c r="P98" i="3"/>
  <c r="R98" i="3" s="1"/>
  <c r="S98" i="3" s="1"/>
  <c r="X97" i="3"/>
  <c r="Z97" i="3" s="1"/>
  <c r="AA97" i="3" s="1"/>
  <c r="T97" i="3"/>
  <c r="V97" i="3" s="1"/>
  <c r="W97" i="3" s="1"/>
  <c r="X96" i="3"/>
  <c r="Z96" i="3" s="1"/>
  <c r="AA96" i="3" s="1"/>
  <c r="T96" i="3"/>
  <c r="V96" i="3" s="1"/>
  <c r="W96" i="3" s="1"/>
  <c r="X95" i="3"/>
  <c r="Z95" i="3" s="1"/>
  <c r="AA95" i="3" s="1"/>
  <c r="T95" i="3"/>
  <c r="V95" i="3" s="1"/>
  <c r="W95" i="3" s="1"/>
  <c r="X94" i="3"/>
  <c r="Z94" i="3" s="1"/>
  <c r="AA94" i="3" s="1"/>
  <c r="T94" i="3"/>
  <c r="V94" i="3" s="1"/>
  <c r="W94" i="3" s="1"/>
  <c r="X93" i="3"/>
  <c r="Z93" i="3" s="1"/>
  <c r="AA93" i="3" s="1"/>
  <c r="T93" i="3"/>
  <c r="V93" i="3" s="1"/>
  <c r="W93" i="3" s="1"/>
  <c r="X92" i="3"/>
  <c r="Z92" i="3" s="1"/>
  <c r="AA92" i="3" s="1"/>
  <c r="T92" i="3"/>
  <c r="V92" i="3" s="1"/>
  <c r="W92" i="3" s="1"/>
  <c r="X91" i="3"/>
  <c r="Z91" i="3" s="1"/>
  <c r="AA91" i="3" s="1"/>
  <c r="T91" i="3"/>
  <c r="V91" i="3" s="1"/>
  <c r="W91" i="3" s="1"/>
  <c r="X90" i="3"/>
  <c r="Z90" i="3" s="1"/>
  <c r="AA90" i="3" s="1"/>
  <c r="T90" i="3"/>
  <c r="V90" i="3" s="1"/>
  <c r="W90" i="3" s="1"/>
  <c r="X89" i="3"/>
  <c r="Z89" i="3" s="1"/>
  <c r="AA89" i="3" s="1"/>
  <c r="T89" i="3"/>
  <c r="V89" i="3" s="1"/>
  <c r="W89" i="3" s="1"/>
  <c r="P89" i="3"/>
  <c r="R89" i="3" s="1"/>
  <c r="S89" i="3" s="1"/>
  <c r="X88" i="3"/>
  <c r="Z88" i="3" s="1"/>
  <c r="AA88" i="3" s="1"/>
  <c r="T88" i="3"/>
  <c r="V88" i="3" s="1"/>
  <c r="W88" i="3" s="1"/>
  <c r="O88" i="3"/>
  <c r="X87" i="3"/>
  <c r="Z87" i="3" s="1"/>
  <c r="AA87" i="3" s="1"/>
  <c r="T87" i="3"/>
  <c r="V87" i="3" s="1"/>
  <c r="W87" i="3" s="1"/>
  <c r="X86" i="3"/>
  <c r="Z86" i="3" s="1"/>
  <c r="AA86" i="3" s="1"/>
  <c r="T86" i="3"/>
  <c r="V86" i="3" s="1"/>
  <c r="W86" i="3" s="1"/>
  <c r="X85" i="3"/>
  <c r="Z85" i="3" s="1"/>
  <c r="AA85" i="3" s="1"/>
  <c r="T85" i="3"/>
  <c r="V85" i="3" s="1"/>
  <c r="W85" i="3" s="1"/>
  <c r="X84" i="3"/>
  <c r="Z84" i="3" s="1"/>
  <c r="AA84" i="3" s="1"/>
  <c r="T84" i="3"/>
  <c r="V84" i="3" s="1"/>
  <c r="W84" i="3" s="1"/>
  <c r="X83" i="3"/>
  <c r="Z83" i="3" s="1"/>
  <c r="AA83" i="3" s="1"/>
  <c r="T83" i="3"/>
  <c r="V83" i="3" s="1"/>
  <c r="W83" i="3" s="1"/>
  <c r="X82" i="3"/>
  <c r="Z82" i="3" s="1"/>
  <c r="AA82" i="3" s="1"/>
  <c r="T82" i="3"/>
  <c r="V82" i="3" s="1"/>
  <c r="W82" i="3" s="1"/>
  <c r="P82" i="3"/>
  <c r="R82" i="3" s="1"/>
  <c r="S82" i="3" s="1"/>
  <c r="X81" i="3"/>
  <c r="Z81" i="3" s="1"/>
  <c r="AA81" i="3" s="1"/>
  <c r="T81" i="3"/>
  <c r="V81" i="3" s="1"/>
  <c r="W81" i="3" s="1"/>
  <c r="P81" i="3"/>
  <c r="R81" i="3" s="1"/>
  <c r="S81" i="3" s="1"/>
  <c r="X80" i="3"/>
  <c r="Z80" i="3" s="1"/>
  <c r="AA80" i="3" s="1"/>
  <c r="T80" i="3"/>
  <c r="V80" i="3" s="1"/>
  <c r="W80" i="3" s="1"/>
  <c r="X79" i="3"/>
  <c r="Z79" i="3" s="1"/>
  <c r="AA79" i="3" s="1"/>
  <c r="T79" i="3"/>
  <c r="V79" i="3" s="1"/>
  <c r="W79" i="3" s="1"/>
  <c r="X78" i="3"/>
  <c r="Z78" i="3" s="1"/>
  <c r="AA78" i="3" s="1"/>
  <c r="T78" i="3"/>
  <c r="V78" i="3" s="1"/>
  <c r="W78" i="3" s="1"/>
  <c r="X77" i="3"/>
  <c r="Z77" i="3" s="1"/>
  <c r="AA77" i="3" s="1"/>
  <c r="T77" i="3"/>
  <c r="V77" i="3" s="1"/>
  <c r="W77" i="3" s="1"/>
  <c r="X76" i="3"/>
  <c r="Z76" i="3" s="1"/>
  <c r="AA76" i="3" s="1"/>
  <c r="T76" i="3"/>
  <c r="V76" i="3" s="1"/>
  <c r="W76" i="3" s="1"/>
  <c r="X75" i="3"/>
  <c r="Z75" i="3" s="1"/>
  <c r="AA75" i="3" s="1"/>
  <c r="T75" i="3"/>
  <c r="V75" i="3" s="1"/>
  <c r="W75" i="3" s="1"/>
  <c r="X74" i="3"/>
  <c r="Z74" i="3" s="1"/>
  <c r="AA74" i="3" s="1"/>
  <c r="T74" i="3"/>
  <c r="V74" i="3" s="1"/>
  <c r="W74" i="3" s="1"/>
  <c r="X73" i="3"/>
  <c r="Z73" i="3" s="1"/>
  <c r="AA73" i="3" s="1"/>
  <c r="T73" i="3"/>
  <c r="V73" i="3" s="1"/>
  <c r="W73" i="3" s="1"/>
  <c r="P73" i="3"/>
  <c r="R73" i="3" s="1"/>
  <c r="S73" i="3" s="1"/>
  <c r="X72" i="3"/>
  <c r="Z72" i="3" s="1"/>
  <c r="AA72" i="3" s="1"/>
  <c r="T72" i="3"/>
  <c r="V72" i="3" s="1"/>
  <c r="W72" i="3" s="1"/>
  <c r="P72" i="3"/>
  <c r="R72" i="3" s="1"/>
  <c r="S72" i="3" s="1"/>
  <c r="X71" i="3"/>
  <c r="Z71" i="3" s="1"/>
  <c r="AA71" i="3" s="1"/>
  <c r="T71" i="3"/>
  <c r="V71" i="3" s="1"/>
  <c r="W71" i="3" s="1"/>
  <c r="X70" i="3"/>
  <c r="Z70" i="3" s="1"/>
  <c r="AA70" i="3" s="1"/>
  <c r="T70" i="3"/>
  <c r="V70" i="3" s="1"/>
  <c r="W70" i="3" s="1"/>
  <c r="X69" i="3"/>
  <c r="Z69" i="3" s="1"/>
  <c r="AA69" i="3" s="1"/>
  <c r="T69" i="3"/>
  <c r="V69" i="3" s="1"/>
  <c r="W69" i="3" s="1"/>
  <c r="X68" i="3"/>
  <c r="Z68" i="3" s="1"/>
  <c r="AA68" i="3" s="1"/>
  <c r="T68" i="3"/>
  <c r="V68" i="3" s="1"/>
  <c r="W68" i="3" s="1"/>
  <c r="X67" i="3"/>
  <c r="Z67" i="3" s="1"/>
  <c r="AA67" i="3" s="1"/>
  <c r="T67" i="3"/>
  <c r="V67" i="3" s="1"/>
  <c r="W67" i="3" s="1"/>
  <c r="X66" i="3"/>
  <c r="Z66" i="3" s="1"/>
  <c r="AA66" i="3" s="1"/>
  <c r="T66" i="3"/>
  <c r="V66" i="3" s="1"/>
  <c r="W66" i="3" s="1"/>
  <c r="X65" i="3"/>
  <c r="Z65" i="3" s="1"/>
  <c r="AA65" i="3" s="1"/>
  <c r="T65" i="3"/>
  <c r="V65" i="3" s="1"/>
  <c r="W65" i="3" s="1"/>
  <c r="X64" i="3"/>
  <c r="Z64" i="3" s="1"/>
  <c r="AA64" i="3" s="1"/>
  <c r="T64" i="3"/>
  <c r="V64" i="3" s="1"/>
  <c r="W64" i="3" s="1"/>
  <c r="X63" i="3"/>
  <c r="Z63" i="3" s="1"/>
  <c r="AA63" i="3" s="1"/>
  <c r="T63" i="3"/>
  <c r="V63" i="3" s="1"/>
  <c r="W63" i="3" s="1"/>
  <c r="X62" i="3"/>
  <c r="Z62" i="3" s="1"/>
  <c r="AA62" i="3" s="1"/>
  <c r="T62" i="3"/>
  <c r="V62" i="3" s="1"/>
  <c r="W62" i="3" s="1"/>
  <c r="X61" i="3"/>
  <c r="Z61" i="3" s="1"/>
  <c r="AA61" i="3" s="1"/>
  <c r="T61" i="3"/>
  <c r="V61" i="3" s="1"/>
  <c r="W61" i="3" s="1"/>
  <c r="X60" i="3"/>
  <c r="Z60" i="3" s="1"/>
  <c r="AA60" i="3" s="1"/>
  <c r="T60" i="3"/>
  <c r="V60" i="3" s="1"/>
  <c r="W60" i="3" s="1"/>
  <c r="X59" i="3"/>
  <c r="Z59" i="3" s="1"/>
  <c r="AA59" i="3" s="1"/>
  <c r="T59" i="3"/>
  <c r="V59" i="3" s="1"/>
  <c r="W59" i="3" s="1"/>
  <c r="X58" i="3"/>
  <c r="Z58" i="3" s="1"/>
  <c r="AA58" i="3" s="1"/>
  <c r="T58" i="3"/>
  <c r="V58" i="3" s="1"/>
  <c r="W58" i="3" s="1"/>
  <c r="X57" i="3"/>
  <c r="Z57" i="3" s="1"/>
  <c r="AA57" i="3" s="1"/>
  <c r="T57" i="3"/>
  <c r="V57" i="3" s="1"/>
  <c r="W57" i="3" s="1"/>
  <c r="P57" i="3"/>
  <c r="R57" i="3" s="1"/>
  <c r="S57" i="3" s="1"/>
  <c r="X56" i="3"/>
  <c r="Z56" i="3" s="1"/>
  <c r="AA56" i="3" s="1"/>
  <c r="T56" i="3"/>
  <c r="V56" i="3" s="1"/>
  <c r="W56" i="3" s="1"/>
  <c r="O56" i="3"/>
  <c r="X55" i="3"/>
  <c r="Z55" i="3" s="1"/>
  <c r="AA55" i="3" s="1"/>
  <c r="T55" i="3"/>
  <c r="V55" i="3" s="1"/>
  <c r="W55" i="3" s="1"/>
  <c r="O55" i="3"/>
  <c r="X54" i="3"/>
  <c r="Z54" i="3" s="1"/>
  <c r="AA54" i="3" s="1"/>
  <c r="T54" i="3"/>
  <c r="V54" i="3" s="1"/>
  <c r="W54" i="3" s="1"/>
  <c r="X53" i="3"/>
  <c r="Z53" i="3" s="1"/>
  <c r="AA53" i="3" s="1"/>
  <c r="T53" i="3"/>
  <c r="V53" i="3" s="1"/>
  <c r="W53" i="3" s="1"/>
  <c r="X52" i="3"/>
  <c r="Z52" i="3" s="1"/>
  <c r="AA52" i="3" s="1"/>
  <c r="T52" i="3"/>
  <c r="V52" i="3" s="1"/>
  <c r="W52" i="3" s="1"/>
  <c r="X51" i="3"/>
  <c r="Z51" i="3" s="1"/>
  <c r="AA51" i="3" s="1"/>
  <c r="T51" i="3"/>
  <c r="V51" i="3" s="1"/>
  <c r="W51" i="3" s="1"/>
  <c r="X50" i="3"/>
  <c r="Z50" i="3" s="1"/>
  <c r="AA50" i="3" s="1"/>
  <c r="T50" i="3"/>
  <c r="V50" i="3" s="1"/>
  <c r="W50" i="3" s="1"/>
  <c r="X49" i="3"/>
  <c r="Z49" i="3" s="1"/>
  <c r="AA49" i="3" s="1"/>
  <c r="T49" i="3"/>
  <c r="V49" i="3" s="1"/>
  <c r="W49" i="3" s="1"/>
  <c r="P49" i="3"/>
  <c r="R49" i="3" s="1"/>
  <c r="S49" i="3" s="1"/>
  <c r="X48" i="3"/>
  <c r="Z48" i="3" s="1"/>
  <c r="AA48" i="3" s="1"/>
  <c r="T48" i="3"/>
  <c r="V48" i="3" s="1"/>
  <c r="W48" i="3" s="1"/>
  <c r="X47" i="3"/>
  <c r="Z47" i="3" s="1"/>
  <c r="AA47" i="3" s="1"/>
  <c r="T47" i="3"/>
  <c r="V47" i="3" s="1"/>
  <c r="W47" i="3" s="1"/>
  <c r="X46" i="3"/>
  <c r="Z46" i="3" s="1"/>
  <c r="AA46" i="3" s="1"/>
  <c r="T46" i="3"/>
  <c r="V46" i="3" s="1"/>
  <c r="W46" i="3" s="1"/>
  <c r="X45" i="3"/>
  <c r="Z45" i="3" s="1"/>
  <c r="AA45" i="3" s="1"/>
  <c r="T45" i="3"/>
  <c r="V45" i="3" s="1"/>
  <c r="W45" i="3" s="1"/>
  <c r="X44" i="3"/>
  <c r="Z44" i="3" s="1"/>
  <c r="AA44" i="3" s="1"/>
  <c r="T44" i="3"/>
  <c r="V44" i="3" s="1"/>
  <c r="W44" i="3" s="1"/>
  <c r="X43" i="3"/>
  <c r="Z43" i="3" s="1"/>
  <c r="AA43" i="3" s="1"/>
  <c r="T43" i="3"/>
  <c r="V43" i="3" s="1"/>
  <c r="W43" i="3" s="1"/>
  <c r="X42" i="3"/>
  <c r="Z42" i="3" s="1"/>
  <c r="AA42" i="3" s="1"/>
  <c r="T42" i="3"/>
  <c r="V42" i="3" s="1"/>
  <c r="W42" i="3" s="1"/>
  <c r="X41" i="3"/>
  <c r="Z41" i="3" s="1"/>
  <c r="AA41" i="3" s="1"/>
  <c r="T41" i="3"/>
  <c r="V41" i="3" s="1"/>
  <c r="W41" i="3" s="1"/>
  <c r="P41" i="3"/>
  <c r="R41" i="3" s="1"/>
  <c r="S41" i="3" s="1"/>
  <c r="X40" i="3"/>
  <c r="Z40" i="3" s="1"/>
  <c r="AA40" i="3" s="1"/>
  <c r="T40" i="3"/>
  <c r="V40" i="3" s="1"/>
  <c r="W40" i="3" s="1"/>
  <c r="P40" i="3"/>
  <c r="R40" i="3" s="1"/>
  <c r="S40" i="3" s="1"/>
  <c r="X39" i="3"/>
  <c r="Z39" i="3" s="1"/>
  <c r="AA39" i="3" s="1"/>
  <c r="T39" i="3"/>
  <c r="V39" i="3" s="1"/>
  <c r="W39" i="3" s="1"/>
  <c r="X38" i="3"/>
  <c r="Z38" i="3" s="1"/>
  <c r="AA38" i="3" s="1"/>
  <c r="T38" i="3"/>
  <c r="V38" i="3" s="1"/>
  <c r="W38" i="3" s="1"/>
  <c r="X37" i="3"/>
  <c r="Z37" i="3" s="1"/>
  <c r="AA37" i="3" s="1"/>
  <c r="T37" i="3"/>
  <c r="V37" i="3" s="1"/>
  <c r="W37" i="3" s="1"/>
  <c r="X36" i="3"/>
  <c r="Z36" i="3" s="1"/>
  <c r="AA36" i="3" s="1"/>
  <c r="T36" i="3"/>
  <c r="V36" i="3" s="1"/>
  <c r="W36" i="3" s="1"/>
  <c r="X35" i="3"/>
  <c r="Z35" i="3" s="1"/>
  <c r="AA35" i="3" s="1"/>
  <c r="T35" i="3"/>
  <c r="V35" i="3" s="1"/>
  <c r="W35" i="3" s="1"/>
  <c r="X34" i="3"/>
  <c r="Z34" i="3" s="1"/>
  <c r="AA34" i="3" s="1"/>
  <c r="T34" i="3"/>
  <c r="V34" i="3" s="1"/>
  <c r="W34" i="3" s="1"/>
  <c r="X33" i="3"/>
  <c r="Z33" i="3" s="1"/>
  <c r="AA33" i="3" s="1"/>
  <c r="T33" i="3"/>
  <c r="V33" i="3" s="1"/>
  <c r="W33" i="3" s="1"/>
  <c r="O33" i="3"/>
  <c r="X32" i="3"/>
  <c r="Z32" i="3" s="1"/>
  <c r="AA32" i="3" s="1"/>
  <c r="T32" i="3"/>
  <c r="V32" i="3" s="1"/>
  <c r="W32" i="3" s="1"/>
  <c r="X31" i="3"/>
  <c r="Z31" i="3" s="1"/>
  <c r="AA31" i="3" s="1"/>
  <c r="T31" i="3"/>
  <c r="V31" i="3" s="1"/>
  <c r="W31" i="3" s="1"/>
  <c r="X30" i="3"/>
  <c r="Z30" i="3" s="1"/>
  <c r="AA30" i="3" s="1"/>
  <c r="T30" i="3"/>
  <c r="V30" i="3" s="1"/>
  <c r="W30" i="3" s="1"/>
  <c r="X29" i="3"/>
  <c r="Z29" i="3" s="1"/>
  <c r="AA29" i="3" s="1"/>
  <c r="T29" i="3"/>
  <c r="V29" i="3" s="1"/>
  <c r="W29" i="3" s="1"/>
  <c r="X28" i="3"/>
  <c r="Z28" i="3" s="1"/>
  <c r="AA28" i="3" s="1"/>
  <c r="T28" i="3"/>
  <c r="V28" i="3" s="1"/>
  <c r="W28" i="3" s="1"/>
  <c r="X27" i="3"/>
  <c r="Z27" i="3" s="1"/>
  <c r="AA27" i="3" s="1"/>
  <c r="T27" i="3"/>
  <c r="V27" i="3" s="1"/>
  <c r="W27" i="3" s="1"/>
  <c r="X26" i="3"/>
  <c r="Z26" i="3" s="1"/>
  <c r="AA26" i="3" s="1"/>
  <c r="T26" i="3"/>
  <c r="V26" i="3" s="1"/>
  <c r="W26" i="3" s="1"/>
  <c r="X25" i="3"/>
  <c r="Z25" i="3" s="1"/>
  <c r="AA25" i="3" s="1"/>
  <c r="T25" i="3"/>
  <c r="V25" i="3" s="1"/>
  <c r="W25" i="3" s="1"/>
  <c r="P25" i="3"/>
  <c r="R25" i="3" s="1"/>
  <c r="S25" i="3" s="1"/>
  <c r="X24" i="3"/>
  <c r="Z24" i="3" s="1"/>
  <c r="AA24" i="3" s="1"/>
  <c r="T24" i="3"/>
  <c r="V24" i="3" s="1"/>
  <c r="W24" i="3" s="1"/>
  <c r="P24" i="3"/>
  <c r="R24" i="3" s="1"/>
  <c r="S24" i="3" s="1"/>
  <c r="X23" i="3"/>
  <c r="Z23" i="3" s="1"/>
  <c r="AA23" i="3" s="1"/>
  <c r="T23" i="3"/>
  <c r="V23" i="3" s="1"/>
  <c r="W23" i="3" s="1"/>
  <c r="X22" i="3"/>
  <c r="Z22" i="3" s="1"/>
  <c r="AA22" i="3" s="1"/>
  <c r="T22" i="3"/>
  <c r="V22" i="3" s="1"/>
  <c r="W22" i="3" s="1"/>
  <c r="P7" i="3"/>
  <c r="R7" i="3" s="1"/>
  <c r="S7" i="3" s="1"/>
  <c r="P16" i="3"/>
  <c r="R16" i="3" s="1"/>
  <c r="S16" i="3" s="1"/>
  <c r="P17" i="3"/>
  <c r="R17" i="3" s="1"/>
  <c r="S17" i="3" s="1"/>
  <c r="X21" i="3"/>
  <c r="Z21" i="3" s="1"/>
  <c r="AA21" i="3" s="1"/>
  <c r="T21" i="3"/>
  <c r="V21" i="3" s="1"/>
  <c r="W21" i="3" s="1"/>
  <c r="X20" i="3"/>
  <c r="Z20" i="3" s="1"/>
  <c r="AA20" i="3" s="1"/>
  <c r="T20" i="3"/>
  <c r="V20" i="3" s="1"/>
  <c r="W20" i="3" s="1"/>
  <c r="X19" i="3"/>
  <c r="Z19" i="3" s="1"/>
  <c r="AA19" i="3" s="1"/>
  <c r="T19" i="3"/>
  <c r="V19" i="3" s="1"/>
  <c r="W19" i="3" s="1"/>
  <c r="X18" i="3"/>
  <c r="Z18" i="3" s="1"/>
  <c r="AA18" i="3" s="1"/>
  <c r="T18" i="3"/>
  <c r="V18" i="3" s="1"/>
  <c r="W18" i="3" s="1"/>
  <c r="X17" i="3"/>
  <c r="Z17" i="3" s="1"/>
  <c r="AA17" i="3" s="1"/>
  <c r="T17" i="3"/>
  <c r="V17" i="3" s="1"/>
  <c r="W17" i="3" s="1"/>
  <c r="X16" i="3"/>
  <c r="Z16" i="3" s="1"/>
  <c r="AA16" i="3" s="1"/>
  <c r="T16" i="3"/>
  <c r="V16" i="3" s="1"/>
  <c r="W16" i="3" s="1"/>
  <c r="X15" i="3"/>
  <c r="Z15" i="3" s="1"/>
  <c r="AA15" i="3" s="1"/>
  <c r="T15" i="3"/>
  <c r="V15" i="3" s="1"/>
  <c r="W15" i="3" s="1"/>
  <c r="X14" i="3"/>
  <c r="Z14" i="3" s="1"/>
  <c r="AA14" i="3" s="1"/>
  <c r="T14" i="3"/>
  <c r="V14" i="3" s="1"/>
  <c r="W14" i="3" s="1"/>
  <c r="X13" i="3"/>
  <c r="Z13" i="3" s="1"/>
  <c r="AA13" i="3" s="1"/>
  <c r="T13" i="3"/>
  <c r="V13" i="3" s="1"/>
  <c r="W13" i="3" s="1"/>
  <c r="X12" i="3"/>
  <c r="Z12" i="3" s="1"/>
  <c r="AA12" i="3" s="1"/>
  <c r="T12" i="3"/>
  <c r="V12" i="3" s="1"/>
  <c r="W12" i="3" s="1"/>
  <c r="X11" i="3"/>
  <c r="Z11" i="3" s="1"/>
  <c r="AA11" i="3" s="1"/>
  <c r="T11" i="3"/>
  <c r="V11" i="3" s="1"/>
  <c r="W11" i="3" s="1"/>
  <c r="X10" i="3"/>
  <c r="Z10" i="3" s="1"/>
  <c r="AA10" i="3" s="1"/>
  <c r="T10" i="3"/>
  <c r="V10" i="3" s="1"/>
  <c r="W10" i="3" s="1"/>
  <c r="X9" i="3"/>
  <c r="Z9" i="3" s="1"/>
  <c r="AA9" i="3" s="1"/>
  <c r="T9" i="3"/>
  <c r="V9" i="3" s="1"/>
  <c r="W9" i="3" s="1"/>
  <c r="X8" i="3"/>
  <c r="Z8" i="3" s="1"/>
  <c r="AA8" i="3" s="1"/>
  <c r="T8" i="3"/>
  <c r="V8" i="3" s="1"/>
  <c r="W8" i="3" s="1"/>
  <c r="X7" i="3"/>
  <c r="Z7" i="3" s="1"/>
  <c r="AA7" i="3" s="1"/>
  <c r="T7" i="3"/>
  <c r="V7" i="3" s="1"/>
  <c r="W7" i="3" s="1"/>
  <c r="X6" i="3"/>
  <c r="Z6" i="3" s="1"/>
  <c r="AA6" i="3" s="1"/>
  <c r="T6" i="3"/>
  <c r="V6" i="3" s="1"/>
  <c r="W6" i="3" s="1"/>
  <c r="X5" i="3"/>
  <c r="Z5" i="3" s="1"/>
  <c r="AA5" i="3" s="1"/>
  <c r="T5" i="3"/>
  <c r="V5" i="3" s="1"/>
  <c r="W5" i="3" s="1"/>
  <c r="X4" i="3"/>
  <c r="Z4" i="3" s="1"/>
  <c r="AA4" i="3" s="1"/>
  <c r="T4" i="3"/>
  <c r="V4" i="3" s="1"/>
  <c r="W4" i="3" s="1"/>
  <c r="X3" i="3"/>
  <c r="Z3" i="3" s="1"/>
  <c r="AA3" i="3" s="1"/>
  <c r="T3" i="3"/>
  <c r="V3" i="3" s="1"/>
  <c r="W3" i="3" s="1"/>
  <c r="X2" i="3"/>
  <c r="Z2" i="3" s="1"/>
  <c r="AA2" i="3" s="1"/>
  <c r="T2" i="3"/>
  <c r="V2" i="3" s="1"/>
  <c r="W2" i="3" s="1"/>
  <c r="B5" i="2"/>
  <c r="B4" i="2"/>
  <c r="B3" i="2"/>
  <c r="O9" i="3" l="1"/>
  <c r="P6" i="3"/>
  <c r="R6" i="3" s="1"/>
  <c r="S6" i="3" s="1"/>
  <c r="P36" i="3"/>
  <c r="R36" i="3" s="1"/>
  <c r="S36" i="3" s="1"/>
  <c r="P20" i="3"/>
  <c r="R20" i="3" s="1"/>
  <c r="S20" i="3" s="1"/>
  <c r="O3" i="3"/>
  <c r="O19" i="3"/>
  <c r="O37" i="5"/>
  <c r="O130" i="5"/>
  <c r="O21" i="5"/>
  <c r="O10" i="5"/>
  <c r="O8" i="5"/>
  <c r="T57" i="5"/>
  <c r="V57" i="5" s="1"/>
  <c r="W57" i="5" s="1"/>
  <c r="O92" i="5"/>
  <c r="T117" i="5"/>
  <c r="V117" i="5" s="1"/>
  <c r="W117" i="5" s="1"/>
  <c r="O5" i="5"/>
  <c r="T18" i="5"/>
  <c r="V18" i="5" s="1"/>
  <c r="W18" i="5" s="1"/>
  <c r="T140" i="5"/>
  <c r="V140" i="5" s="1"/>
  <c r="W140" i="5" s="1"/>
  <c r="T17" i="5"/>
  <c r="V17" i="5" s="1"/>
  <c r="W17" i="5" s="1"/>
  <c r="T9" i="5"/>
  <c r="V9" i="5" s="1"/>
  <c r="W9" i="5" s="1"/>
  <c r="O13" i="5"/>
  <c r="T93" i="5"/>
  <c r="V93" i="5" s="1"/>
  <c r="W93" i="5" s="1"/>
  <c r="O12" i="5"/>
  <c r="T77" i="5"/>
  <c r="V77" i="5" s="1"/>
  <c r="W77" i="5" s="1"/>
  <c r="O137" i="5"/>
  <c r="T44" i="5"/>
  <c r="V44" i="5" s="1"/>
  <c r="W44" i="5" s="1"/>
  <c r="T80" i="5"/>
  <c r="V80" i="5" s="1"/>
  <c r="W80" i="5" s="1"/>
  <c r="T120" i="5"/>
  <c r="V120" i="5" s="1"/>
  <c r="W120" i="5" s="1"/>
  <c r="T60" i="5"/>
  <c r="V60" i="5" s="1"/>
  <c r="W60" i="5" s="1"/>
  <c r="T20" i="5"/>
  <c r="V20" i="5" s="1"/>
  <c r="W20" i="5" s="1"/>
  <c r="T4" i="5"/>
  <c r="V4" i="5" s="1"/>
  <c r="W4" i="5" s="1"/>
  <c r="O7" i="5"/>
  <c r="T19" i="5"/>
  <c r="V19" i="5" s="1"/>
  <c r="W19" i="5" s="1"/>
  <c r="T3" i="5"/>
  <c r="V3" i="5" s="1"/>
  <c r="W3" i="5" s="1"/>
  <c r="O90" i="5"/>
  <c r="T100" i="5"/>
  <c r="V100" i="5" s="1"/>
  <c r="W100" i="5" s="1"/>
  <c r="O104" i="5"/>
  <c r="O6" i="5"/>
  <c r="T40" i="5"/>
  <c r="V40" i="5" s="1"/>
  <c r="W40" i="5" s="1"/>
  <c r="T16" i="5"/>
  <c r="V16" i="5" s="1"/>
  <c r="W16" i="5" s="1"/>
  <c r="T15" i="5"/>
  <c r="V15" i="5" s="1"/>
  <c r="W15" i="5" s="1"/>
  <c r="O30" i="5"/>
  <c r="O64" i="5"/>
  <c r="T2" i="5"/>
  <c r="V2" i="5" s="1"/>
  <c r="W2" i="5" s="1"/>
  <c r="T14" i="5"/>
  <c r="V14" i="5" s="1"/>
  <c r="W14" i="5" s="1"/>
  <c r="O124" i="5"/>
  <c r="T11" i="5"/>
  <c r="V11" i="5" s="1"/>
  <c r="W11" i="5" s="1"/>
  <c r="O50" i="5"/>
  <c r="O110" i="5"/>
  <c r="T84" i="5"/>
  <c r="V84" i="5" s="1"/>
  <c r="W84" i="5" s="1"/>
  <c r="O97" i="5"/>
  <c r="O24" i="5"/>
  <c r="O70" i="5"/>
  <c r="O2" i="4"/>
  <c r="X70" i="4"/>
  <c r="Z70" i="4" s="1"/>
  <c r="AA70" i="4" s="1"/>
  <c r="O91" i="4"/>
  <c r="O18" i="4"/>
  <c r="O36" i="4"/>
  <c r="X62" i="4"/>
  <c r="Z62" i="4" s="1"/>
  <c r="AA62" i="4" s="1"/>
  <c r="X21" i="4"/>
  <c r="Z21" i="4" s="1"/>
  <c r="AA21" i="4" s="1"/>
  <c r="O44" i="4"/>
  <c r="O29" i="4"/>
  <c r="X77" i="4"/>
  <c r="Z77" i="4" s="1"/>
  <c r="AA77" i="4" s="1"/>
  <c r="O82" i="4"/>
  <c r="X14" i="4"/>
  <c r="Z14" i="4" s="1"/>
  <c r="AA14" i="4" s="1"/>
  <c r="X10" i="4"/>
  <c r="Z10" i="4" s="1"/>
  <c r="AA10" i="4" s="1"/>
  <c r="X9" i="4"/>
  <c r="Z9" i="4" s="1"/>
  <c r="AA9" i="4" s="1"/>
  <c r="O79" i="4"/>
  <c r="O97" i="4"/>
  <c r="X56" i="4"/>
  <c r="Z56" i="4" s="1"/>
  <c r="AA56" i="4" s="1"/>
  <c r="X7" i="4"/>
  <c r="Z7" i="4" s="1"/>
  <c r="AA7" i="4" s="1"/>
  <c r="O31" i="4"/>
  <c r="O67" i="4"/>
  <c r="X85" i="4"/>
  <c r="Z85" i="4" s="1"/>
  <c r="AA85" i="4" s="1"/>
  <c r="X5" i="4"/>
  <c r="Z5" i="4" s="1"/>
  <c r="AA5" i="4" s="1"/>
  <c r="X32" i="4"/>
  <c r="Z32" i="4" s="1"/>
  <c r="AA32" i="4" s="1"/>
  <c r="O86" i="4"/>
  <c r="X37" i="4"/>
  <c r="Z37" i="4" s="1"/>
  <c r="AA37" i="4" s="1"/>
  <c r="X100" i="4"/>
  <c r="Z100" i="4" s="1"/>
  <c r="AA100" i="4" s="1"/>
  <c r="X8" i="4"/>
  <c r="Z8" i="4" s="1"/>
  <c r="AA8" i="4" s="1"/>
  <c r="X23" i="4"/>
  <c r="Z23" i="4" s="1"/>
  <c r="AA23" i="4" s="1"/>
  <c r="O46" i="4"/>
  <c r="O57" i="4"/>
  <c r="X80" i="4"/>
  <c r="Z80" i="4" s="1"/>
  <c r="AA80" i="4" s="1"/>
  <c r="O96" i="4"/>
  <c r="X6" i="4"/>
  <c r="Z6" i="4" s="1"/>
  <c r="AA6" i="4" s="1"/>
  <c r="X24" i="4"/>
  <c r="Z24" i="4" s="1"/>
  <c r="AA24" i="4" s="1"/>
  <c r="O81" i="4"/>
  <c r="X84" i="4"/>
  <c r="Z84" i="4" s="1"/>
  <c r="AA84" i="4" s="1"/>
  <c r="X20" i="4"/>
  <c r="Z20" i="4" s="1"/>
  <c r="AA20" i="4" s="1"/>
  <c r="X4" i="4"/>
  <c r="Z4" i="4" s="1"/>
  <c r="AA4" i="4" s="1"/>
  <c r="X49" i="4"/>
  <c r="Z49" i="4" s="1"/>
  <c r="AA49" i="4" s="1"/>
  <c r="X19" i="4"/>
  <c r="Z19" i="4" s="1"/>
  <c r="AA19" i="4" s="1"/>
  <c r="X3" i="4"/>
  <c r="Z3" i="4" s="1"/>
  <c r="AA3" i="4" s="1"/>
  <c r="O60" i="4"/>
  <c r="O63" i="4"/>
  <c r="O17" i="4"/>
  <c r="X64" i="4"/>
  <c r="Z64" i="4" s="1"/>
  <c r="AA64" i="4" s="1"/>
  <c r="X89" i="4"/>
  <c r="Z89" i="4" s="1"/>
  <c r="AA89" i="4" s="1"/>
  <c r="O98" i="4"/>
  <c r="O16" i="4"/>
  <c r="O15" i="4"/>
  <c r="O65" i="4"/>
  <c r="X13" i="4"/>
  <c r="Z13" i="4" s="1"/>
  <c r="AA13" i="4" s="1"/>
  <c r="X40" i="4"/>
  <c r="Z40" i="4" s="1"/>
  <c r="AA40" i="4" s="1"/>
  <c r="O55" i="4"/>
  <c r="X66" i="4"/>
  <c r="Z66" i="4" s="1"/>
  <c r="AA66" i="4" s="1"/>
  <c r="X12" i="4"/>
  <c r="Z12" i="4" s="1"/>
  <c r="AA12" i="4" s="1"/>
  <c r="X11" i="4"/>
  <c r="Z11" i="4" s="1"/>
  <c r="AA11" i="4" s="1"/>
  <c r="P64" i="3"/>
  <c r="R64" i="3" s="1"/>
  <c r="S64" i="3" s="1"/>
  <c r="P68" i="3"/>
  <c r="R68" i="3" s="1"/>
  <c r="S68" i="3" s="1"/>
  <c r="O17" i="3"/>
  <c r="P4" i="3"/>
  <c r="R4" i="3" s="1"/>
  <c r="S4" i="3" s="1"/>
  <c r="O130" i="3"/>
  <c r="P45" i="3"/>
  <c r="R45" i="3" s="1"/>
  <c r="S45" i="3" s="1"/>
  <c r="P61" i="3"/>
  <c r="R61" i="3" s="1"/>
  <c r="S61" i="3" s="1"/>
  <c r="P71" i="3"/>
  <c r="R71" i="3" s="1"/>
  <c r="S71" i="3" s="1"/>
  <c r="P80" i="3"/>
  <c r="R80" i="3" s="1"/>
  <c r="S80" i="3" s="1"/>
  <c r="O76" i="3"/>
  <c r="P113" i="3"/>
  <c r="R113" i="3" s="1"/>
  <c r="S113" i="3" s="1"/>
  <c r="O126" i="3"/>
  <c r="P56" i="3"/>
  <c r="R56" i="3" s="1"/>
  <c r="S56" i="3" s="1"/>
  <c r="P96" i="3"/>
  <c r="R96" i="3" s="1"/>
  <c r="S96" i="3" s="1"/>
  <c r="O86" i="3"/>
  <c r="O117" i="3"/>
  <c r="O69" i="3"/>
  <c r="O90" i="3"/>
  <c r="P55" i="3"/>
  <c r="R55" i="3" s="1"/>
  <c r="S55" i="3" s="1"/>
  <c r="O59" i="3"/>
  <c r="P78" i="3"/>
  <c r="R78" i="3" s="1"/>
  <c r="S78" i="3" s="1"/>
  <c r="O83" i="3"/>
  <c r="O124" i="3"/>
  <c r="P23" i="3"/>
  <c r="R23" i="3" s="1"/>
  <c r="S23" i="3" s="1"/>
  <c r="O62" i="3"/>
  <c r="O100" i="3"/>
  <c r="P34" i="3"/>
  <c r="R34" i="3" s="1"/>
  <c r="S34" i="3" s="1"/>
  <c r="O49" i="3"/>
  <c r="O84" i="3"/>
  <c r="P88" i="3"/>
  <c r="R88" i="3" s="1"/>
  <c r="S88" i="3" s="1"/>
  <c r="O116" i="3"/>
  <c r="O125" i="3"/>
  <c r="P133" i="3"/>
  <c r="R133" i="3" s="1"/>
  <c r="S133" i="3" s="1"/>
  <c r="P2" i="3"/>
  <c r="R2" i="3" s="1"/>
  <c r="S2" i="3" s="1"/>
  <c r="P46" i="3"/>
  <c r="R46" i="3" s="1"/>
  <c r="S46" i="3" s="1"/>
  <c r="P53" i="3"/>
  <c r="R53" i="3" s="1"/>
  <c r="S53" i="3" s="1"/>
  <c r="O138" i="3"/>
  <c r="O103" i="3"/>
  <c r="P21" i="3"/>
  <c r="R21" i="3" s="1"/>
  <c r="S21" i="3" s="1"/>
  <c r="O132" i="3"/>
  <c r="P50" i="3"/>
  <c r="R50" i="3" s="1"/>
  <c r="S50" i="3" s="1"/>
  <c r="O99" i="3"/>
  <c r="P39" i="3"/>
  <c r="R39" i="3" s="1"/>
  <c r="S39" i="3" s="1"/>
  <c r="P48" i="3"/>
  <c r="R48" i="3" s="1"/>
  <c r="S48" i="3" s="1"/>
  <c r="O60" i="3"/>
  <c r="O75" i="3"/>
  <c r="O136" i="3"/>
  <c r="O7" i="3"/>
  <c r="O13" i="3"/>
  <c r="P29" i="3"/>
  <c r="R29" i="3" s="1"/>
  <c r="S29" i="3" s="1"/>
  <c r="P33" i="3"/>
  <c r="R33" i="3" s="1"/>
  <c r="S33" i="3" s="1"/>
  <c r="O43" i="3"/>
  <c r="O58" i="3"/>
  <c r="O66" i="3"/>
  <c r="O92" i="3"/>
  <c r="O37" i="3"/>
  <c r="O140" i="3"/>
  <c r="O14" i="3"/>
  <c r="O51" i="3"/>
  <c r="P114" i="3"/>
  <c r="R114" i="3" s="1"/>
  <c r="S114" i="3" s="1"/>
  <c r="O122" i="3"/>
  <c r="O131" i="3"/>
  <c r="O15" i="3"/>
  <c r="O5" i="3"/>
  <c r="O44" i="3"/>
  <c r="O91" i="3"/>
  <c r="O141" i="3"/>
  <c r="O35" i="3"/>
  <c r="O42" i="3"/>
  <c r="O134" i="5"/>
  <c r="T125" i="5"/>
  <c r="V125" i="5" s="1"/>
  <c r="W125" i="5" s="1"/>
  <c r="T135" i="5"/>
  <c r="V135" i="5" s="1"/>
  <c r="W135" i="5" s="1"/>
  <c r="O129" i="5"/>
  <c r="T126" i="5"/>
  <c r="V126" i="5" s="1"/>
  <c r="W126" i="5" s="1"/>
  <c r="T123" i="5"/>
  <c r="V123" i="5" s="1"/>
  <c r="W123" i="5" s="1"/>
  <c r="O136" i="5"/>
  <c r="T139" i="5"/>
  <c r="V139" i="5" s="1"/>
  <c r="W139" i="5" s="1"/>
  <c r="O141" i="5"/>
  <c r="O138" i="5"/>
  <c r="O133" i="5"/>
  <c r="O127" i="5"/>
  <c r="O131" i="5"/>
  <c r="O128" i="5"/>
  <c r="O122" i="5"/>
  <c r="O132" i="5"/>
  <c r="O111" i="5"/>
  <c r="O105" i="5"/>
  <c r="O121" i="5"/>
  <c r="O118" i="5"/>
  <c r="T103" i="5"/>
  <c r="V103" i="5" s="1"/>
  <c r="W103" i="5" s="1"/>
  <c r="O116" i="5"/>
  <c r="T119" i="5"/>
  <c r="V119" i="5" s="1"/>
  <c r="W119" i="5" s="1"/>
  <c r="O114" i="5"/>
  <c r="O106" i="5"/>
  <c r="O113" i="5"/>
  <c r="T108" i="5"/>
  <c r="V108" i="5" s="1"/>
  <c r="W108" i="5" s="1"/>
  <c r="O102" i="5"/>
  <c r="T112" i="5"/>
  <c r="V112" i="5" s="1"/>
  <c r="W112" i="5" s="1"/>
  <c r="T115" i="5"/>
  <c r="V115" i="5" s="1"/>
  <c r="W115" i="5" s="1"/>
  <c r="O107" i="5"/>
  <c r="O109" i="5"/>
  <c r="O94" i="5"/>
  <c r="O91" i="5"/>
  <c r="O85" i="5"/>
  <c r="O98" i="5"/>
  <c r="T95" i="5"/>
  <c r="V95" i="5" s="1"/>
  <c r="W95" i="5" s="1"/>
  <c r="O86" i="5"/>
  <c r="O83" i="5"/>
  <c r="O96" i="5"/>
  <c r="T99" i="5"/>
  <c r="V99" i="5" s="1"/>
  <c r="W99" i="5" s="1"/>
  <c r="O88" i="5"/>
  <c r="O101" i="5"/>
  <c r="O82" i="5"/>
  <c r="O89" i="5"/>
  <c r="O87" i="5"/>
  <c r="O74" i="5"/>
  <c r="O68" i="5"/>
  <c r="T65" i="5"/>
  <c r="V65" i="5" s="1"/>
  <c r="W65" i="5" s="1"/>
  <c r="O72" i="5"/>
  <c r="O66" i="5"/>
  <c r="T63" i="5"/>
  <c r="V63" i="5" s="1"/>
  <c r="W63" i="5" s="1"/>
  <c r="O76" i="5"/>
  <c r="T79" i="5"/>
  <c r="V79" i="5" s="1"/>
  <c r="W79" i="5" s="1"/>
  <c r="O71" i="5"/>
  <c r="O81" i="5"/>
  <c r="T78" i="5"/>
  <c r="V78" i="5" s="1"/>
  <c r="W78" i="5" s="1"/>
  <c r="O73" i="5"/>
  <c r="O67" i="5"/>
  <c r="O62" i="5"/>
  <c r="O75" i="5"/>
  <c r="O69" i="5"/>
  <c r="T54" i="5"/>
  <c r="V54" i="5" s="1"/>
  <c r="W54" i="5" s="1"/>
  <c r="O48" i="5"/>
  <c r="O61" i="5"/>
  <c r="O52" i="5"/>
  <c r="O46" i="5"/>
  <c r="T43" i="5"/>
  <c r="V43" i="5" s="1"/>
  <c r="W43" i="5" s="1"/>
  <c r="O56" i="5"/>
  <c r="T59" i="5"/>
  <c r="V59" i="5" s="1"/>
  <c r="W59" i="5" s="1"/>
  <c r="O53" i="5"/>
  <c r="T58" i="5"/>
  <c r="V58" i="5" s="1"/>
  <c r="W58" i="5" s="1"/>
  <c r="O42" i="5"/>
  <c r="O47" i="5"/>
  <c r="O51" i="5"/>
  <c r="O45" i="5"/>
  <c r="O55" i="5"/>
  <c r="O49" i="5"/>
  <c r="O34" i="5"/>
  <c r="O31" i="5"/>
  <c r="O38" i="5"/>
  <c r="O29" i="5"/>
  <c r="O23" i="5"/>
  <c r="O36" i="5"/>
  <c r="T39" i="5"/>
  <c r="V39" i="5" s="1"/>
  <c r="W39" i="5" s="1"/>
  <c r="O41" i="5"/>
  <c r="O22" i="5"/>
  <c r="O33" i="5"/>
  <c r="T28" i="5"/>
  <c r="V28" i="5" s="1"/>
  <c r="W28" i="5" s="1"/>
  <c r="O35" i="5"/>
  <c r="O32" i="5"/>
  <c r="O26" i="5"/>
  <c r="O27" i="5"/>
  <c r="O25" i="5"/>
  <c r="O94" i="4"/>
  <c r="O88" i="4"/>
  <c r="O101" i="4"/>
  <c r="O95" i="4"/>
  <c r="O92" i="4"/>
  <c r="O83" i="4"/>
  <c r="O99" i="4"/>
  <c r="O93" i="4"/>
  <c r="O90" i="4"/>
  <c r="O87" i="4"/>
  <c r="O74" i="4"/>
  <c r="O71" i="4"/>
  <c r="O68" i="4"/>
  <c r="O78" i="4"/>
  <c r="O75" i="4"/>
  <c r="O72" i="4"/>
  <c r="O69" i="4"/>
  <c r="O76" i="4"/>
  <c r="O73" i="4"/>
  <c r="O54" i="4"/>
  <c r="O51" i="4"/>
  <c r="O48" i="4"/>
  <c r="O45" i="4"/>
  <c r="O61" i="4"/>
  <c r="O42" i="4"/>
  <c r="O58" i="4"/>
  <c r="O52" i="4"/>
  <c r="O43" i="4"/>
  <c r="O59" i="4"/>
  <c r="O53" i="4"/>
  <c r="O50" i="4"/>
  <c r="O47" i="4"/>
  <c r="O34" i="4"/>
  <c r="O28" i="4"/>
  <c r="O25" i="4"/>
  <c r="O41" i="4"/>
  <c r="O22" i="4"/>
  <c r="O38" i="4"/>
  <c r="O35" i="4"/>
  <c r="O26" i="4"/>
  <c r="O39" i="4"/>
  <c r="O33" i="4"/>
  <c r="O30" i="4"/>
  <c r="O27" i="4"/>
  <c r="P128" i="3"/>
  <c r="R128" i="3" s="1"/>
  <c r="S128" i="3" s="1"/>
  <c r="O134" i="3"/>
  <c r="O137" i="3"/>
  <c r="O127" i="3"/>
  <c r="O123" i="3"/>
  <c r="O139" i="3"/>
  <c r="O129" i="3"/>
  <c r="O135" i="3"/>
  <c r="P109" i="3"/>
  <c r="R109" i="3" s="1"/>
  <c r="S109" i="3" s="1"/>
  <c r="O109" i="3"/>
  <c r="O119" i="3"/>
  <c r="O106" i="3"/>
  <c r="O102" i="3"/>
  <c r="O105" i="3"/>
  <c r="P118" i="3"/>
  <c r="R118" i="3" s="1"/>
  <c r="S118" i="3" s="1"/>
  <c r="O121" i="3"/>
  <c r="O108" i="3"/>
  <c r="O111" i="3"/>
  <c r="P107" i="3"/>
  <c r="R107" i="3" s="1"/>
  <c r="S107" i="3" s="1"/>
  <c r="O110" i="3"/>
  <c r="O112" i="3"/>
  <c r="O115" i="3"/>
  <c r="O104" i="3"/>
  <c r="O120" i="3"/>
  <c r="O94" i="3"/>
  <c r="O97" i="3"/>
  <c r="O87" i="3"/>
  <c r="O93" i="3"/>
  <c r="O89" i="3"/>
  <c r="O95" i="3"/>
  <c r="O82" i="3"/>
  <c r="O98" i="3"/>
  <c r="O85" i="3"/>
  <c r="O101" i="3"/>
  <c r="P74" i="3"/>
  <c r="R74" i="3" s="1"/>
  <c r="S74" i="3" s="1"/>
  <c r="O77" i="3"/>
  <c r="O67" i="3"/>
  <c r="O70" i="3"/>
  <c r="O73" i="3"/>
  <c r="O63" i="3"/>
  <c r="O79" i="3"/>
  <c r="O72" i="3"/>
  <c r="O65" i="3"/>
  <c r="O81" i="3"/>
  <c r="P54" i="3"/>
  <c r="R54" i="3" s="1"/>
  <c r="S54" i="3" s="1"/>
  <c r="O57" i="3"/>
  <c r="O47" i="3"/>
  <c r="O52" i="3"/>
  <c r="O22" i="3"/>
  <c r="O38" i="3"/>
  <c r="O25" i="3"/>
  <c r="O41" i="3"/>
  <c r="O28" i="3"/>
  <c r="O31" i="3"/>
  <c r="O24" i="3"/>
  <c r="O40" i="3"/>
  <c r="O27" i="3"/>
  <c r="O30" i="3"/>
  <c r="O26" i="3"/>
  <c r="O32" i="3"/>
  <c r="O10" i="3"/>
  <c r="O18" i="3"/>
  <c r="P11" i="3"/>
  <c r="R11" i="3" s="1"/>
  <c r="S11" i="3" s="1"/>
  <c r="O8" i="3"/>
  <c r="O12" i="3"/>
  <c r="O16" i="3"/>
</calcChain>
</file>

<file path=xl/sharedStrings.xml><?xml version="1.0" encoding="utf-8"?>
<sst xmlns="http://schemas.openxmlformats.org/spreadsheetml/2006/main" count="2967" uniqueCount="167">
  <si>
    <t>Página</t>
  </si>
  <si>
    <t>Categoría</t>
  </si>
  <si>
    <t>Código</t>
  </si>
  <si>
    <t>Descripción</t>
  </si>
  <si>
    <t>Unidad de empaque</t>
  </si>
  <si>
    <t>Registro sanitario</t>
  </si>
  <si>
    <t>Vencimiento registro</t>
  </si>
  <si>
    <t>Riesgo</t>
  </si>
  <si>
    <t>Precio unitario público</t>
  </si>
  <si>
    <t>Hemoglobina Tópica</t>
  </si>
  <si>
    <t>360001</t>
  </si>
  <si>
    <t>Granulox Hemoglobina Spray</t>
  </si>
  <si>
    <t>Unidad</t>
  </si>
  <si>
    <t>2019DM-0020921</t>
  </si>
  <si>
    <t>III</t>
  </si>
  <si>
    <t>Solución de irrigación para limpieza y enjuague</t>
  </si>
  <si>
    <t>2023DM-0027387</t>
  </si>
  <si>
    <t>360100</t>
  </si>
  <si>
    <t>Granudacyn Solución 250 ml Spray</t>
  </si>
  <si>
    <t>Apósito de Fibras Gelificantes de PVA</t>
  </si>
  <si>
    <t>709900</t>
  </si>
  <si>
    <t>Exufiber 5 x 5 cm</t>
  </si>
  <si>
    <t>Caja X 10</t>
  </si>
  <si>
    <t>2019DM-0020382</t>
  </si>
  <si>
    <t>IIb</t>
  </si>
  <si>
    <t>709902</t>
  </si>
  <si>
    <t>Exufiber 10 x 12 cm</t>
  </si>
  <si>
    <t>709903</t>
  </si>
  <si>
    <t>Exufiber 15 x 15 cm</t>
  </si>
  <si>
    <t>Caja X 5</t>
  </si>
  <si>
    <t>Apósito de Fibras Gelificantes de PVA y Tecnología Hydrolock® y Acción Antimicrobiana</t>
  </si>
  <si>
    <t>603421</t>
  </si>
  <si>
    <t>Exufiber Ag+ 5 x 5 cm</t>
  </si>
  <si>
    <t>2019DM-0020271</t>
  </si>
  <si>
    <t>603422</t>
  </si>
  <si>
    <t>Exufiber Ag+ 10 x 12 cm</t>
  </si>
  <si>
    <t>603423</t>
  </si>
  <si>
    <t>Exufiber Ag+ 15 x 15 cm</t>
  </si>
  <si>
    <t>Apósito Multicapa (5 capas) Oval con Bordes Autoadherentes - Tecnología Exclusiva Flex</t>
  </si>
  <si>
    <t>2020DM-0021620</t>
  </si>
  <si>
    <t>Apósito Multicapa (5 capas) con Bordes Autoadherentes - Tecnología Exclusiva Flex</t>
  </si>
  <si>
    <t>Apósito Multicapa (4 capas) Extrafino con Bordes Autoadherentes - Tecnología Exclusiva Flex</t>
  </si>
  <si>
    <t>Apósito Multicapa (5 capas) Oval con Bordes Autoadherentes para el Talón y los Maléolos</t>
  </si>
  <si>
    <t>Apósito Multicapa (5 capas) Oval con Bordes Autoadherentes para el Sacro</t>
  </si>
  <si>
    <t>Apósito Espumas de Poliuretano</t>
  </si>
  <si>
    <t>294199</t>
  </si>
  <si>
    <t>Mepilex 10 x 10 cm</t>
  </si>
  <si>
    <t>294299</t>
  </si>
  <si>
    <t>Mepilex 10 x 20 cm</t>
  </si>
  <si>
    <t>294399</t>
  </si>
  <si>
    <t>Mepilex 15 x 15 cm</t>
  </si>
  <si>
    <t>294499</t>
  </si>
  <si>
    <t>Mepilex 20 x 20 cm</t>
  </si>
  <si>
    <t>Caja X 2</t>
  </si>
  <si>
    <t>Apósito Espumas de Poliuretano para el talón</t>
  </si>
  <si>
    <t>Apósito Espumas de Poliuretano Extrafino</t>
  </si>
  <si>
    <t>284190</t>
  </si>
  <si>
    <t>Mepilex Lite 10 x 10 cm</t>
  </si>
  <si>
    <t>284390</t>
  </si>
  <si>
    <t>Mepilex Lite 15 x 15 cm</t>
  </si>
  <si>
    <t>Apósito Espumas de Poliuretano con Acción Antimicrobiana</t>
  </si>
  <si>
    <t>287100</t>
  </si>
  <si>
    <t>Mepilex Ag 10 x 10 cm</t>
  </si>
  <si>
    <t>2020DM-0021561</t>
  </si>
  <si>
    <t>287200</t>
  </si>
  <si>
    <t>Mepilex Ag 10 x 20 cm</t>
  </si>
  <si>
    <t>287300</t>
  </si>
  <si>
    <t>Mepilex Ag 15 x 15 cm</t>
  </si>
  <si>
    <t>287400</t>
  </si>
  <si>
    <t>Mepilex Ag 20 x 20 cm</t>
  </si>
  <si>
    <t>Apósito Multicapa (5 capas) con Bordes Autoadherentes con Efecto Antimicrobiano</t>
  </si>
  <si>
    <t>Apósito Multicapa (5 capas) con Bordes Autoadherentes con Efecto Antimicrobiano para el Sacro</t>
  </si>
  <si>
    <t>Apósito Espuma de Poliuretano Transferencia de Exudado</t>
  </si>
  <si>
    <t>294899</t>
  </si>
  <si>
    <t>Mepilex Transfer 15 x 20 cm</t>
  </si>
  <si>
    <t>Apósito Espuma de Poliuretano Transferencia de Exudado con Acción Antimicrobiana</t>
  </si>
  <si>
    <t>394590</t>
  </si>
  <si>
    <t>Mepilex Transfer Ag 20 x 50 cm</t>
  </si>
  <si>
    <t>Aposito Superabsorbente con Revestimiento Repelente de Fluidos</t>
  </si>
  <si>
    <t>2023DM-0027509</t>
  </si>
  <si>
    <t>610200</t>
  </si>
  <si>
    <t>Mextra Superabsorbent 12.5x22.5 cm</t>
  </si>
  <si>
    <t>610300</t>
  </si>
  <si>
    <t>Mextra Superabsorbent 17.5x22.5 cm</t>
  </si>
  <si>
    <t>610400</t>
  </si>
  <si>
    <t>Mextra Superabsorbent 22.5x27.5 cm</t>
  </si>
  <si>
    <t>610500</t>
  </si>
  <si>
    <t>Mextra Superabsorbent 22.5x32.5 cm</t>
  </si>
  <si>
    <t>Lámina de Silicona para el Tratamiento de Cicatrices Hipertróficas y Queloides</t>
  </si>
  <si>
    <t>IIa</t>
  </si>
  <si>
    <t>Cinta Adhesiva de Fijación</t>
  </si>
  <si>
    <t>Láminas de Contacto Porosa con Micro adherencia Selectiva por las dos Caras</t>
  </si>
  <si>
    <t>Láminas de Contacto Porosa con Micro adherencia por una Cara</t>
  </si>
  <si>
    <t>Apósito Post Quirúrgico de 4 Capas</t>
  </si>
  <si>
    <t>Apósito Post Quirúrgico de 5 Capas con Efecto Antimicrobiano</t>
  </si>
  <si>
    <t>Vendaje de Media y Alta Compresión Graduada</t>
  </si>
  <si>
    <t>3505</t>
  </si>
  <si>
    <t>Setopress 10 cm x 3.5 m Relaxed x 12</t>
  </si>
  <si>
    <t>2022DM-0026232</t>
  </si>
  <si>
    <t>I</t>
  </si>
  <si>
    <t>Vendaje Tubular con Elasticidad Radial y Longitudinal - Fijación de Apósitos</t>
  </si>
  <si>
    <t>2440</t>
  </si>
  <si>
    <t>Tubifast 10m Amarillo</t>
  </si>
  <si>
    <t>2018DM-0018813</t>
  </si>
  <si>
    <t>2438</t>
  </si>
  <si>
    <t>Tubifast 10m Azul</t>
  </si>
  <si>
    <t>2434</t>
  </si>
  <si>
    <t>Tubifast 10m Rojo</t>
  </si>
  <si>
    <t>2436</t>
  </si>
  <si>
    <t>Tubifast 10m Verde</t>
  </si>
  <si>
    <t>Indicador</t>
  </si>
  <si>
    <t>Valor</t>
  </si>
  <si>
    <t>Total referencias</t>
  </si>
  <si>
    <t>Precio mínimo</t>
  </si>
  <si>
    <t>Precio máximo</t>
  </si>
  <si>
    <t>Precio promedio</t>
  </si>
  <si>
    <t>Cantidad referencias</t>
  </si>
  <si>
    <t>Año</t>
  </si>
  <si>
    <t>Mes</t>
  </si>
  <si>
    <t>COMPLEJIDAD</t>
  </si>
  <si>
    <t>PROCEDIMIENTO</t>
  </si>
  <si>
    <t>CODIGO_CUPS</t>
  </si>
  <si>
    <t>TIEMPO_MINUTOS</t>
  </si>
  <si>
    <t>TIPO_REGISTRO</t>
  </si>
  <si>
    <t>CATEGORIA_COSTO</t>
  </si>
  <si>
    <t>ITEM</t>
  </si>
  <si>
    <t>CANTIDAD</t>
  </si>
  <si>
    <t>UNIDAD_MEDIDA</t>
  </si>
  <si>
    <t>COSTO_UNITARIO</t>
  </si>
  <si>
    <t>COSTO_TOTAL</t>
  </si>
  <si>
    <t>OBSERVACIONES</t>
  </si>
  <si>
    <t>PRECIO VENTA</t>
  </si>
  <si>
    <t>COSTO ALTA COMPLEJIDAD</t>
  </si>
  <si>
    <t>% INCRE_ALTA</t>
  </si>
  <si>
    <t>PRECIO VTA ALTA COMPLEJIDAD</t>
  </si>
  <si>
    <t>% UTILIDAD ALTA COMPLEJIDAD</t>
  </si>
  <si>
    <t>COSTO MEDIANA COMPLEJIDAD</t>
  </si>
  <si>
    <t>% INCRE MEDIA</t>
  </si>
  <si>
    <t>PRECIO VTA MEDIANA COMPLEJIDAD</t>
  </si>
  <si>
    <t>% UTILIDAD MEDIANA COMPLEJIDAD</t>
  </si>
  <si>
    <t>COSTO BAJA COMPLEJIDAD</t>
  </si>
  <si>
    <t>% INCRE BAJA</t>
  </si>
  <si>
    <t>PRECIO VTA BAJA COMPLEJIDAD</t>
  </si>
  <si>
    <t>% UTILIDAD BAJA COMPLEJIDAD</t>
  </si>
  <si>
    <t>% CRECIMIENTO</t>
  </si>
  <si>
    <t>Agosto</t>
  </si>
  <si>
    <t>Alta Complejidad</t>
  </si>
  <si>
    <t>Curación de ALTA COMPLEJIDAD</t>
  </si>
  <si>
    <t>INSUMO ALTA TECNOLOGIA</t>
  </si>
  <si>
    <t>Baja Complejidad</t>
  </si>
  <si>
    <t>Curación de BAJA COMPLEJIDAD</t>
  </si>
  <si>
    <t>Mediana Complejidad</t>
  </si>
  <si>
    <t>Curación de MEDIANA COMPLEJIDAD</t>
  </si>
  <si>
    <t>Mayo</t>
  </si>
  <si>
    <t>Junio</t>
  </si>
  <si>
    <t>Julio</t>
  </si>
  <si>
    <t>Septiembre</t>
  </si>
  <si>
    <t>Octubre</t>
  </si>
  <si>
    <t>Noviembre</t>
  </si>
  <si>
    <t>Mepilex Border Flex Lite 15 x 15 cm</t>
  </si>
  <si>
    <t>Mepilex Border Ag 7.5 x 7.5 cm</t>
  </si>
  <si>
    <t>Mepilex Border Ag 10 x 10 cm</t>
  </si>
  <si>
    <t>Mepilex Border Ag 10 x 20 cm</t>
  </si>
  <si>
    <t>Mepilex Border Ag 10 x 25 cm</t>
  </si>
  <si>
    <t>Mepilex Border Ag 10 x 30 cm</t>
  </si>
  <si>
    <t>Mepilex Transfer Ag 15 x 20 cm</t>
  </si>
  <si>
    <t>metros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</si>
</sst>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\$\ #,##0"/>
    <numFmt numFmtId="166" formatCode="[$$-240A]\ #,##0"/>
  </numFmts>
  <fonts count="5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b/>
      <sz val="11"/>
      <name val="Calibri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F4F24"/>
      </patternFill>
    </fill>
    <fill>
      <patternFill patternType="solid">
        <fgColor rgb="FFC6E0B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NumberFormat="1" applyFont="1" applyFill="1" applyBorder="1" applyAlignment="1">
      <alignment horizontal="center" wrapText="1"/>
    </xf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vertical="center" wrapText="1"/>
    </xf>
    <xf numFmtId="1" fontId="0" fillId="0" borderId="0" xfId="0" applyNumberFormat="1" applyFont="1" applyFill="1" applyBorder="1" applyAlignment="1">
      <alignment vertical="center" wrapText="1"/>
    </xf>
    <xf numFmtId="49" fontId="0" fillId="0" borderId="0" xfId="0" applyNumberFormat="1" applyFont="1" applyFill="1" applyBorder="1" applyAlignment="1">
      <alignment vertical="center" wrapText="1"/>
    </xf>
    <xf numFmtId="164" fontId="0" fillId="0" borderId="0" xfId="0" applyNumberFormat="1" applyFont="1" applyFill="1" applyBorder="1" applyAlignment="1">
      <alignment vertical="center" wrapText="1"/>
    </xf>
    <xf numFmtId="165" fontId="0" fillId="0" borderId="0" xfId="0" applyNumberFormat="1" applyFont="1" applyFill="1" applyBorder="1" applyAlignment="1">
      <alignment vertical="center" wrapText="1"/>
    </xf>
    <xf numFmtId="165" fontId="0" fillId="0" borderId="0" xfId="0" applyNumberFormat="1" applyFont="1" applyFill="1" applyBorder="1" applyAlignment="1">
      <alignment wrapText="1"/>
    </xf>
    <xf numFmtId="0" fontId="2" fillId="3" borderId="0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166" fontId="3" fillId="0" borderId="1" xfId="0" applyNumberFormat="1" applyFont="1" applyBorder="1" applyAlignment="1">
      <alignment horizontal="center" vertical="top"/>
    </xf>
    <xf numFmtId="9" fontId="4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2" fontId="4" fillId="0" borderId="1" xfId="0" applyNumberFormat="1" applyFont="1" applyBorder="1" applyAlignment="1">
      <alignment horizontal="center" vertical="top"/>
    </xf>
    <xf numFmtId="166" fontId="4" fillId="0" borderId="1" xfId="0" applyNumberFormat="1" applyFont="1" applyBorder="1" applyAlignment="1">
      <alignment horizontal="center" vertical="top"/>
    </xf>
    <xf numFmtId="166" fontId="0" fillId="0" borderId="0" xfId="0" applyNumberFormat="1"/>
    <xf numFmtId="9" fontId="0" fillId="0" borderId="0" xfId="0" applyNumberFormat="1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ReferenciasCrosswell" displayName="TablaReferenciasCrosswell" ref="A1:I29">
  <tableColumns count="9">
    <tableColumn id="1" xr3:uid="{00000000-0010-0000-0000-000001000000}" name="Página"/>
    <tableColumn id="2" xr3:uid="{00000000-0010-0000-0000-000002000000}" name="Categoría"/>
    <tableColumn id="3" xr3:uid="{00000000-0010-0000-0000-000003000000}" name="Código"/>
    <tableColumn id="4" xr3:uid="{00000000-0010-0000-0000-000004000000}" name="Descripción"/>
    <tableColumn id="5" xr3:uid="{00000000-0010-0000-0000-000005000000}" name="Unidad de empaque"/>
    <tableColumn id="6" xr3:uid="{00000000-0010-0000-0000-000006000000}" name="Registro sanitario"/>
    <tableColumn id="7" xr3:uid="{00000000-0010-0000-0000-000007000000}" name="Vencimiento registro"/>
    <tableColumn id="8" xr3:uid="{00000000-0010-0000-0000-000008000000}" name="Riesgo"/>
    <tableColumn id="9" xr3:uid="{00000000-0010-0000-0000-000009000000}" name="Precio unitario públic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sumenCategorias" displayName="ResumenCategorias" ref="A8:B34">
  <tableColumns count="2">
    <tableColumn id="1" xr3:uid="{00000000-0010-0000-0100-000001000000}" name="Categoría"/>
    <tableColumn id="2" xr3:uid="{00000000-0010-0000-0100-000002000000}" name="Cantidad referencia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sumenRiesgos" displayName="ResumenRiesgos" ref="D8:E12">
  <tableColumns count="2">
    <tableColumn id="1" xr3:uid="{00000000-0010-0000-0200-000001000000}" name="Riesgo"/>
    <tableColumn id="2" xr3:uid="{00000000-0010-0000-0200-000002000000}" name="Cantidad referenci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zoomScaleNormal="150" zoomScaleSheetLayoutView="100" workbookViewId="0"/>
  </sheetViews>
  <sheetFormatPr baseColWidth="10" defaultColWidth="9" defaultRowHeight="14.25"/>
  <cols>
    <col min="1" max="1" width="10" customWidth="1"/>
    <col min="2" max="2" width="42" customWidth="1"/>
    <col min="3" max="3" width="12" customWidth="1"/>
    <col min="4" max="4" width="40" customWidth="1"/>
    <col min="5" max="5" width="18" customWidth="1"/>
    <col min="6" max="6" width="22" customWidth="1"/>
    <col min="7" max="7" width="18" customWidth="1"/>
    <col min="8" max="8" width="10" customWidth="1"/>
    <col min="9" max="9" width="20" customWidth="1"/>
  </cols>
  <sheetData>
    <row r="1" spans="1:9" ht="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5">
        <v>1</v>
      </c>
      <c r="B2" s="4" t="s">
        <v>9</v>
      </c>
      <c r="C2" s="6" t="s">
        <v>10</v>
      </c>
      <c r="D2" s="4" t="s">
        <v>11</v>
      </c>
      <c r="E2" s="4" t="s">
        <v>12</v>
      </c>
      <c r="F2" s="4" t="s">
        <v>13</v>
      </c>
      <c r="G2" s="7">
        <v>47051</v>
      </c>
      <c r="H2" s="4" t="s">
        <v>14</v>
      </c>
      <c r="I2" s="8">
        <v>893800</v>
      </c>
    </row>
    <row r="3" spans="1:9">
      <c r="A3" s="5">
        <v>1</v>
      </c>
      <c r="B3" s="4" t="s">
        <v>19</v>
      </c>
      <c r="C3" s="6" t="s">
        <v>20</v>
      </c>
      <c r="D3" s="4" t="s">
        <v>21</v>
      </c>
      <c r="E3" s="4" t="s">
        <v>22</v>
      </c>
      <c r="F3" s="4" t="s">
        <v>23</v>
      </c>
      <c r="G3" s="7">
        <v>47359</v>
      </c>
      <c r="H3" s="4" t="s">
        <v>24</v>
      </c>
      <c r="I3" s="8">
        <v>13500</v>
      </c>
    </row>
    <row r="4" spans="1:9">
      <c r="A4" s="5">
        <v>1</v>
      </c>
      <c r="B4" s="4" t="s">
        <v>19</v>
      </c>
      <c r="C4" s="6" t="s">
        <v>25</v>
      </c>
      <c r="D4" s="4" t="s">
        <v>26</v>
      </c>
      <c r="E4" s="4" t="s">
        <v>22</v>
      </c>
      <c r="F4" s="4" t="s">
        <v>23</v>
      </c>
      <c r="G4" s="7">
        <v>47359</v>
      </c>
      <c r="H4" s="4" t="s">
        <v>24</v>
      </c>
      <c r="I4" s="8">
        <v>28800</v>
      </c>
    </row>
    <row r="5" spans="1:9">
      <c r="A5" s="5">
        <v>1</v>
      </c>
      <c r="B5" s="4" t="s">
        <v>19</v>
      </c>
      <c r="C5" s="6" t="s">
        <v>27</v>
      </c>
      <c r="D5" s="4" t="s">
        <v>28</v>
      </c>
      <c r="E5" s="4" t="s">
        <v>22</v>
      </c>
      <c r="F5" s="4" t="s">
        <v>23</v>
      </c>
      <c r="G5" s="7">
        <v>47359</v>
      </c>
      <c r="H5" s="4" t="s">
        <v>24</v>
      </c>
      <c r="I5" s="8">
        <v>63400</v>
      </c>
    </row>
    <row r="6" spans="1:9" ht="28.5">
      <c r="A6" s="5">
        <v>1</v>
      </c>
      <c r="B6" s="4" t="s">
        <v>30</v>
      </c>
      <c r="C6" s="6" t="s">
        <v>31</v>
      </c>
      <c r="D6" s="4" t="s">
        <v>32</v>
      </c>
      <c r="E6" s="4" t="s">
        <v>22</v>
      </c>
      <c r="F6" s="4" t="s">
        <v>33</v>
      </c>
      <c r="G6" s="7">
        <v>47336</v>
      </c>
      <c r="H6" s="4" t="s">
        <v>14</v>
      </c>
      <c r="I6" s="8">
        <v>24200</v>
      </c>
    </row>
    <row r="7" spans="1:9" ht="28.5">
      <c r="A7" s="5">
        <v>1</v>
      </c>
      <c r="B7" s="4" t="s">
        <v>30</v>
      </c>
      <c r="C7" s="6" t="s">
        <v>34</v>
      </c>
      <c r="D7" s="4" t="s">
        <v>35</v>
      </c>
      <c r="E7" s="4" t="s">
        <v>22</v>
      </c>
      <c r="F7" s="4" t="s">
        <v>33</v>
      </c>
      <c r="G7" s="7">
        <v>47336</v>
      </c>
      <c r="H7" s="4" t="s">
        <v>14</v>
      </c>
      <c r="I7" s="8">
        <v>36700</v>
      </c>
    </row>
    <row r="8" spans="1:9" ht="28.5">
      <c r="A8" s="5">
        <v>1</v>
      </c>
      <c r="B8" s="4" t="s">
        <v>30</v>
      </c>
      <c r="C8" s="6" t="s">
        <v>36</v>
      </c>
      <c r="D8" s="4" t="s">
        <v>37</v>
      </c>
      <c r="E8" s="4" t="s">
        <v>22</v>
      </c>
      <c r="F8" s="4" t="s">
        <v>33</v>
      </c>
      <c r="G8" s="7">
        <v>47336</v>
      </c>
      <c r="H8" s="4" t="s">
        <v>14</v>
      </c>
      <c r="I8" s="8">
        <v>91800</v>
      </c>
    </row>
    <row r="9" spans="1:9">
      <c r="A9" s="5">
        <v>2</v>
      </c>
      <c r="B9" s="4" t="s">
        <v>44</v>
      </c>
      <c r="C9" s="6" t="s">
        <v>45</v>
      </c>
      <c r="D9" s="4" t="s">
        <v>46</v>
      </c>
      <c r="E9" s="4" t="s">
        <v>29</v>
      </c>
      <c r="F9" s="4" t="s">
        <v>39</v>
      </c>
      <c r="G9" s="7">
        <v>47622</v>
      </c>
      <c r="H9" s="4" t="s">
        <v>24</v>
      </c>
      <c r="I9" s="8">
        <v>17300</v>
      </c>
    </row>
    <row r="10" spans="1:9">
      <c r="A10" s="5">
        <v>2</v>
      </c>
      <c r="B10" s="4" t="s">
        <v>44</v>
      </c>
      <c r="C10" s="6" t="s">
        <v>47</v>
      </c>
      <c r="D10" s="4" t="s">
        <v>48</v>
      </c>
      <c r="E10" s="4" t="s">
        <v>29</v>
      </c>
      <c r="F10" s="4" t="s">
        <v>39</v>
      </c>
      <c r="G10" s="7">
        <v>47622</v>
      </c>
      <c r="H10" s="4" t="s">
        <v>24</v>
      </c>
      <c r="I10" s="8">
        <v>29000</v>
      </c>
    </row>
    <row r="11" spans="1:9">
      <c r="A11" s="5">
        <v>2</v>
      </c>
      <c r="B11" s="4" t="s">
        <v>44</v>
      </c>
      <c r="C11" s="6" t="s">
        <v>49</v>
      </c>
      <c r="D11" s="4" t="s">
        <v>50</v>
      </c>
      <c r="E11" s="4" t="s">
        <v>29</v>
      </c>
      <c r="F11" s="4" t="s">
        <v>39</v>
      </c>
      <c r="G11" s="7">
        <v>47622</v>
      </c>
      <c r="H11" s="4" t="s">
        <v>24</v>
      </c>
      <c r="I11" s="8">
        <v>36700</v>
      </c>
    </row>
    <row r="12" spans="1:9">
      <c r="A12" s="5">
        <v>2</v>
      </c>
      <c r="B12" s="4" t="s">
        <v>44</v>
      </c>
      <c r="C12" s="6" t="s">
        <v>51</v>
      </c>
      <c r="D12" s="4" t="s">
        <v>52</v>
      </c>
      <c r="E12" s="4" t="s">
        <v>29</v>
      </c>
      <c r="F12" s="4" t="s">
        <v>39</v>
      </c>
      <c r="G12" s="7">
        <v>47622</v>
      </c>
      <c r="H12" s="4" t="s">
        <v>24</v>
      </c>
      <c r="I12" s="8">
        <v>75900</v>
      </c>
    </row>
    <row r="13" spans="1:9">
      <c r="A13" s="5">
        <v>2</v>
      </c>
      <c r="B13" s="4" t="s">
        <v>55</v>
      </c>
      <c r="C13" s="6" t="s">
        <v>56</v>
      </c>
      <c r="D13" s="4" t="s">
        <v>57</v>
      </c>
      <c r="E13" s="4" t="s">
        <v>29</v>
      </c>
      <c r="F13" s="4" t="s">
        <v>39</v>
      </c>
      <c r="G13" s="7">
        <v>47622</v>
      </c>
      <c r="H13" s="4" t="s">
        <v>24</v>
      </c>
      <c r="I13" s="8">
        <v>16900</v>
      </c>
    </row>
    <row r="14" spans="1:9">
      <c r="A14" s="5">
        <v>2</v>
      </c>
      <c r="B14" s="4" t="s">
        <v>55</v>
      </c>
      <c r="C14" s="6" t="s">
        <v>58</v>
      </c>
      <c r="D14" s="4" t="s">
        <v>59</v>
      </c>
      <c r="E14" s="4" t="s">
        <v>29</v>
      </c>
      <c r="F14" s="4" t="s">
        <v>39</v>
      </c>
      <c r="G14" s="7">
        <v>47622</v>
      </c>
      <c r="H14" s="4" t="s">
        <v>24</v>
      </c>
      <c r="I14" s="8">
        <v>21900</v>
      </c>
    </row>
    <row r="15" spans="1:9" ht="28.5">
      <c r="A15" s="5">
        <v>2</v>
      </c>
      <c r="B15" s="4" t="s">
        <v>60</v>
      </c>
      <c r="C15" s="6" t="s">
        <v>61</v>
      </c>
      <c r="D15" s="4" t="s">
        <v>62</v>
      </c>
      <c r="E15" s="4" t="s">
        <v>29</v>
      </c>
      <c r="F15" s="4" t="s">
        <v>63</v>
      </c>
      <c r="G15" s="7">
        <v>47600</v>
      </c>
      <c r="H15" s="4" t="s">
        <v>14</v>
      </c>
      <c r="I15" s="8">
        <v>38600</v>
      </c>
    </row>
    <row r="16" spans="1:9" ht="28.5">
      <c r="A16" s="5">
        <v>2</v>
      </c>
      <c r="B16" s="4" t="s">
        <v>60</v>
      </c>
      <c r="C16" s="6" t="s">
        <v>64</v>
      </c>
      <c r="D16" s="4" t="s">
        <v>65</v>
      </c>
      <c r="E16" s="4" t="s">
        <v>29</v>
      </c>
      <c r="F16" s="4" t="s">
        <v>63</v>
      </c>
      <c r="G16" s="7">
        <v>47600</v>
      </c>
      <c r="H16" s="4" t="s">
        <v>14</v>
      </c>
      <c r="I16" s="8">
        <v>107200</v>
      </c>
    </row>
    <row r="17" spans="1:9" ht="28.5">
      <c r="A17" s="5">
        <v>2</v>
      </c>
      <c r="B17" s="4" t="s">
        <v>60</v>
      </c>
      <c r="C17" s="6" t="s">
        <v>66</v>
      </c>
      <c r="D17" s="4" t="s">
        <v>67</v>
      </c>
      <c r="E17" s="4" t="s">
        <v>29</v>
      </c>
      <c r="F17" s="4" t="s">
        <v>63</v>
      </c>
      <c r="G17" s="7">
        <v>47600</v>
      </c>
      <c r="H17" s="4" t="s">
        <v>14</v>
      </c>
      <c r="I17" s="8">
        <v>114900</v>
      </c>
    </row>
    <row r="18" spans="1:9" ht="28.5">
      <c r="A18" s="5">
        <v>2</v>
      </c>
      <c r="B18" s="4" t="s">
        <v>60</v>
      </c>
      <c r="C18" s="6" t="s">
        <v>68</v>
      </c>
      <c r="D18" s="4" t="s">
        <v>69</v>
      </c>
      <c r="E18" s="4" t="s">
        <v>29</v>
      </c>
      <c r="F18" s="4" t="s">
        <v>63</v>
      </c>
      <c r="G18" s="7">
        <v>47600</v>
      </c>
      <c r="H18" s="4" t="s">
        <v>14</v>
      </c>
      <c r="I18" s="8">
        <v>129400</v>
      </c>
    </row>
    <row r="19" spans="1:9" ht="28.5">
      <c r="A19" s="5">
        <v>3</v>
      </c>
      <c r="B19" s="4" t="s">
        <v>72</v>
      </c>
      <c r="C19" s="6" t="s">
        <v>73</v>
      </c>
      <c r="D19" s="4" t="s">
        <v>74</v>
      </c>
      <c r="E19" s="4" t="s">
        <v>29</v>
      </c>
      <c r="F19" s="4" t="s">
        <v>39</v>
      </c>
      <c r="G19" s="7">
        <v>47622</v>
      </c>
      <c r="H19" s="4" t="s">
        <v>24</v>
      </c>
      <c r="I19" s="8">
        <v>49000</v>
      </c>
    </row>
    <row r="20" spans="1:9" ht="28.5">
      <c r="A20" s="5">
        <v>3</v>
      </c>
      <c r="B20" s="4" t="s">
        <v>75</v>
      </c>
      <c r="C20" s="6" t="s">
        <v>76</v>
      </c>
      <c r="D20" s="4" t="s">
        <v>77</v>
      </c>
      <c r="E20" s="4" t="s">
        <v>53</v>
      </c>
      <c r="F20" s="4" t="s">
        <v>63</v>
      </c>
      <c r="G20" s="7">
        <v>47600</v>
      </c>
      <c r="H20" s="4" t="s">
        <v>14</v>
      </c>
      <c r="I20" s="8">
        <v>386300</v>
      </c>
    </row>
    <row r="21" spans="1:9" ht="28.5">
      <c r="A21" s="5">
        <v>3</v>
      </c>
      <c r="B21" s="4" t="s">
        <v>78</v>
      </c>
      <c r="C21" s="6" t="s">
        <v>80</v>
      </c>
      <c r="D21" s="4" t="s">
        <v>81</v>
      </c>
      <c r="E21" s="4" t="s">
        <v>22</v>
      </c>
      <c r="F21" s="4" t="s">
        <v>79</v>
      </c>
      <c r="G21" s="7">
        <v>48816</v>
      </c>
      <c r="H21" s="4" t="s">
        <v>24</v>
      </c>
      <c r="I21" s="8">
        <v>38000</v>
      </c>
    </row>
    <row r="22" spans="1:9" ht="28.5">
      <c r="A22" s="5">
        <v>3</v>
      </c>
      <c r="B22" s="4" t="s">
        <v>78</v>
      </c>
      <c r="C22" s="6" t="s">
        <v>82</v>
      </c>
      <c r="D22" s="4" t="s">
        <v>83</v>
      </c>
      <c r="E22" s="4" t="s">
        <v>22</v>
      </c>
      <c r="F22" s="4" t="s">
        <v>79</v>
      </c>
      <c r="G22" s="7">
        <v>48816</v>
      </c>
      <c r="H22" s="4" t="s">
        <v>24</v>
      </c>
      <c r="I22" s="8">
        <v>39800</v>
      </c>
    </row>
    <row r="23" spans="1:9" ht="28.5">
      <c r="A23" s="5">
        <v>3</v>
      </c>
      <c r="B23" s="4" t="s">
        <v>78</v>
      </c>
      <c r="C23" s="6" t="s">
        <v>84</v>
      </c>
      <c r="D23" s="4" t="s">
        <v>85</v>
      </c>
      <c r="E23" s="4" t="s">
        <v>22</v>
      </c>
      <c r="F23" s="4" t="s">
        <v>79</v>
      </c>
      <c r="G23" s="7">
        <v>48816</v>
      </c>
      <c r="H23" s="4" t="s">
        <v>24</v>
      </c>
      <c r="I23" s="8">
        <v>42200</v>
      </c>
    </row>
    <row r="24" spans="1:9" ht="28.5">
      <c r="A24" s="5">
        <v>3</v>
      </c>
      <c r="B24" s="4" t="s">
        <v>78</v>
      </c>
      <c r="C24" s="6" t="s">
        <v>86</v>
      </c>
      <c r="D24" s="4" t="s">
        <v>87</v>
      </c>
      <c r="E24" s="4" t="s">
        <v>22</v>
      </c>
      <c r="F24" s="4" t="s">
        <v>79</v>
      </c>
      <c r="G24" s="7">
        <v>48816</v>
      </c>
      <c r="H24" s="4" t="s">
        <v>24</v>
      </c>
      <c r="I24" s="8">
        <v>51600</v>
      </c>
    </row>
    <row r="25" spans="1:9">
      <c r="A25" s="5">
        <v>4</v>
      </c>
      <c r="B25" s="4" t="s">
        <v>95</v>
      </c>
      <c r="C25" s="6" t="s">
        <v>96</v>
      </c>
      <c r="D25" s="4" t="s">
        <v>97</v>
      </c>
      <c r="E25" s="4" t="s">
        <v>12</v>
      </c>
      <c r="F25" s="4" t="s">
        <v>98</v>
      </c>
      <c r="G25" s="7">
        <v>48561</v>
      </c>
      <c r="H25" s="4" t="s">
        <v>99</v>
      </c>
      <c r="I25" s="8">
        <v>43500</v>
      </c>
    </row>
    <row r="26" spans="1:9" ht="28.5">
      <c r="A26" s="5">
        <v>5</v>
      </c>
      <c r="B26" s="4" t="s">
        <v>100</v>
      </c>
      <c r="C26" s="6" t="s">
        <v>101</v>
      </c>
      <c r="D26" s="4" t="s">
        <v>102</v>
      </c>
      <c r="E26" s="4" t="s">
        <v>12</v>
      </c>
      <c r="F26" s="4" t="s">
        <v>103</v>
      </c>
      <c r="G26" s="7">
        <v>47051</v>
      </c>
      <c r="H26" s="4" t="s">
        <v>99</v>
      </c>
      <c r="I26" s="8">
        <v>89500</v>
      </c>
    </row>
    <row r="27" spans="1:9" ht="28.5">
      <c r="A27" s="5">
        <v>5</v>
      </c>
      <c r="B27" s="4" t="s">
        <v>100</v>
      </c>
      <c r="C27" s="6" t="s">
        <v>104</v>
      </c>
      <c r="D27" s="4" t="s">
        <v>105</v>
      </c>
      <c r="E27" s="4" t="s">
        <v>12</v>
      </c>
      <c r="F27" s="4" t="s">
        <v>103</v>
      </c>
      <c r="G27" s="7">
        <v>47051</v>
      </c>
      <c r="H27" s="4" t="s">
        <v>99</v>
      </c>
      <c r="I27" s="8">
        <v>67900</v>
      </c>
    </row>
    <row r="28" spans="1:9" ht="28.5">
      <c r="A28" s="5">
        <v>5</v>
      </c>
      <c r="B28" s="4" t="s">
        <v>100</v>
      </c>
      <c r="C28" s="6" t="s">
        <v>106</v>
      </c>
      <c r="D28" s="4" t="s">
        <v>107</v>
      </c>
      <c r="E28" s="4" t="s">
        <v>12</v>
      </c>
      <c r="F28" s="4" t="s">
        <v>103</v>
      </c>
      <c r="G28" s="7">
        <v>47051</v>
      </c>
      <c r="H28" s="4" t="s">
        <v>99</v>
      </c>
      <c r="I28" s="8">
        <v>50300</v>
      </c>
    </row>
    <row r="29" spans="1:9" ht="28.5">
      <c r="A29" s="5">
        <v>5</v>
      </c>
      <c r="B29" s="4" t="s">
        <v>100</v>
      </c>
      <c r="C29" s="6" t="s">
        <v>108</v>
      </c>
      <c r="D29" s="4" t="s">
        <v>109</v>
      </c>
      <c r="E29" s="4" t="s">
        <v>12</v>
      </c>
      <c r="F29" s="4" t="s">
        <v>103</v>
      </c>
      <c r="G29" s="7">
        <v>47051</v>
      </c>
      <c r="H29" s="4" t="s">
        <v>99</v>
      </c>
      <c r="I29" s="8">
        <v>53300</v>
      </c>
    </row>
    <row r="33" spans="1:9" ht="16.5" customHeight="1">
      <c r="A33" s="5">
        <v>1</v>
      </c>
      <c r="B33" s="4" t="s">
        <v>15</v>
      </c>
      <c r="C33" s="6" t="s">
        <v>17</v>
      </c>
      <c r="D33" s="4" t="s">
        <v>18</v>
      </c>
      <c r="E33" s="4" t="s">
        <v>12</v>
      </c>
      <c r="F33" s="4" t="s">
        <v>16</v>
      </c>
      <c r="G33" s="7">
        <v>48792</v>
      </c>
      <c r="H33" s="4" t="s">
        <v>14</v>
      </c>
      <c r="I33" s="8">
        <v>80300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A5716-C836-4649-B1B9-F8BD07A0B839}">
  <dimension ref="A1:AB141"/>
  <sheetViews>
    <sheetView topLeftCell="O115" workbookViewId="0">
      <selection activeCell="A2" sqref="A2:AB141"/>
    </sheetView>
  </sheetViews>
  <sheetFormatPr baseColWidth="10" defaultRowHeight="14.25"/>
  <cols>
    <col min="9" max="9" width="33.125" customWidth="1"/>
  </cols>
  <sheetData>
    <row r="1" spans="1:28" ht="15">
      <c r="A1" s="11" t="s">
        <v>117</v>
      </c>
      <c r="B1" s="11" t="s">
        <v>118</v>
      </c>
      <c r="C1" s="11" t="s">
        <v>119</v>
      </c>
      <c r="D1" s="11" t="s">
        <v>120</v>
      </c>
      <c r="E1" s="11" t="s">
        <v>121</v>
      </c>
      <c r="F1" s="11" t="s">
        <v>122</v>
      </c>
      <c r="G1" s="11" t="s">
        <v>123</v>
      </c>
      <c r="H1" s="11" t="s">
        <v>124</v>
      </c>
      <c r="I1" s="11" t="s">
        <v>125</v>
      </c>
      <c r="J1" s="11" t="s">
        <v>126</v>
      </c>
      <c r="K1" s="11" t="s">
        <v>127</v>
      </c>
      <c r="L1" s="11" t="s">
        <v>128</v>
      </c>
      <c r="M1" s="12" t="s">
        <v>129</v>
      </c>
      <c r="N1" s="11" t="s">
        <v>130</v>
      </c>
      <c r="O1" s="11" t="s">
        <v>131</v>
      </c>
      <c r="P1" s="11" t="s">
        <v>132</v>
      </c>
      <c r="Q1" s="13" t="s">
        <v>133</v>
      </c>
      <c r="R1" s="14" t="s">
        <v>134</v>
      </c>
      <c r="S1" s="15" t="s">
        <v>135</v>
      </c>
      <c r="T1" s="16" t="s">
        <v>136</v>
      </c>
      <c r="U1" s="16" t="s">
        <v>137</v>
      </c>
      <c r="V1" s="16" t="s">
        <v>138</v>
      </c>
      <c r="W1" s="13" t="s">
        <v>139</v>
      </c>
      <c r="X1" s="16" t="s">
        <v>140</v>
      </c>
      <c r="Y1" s="16" t="s">
        <v>141</v>
      </c>
      <c r="Z1" s="16" t="s">
        <v>142</v>
      </c>
      <c r="AA1" s="13" t="s">
        <v>143</v>
      </c>
      <c r="AB1" s="14" t="s">
        <v>144</v>
      </c>
    </row>
    <row r="2" spans="1:28">
      <c r="A2">
        <v>2026</v>
      </c>
      <c r="B2" t="s">
        <v>153</v>
      </c>
      <c r="C2" t="s">
        <v>146</v>
      </c>
      <c r="D2" t="s">
        <v>147</v>
      </c>
      <c r="E2">
        <v>360001</v>
      </c>
      <c r="G2" t="s">
        <v>148</v>
      </c>
      <c r="H2" t="s">
        <v>148</v>
      </c>
      <c r="I2" t="s">
        <v>11</v>
      </c>
      <c r="J2" t="s">
        <v>12</v>
      </c>
      <c r="K2">
        <v>40</v>
      </c>
      <c r="L2">
        <v>893800</v>
      </c>
      <c r="M2" s="17">
        <f>L2/K2</f>
        <v>22345</v>
      </c>
      <c r="O2" s="17">
        <f t="shared" ref="O2:O21" si="0">M2+(M2*30%)</f>
        <v>29048.5</v>
      </c>
      <c r="P2" s="17">
        <f t="shared" ref="P2:P21" si="1">IF(C2="Alta Complejidad",M2,0)</f>
        <v>22345</v>
      </c>
      <c r="Q2" s="18">
        <v>0.15</v>
      </c>
      <c r="R2" s="17">
        <f t="shared" ref="R2:R21" si="2">P2+(P2*Q2)</f>
        <v>25696.75</v>
      </c>
      <c r="S2" s="19">
        <f t="shared" ref="S2:S21" si="3">IFERROR(((R2-P2)/R2),0)</f>
        <v>0.13043478260869565</v>
      </c>
      <c r="T2" s="17">
        <f t="shared" ref="T2:T21" si="4">IF(C2="Mediana Complejidad",M2,0)</f>
        <v>0</v>
      </c>
      <c r="U2" s="18">
        <v>0.3</v>
      </c>
      <c r="V2" s="17">
        <f t="shared" ref="V2:V21" si="5">(T2)+(T2*U2)</f>
        <v>0</v>
      </c>
      <c r="W2" s="18">
        <f t="shared" ref="W2:W21" si="6">IFERROR(((V2-T2)/V2),0)</f>
        <v>0</v>
      </c>
      <c r="X2" s="17">
        <f t="shared" ref="X2:X21" si="7">IF(C2="Baja Complejidad",M2,0)</f>
        <v>0</v>
      </c>
      <c r="Y2" s="18">
        <v>0.3</v>
      </c>
      <c r="Z2" s="17">
        <f t="shared" ref="Z2:Z21" si="8">(X2)+(X2*Y2)</f>
        <v>0</v>
      </c>
      <c r="AA2" s="18">
        <f t="shared" ref="AA2:AA21" si="9">IFERROR(((Z2-X2)/Z2),0)</f>
        <v>0</v>
      </c>
      <c r="AB2" s="18">
        <v>0.1</v>
      </c>
    </row>
    <row r="3" spans="1:28">
      <c r="A3">
        <v>2026</v>
      </c>
      <c r="B3" t="s">
        <v>153</v>
      </c>
      <c r="C3" t="s">
        <v>146</v>
      </c>
      <c r="D3" t="s">
        <v>147</v>
      </c>
      <c r="E3">
        <v>709900</v>
      </c>
      <c r="G3" t="s">
        <v>148</v>
      </c>
      <c r="H3" t="s">
        <v>148</v>
      </c>
      <c r="I3" t="s">
        <v>18</v>
      </c>
      <c r="J3" t="s">
        <v>12</v>
      </c>
      <c r="K3">
        <v>250</v>
      </c>
      <c r="L3">
        <v>80300</v>
      </c>
      <c r="M3" s="17">
        <f t="shared" ref="M3:M19" si="10">L3/K3</f>
        <v>321.2</v>
      </c>
      <c r="O3" s="17">
        <f t="shared" si="0"/>
        <v>417.56</v>
      </c>
      <c r="P3" s="17">
        <f t="shared" si="1"/>
        <v>321.2</v>
      </c>
      <c r="Q3" s="18">
        <v>0.18</v>
      </c>
      <c r="R3" s="17">
        <f t="shared" si="2"/>
        <v>379.01599999999996</v>
      </c>
      <c r="S3" s="19">
        <f t="shared" si="3"/>
        <v>0.15254237288135589</v>
      </c>
      <c r="T3" s="17">
        <f t="shared" si="4"/>
        <v>0</v>
      </c>
      <c r="U3" s="18">
        <v>0.28000000000000003</v>
      </c>
      <c r="V3" s="17">
        <f t="shared" si="5"/>
        <v>0</v>
      </c>
      <c r="W3" s="18">
        <f t="shared" si="6"/>
        <v>0</v>
      </c>
      <c r="X3" s="17">
        <f t="shared" si="7"/>
        <v>0</v>
      </c>
      <c r="Y3" s="18">
        <v>0.28000000000000003</v>
      </c>
      <c r="Z3" s="17">
        <f t="shared" si="8"/>
        <v>0</v>
      </c>
      <c r="AA3" s="18">
        <f t="shared" si="9"/>
        <v>0</v>
      </c>
      <c r="AB3" s="18">
        <v>0.1</v>
      </c>
    </row>
    <row r="4" spans="1:28">
      <c r="A4">
        <v>2026</v>
      </c>
      <c r="B4" t="s">
        <v>153</v>
      </c>
      <c r="C4" t="s">
        <v>146</v>
      </c>
      <c r="D4" t="s">
        <v>147</v>
      </c>
      <c r="E4">
        <v>709902</v>
      </c>
      <c r="G4" t="s">
        <v>148</v>
      </c>
      <c r="H4" t="s">
        <v>148</v>
      </c>
      <c r="I4" t="s">
        <v>26</v>
      </c>
      <c r="J4" t="s">
        <v>22</v>
      </c>
      <c r="K4">
        <v>10</v>
      </c>
      <c r="L4">
        <v>28800</v>
      </c>
      <c r="M4" s="17">
        <f t="shared" si="10"/>
        <v>2880</v>
      </c>
      <c r="O4" s="17">
        <f t="shared" si="0"/>
        <v>3744</v>
      </c>
      <c r="P4" s="17">
        <f t="shared" si="1"/>
        <v>2880</v>
      </c>
      <c r="Q4" s="18">
        <v>0.28999999999999998</v>
      </c>
      <c r="R4" s="17">
        <f t="shared" si="2"/>
        <v>3715.2</v>
      </c>
      <c r="S4" s="19">
        <f t="shared" si="3"/>
        <v>0.22480620155038755</v>
      </c>
      <c r="T4" s="17">
        <f t="shared" si="4"/>
        <v>0</v>
      </c>
      <c r="U4" s="18">
        <v>0.27</v>
      </c>
      <c r="V4" s="17">
        <f t="shared" si="5"/>
        <v>0</v>
      </c>
      <c r="W4" s="18">
        <f t="shared" si="6"/>
        <v>0</v>
      </c>
      <c r="X4" s="17">
        <f t="shared" si="7"/>
        <v>0</v>
      </c>
      <c r="Y4" s="18">
        <v>0.27</v>
      </c>
      <c r="Z4" s="17">
        <f t="shared" si="8"/>
        <v>0</v>
      </c>
      <c r="AA4" s="18">
        <f t="shared" si="9"/>
        <v>0</v>
      </c>
      <c r="AB4" s="18">
        <v>0.1</v>
      </c>
    </row>
    <row r="5" spans="1:28">
      <c r="A5">
        <v>2026</v>
      </c>
      <c r="B5" t="s">
        <v>153</v>
      </c>
      <c r="C5" t="s">
        <v>146</v>
      </c>
      <c r="D5" t="s">
        <v>147</v>
      </c>
      <c r="E5">
        <v>709903</v>
      </c>
      <c r="G5" t="s">
        <v>148</v>
      </c>
      <c r="H5" t="s">
        <v>148</v>
      </c>
      <c r="I5" t="s">
        <v>35</v>
      </c>
      <c r="J5" t="s">
        <v>22</v>
      </c>
      <c r="K5">
        <v>10</v>
      </c>
      <c r="L5">
        <v>36700</v>
      </c>
      <c r="M5" s="17">
        <f t="shared" si="10"/>
        <v>3670</v>
      </c>
      <c r="O5" s="17">
        <f t="shared" si="0"/>
        <v>4771</v>
      </c>
      <c r="P5" s="17">
        <f t="shared" si="1"/>
        <v>3670</v>
      </c>
      <c r="Q5" s="18">
        <v>0.34</v>
      </c>
      <c r="R5" s="17">
        <f t="shared" si="2"/>
        <v>4917.8</v>
      </c>
      <c r="S5" s="19">
        <f t="shared" si="3"/>
        <v>0.2537313432835821</v>
      </c>
      <c r="T5" s="17">
        <f t="shared" si="4"/>
        <v>0</v>
      </c>
      <c r="U5" s="18">
        <v>0.17</v>
      </c>
      <c r="V5" s="17">
        <f t="shared" si="5"/>
        <v>0</v>
      </c>
      <c r="W5" s="18">
        <f t="shared" si="6"/>
        <v>0</v>
      </c>
      <c r="X5" s="17">
        <f t="shared" si="7"/>
        <v>0</v>
      </c>
      <c r="Y5" s="18">
        <v>0.17</v>
      </c>
      <c r="Z5" s="17">
        <f t="shared" si="8"/>
        <v>0</v>
      </c>
      <c r="AA5" s="18">
        <f t="shared" si="9"/>
        <v>0</v>
      </c>
      <c r="AB5" s="18">
        <v>0.1</v>
      </c>
    </row>
    <row r="6" spans="1:28">
      <c r="A6">
        <v>2026</v>
      </c>
      <c r="B6" t="s">
        <v>153</v>
      </c>
      <c r="C6" t="s">
        <v>146</v>
      </c>
      <c r="D6" t="s">
        <v>147</v>
      </c>
      <c r="E6">
        <v>603421</v>
      </c>
      <c r="G6" t="s">
        <v>148</v>
      </c>
      <c r="H6" t="s">
        <v>148</v>
      </c>
      <c r="I6" t="s">
        <v>159</v>
      </c>
      <c r="J6" t="s">
        <v>29</v>
      </c>
      <c r="K6">
        <v>5</v>
      </c>
      <c r="L6">
        <v>28000</v>
      </c>
      <c r="M6" s="17">
        <f t="shared" si="10"/>
        <v>5600</v>
      </c>
      <c r="O6" s="17">
        <f t="shared" si="0"/>
        <v>7280</v>
      </c>
      <c r="P6" s="17">
        <f t="shared" si="1"/>
        <v>5600</v>
      </c>
      <c r="Q6" s="18">
        <v>0.25</v>
      </c>
      <c r="R6" s="17">
        <f t="shared" si="2"/>
        <v>7000</v>
      </c>
      <c r="S6" s="19">
        <f t="shared" si="3"/>
        <v>0.2</v>
      </c>
      <c r="T6" s="17">
        <f t="shared" si="4"/>
        <v>0</v>
      </c>
      <c r="U6" s="18">
        <v>0.22</v>
      </c>
      <c r="V6" s="17">
        <f t="shared" si="5"/>
        <v>0</v>
      </c>
      <c r="W6" s="18">
        <f t="shared" si="6"/>
        <v>0</v>
      </c>
      <c r="X6" s="17">
        <f t="shared" si="7"/>
        <v>0</v>
      </c>
      <c r="Y6" s="18">
        <v>0.22</v>
      </c>
      <c r="Z6" s="17">
        <f t="shared" si="8"/>
        <v>0</v>
      </c>
      <c r="AA6" s="18">
        <f t="shared" si="9"/>
        <v>0</v>
      </c>
      <c r="AB6" s="18">
        <v>0.1</v>
      </c>
    </row>
    <row r="7" spans="1:28">
      <c r="A7">
        <v>2026</v>
      </c>
      <c r="B7" t="s">
        <v>153</v>
      </c>
      <c r="C7" t="s">
        <v>146</v>
      </c>
      <c r="D7" t="s">
        <v>147</v>
      </c>
      <c r="E7">
        <v>603422</v>
      </c>
      <c r="G7" t="s">
        <v>148</v>
      </c>
      <c r="H7" t="s">
        <v>148</v>
      </c>
      <c r="I7" t="s">
        <v>50</v>
      </c>
      <c r="J7" t="s">
        <v>29</v>
      </c>
      <c r="K7">
        <v>5</v>
      </c>
      <c r="L7">
        <v>36700</v>
      </c>
      <c r="M7" s="17">
        <f t="shared" si="10"/>
        <v>7340</v>
      </c>
      <c r="O7" s="17">
        <f t="shared" si="0"/>
        <v>9542</v>
      </c>
      <c r="P7" s="17">
        <f t="shared" si="1"/>
        <v>7340</v>
      </c>
      <c r="Q7" s="18">
        <v>0.35</v>
      </c>
      <c r="R7" s="17">
        <f t="shared" si="2"/>
        <v>9909</v>
      </c>
      <c r="S7" s="19">
        <f t="shared" si="3"/>
        <v>0.25925925925925924</v>
      </c>
      <c r="T7" s="17">
        <f t="shared" si="4"/>
        <v>0</v>
      </c>
      <c r="U7" s="18">
        <v>0.12</v>
      </c>
      <c r="V7" s="17">
        <f t="shared" si="5"/>
        <v>0</v>
      </c>
      <c r="W7" s="18">
        <f t="shared" si="6"/>
        <v>0</v>
      </c>
      <c r="X7" s="17">
        <f t="shared" si="7"/>
        <v>0</v>
      </c>
      <c r="Y7" s="18">
        <v>0.12</v>
      </c>
      <c r="Z7" s="17">
        <f t="shared" si="8"/>
        <v>0</v>
      </c>
      <c r="AA7" s="18">
        <f t="shared" si="9"/>
        <v>0</v>
      </c>
      <c r="AB7" s="18">
        <v>0.1</v>
      </c>
    </row>
    <row r="8" spans="1:28">
      <c r="A8">
        <v>2026</v>
      </c>
      <c r="B8" t="s">
        <v>153</v>
      </c>
      <c r="C8" t="s">
        <v>146</v>
      </c>
      <c r="D8" t="s">
        <v>147</v>
      </c>
      <c r="E8">
        <v>603423</v>
      </c>
      <c r="G8" t="s">
        <v>148</v>
      </c>
      <c r="H8" t="s">
        <v>148</v>
      </c>
      <c r="I8" t="s">
        <v>59</v>
      </c>
      <c r="J8" t="s">
        <v>29</v>
      </c>
      <c r="K8">
        <v>5</v>
      </c>
      <c r="L8">
        <v>21900</v>
      </c>
      <c r="M8" s="17">
        <f t="shared" si="10"/>
        <v>4380</v>
      </c>
      <c r="O8" s="17">
        <f t="shared" si="0"/>
        <v>5694</v>
      </c>
      <c r="P8" s="17">
        <f t="shared" si="1"/>
        <v>4380</v>
      </c>
      <c r="Q8" s="18">
        <v>0.12</v>
      </c>
      <c r="R8" s="17">
        <f t="shared" si="2"/>
        <v>4905.6000000000004</v>
      </c>
      <c r="S8" s="19">
        <f t="shared" si="3"/>
        <v>0.10714285714285721</v>
      </c>
      <c r="T8" s="17">
        <f t="shared" si="4"/>
        <v>0</v>
      </c>
      <c r="U8" s="18">
        <v>0.15</v>
      </c>
      <c r="V8" s="17">
        <f t="shared" si="5"/>
        <v>0</v>
      </c>
      <c r="W8" s="18">
        <f t="shared" si="6"/>
        <v>0</v>
      </c>
      <c r="X8" s="17">
        <f t="shared" si="7"/>
        <v>0</v>
      </c>
      <c r="Y8" s="18">
        <v>0.15</v>
      </c>
      <c r="Z8" s="17">
        <f t="shared" si="8"/>
        <v>0</v>
      </c>
      <c r="AA8" s="18">
        <f t="shared" si="9"/>
        <v>0</v>
      </c>
      <c r="AB8" s="18">
        <v>0.1</v>
      </c>
    </row>
    <row r="9" spans="1:28">
      <c r="A9">
        <v>2026</v>
      </c>
      <c r="B9" t="s">
        <v>153</v>
      </c>
      <c r="C9" t="s">
        <v>146</v>
      </c>
      <c r="D9" t="s">
        <v>147</v>
      </c>
      <c r="E9">
        <v>294199</v>
      </c>
      <c r="G9" t="s">
        <v>148</v>
      </c>
      <c r="H9" t="s">
        <v>148</v>
      </c>
      <c r="I9" t="s">
        <v>67</v>
      </c>
      <c r="J9" t="s">
        <v>29</v>
      </c>
      <c r="K9">
        <v>5</v>
      </c>
      <c r="L9">
        <v>114900</v>
      </c>
      <c r="M9" s="17">
        <f t="shared" si="10"/>
        <v>22980</v>
      </c>
      <c r="O9" s="17">
        <f t="shared" si="0"/>
        <v>29874</v>
      </c>
      <c r="P9" s="17">
        <f t="shared" si="1"/>
        <v>22980</v>
      </c>
      <c r="Q9" s="18">
        <v>0.25</v>
      </c>
      <c r="R9" s="17">
        <f t="shared" si="2"/>
        <v>28725</v>
      </c>
      <c r="S9" s="19">
        <f t="shared" si="3"/>
        <v>0.2</v>
      </c>
      <c r="T9" s="17">
        <f t="shared" si="4"/>
        <v>0</v>
      </c>
      <c r="U9" s="18">
        <v>0.18</v>
      </c>
      <c r="V9" s="17">
        <f t="shared" si="5"/>
        <v>0</v>
      </c>
      <c r="W9" s="18">
        <f t="shared" si="6"/>
        <v>0</v>
      </c>
      <c r="X9" s="17">
        <f t="shared" si="7"/>
        <v>0</v>
      </c>
      <c r="Y9" s="18">
        <v>0.18</v>
      </c>
      <c r="Z9" s="17">
        <f t="shared" si="8"/>
        <v>0</v>
      </c>
      <c r="AA9" s="18">
        <f t="shared" si="9"/>
        <v>0</v>
      </c>
      <c r="AB9" s="18">
        <v>0.1</v>
      </c>
    </row>
    <row r="10" spans="1:28">
      <c r="A10">
        <v>2026</v>
      </c>
      <c r="B10" t="s">
        <v>153</v>
      </c>
      <c r="C10" t="s">
        <v>146</v>
      </c>
      <c r="D10" t="s">
        <v>147</v>
      </c>
      <c r="E10">
        <v>294299</v>
      </c>
      <c r="G10" t="s">
        <v>148</v>
      </c>
      <c r="H10" t="s">
        <v>148</v>
      </c>
      <c r="I10" t="s">
        <v>160</v>
      </c>
      <c r="J10" t="s">
        <v>29</v>
      </c>
      <c r="K10">
        <v>5</v>
      </c>
      <c r="L10">
        <v>28000</v>
      </c>
      <c r="M10" s="17">
        <f t="shared" si="10"/>
        <v>5600</v>
      </c>
      <c r="O10" s="17">
        <f t="shared" si="0"/>
        <v>7280</v>
      </c>
      <c r="P10" s="17">
        <f t="shared" si="1"/>
        <v>5600</v>
      </c>
      <c r="Q10" s="18">
        <v>0.1</v>
      </c>
      <c r="R10" s="17">
        <f t="shared" si="2"/>
        <v>6160</v>
      </c>
      <c r="S10" s="19">
        <f t="shared" si="3"/>
        <v>9.0909090909090912E-2</v>
      </c>
      <c r="T10" s="17">
        <f t="shared" si="4"/>
        <v>0</v>
      </c>
      <c r="U10" s="18">
        <v>0.28999999999999998</v>
      </c>
      <c r="V10" s="17">
        <f t="shared" si="5"/>
        <v>0</v>
      </c>
      <c r="W10" s="18">
        <f t="shared" si="6"/>
        <v>0</v>
      </c>
      <c r="X10" s="17">
        <f t="shared" si="7"/>
        <v>0</v>
      </c>
      <c r="Y10" s="18">
        <v>0.28999999999999998</v>
      </c>
      <c r="Z10" s="17">
        <f t="shared" si="8"/>
        <v>0</v>
      </c>
      <c r="AA10" s="18">
        <f t="shared" si="9"/>
        <v>0</v>
      </c>
      <c r="AB10" s="18">
        <v>0.1</v>
      </c>
    </row>
    <row r="11" spans="1:28">
      <c r="A11">
        <v>2026</v>
      </c>
      <c r="B11" t="s">
        <v>153</v>
      </c>
      <c r="C11" t="s">
        <v>146</v>
      </c>
      <c r="D11" t="s">
        <v>147</v>
      </c>
      <c r="E11">
        <v>294399</v>
      </c>
      <c r="G11" t="s">
        <v>148</v>
      </c>
      <c r="H11" t="s">
        <v>148</v>
      </c>
      <c r="I11" t="s">
        <v>161</v>
      </c>
      <c r="J11" t="s">
        <v>29</v>
      </c>
      <c r="K11">
        <v>5</v>
      </c>
      <c r="L11">
        <v>49200</v>
      </c>
      <c r="M11" s="17">
        <f t="shared" si="10"/>
        <v>9840</v>
      </c>
      <c r="O11" s="17">
        <f t="shared" si="0"/>
        <v>12792</v>
      </c>
      <c r="P11" s="17">
        <f t="shared" si="1"/>
        <v>9840</v>
      </c>
      <c r="Q11" s="18">
        <v>0.35</v>
      </c>
      <c r="R11" s="17">
        <f t="shared" si="2"/>
        <v>13284</v>
      </c>
      <c r="S11" s="19">
        <f t="shared" si="3"/>
        <v>0.25925925925925924</v>
      </c>
      <c r="T11" s="17">
        <f t="shared" si="4"/>
        <v>0</v>
      </c>
      <c r="U11" s="18">
        <v>0.34</v>
      </c>
      <c r="V11" s="17">
        <f t="shared" si="5"/>
        <v>0</v>
      </c>
      <c r="W11" s="18">
        <f t="shared" si="6"/>
        <v>0</v>
      </c>
      <c r="X11" s="17">
        <f t="shared" si="7"/>
        <v>0</v>
      </c>
      <c r="Y11" s="18">
        <v>0.34</v>
      </c>
      <c r="Z11" s="17">
        <f t="shared" si="8"/>
        <v>0</v>
      </c>
      <c r="AA11" s="18">
        <f t="shared" si="9"/>
        <v>0</v>
      </c>
      <c r="AB11" s="18">
        <v>0.1</v>
      </c>
    </row>
    <row r="12" spans="1:28">
      <c r="A12">
        <v>2026</v>
      </c>
      <c r="B12" t="s">
        <v>153</v>
      </c>
      <c r="C12" t="s">
        <v>146</v>
      </c>
      <c r="D12" t="s">
        <v>147</v>
      </c>
      <c r="E12">
        <v>294499</v>
      </c>
      <c r="G12" t="s">
        <v>148</v>
      </c>
      <c r="H12" t="s">
        <v>148</v>
      </c>
      <c r="I12" t="s">
        <v>162</v>
      </c>
      <c r="J12" t="s">
        <v>29</v>
      </c>
      <c r="K12">
        <v>5</v>
      </c>
      <c r="L12">
        <v>141600</v>
      </c>
      <c r="M12" s="17">
        <f t="shared" si="10"/>
        <v>28320</v>
      </c>
      <c r="O12" s="17">
        <f t="shared" si="0"/>
        <v>36816</v>
      </c>
      <c r="P12" s="17">
        <f t="shared" si="1"/>
        <v>28320</v>
      </c>
      <c r="Q12" s="18">
        <v>0.33</v>
      </c>
      <c r="R12" s="17">
        <f t="shared" si="2"/>
        <v>37665.599999999999</v>
      </c>
      <c r="S12" s="19">
        <f t="shared" si="3"/>
        <v>0.24812030075187966</v>
      </c>
      <c r="T12" s="17">
        <f t="shared" si="4"/>
        <v>0</v>
      </c>
      <c r="U12" s="18">
        <v>0.25</v>
      </c>
      <c r="V12" s="17">
        <f t="shared" si="5"/>
        <v>0</v>
      </c>
      <c r="W12" s="18">
        <f t="shared" si="6"/>
        <v>0</v>
      </c>
      <c r="X12" s="17">
        <f t="shared" si="7"/>
        <v>0</v>
      </c>
      <c r="Y12" s="18">
        <v>0.25</v>
      </c>
      <c r="Z12" s="17">
        <f t="shared" si="8"/>
        <v>0</v>
      </c>
      <c r="AA12" s="18">
        <f t="shared" si="9"/>
        <v>0</v>
      </c>
      <c r="AB12" s="18">
        <v>0.1</v>
      </c>
    </row>
    <row r="13" spans="1:28">
      <c r="A13">
        <v>2026</v>
      </c>
      <c r="B13" t="s">
        <v>153</v>
      </c>
      <c r="C13" t="s">
        <v>146</v>
      </c>
      <c r="D13" t="s">
        <v>147</v>
      </c>
      <c r="E13">
        <v>284190</v>
      </c>
      <c r="G13" t="s">
        <v>148</v>
      </c>
      <c r="H13" t="s">
        <v>148</v>
      </c>
      <c r="I13" t="s">
        <v>163</v>
      </c>
      <c r="J13" t="s">
        <v>29</v>
      </c>
      <c r="K13">
        <v>5</v>
      </c>
      <c r="L13">
        <v>174700</v>
      </c>
      <c r="M13" s="17">
        <f t="shared" si="10"/>
        <v>34940</v>
      </c>
      <c r="O13" s="17">
        <f t="shared" si="0"/>
        <v>45422</v>
      </c>
      <c r="P13" s="17">
        <f t="shared" si="1"/>
        <v>34940</v>
      </c>
      <c r="Q13" s="18">
        <v>0.31</v>
      </c>
      <c r="R13" s="17">
        <f t="shared" si="2"/>
        <v>45771.4</v>
      </c>
      <c r="S13" s="19">
        <f t="shared" si="3"/>
        <v>0.23664122137404583</v>
      </c>
      <c r="T13" s="17">
        <f t="shared" si="4"/>
        <v>0</v>
      </c>
      <c r="U13" s="18">
        <v>0.09</v>
      </c>
      <c r="V13" s="17">
        <f t="shared" si="5"/>
        <v>0</v>
      </c>
      <c r="W13" s="18">
        <f t="shared" si="6"/>
        <v>0</v>
      </c>
      <c r="X13" s="17">
        <f t="shared" si="7"/>
        <v>0</v>
      </c>
      <c r="Y13" s="18">
        <v>0.35</v>
      </c>
      <c r="Z13" s="17">
        <f t="shared" si="8"/>
        <v>0</v>
      </c>
      <c r="AA13" s="18">
        <f t="shared" si="9"/>
        <v>0</v>
      </c>
      <c r="AB13" s="18">
        <v>0.1</v>
      </c>
    </row>
    <row r="14" spans="1:28">
      <c r="A14">
        <v>2026</v>
      </c>
      <c r="B14" t="s">
        <v>153</v>
      </c>
      <c r="C14" t="s">
        <v>146</v>
      </c>
      <c r="D14" t="s">
        <v>147</v>
      </c>
      <c r="E14">
        <v>284390</v>
      </c>
      <c r="G14" t="s">
        <v>148</v>
      </c>
      <c r="H14" t="s">
        <v>148</v>
      </c>
      <c r="I14" t="s">
        <v>164</v>
      </c>
      <c r="J14" t="s">
        <v>29</v>
      </c>
      <c r="K14">
        <v>5</v>
      </c>
      <c r="L14">
        <v>204000</v>
      </c>
      <c r="M14" s="17">
        <f t="shared" si="10"/>
        <v>40800</v>
      </c>
      <c r="O14" s="17">
        <f t="shared" si="0"/>
        <v>53040</v>
      </c>
      <c r="P14" s="17">
        <f t="shared" si="1"/>
        <v>40800</v>
      </c>
      <c r="Q14" s="18">
        <v>0.3</v>
      </c>
      <c r="R14" s="17">
        <f t="shared" si="2"/>
        <v>53040</v>
      </c>
      <c r="S14" s="19">
        <f t="shared" si="3"/>
        <v>0.23076923076923078</v>
      </c>
      <c r="T14" s="17">
        <f t="shared" si="4"/>
        <v>0</v>
      </c>
      <c r="U14" s="18">
        <v>0.08</v>
      </c>
      <c r="V14" s="17">
        <f t="shared" si="5"/>
        <v>0</v>
      </c>
      <c r="W14" s="18">
        <f t="shared" si="6"/>
        <v>0</v>
      </c>
      <c r="X14" s="17">
        <f t="shared" si="7"/>
        <v>0</v>
      </c>
      <c r="Y14" s="18">
        <v>0.12</v>
      </c>
      <c r="Z14" s="17">
        <f t="shared" si="8"/>
        <v>0</v>
      </c>
      <c r="AA14" s="18">
        <f t="shared" si="9"/>
        <v>0</v>
      </c>
      <c r="AB14" s="18">
        <v>0.1</v>
      </c>
    </row>
    <row r="15" spans="1:28">
      <c r="A15">
        <v>2026</v>
      </c>
      <c r="B15" t="s">
        <v>153</v>
      </c>
      <c r="C15" t="s">
        <v>146</v>
      </c>
      <c r="D15" t="s">
        <v>147</v>
      </c>
      <c r="E15">
        <v>287100</v>
      </c>
      <c r="G15" t="s">
        <v>148</v>
      </c>
      <c r="H15" t="s">
        <v>148</v>
      </c>
      <c r="I15" t="s">
        <v>74</v>
      </c>
      <c r="J15" t="s">
        <v>29</v>
      </c>
      <c r="K15">
        <v>5</v>
      </c>
      <c r="L15">
        <v>49000</v>
      </c>
      <c r="M15" s="17">
        <f t="shared" si="10"/>
        <v>9800</v>
      </c>
      <c r="O15" s="17">
        <f t="shared" si="0"/>
        <v>12740</v>
      </c>
      <c r="P15" s="17">
        <f t="shared" si="1"/>
        <v>9800</v>
      </c>
      <c r="Q15" s="18">
        <v>0.28000000000000003</v>
      </c>
      <c r="R15" s="17">
        <f t="shared" si="2"/>
        <v>12544</v>
      </c>
      <c r="S15" s="19">
        <f t="shared" si="3"/>
        <v>0.21875</v>
      </c>
      <c r="T15" s="17">
        <f t="shared" si="4"/>
        <v>0</v>
      </c>
      <c r="U15" s="18">
        <v>0.06</v>
      </c>
      <c r="V15" s="17">
        <f t="shared" si="5"/>
        <v>0</v>
      </c>
      <c r="W15" s="18">
        <f t="shared" si="6"/>
        <v>0</v>
      </c>
      <c r="X15" s="17">
        <f t="shared" si="7"/>
        <v>0</v>
      </c>
      <c r="Y15" s="18">
        <v>0.25</v>
      </c>
      <c r="Z15" s="17">
        <f t="shared" si="8"/>
        <v>0</v>
      </c>
      <c r="AA15" s="18">
        <f t="shared" si="9"/>
        <v>0</v>
      </c>
      <c r="AB15" s="18">
        <v>0.1</v>
      </c>
    </row>
    <row r="16" spans="1:28">
      <c r="A16">
        <v>2026</v>
      </c>
      <c r="B16" t="s">
        <v>153</v>
      </c>
      <c r="C16" t="s">
        <v>146</v>
      </c>
      <c r="D16" t="s">
        <v>147</v>
      </c>
      <c r="E16">
        <v>287200</v>
      </c>
      <c r="G16" t="s">
        <v>148</v>
      </c>
      <c r="H16" t="s">
        <v>148</v>
      </c>
      <c r="I16" t="s">
        <v>165</v>
      </c>
      <c r="J16" t="s">
        <v>22</v>
      </c>
      <c r="K16">
        <v>10</v>
      </c>
      <c r="L16">
        <v>224100</v>
      </c>
      <c r="M16" s="17">
        <f t="shared" si="10"/>
        <v>22410</v>
      </c>
      <c r="O16" s="17">
        <f t="shared" si="0"/>
        <v>29133</v>
      </c>
      <c r="P16" s="17">
        <f t="shared" si="1"/>
        <v>22410</v>
      </c>
      <c r="Q16" s="18">
        <v>0.27</v>
      </c>
      <c r="R16" s="17">
        <f t="shared" si="2"/>
        <v>28460.7</v>
      </c>
      <c r="S16" s="19">
        <f t="shared" si="3"/>
        <v>0.2125984251968504</v>
      </c>
      <c r="T16" s="17">
        <f t="shared" si="4"/>
        <v>0</v>
      </c>
      <c r="U16" s="18">
        <v>0.35</v>
      </c>
      <c r="V16" s="17">
        <f t="shared" si="5"/>
        <v>0</v>
      </c>
      <c r="W16" s="18">
        <f t="shared" si="6"/>
        <v>0</v>
      </c>
      <c r="X16" s="17">
        <f t="shared" si="7"/>
        <v>0</v>
      </c>
      <c r="Y16" s="18">
        <v>0.1</v>
      </c>
      <c r="Z16" s="17">
        <f t="shared" si="8"/>
        <v>0</v>
      </c>
      <c r="AA16" s="18">
        <f t="shared" si="9"/>
        <v>0</v>
      </c>
      <c r="AB16" s="18">
        <v>0.1</v>
      </c>
    </row>
    <row r="17" spans="1:28">
      <c r="A17">
        <v>2026</v>
      </c>
      <c r="B17" t="s">
        <v>153</v>
      </c>
      <c r="C17" t="s">
        <v>146</v>
      </c>
      <c r="D17" t="s">
        <v>147</v>
      </c>
      <c r="E17">
        <v>287300</v>
      </c>
      <c r="G17" t="s">
        <v>148</v>
      </c>
      <c r="H17" t="s">
        <v>148</v>
      </c>
      <c r="I17" t="s">
        <v>81</v>
      </c>
      <c r="J17" t="s">
        <v>22</v>
      </c>
      <c r="K17">
        <v>10</v>
      </c>
      <c r="L17">
        <v>38000</v>
      </c>
      <c r="M17" s="17">
        <f t="shared" si="10"/>
        <v>3800</v>
      </c>
      <c r="O17" s="17">
        <f t="shared" si="0"/>
        <v>4940</v>
      </c>
      <c r="P17" s="17">
        <f t="shared" si="1"/>
        <v>3800</v>
      </c>
      <c r="Q17" s="18">
        <v>0.17</v>
      </c>
      <c r="R17" s="17">
        <f t="shared" si="2"/>
        <v>4446</v>
      </c>
      <c r="S17" s="19">
        <f t="shared" si="3"/>
        <v>0.14529914529914531</v>
      </c>
      <c r="T17" s="17">
        <f t="shared" si="4"/>
        <v>0</v>
      </c>
      <c r="U17" s="18">
        <v>0.12</v>
      </c>
      <c r="V17" s="17">
        <f t="shared" si="5"/>
        <v>0</v>
      </c>
      <c r="W17" s="18">
        <f t="shared" si="6"/>
        <v>0</v>
      </c>
      <c r="X17" s="17">
        <f t="shared" si="7"/>
        <v>0</v>
      </c>
      <c r="Y17" s="18">
        <v>0.35</v>
      </c>
      <c r="Z17" s="17">
        <f t="shared" si="8"/>
        <v>0</v>
      </c>
      <c r="AA17" s="18">
        <f t="shared" si="9"/>
        <v>0</v>
      </c>
      <c r="AB17" s="18">
        <v>0.1</v>
      </c>
    </row>
    <row r="18" spans="1:28">
      <c r="A18">
        <v>2026</v>
      </c>
      <c r="B18" t="s">
        <v>153</v>
      </c>
      <c r="C18" t="s">
        <v>146</v>
      </c>
      <c r="D18" t="s">
        <v>147</v>
      </c>
      <c r="E18">
        <v>287400</v>
      </c>
      <c r="G18" t="s">
        <v>148</v>
      </c>
      <c r="H18" t="s">
        <v>148</v>
      </c>
      <c r="I18" t="s">
        <v>83</v>
      </c>
      <c r="J18" t="s">
        <v>22</v>
      </c>
      <c r="K18">
        <v>10</v>
      </c>
      <c r="L18">
        <v>39800</v>
      </c>
      <c r="M18" s="17">
        <f t="shared" si="10"/>
        <v>3980</v>
      </c>
      <c r="O18" s="17">
        <f t="shared" si="0"/>
        <v>5174</v>
      </c>
      <c r="P18" s="17">
        <f t="shared" si="1"/>
        <v>3980</v>
      </c>
      <c r="Q18" s="18">
        <v>0.22</v>
      </c>
      <c r="R18" s="17">
        <f t="shared" si="2"/>
        <v>4855.6000000000004</v>
      </c>
      <c r="S18" s="19">
        <f t="shared" si="3"/>
        <v>0.18032786885245908</v>
      </c>
      <c r="T18" s="17">
        <f t="shared" si="4"/>
        <v>0</v>
      </c>
      <c r="U18" s="18">
        <v>0.25</v>
      </c>
      <c r="V18" s="17">
        <f t="shared" si="5"/>
        <v>0</v>
      </c>
      <c r="W18" s="18">
        <f t="shared" si="6"/>
        <v>0</v>
      </c>
      <c r="X18" s="17">
        <f t="shared" si="7"/>
        <v>0</v>
      </c>
      <c r="Y18" s="18">
        <v>0.33</v>
      </c>
      <c r="Z18" s="17">
        <f t="shared" si="8"/>
        <v>0</v>
      </c>
      <c r="AA18" s="18">
        <f t="shared" si="9"/>
        <v>0</v>
      </c>
      <c r="AB18" s="18">
        <v>0.1</v>
      </c>
    </row>
    <row r="19" spans="1:28">
      <c r="A19">
        <v>2026</v>
      </c>
      <c r="B19" t="s">
        <v>153</v>
      </c>
      <c r="C19" t="s">
        <v>146</v>
      </c>
      <c r="D19" t="s">
        <v>147</v>
      </c>
      <c r="E19">
        <v>294899</v>
      </c>
      <c r="G19" t="s">
        <v>148</v>
      </c>
      <c r="H19" t="s">
        <v>148</v>
      </c>
      <c r="I19" t="s">
        <v>97</v>
      </c>
      <c r="J19" t="s">
        <v>12</v>
      </c>
      <c r="K19">
        <v>1</v>
      </c>
      <c r="L19">
        <v>43500</v>
      </c>
      <c r="M19" s="17">
        <f t="shared" si="10"/>
        <v>43500</v>
      </c>
      <c r="O19" s="17">
        <f t="shared" si="0"/>
        <v>56550</v>
      </c>
      <c r="P19" s="17">
        <f t="shared" si="1"/>
        <v>43500</v>
      </c>
      <c r="Q19" s="18">
        <v>0.12</v>
      </c>
      <c r="R19" s="17">
        <f t="shared" si="2"/>
        <v>48720</v>
      </c>
      <c r="S19" s="19">
        <f t="shared" si="3"/>
        <v>0.10714285714285714</v>
      </c>
      <c r="T19" s="17">
        <f t="shared" si="4"/>
        <v>0</v>
      </c>
      <c r="U19" s="18">
        <v>0.1</v>
      </c>
      <c r="V19" s="17">
        <f t="shared" si="5"/>
        <v>0</v>
      </c>
      <c r="W19" s="18">
        <f t="shared" si="6"/>
        <v>0</v>
      </c>
      <c r="X19" s="17">
        <f t="shared" si="7"/>
        <v>0</v>
      </c>
      <c r="Y19" s="18">
        <v>0.31</v>
      </c>
      <c r="Z19" s="17">
        <f t="shared" si="8"/>
        <v>0</v>
      </c>
      <c r="AA19" s="18">
        <f t="shared" si="9"/>
        <v>0</v>
      </c>
      <c r="AB19" s="18">
        <v>0.1</v>
      </c>
    </row>
    <row r="20" spans="1:28">
      <c r="A20">
        <v>2026</v>
      </c>
      <c r="B20" t="s">
        <v>153</v>
      </c>
      <c r="C20" t="s">
        <v>146</v>
      </c>
      <c r="D20" t="s">
        <v>147</v>
      </c>
      <c r="E20">
        <v>394590</v>
      </c>
      <c r="G20" t="s">
        <v>148</v>
      </c>
      <c r="H20" t="s">
        <v>148</v>
      </c>
      <c r="I20" t="s">
        <v>105</v>
      </c>
      <c r="J20" t="s">
        <v>166</v>
      </c>
      <c r="K20">
        <v>2</v>
      </c>
      <c r="L20">
        <v>67900</v>
      </c>
      <c r="M20" s="17">
        <f>(L20/10)*2</f>
        <v>13580</v>
      </c>
      <c r="O20" s="17">
        <f t="shared" si="0"/>
        <v>17654</v>
      </c>
      <c r="P20" s="17">
        <f t="shared" si="1"/>
        <v>13580</v>
      </c>
      <c r="Q20" s="18">
        <v>0.15</v>
      </c>
      <c r="R20" s="17">
        <f t="shared" si="2"/>
        <v>15617</v>
      </c>
      <c r="S20" s="19">
        <f t="shared" si="3"/>
        <v>0.13043478260869565</v>
      </c>
      <c r="T20" s="17">
        <f t="shared" si="4"/>
        <v>0</v>
      </c>
      <c r="U20" s="18">
        <v>0.35</v>
      </c>
      <c r="V20" s="17">
        <f t="shared" si="5"/>
        <v>0</v>
      </c>
      <c r="W20" s="18">
        <f t="shared" si="6"/>
        <v>0</v>
      </c>
      <c r="X20" s="17">
        <f t="shared" si="7"/>
        <v>0</v>
      </c>
      <c r="Y20" s="18">
        <v>0.3</v>
      </c>
      <c r="Z20" s="17">
        <f t="shared" si="8"/>
        <v>0</v>
      </c>
      <c r="AA20" s="18">
        <f t="shared" si="9"/>
        <v>0</v>
      </c>
      <c r="AB20" s="18">
        <v>0.1</v>
      </c>
    </row>
    <row r="21" spans="1:28">
      <c r="A21">
        <v>2026</v>
      </c>
      <c r="B21" t="s">
        <v>153</v>
      </c>
      <c r="C21" t="s">
        <v>146</v>
      </c>
      <c r="D21" t="s">
        <v>147</v>
      </c>
      <c r="E21">
        <v>610200</v>
      </c>
      <c r="G21" t="s">
        <v>148</v>
      </c>
      <c r="H21" t="s">
        <v>148</v>
      </c>
      <c r="I21" t="s">
        <v>107</v>
      </c>
      <c r="J21" t="s">
        <v>166</v>
      </c>
      <c r="K21">
        <v>2</v>
      </c>
      <c r="L21">
        <v>50300</v>
      </c>
      <c r="M21" s="17">
        <f>(L21/10)*2</f>
        <v>10060</v>
      </c>
      <c r="O21" s="17">
        <f t="shared" si="0"/>
        <v>13078</v>
      </c>
      <c r="P21" s="17">
        <f t="shared" si="1"/>
        <v>10060</v>
      </c>
      <c r="Q21" s="18">
        <v>0.18</v>
      </c>
      <c r="R21" s="17">
        <f t="shared" si="2"/>
        <v>11870.8</v>
      </c>
      <c r="S21" s="19">
        <f t="shared" si="3"/>
        <v>0.15254237288135589</v>
      </c>
      <c r="T21" s="17">
        <f t="shared" si="4"/>
        <v>0</v>
      </c>
      <c r="U21" s="18">
        <v>0.33</v>
      </c>
      <c r="V21" s="17">
        <f t="shared" si="5"/>
        <v>0</v>
      </c>
      <c r="W21" s="18">
        <f t="shared" si="6"/>
        <v>0</v>
      </c>
      <c r="X21" s="17">
        <f t="shared" si="7"/>
        <v>0</v>
      </c>
      <c r="Y21" s="18">
        <v>0.28000000000000003</v>
      </c>
      <c r="Z21" s="17">
        <f t="shared" si="8"/>
        <v>0</v>
      </c>
      <c r="AA21" s="18">
        <f t="shared" si="9"/>
        <v>0</v>
      </c>
      <c r="AB21" s="18">
        <v>0.1</v>
      </c>
    </row>
    <row r="22" spans="1:28">
      <c r="A22">
        <v>2026</v>
      </c>
      <c r="B22" t="s">
        <v>154</v>
      </c>
      <c r="C22" t="s">
        <v>146</v>
      </c>
      <c r="D22" t="s">
        <v>147</v>
      </c>
      <c r="E22">
        <v>360001</v>
      </c>
      <c r="G22" t="s">
        <v>148</v>
      </c>
      <c r="H22" t="s">
        <v>148</v>
      </c>
      <c r="I22" t="s">
        <v>11</v>
      </c>
      <c r="J22" t="s">
        <v>12</v>
      </c>
      <c r="K22">
        <v>40</v>
      </c>
      <c r="L22">
        <v>893800</v>
      </c>
      <c r="M22" s="17">
        <f>L22/K22</f>
        <v>22345</v>
      </c>
      <c r="O22" s="17">
        <f t="shared" ref="O22:O41" si="11">M22+(M22*30%)</f>
        <v>29048.5</v>
      </c>
      <c r="P22" s="17">
        <f t="shared" ref="P22:P41" si="12">IF(C22="Alta Complejidad",M22,0)</f>
        <v>22345</v>
      </c>
      <c r="Q22" s="18">
        <v>0.15</v>
      </c>
      <c r="R22" s="17">
        <f t="shared" ref="R22:R41" si="13">P22+(P22*Q22)</f>
        <v>25696.75</v>
      </c>
      <c r="S22" s="19">
        <f t="shared" ref="S22:S41" si="14">IFERROR(((R22-P22)/R22),0)</f>
        <v>0.13043478260869565</v>
      </c>
      <c r="T22" s="17">
        <f t="shared" ref="T22:T41" si="15">IF(C22="Mediana Complejidad",M22,0)</f>
        <v>0</v>
      </c>
      <c r="U22" s="18">
        <v>0.3</v>
      </c>
      <c r="V22" s="17">
        <f t="shared" ref="V22:V41" si="16">(T22)+(T22*U22)</f>
        <v>0</v>
      </c>
      <c r="W22" s="18">
        <f t="shared" ref="W22:W41" si="17">IFERROR(((V22-T22)/V22),0)</f>
        <v>0</v>
      </c>
      <c r="X22" s="17">
        <f t="shared" ref="X22:X41" si="18">IF(C22="Baja Complejidad",M22,0)</f>
        <v>0</v>
      </c>
      <c r="Y22" s="18">
        <v>0.3</v>
      </c>
      <c r="Z22" s="17">
        <f t="shared" ref="Z22:Z41" si="19">(X22)+(X22*Y22)</f>
        <v>0</v>
      </c>
      <c r="AA22" s="18">
        <f t="shared" ref="AA22:AA41" si="20">IFERROR(((Z22-X22)/Z22),0)</f>
        <v>0</v>
      </c>
      <c r="AB22" s="18">
        <v>0.1</v>
      </c>
    </row>
    <row r="23" spans="1:28">
      <c r="A23">
        <v>2026</v>
      </c>
      <c r="B23" t="s">
        <v>154</v>
      </c>
      <c r="C23" t="s">
        <v>146</v>
      </c>
      <c r="D23" t="s">
        <v>147</v>
      </c>
      <c r="E23">
        <v>709900</v>
      </c>
      <c r="G23" t="s">
        <v>148</v>
      </c>
      <c r="H23" t="s">
        <v>148</v>
      </c>
      <c r="I23" t="s">
        <v>18</v>
      </c>
      <c r="J23" t="s">
        <v>12</v>
      </c>
      <c r="K23">
        <v>250</v>
      </c>
      <c r="L23">
        <v>80300</v>
      </c>
      <c r="M23" s="17">
        <f t="shared" ref="M23:M39" si="21">L23/K23</f>
        <v>321.2</v>
      </c>
      <c r="O23" s="17">
        <f t="shared" si="11"/>
        <v>417.56</v>
      </c>
      <c r="P23" s="17">
        <f t="shared" si="12"/>
        <v>321.2</v>
      </c>
      <c r="Q23" s="18">
        <v>0.18</v>
      </c>
      <c r="R23" s="17">
        <f t="shared" si="13"/>
        <v>379.01599999999996</v>
      </c>
      <c r="S23" s="19">
        <f t="shared" si="14"/>
        <v>0.15254237288135589</v>
      </c>
      <c r="T23" s="17">
        <f t="shared" si="15"/>
        <v>0</v>
      </c>
      <c r="U23" s="18">
        <v>0.28000000000000003</v>
      </c>
      <c r="V23" s="17">
        <f t="shared" si="16"/>
        <v>0</v>
      </c>
      <c r="W23" s="18">
        <f t="shared" si="17"/>
        <v>0</v>
      </c>
      <c r="X23" s="17">
        <f t="shared" si="18"/>
        <v>0</v>
      </c>
      <c r="Y23" s="18">
        <v>0.28000000000000003</v>
      </c>
      <c r="Z23" s="17">
        <f t="shared" si="19"/>
        <v>0</v>
      </c>
      <c r="AA23" s="18">
        <f t="shared" si="20"/>
        <v>0</v>
      </c>
      <c r="AB23" s="18">
        <v>0.1</v>
      </c>
    </row>
    <row r="24" spans="1:28">
      <c r="A24">
        <v>2026</v>
      </c>
      <c r="B24" t="s">
        <v>154</v>
      </c>
      <c r="C24" t="s">
        <v>146</v>
      </c>
      <c r="D24" t="s">
        <v>147</v>
      </c>
      <c r="E24">
        <v>709902</v>
      </c>
      <c r="G24" t="s">
        <v>148</v>
      </c>
      <c r="H24" t="s">
        <v>148</v>
      </c>
      <c r="I24" t="s">
        <v>26</v>
      </c>
      <c r="J24" t="s">
        <v>22</v>
      </c>
      <c r="K24">
        <v>10</v>
      </c>
      <c r="L24">
        <v>28800</v>
      </c>
      <c r="M24" s="17">
        <f t="shared" si="21"/>
        <v>2880</v>
      </c>
      <c r="O24" s="17">
        <f t="shared" si="11"/>
        <v>3744</v>
      </c>
      <c r="P24" s="17">
        <f t="shared" si="12"/>
        <v>2880</v>
      </c>
      <c r="Q24" s="18">
        <v>0.28999999999999998</v>
      </c>
      <c r="R24" s="17">
        <f t="shared" si="13"/>
        <v>3715.2</v>
      </c>
      <c r="S24" s="19">
        <f t="shared" si="14"/>
        <v>0.22480620155038755</v>
      </c>
      <c r="T24" s="17">
        <f t="shared" si="15"/>
        <v>0</v>
      </c>
      <c r="U24" s="18">
        <v>0.27</v>
      </c>
      <c r="V24" s="17">
        <f t="shared" si="16"/>
        <v>0</v>
      </c>
      <c r="W24" s="18">
        <f t="shared" si="17"/>
        <v>0</v>
      </c>
      <c r="X24" s="17">
        <f t="shared" si="18"/>
        <v>0</v>
      </c>
      <c r="Y24" s="18">
        <v>0.27</v>
      </c>
      <c r="Z24" s="17">
        <f t="shared" si="19"/>
        <v>0</v>
      </c>
      <c r="AA24" s="18">
        <f t="shared" si="20"/>
        <v>0</v>
      </c>
      <c r="AB24" s="18">
        <v>0.1</v>
      </c>
    </row>
    <row r="25" spans="1:28">
      <c r="A25">
        <v>2026</v>
      </c>
      <c r="B25" t="s">
        <v>154</v>
      </c>
      <c r="C25" t="s">
        <v>146</v>
      </c>
      <c r="D25" t="s">
        <v>147</v>
      </c>
      <c r="E25">
        <v>709903</v>
      </c>
      <c r="G25" t="s">
        <v>148</v>
      </c>
      <c r="H25" t="s">
        <v>148</v>
      </c>
      <c r="I25" t="s">
        <v>35</v>
      </c>
      <c r="J25" t="s">
        <v>22</v>
      </c>
      <c r="K25">
        <v>10</v>
      </c>
      <c r="L25">
        <v>36700</v>
      </c>
      <c r="M25" s="17">
        <f t="shared" si="21"/>
        <v>3670</v>
      </c>
      <c r="O25" s="17">
        <f t="shared" si="11"/>
        <v>4771</v>
      </c>
      <c r="P25" s="17">
        <f t="shared" si="12"/>
        <v>3670</v>
      </c>
      <c r="Q25" s="18">
        <v>0.34</v>
      </c>
      <c r="R25" s="17">
        <f t="shared" si="13"/>
        <v>4917.8</v>
      </c>
      <c r="S25" s="19">
        <f t="shared" si="14"/>
        <v>0.2537313432835821</v>
      </c>
      <c r="T25" s="17">
        <f t="shared" si="15"/>
        <v>0</v>
      </c>
      <c r="U25" s="18">
        <v>0.17</v>
      </c>
      <c r="V25" s="17">
        <f t="shared" si="16"/>
        <v>0</v>
      </c>
      <c r="W25" s="18">
        <f t="shared" si="17"/>
        <v>0</v>
      </c>
      <c r="X25" s="17">
        <f t="shared" si="18"/>
        <v>0</v>
      </c>
      <c r="Y25" s="18">
        <v>0.17</v>
      </c>
      <c r="Z25" s="17">
        <f t="shared" si="19"/>
        <v>0</v>
      </c>
      <c r="AA25" s="18">
        <f t="shared" si="20"/>
        <v>0</v>
      </c>
      <c r="AB25" s="18">
        <v>0.1</v>
      </c>
    </row>
    <row r="26" spans="1:28">
      <c r="A26">
        <v>2026</v>
      </c>
      <c r="B26" t="s">
        <v>154</v>
      </c>
      <c r="C26" t="s">
        <v>146</v>
      </c>
      <c r="D26" t="s">
        <v>147</v>
      </c>
      <c r="E26">
        <v>603421</v>
      </c>
      <c r="G26" t="s">
        <v>148</v>
      </c>
      <c r="H26" t="s">
        <v>148</v>
      </c>
      <c r="I26" t="s">
        <v>159</v>
      </c>
      <c r="J26" t="s">
        <v>29</v>
      </c>
      <c r="K26">
        <v>5</v>
      </c>
      <c r="L26">
        <v>28000</v>
      </c>
      <c r="M26" s="17">
        <f t="shared" si="21"/>
        <v>5600</v>
      </c>
      <c r="O26" s="17">
        <f t="shared" si="11"/>
        <v>7280</v>
      </c>
      <c r="P26" s="17">
        <f t="shared" si="12"/>
        <v>5600</v>
      </c>
      <c r="Q26" s="18">
        <v>0.25</v>
      </c>
      <c r="R26" s="17">
        <f t="shared" si="13"/>
        <v>7000</v>
      </c>
      <c r="S26" s="19">
        <f t="shared" si="14"/>
        <v>0.2</v>
      </c>
      <c r="T26" s="17">
        <f t="shared" si="15"/>
        <v>0</v>
      </c>
      <c r="U26" s="18">
        <v>0.22</v>
      </c>
      <c r="V26" s="17">
        <f t="shared" si="16"/>
        <v>0</v>
      </c>
      <c r="W26" s="18">
        <f t="shared" si="17"/>
        <v>0</v>
      </c>
      <c r="X26" s="17">
        <f t="shared" si="18"/>
        <v>0</v>
      </c>
      <c r="Y26" s="18">
        <v>0.22</v>
      </c>
      <c r="Z26" s="17">
        <f t="shared" si="19"/>
        <v>0</v>
      </c>
      <c r="AA26" s="18">
        <f t="shared" si="20"/>
        <v>0</v>
      </c>
      <c r="AB26" s="18">
        <v>0.1</v>
      </c>
    </row>
    <row r="27" spans="1:28">
      <c r="A27">
        <v>2026</v>
      </c>
      <c r="B27" t="s">
        <v>154</v>
      </c>
      <c r="C27" t="s">
        <v>146</v>
      </c>
      <c r="D27" t="s">
        <v>147</v>
      </c>
      <c r="E27">
        <v>603422</v>
      </c>
      <c r="G27" t="s">
        <v>148</v>
      </c>
      <c r="H27" t="s">
        <v>148</v>
      </c>
      <c r="I27" t="s">
        <v>50</v>
      </c>
      <c r="J27" t="s">
        <v>29</v>
      </c>
      <c r="K27">
        <v>5</v>
      </c>
      <c r="L27">
        <v>36700</v>
      </c>
      <c r="M27" s="17">
        <f t="shared" si="21"/>
        <v>7340</v>
      </c>
      <c r="O27" s="17">
        <f t="shared" si="11"/>
        <v>9542</v>
      </c>
      <c r="P27" s="17">
        <f t="shared" si="12"/>
        <v>7340</v>
      </c>
      <c r="Q27" s="18">
        <v>0.35</v>
      </c>
      <c r="R27" s="17">
        <f t="shared" si="13"/>
        <v>9909</v>
      </c>
      <c r="S27" s="19">
        <f t="shared" si="14"/>
        <v>0.25925925925925924</v>
      </c>
      <c r="T27" s="17">
        <f t="shared" si="15"/>
        <v>0</v>
      </c>
      <c r="U27" s="18">
        <v>0.12</v>
      </c>
      <c r="V27" s="17">
        <f t="shared" si="16"/>
        <v>0</v>
      </c>
      <c r="W27" s="18">
        <f t="shared" si="17"/>
        <v>0</v>
      </c>
      <c r="X27" s="17">
        <f t="shared" si="18"/>
        <v>0</v>
      </c>
      <c r="Y27" s="18">
        <v>0.12</v>
      </c>
      <c r="Z27" s="17">
        <f t="shared" si="19"/>
        <v>0</v>
      </c>
      <c r="AA27" s="18">
        <f t="shared" si="20"/>
        <v>0</v>
      </c>
      <c r="AB27" s="18">
        <v>0.1</v>
      </c>
    </row>
    <row r="28" spans="1:28">
      <c r="A28">
        <v>2026</v>
      </c>
      <c r="B28" t="s">
        <v>154</v>
      </c>
      <c r="C28" t="s">
        <v>146</v>
      </c>
      <c r="D28" t="s">
        <v>147</v>
      </c>
      <c r="E28">
        <v>603423</v>
      </c>
      <c r="G28" t="s">
        <v>148</v>
      </c>
      <c r="H28" t="s">
        <v>148</v>
      </c>
      <c r="I28" t="s">
        <v>59</v>
      </c>
      <c r="J28" t="s">
        <v>29</v>
      </c>
      <c r="K28">
        <v>5</v>
      </c>
      <c r="L28">
        <v>21900</v>
      </c>
      <c r="M28" s="17">
        <f t="shared" si="21"/>
        <v>4380</v>
      </c>
      <c r="O28" s="17">
        <f t="shared" si="11"/>
        <v>5694</v>
      </c>
      <c r="P28" s="17">
        <f t="shared" si="12"/>
        <v>4380</v>
      </c>
      <c r="Q28" s="18">
        <v>0.12</v>
      </c>
      <c r="R28" s="17">
        <f t="shared" si="13"/>
        <v>4905.6000000000004</v>
      </c>
      <c r="S28" s="19">
        <f t="shared" si="14"/>
        <v>0.10714285714285721</v>
      </c>
      <c r="T28" s="17">
        <f t="shared" si="15"/>
        <v>0</v>
      </c>
      <c r="U28" s="18">
        <v>0.15</v>
      </c>
      <c r="V28" s="17">
        <f t="shared" si="16"/>
        <v>0</v>
      </c>
      <c r="W28" s="18">
        <f t="shared" si="17"/>
        <v>0</v>
      </c>
      <c r="X28" s="17">
        <f t="shared" si="18"/>
        <v>0</v>
      </c>
      <c r="Y28" s="18">
        <v>0.15</v>
      </c>
      <c r="Z28" s="17">
        <f t="shared" si="19"/>
        <v>0</v>
      </c>
      <c r="AA28" s="18">
        <f t="shared" si="20"/>
        <v>0</v>
      </c>
      <c r="AB28" s="18">
        <v>0.1</v>
      </c>
    </row>
    <row r="29" spans="1:28">
      <c r="A29">
        <v>2026</v>
      </c>
      <c r="B29" t="s">
        <v>154</v>
      </c>
      <c r="C29" t="s">
        <v>146</v>
      </c>
      <c r="D29" t="s">
        <v>147</v>
      </c>
      <c r="E29">
        <v>294199</v>
      </c>
      <c r="G29" t="s">
        <v>148</v>
      </c>
      <c r="H29" t="s">
        <v>148</v>
      </c>
      <c r="I29" t="s">
        <v>67</v>
      </c>
      <c r="J29" t="s">
        <v>29</v>
      </c>
      <c r="K29">
        <v>5</v>
      </c>
      <c r="L29">
        <v>114900</v>
      </c>
      <c r="M29" s="17">
        <f t="shared" si="21"/>
        <v>22980</v>
      </c>
      <c r="O29" s="17">
        <f t="shared" si="11"/>
        <v>29874</v>
      </c>
      <c r="P29" s="17">
        <f t="shared" si="12"/>
        <v>22980</v>
      </c>
      <c r="Q29" s="18">
        <v>0.25</v>
      </c>
      <c r="R29" s="17">
        <f t="shared" si="13"/>
        <v>28725</v>
      </c>
      <c r="S29" s="19">
        <f t="shared" si="14"/>
        <v>0.2</v>
      </c>
      <c r="T29" s="17">
        <f t="shared" si="15"/>
        <v>0</v>
      </c>
      <c r="U29" s="18">
        <v>0.18</v>
      </c>
      <c r="V29" s="17">
        <f t="shared" si="16"/>
        <v>0</v>
      </c>
      <c r="W29" s="18">
        <f t="shared" si="17"/>
        <v>0</v>
      </c>
      <c r="X29" s="17">
        <f t="shared" si="18"/>
        <v>0</v>
      </c>
      <c r="Y29" s="18">
        <v>0.18</v>
      </c>
      <c r="Z29" s="17">
        <f t="shared" si="19"/>
        <v>0</v>
      </c>
      <c r="AA29" s="18">
        <f t="shared" si="20"/>
        <v>0</v>
      </c>
      <c r="AB29" s="18">
        <v>0.1</v>
      </c>
    </row>
    <row r="30" spans="1:28">
      <c r="A30">
        <v>2026</v>
      </c>
      <c r="B30" t="s">
        <v>154</v>
      </c>
      <c r="C30" t="s">
        <v>146</v>
      </c>
      <c r="D30" t="s">
        <v>147</v>
      </c>
      <c r="E30">
        <v>294299</v>
      </c>
      <c r="G30" t="s">
        <v>148</v>
      </c>
      <c r="H30" t="s">
        <v>148</v>
      </c>
      <c r="I30" t="s">
        <v>160</v>
      </c>
      <c r="J30" t="s">
        <v>29</v>
      </c>
      <c r="K30">
        <v>5</v>
      </c>
      <c r="L30">
        <v>28000</v>
      </c>
      <c r="M30" s="17">
        <f t="shared" si="21"/>
        <v>5600</v>
      </c>
      <c r="O30" s="17">
        <f t="shared" si="11"/>
        <v>7280</v>
      </c>
      <c r="P30" s="17">
        <f t="shared" si="12"/>
        <v>5600</v>
      </c>
      <c r="Q30" s="18">
        <v>0.1</v>
      </c>
      <c r="R30" s="17">
        <f t="shared" si="13"/>
        <v>6160</v>
      </c>
      <c r="S30" s="19">
        <f t="shared" si="14"/>
        <v>9.0909090909090912E-2</v>
      </c>
      <c r="T30" s="17">
        <f t="shared" si="15"/>
        <v>0</v>
      </c>
      <c r="U30" s="18">
        <v>0.28999999999999998</v>
      </c>
      <c r="V30" s="17">
        <f t="shared" si="16"/>
        <v>0</v>
      </c>
      <c r="W30" s="18">
        <f t="shared" si="17"/>
        <v>0</v>
      </c>
      <c r="X30" s="17">
        <f t="shared" si="18"/>
        <v>0</v>
      </c>
      <c r="Y30" s="18">
        <v>0.28999999999999998</v>
      </c>
      <c r="Z30" s="17">
        <f t="shared" si="19"/>
        <v>0</v>
      </c>
      <c r="AA30" s="18">
        <f t="shared" si="20"/>
        <v>0</v>
      </c>
      <c r="AB30" s="18">
        <v>0.1</v>
      </c>
    </row>
    <row r="31" spans="1:28">
      <c r="A31">
        <v>2026</v>
      </c>
      <c r="B31" t="s">
        <v>154</v>
      </c>
      <c r="C31" t="s">
        <v>146</v>
      </c>
      <c r="D31" t="s">
        <v>147</v>
      </c>
      <c r="E31">
        <v>294399</v>
      </c>
      <c r="G31" t="s">
        <v>148</v>
      </c>
      <c r="H31" t="s">
        <v>148</v>
      </c>
      <c r="I31" t="s">
        <v>161</v>
      </c>
      <c r="J31" t="s">
        <v>29</v>
      </c>
      <c r="K31">
        <v>5</v>
      </c>
      <c r="L31">
        <v>49200</v>
      </c>
      <c r="M31" s="17">
        <f t="shared" si="21"/>
        <v>9840</v>
      </c>
      <c r="O31" s="17">
        <f t="shared" si="11"/>
        <v>12792</v>
      </c>
      <c r="P31" s="17">
        <f t="shared" si="12"/>
        <v>9840</v>
      </c>
      <c r="Q31" s="18">
        <v>0.35</v>
      </c>
      <c r="R31" s="17">
        <f t="shared" si="13"/>
        <v>13284</v>
      </c>
      <c r="S31" s="19">
        <f t="shared" si="14"/>
        <v>0.25925925925925924</v>
      </c>
      <c r="T31" s="17">
        <f t="shared" si="15"/>
        <v>0</v>
      </c>
      <c r="U31" s="18">
        <v>0.34</v>
      </c>
      <c r="V31" s="17">
        <f t="shared" si="16"/>
        <v>0</v>
      </c>
      <c r="W31" s="18">
        <f t="shared" si="17"/>
        <v>0</v>
      </c>
      <c r="X31" s="17">
        <f t="shared" si="18"/>
        <v>0</v>
      </c>
      <c r="Y31" s="18">
        <v>0.34</v>
      </c>
      <c r="Z31" s="17">
        <f t="shared" si="19"/>
        <v>0</v>
      </c>
      <c r="AA31" s="18">
        <f t="shared" si="20"/>
        <v>0</v>
      </c>
      <c r="AB31" s="18">
        <v>0.1</v>
      </c>
    </row>
    <row r="32" spans="1:28">
      <c r="A32">
        <v>2026</v>
      </c>
      <c r="B32" t="s">
        <v>154</v>
      </c>
      <c r="C32" t="s">
        <v>146</v>
      </c>
      <c r="D32" t="s">
        <v>147</v>
      </c>
      <c r="E32">
        <v>294499</v>
      </c>
      <c r="G32" t="s">
        <v>148</v>
      </c>
      <c r="H32" t="s">
        <v>148</v>
      </c>
      <c r="I32" t="s">
        <v>162</v>
      </c>
      <c r="J32" t="s">
        <v>29</v>
      </c>
      <c r="K32">
        <v>5</v>
      </c>
      <c r="L32">
        <v>141600</v>
      </c>
      <c r="M32" s="17">
        <f t="shared" si="21"/>
        <v>28320</v>
      </c>
      <c r="O32" s="17">
        <f t="shared" si="11"/>
        <v>36816</v>
      </c>
      <c r="P32" s="17">
        <f t="shared" si="12"/>
        <v>28320</v>
      </c>
      <c r="Q32" s="18">
        <v>0.33</v>
      </c>
      <c r="R32" s="17">
        <f t="shared" si="13"/>
        <v>37665.599999999999</v>
      </c>
      <c r="S32" s="19">
        <f t="shared" si="14"/>
        <v>0.24812030075187966</v>
      </c>
      <c r="T32" s="17">
        <f t="shared" si="15"/>
        <v>0</v>
      </c>
      <c r="U32" s="18">
        <v>0.25</v>
      </c>
      <c r="V32" s="17">
        <f t="shared" si="16"/>
        <v>0</v>
      </c>
      <c r="W32" s="18">
        <f t="shared" si="17"/>
        <v>0</v>
      </c>
      <c r="X32" s="17">
        <f t="shared" si="18"/>
        <v>0</v>
      </c>
      <c r="Y32" s="18">
        <v>0.25</v>
      </c>
      <c r="Z32" s="17">
        <f t="shared" si="19"/>
        <v>0</v>
      </c>
      <c r="AA32" s="18">
        <f t="shared" si="20"/>
        <v>0</v>
      </c>
      <c r="AB32" s="18">
        <v>0.1</v>
      </c>
    </row>
    <row r="33" spans="1:28">
      <c r="A33">
        <v>2026</v>
      </c>
      <c r="B33" t="s">
        <v>154</v>
      </c>
      <c r="C33" t="s">
        <v>146</v>
      </c>
      <c r="D33" t="s">
        <v>147</v>
      </c>
      <c r="E33">
        <v>284190</v>
      </c>
      <c r="G33" t="s">
        <v>148</v>
      </c>
      <c r="H33" t="s">
        <v>148</v>
      </c>
      <c r="I33" t="s">
        <v>163</v>
      </c>
      <c r="J33" t="s">
        <v>29</v>
      </c>
      <c r="K33">
        <v>5</v>
      </c>
      <c r="L33">
        <v>174700</v>
      </c>
      <c r="M33" s="17">
        <f t="shared" si="21"/>
        <v>34940</v>
      </c>
      <c r="O33" s="17">
        <f t="shared" si="11"/>
        <v>45422</v>
      </c>
      <c r="P33" s="17">
        <f t="shared" si="12"/>
        <v>34940</v>
      </c>
      <c r="Q33" s="18">
        <v>0.31</v>
      </c>
      <c r="R33" s="17">
        <f t="shared" si="13"/>
        <v>45771.4</v>
      </c>
      <c r="S33" s="19">
        <f t="shared" si="14"/>
        <v>0.23664122137404583</v>
      </c>
      <c r="T33" s="17">
        <f t="shared" si="15"/>
        <v>0</v>
      </c>
      <c r="U33" s="18">
        <v>0.09</v>
      </c>
      <c r="V33" s="17">
        <f t="shared" si="16"/>
        <v>0</v>
      </c>
      <c r="W33" s="18">
        <f t="shared" si="17"/>
        <v>0</v>
      </c>
      <c r="X33" s="17">
        <f t="shared" si="18"/>
        <v>0</v>
      </c>
      <c r="Y33" s="18">
        <v>0.35</v>
      </c>
      <c r="Z33" s="17">
        <f t="shared" si="19"/>
        <v>0</v>
      </c>
      <c r="AA33" s="18">
        <f t="shared" si="20"/>
        <v>0</v>
      </c>
      <c r="AB33" s="18">
        <v>0.1</v>
      </c>
    </row>
    <row r="34" spans="1:28">
      <c r="A34">
        <v>2026</v>
      </c>
      <c r="B34" t="s">
        <v>154</v>
      </c>
      <c r="C34" t="s">
        <v>146</v>
      </c>
      <c r="D34" t="s">
        <v>147</v>
      </c>
      <c r="E34">
        <v>284390</v>
      </c>
      <c r="G34" t="s">
        <v>148</v>
      </c>
      <c r="H34" t="s">
        <v>148</v>
      </c>
      <c r="I34" t="s">
        <v>164</v>
      </c>
      <c r="J34" t="s">
        <v>29</v>
      </c>
      <c r="K34">
        <v>5</v>
      </c>
      <c r="L34">
        <v>204000</v>
      </c>
      <c r="M34" s="17">
        <f t="shared" si="21"/>
        <v>40800</v>
      </c>
      <c r="O34" s="17">
        <f t="shared" si="11"/>
        <v>53040</v>
      </c>
      <c r="P34" s="17">
        <f t="shared" si="12"/>
        <v>40800</v>
      </c>
      <c r="Q34" s="18">
        <v>0.3</v>
      </c>
      <c r="R34" s="17">
        <f t="shared" si="13"/>
        <v>53040</v>
      </c>
      <c r="S34" s="19">
        <f t="shared" si="14"/>
        <v>0.23076923076923078</v>
      </c>
      <c r="T34" s="17">
        <f t="shared" si="15"/>
        <v>0</v>
      </c>
      <c r="U34" s="18">
        <v>0.08</v>
      </c>
      <c r="V34" s="17">
        <f t="shared" si="16"/>
        <v>0</v>
      </c>
      <c r="W34" s="18">
        <f t="shared" si="17"/>
        <v>0</v>
      </c>
      <c r="X34" s="17">
        <f t="shared" si="18"/>
        <v>0</v>
      </c>
      <c r="Y34" s="18">
        <v>0.12</v>
      </c>
      <c r="Z34" s="17">
        <f t="shared" si="19"/>
        <v>0</v>
      </c>
      <c r="AA34" s="18">
        <f t="shared" si="20"/>
        <v>0</v>
      </c>
      <c r="AB34" s="18">
        <v>0.1</v>
      </c>
    </row>
    <row r="35" spans="1:28">
      <c r="A35">
        <v>2026</v>
      </c>
      <c r="B35" t="s">
        <v>154</v>
      </c>
      <c r="C35" t="s">
        <v>146</v>
      </c>
      <c r="D35" t="s">
        <v>147</v>
      </c>
      <c r="E35">
        <v>287100</v>
      </c>
      <c r="G35" t="s">
        <v>148</v>
      </c>
      <c r="H35" t="s">
        <v>148</v>
      </c>
      <c r="I35" t="s">
        <v>74</v>
      </c>
      <c r="J35" t="s">
        <v>29</v>
      </c>
      <c r="K35">
        <v>5</v>
      </c>
      <c r="L35">
        <v>49000</v>
      </c>
      <c r="M35" s="17">
        <f t="shared" si="21"/>
        <v>9800</v>
      </c>
      <c r="O35" s="17">
        <f t="shared" si="11"/>
        <v>12740</v>
      </c>
      <c r="P35" s="17">
        <f t="shared" si="12"/>
        <v>9800</v>
      </c>
      <c r="Q35" s="18">
        <v>0.28000000000000003</v>
      </c>
      <c r="R35" s="17">
        <f t="shared" si="13"/>
        <v>12544</v>
      </c>
      <c r="S35" s="19">
        <f t="shared" si="14"/>
        <v>0.21875</v>
      </c>
      <c r="T35" s="17">
        <f t="shared" si="15"/>
        <v>0</v>
      </c>
      <c r="U35" s="18">
        <v>0.06</v>
      </c>
      <c r="V35" s="17">
        <f t="shared" si="16"/>
        <v>0</v>
      </c>
      <c r="W35" s="18">
        <f t="shared" si="17"/>
        <v>0</v>
      </c>
      <c r="X35" s="17">
        <f t="shared" si="18"/>
        <v>0</v>
      </c>
      <c r="Y35" s="18">
        <v>0.25</v>
      </c>
      <c r="Z35" s="17">
        <f t="shared" si="19"/>
        <v>0</v>
      </c>
      <c r="AA35" s="18">
        <f t="shared" si="20"/>
        <v>0</v>
      </c>
      <c r="AB35" s="18">
        <v>0.1</v>
      </c>
    </row>
    <row r="36" spans="1:28">
      <c r="A36">
        <v>2026</v>
      </c>
      <c r="B36" t="s">
        <v>154</v>
      </c>
      <c r="C36" t="s">
        <v>146</v>
      </c>
      <c r="D36" t="s">
        <v>147</v>
      </c>
      <c r="E36">
        <v>287200</v>
      </c>
      <c r="G36" t="s">
        <v>148</v>
      </c>
      <c r="H36" t="s">
        <v>148</v>
      </c>
      <c r="I36" t="s">
        <v>165</v>
      </c>
      <c r="J36" t="s">
        <v>22</v>
      </c>
      <c r="K36">
        <v>10</v>
      </c>
      <c r="L36">
        <v>224100</v>
      </c>
      <c r="M36" s="17">
        <f t="shared" si="21"/>
        <v>22410</v>
      </c>
      <c r="O36" s="17">
        <f t="shared" si="11"/>
        <v>29133</v>
      </c>
      <c r="P36" s="17">
        <f t="shared" si="12"/>
        <v>22410</v>
      </c>
      <c r="Q36" s="18">
        <v>0.27</v>
      </c>
      <c r="R36" s="17">
        <f t="shared" si="13"/>
        <v>28460.7</v>
      </c>
      <c r="S36" s="19">
        <f t="shared" si="14"/>
        <v>0.2125984251968504</v>
      </c>
      <c r="T36" s="17">
        <f t="shared" si="15"/>
        <v>0</v>
      </c>
      <c r="U36" s="18">
        <v>0.35</v>
      </c>
      <c r="V36" s="17">
        <f t="shared" si="16"/>
        <v>0</v>
      </c>
      <c r="W36" s="18">
        <f t="shared" si="17"/>
        <v>0</v>
      </c>
      <c r="X36" s="17">
        <f t="shared" si="18"/>
        <v>0</v>
      </c>
      <c r="Y36" s="18">
        <v>0.1</v>
      </c>
      <c r="Z36" s="17">
        <f t="shared" si="19"/>
        <v>0</v>
      </c>
      <c r="AA36" s="18">
        <f t="shared" si="20"/>
        <v>0</v>
      </c>
      <c r="AB36" s="18">
        <v>0.1</v>
      </c>
    </row>
    <row r="37" spans="1:28">
      <c r="A37">
        <v>2026</v>
      </c>
      <c r="B37" t="s">
        <v>154</v>
      </c>
      <c r="C37" t="s">
        <v>146</v>
      </c>
      <c r="D37" t="s">
        <v>147</v>
      </c>
      <c r="E37">
        <v>287300</v>
      </c>
      <c r="G37" t="s">
        <v>148</v>
      </c>
      <c r="H37" t="s">
        <v>148</v>
      </c>
      <c r="I37" t="s">
        <v>81</v>
      </c>
      <c r="J37" t="s">
        <v>22</v>
      </c>
      <c r="K37">
        <v>10</v>
      </c>
      <c r="L37">
        <v>38000</v>
      </c>
      <c r="M37" s="17">
        <f t="shared" si="21"/>
        <v>3800</v>
      </c>
      <c r="O37" s="17">
        <f t="shared" si="11"/>
        <v>4940</v>
      </c>
      <c r="P37" s="17">
        <f t="shared" si="12"/>
        <v>3800</v>
      </c>
      <c r="Q37" s="18">
        <v>0.17</v>
      </c>
      <c r="R37" s="17">
        <f t="shared" si="13"/>
        <v>4446</v>
      </c>
      <c r="S37" s="19">
        <f t="shared" si="14"/>
        <v>0.14529914529914531</v>
      </c>
      <c r="T37" s="17">
        <f t="shared" si="15"/>
        <v>0</v>
      </c>
      <c r="U37" s="18">
        <v>0.12</v>
      </c>
      <c r="V37" s="17">
        <f t="shared" si="16"/>
        <v>0</v>
      </c>
      <c r="W37" s="18">
        <f t="shared" si="17"/>
        <v>0</v>
      </c>
      <c r="X37" s="17">
        <f t="shared" si="18"/>
        <v>0</v>
      </c>
      <c r="Y37" s="18">
        <v>0.35</v>
      </c>
      <c r="Z37" s="17">
        <f t="shared" si="19"/>
        <v>0</v>
      </c>
      <c r="AA37" s="18">
        <f t="shared" si="20"/>
        <v>0</v>
      </c>
      <c r="AB37" s="18">
        <v>0.1</v>
      </c>
    </row>
    <row r="38" spans="1:28">
      <c r="A38">
        <v>2026</v>
      </c>
      <c r="B38" t="s">
        <v>154</v>
      </c>
      <c r="C38" t="s">
        <v>146</v>
      </c>
      <c r="D38" t="s">
        <v>147</v>
      </c>
      <c r="E38">
        <v>287400</v>
      </c>
      <c r="G38" t="s">
        <v>148</v>
      </c>
      <c r="H38" t="s">
        <v>148</v>
      </c>
      <c r="I38" t="s">
        <v>83</v>
      </c>
      <c r="J38" t="s">
        <v>22</v>
      </c>
      <c r="K38">
        <v>10</v>
      </c>
      <c r="L38">
        <v>39800</v>
      </c>
      <c r="M38" s="17">
        <f t="shared" si="21"/>
        <v>3980</v>
      </c>
      <c r="O38" s="17">
        <f t="shared" si="11"/>
        <v>5174</v>
      </c>
      <c r="P38" s="17">
        <f t="shared" si="12"/>
        <v>3980</v>
      </c>
      <c r="Q38" s="18">
        <v>0.22</v>
      </c>
      <c r="R38" s="17">
        <f t="shared" si="13"/>
        <v>4855.6000000000004</v>
      </c>
      <c r="S38" s="19">
        <f t="shared" si="14"/>
        <v>0.18032786885245908</v>
      </c>
      <c r="T38" s="17">
        <f t="shared" si="15"/>
        <v>0</v>
      </c>
      <c r="U38" s="18">
        <v>0.25</v>
      </c>
      <c r="V38" s="17">
        <f t="shared" si="16"/>
        <v>0</v>
      </c>
      <c r="W38" s="18">
        <f t="shared" si="17"/>
        <v>0</v>
      </c>
      <c r="X38" s="17">
        <f t="shared" si="18"/>
        <v>0</v>
      </c>
      <c r="Y38" s="18">
        <v>0.33</v>
      </c>
      <c r="Z38" s="17">
        <f t="shared" si="19"/>
        <v>0</v>
      </c>
      <c r="AA38" s="18">
        <f t="shared" si="20"/>
        <v>0</v>
      </c>
      <c r="AB38" s="18">
        <v>0.1</v>
      </c>
    </row>
    <row r="39" spans="1:28">
      <c r="A39">
        <v>2026</v>
      </c>
      <c r="B39" t="s">
        <v>154</v>
      </c>
      <c r="C39" t="s">
        <v>146</v>
      </c>
      <c r="D39" t="s">
        <v>147</v>
      </c>
      <c r="E39">
        <v>294899</v>
      </c>
      <c r="G39" t="s">
        <v>148</v>
      </c>
      <c r="H39" t="s">
        <v>148</v>
      </c>
      <c r="I39" t="s">
        <v>97</v>
      </c>
      <c r="J39" t="s">
        <v>12</v>
      </c>
      <c r="K39">
        <v>1</v>
      </c>
      <c r="L39">
        <v>43500</v>
      </c>
      <c r="M39" s="17">
        <f t="shared" si="21"/>
        <v>43500</v>
      </c>
      <c r="O39" s="17">
        <f t="shared" si="11"/>
        <v>56550</v>
      </c>
      <c r="P39" s="17">
        <f t="shared" si="12"/>
        <v>43500</v>
      </c>
      <c r="Q39" s="18">
        <v>0.12</v>
      </c>
      <c r="R39" s="17">
        <f t="shared" si="13"/>
        <v>48720</v>
      </c>
      <c r="S39" s="19">
        <f t="shared" si="14"/>
        <v>0.10714285714285714</v>
      </c>
      <c r="T39" s="17">
        <f t="shared" si="15"/>
        <v>0</v>
      </c>
      <c r="U39" s="18">
        <v>0.1</v>
      </c>
      <c r="V39" s="17">
        <f t="shared" si="16"/>
        <v>0</v>
      </c>
      <c r="W39" s="18">
        <f t="shared" si="17"/>
        <v>0</v>
      </c>
      <c r="X39" s="17">
        <f t="shared" si="18"/>
        <v>0</v>
      </c>
      <c r="Y39" s="18">
        <v>0.31</v>
      </c>
      <c r="Z39" s="17">
        <f t="shared" si="19"/>
        <v>0</v>
      </c>
      <c r="AA39" s="18">
        <f t="shared" si="20"/>
        <v>0</v>
      </c>
      <c r="AB39" s="18">
        <v>0.1</v>
      </c>
    </row>
    <row r="40" spans="1:28">
      <c r="A40">
        <v>2026</v>
      </c>
      <c r="B40" t="s">
        <v>154</v>
      </c>
      <c r="C40" t="s">
        <v>146</v>
      </c>
      <c r="D40" t="s">
        <v>147</v>
      </c>
      <c r="E40">
        <v>394590</v>
      </c>
      <c r="G40" t="s">
        <v>148</v>
      </c>
      <c r="H40" t="s">
        <v>148</v>
      </c>
      <c r="I40" t="s">
        <v>105</v>
      </c>
      <c r="J40" t="s">
        <v>166</v>
      </c>
      <c r="K40">
        <v>2</v>
      </c>
      <c r="L40">
        <v>67900</v>
      </c>
      <c r="M40" s="17">
        <f>(L40/10)*2</f>
        <v>13580</v>
      </c>
      <c r="O40" s="17">
        <f t="shared" si="11"/>
        <v>17654</v>
      </c>
      <c r="P40" s="17">
        <f t="shared" si="12"/>
        <v>13580</v>
      </c>
      <c r="Q40" s="18">
        <v>0.15</v>
      </c>
      <c r="R40" s="17">
        <f t="shared" si="13"/>
        <v>15617</v>
      </c>
      <c r="S40" s="19">
        <f t="shared" si="14"/>
        <v>0.13043478260869565</v>
      </c>
      <c r="T40" s="17">
        <f t="shared" si="15"/>
        <v>0</v>
      </c>
      <c r="U40" s="18">
        <v>0.35</v>
      </c>
      <c r="V40" s="17">
        <f t="shared" si="16"/>
        <v>0</v>
      </c>
      <c r="W40" s="18">
        <f t="shared" si="17"/>
        <v>0</v>
      </c>
      <c r="X40" s="17">
        <f t="shared" si="18"/>
        <v>0</v>
      </c>
      <c r="Y40" s="18">
        <v>0.3</v>
      </c>
      <c r="Z40" s="17">
        <f t="shared" si="19"/>
        <v>0</v>
      </c>
      <c r="AA40" s="18">
        <f t="shared" si="20"/>
        <v>0</v>
      </c>
      <c r="AB40" s="18">
        <v>0.1</v>
      </c>
    </row>
    <row r="41" spans="1:28">
      <c r="A41">
        <v>2026</v>
      </c>
      <c r="B41" t="s">
        <v>154</v>
      </c>
      <c r="C41" t="s">
        <v>146</v>
      </c>
      <c r="D41" t="s">
        <v>147</v>
      </c>
      <c r="E41">
        <v>610200</v>
      </c>
      <c r="G41" t="s">
        <v>148</v>
      </c>
      <c r="H41" t="s">
        <v>148</v>
      </c>
      <c r="I41" t="s">
        <v>107</v>
      </c>
      <c r="J41" t="s">
        <v>166</v>
      </c>
      <c r="K41">
        <v>2</v>
      </c>
      <c r="L41">
        <v>50300</v>
      </c>
      <c r="M41" s="17">
        <f>(L41/10)*2</f>
        <v>10060</v>
      </c>
      <c r="O41" s="17">
        <f t="shared" si="11"/>
        <v>13078</v>
      </c>
      <c r="P41" s="17">
        <f t="shared" si="12"/>
        <v>10060</v>
      </c>
      <c r="Q41" s="18">
        <v>0.18</v>
      </c>
      <c r="R41" s="17">
        <f t="shared" si="13"/>
        <v>11870.8</v>
      </c>
      <c r="S41" s="19">
        <f t="shared" si="14"/>
        <v>0.15254237288135589</v>
      </c>
      <c r="T41" s="17">
        <f t="shared" si="15"/>
        <v>0</v>
      </c>
      <c r="U41" s="18">
        <v>0.33</v>
      </c>
      <c r="V41" s="17">
        <f t="shared" si="16"/>
        <v>0</v>
      </c>
      <c r="W41" s="18">
        <f t="shared" si="17"/>
        <v>0</v>
      </c>
      <c r="X41" s="17">
        <f t="shared" si="18"/>
        <v>0</v>
      </c>
      <c r="Y41" s="18">
        <v>0.28000000000000003</v>
      </c>
      <c r="Z41" s="17">
        <f t="shared" si="19"/>
        <v>0</v>
      </c>
      <c r="AA41" s="18">
        <f t="shared" si="20"/>
        <v>0</v>
      </c>
      <c r="AB41" s="18">
        <v>0.1</v>
      </c>
    </row>
    <row r="42" spans="1:28">
      <c r="A42">
        <v>2026</v>
      </c>
      <c r="B42" t="s">
        <v>155</v>
      </c>
      <c r="C42" t="s">
        <v>146</v>
      </c>
      <c r="D42" t="s">
        <v>147</v>
      </c>
      <c r="E42">
        <v>360001</v>
      </c>
      <c r="G42" t="s">
        <v>148</v>
      </c>
      <c r="H42" t="s">
        <v>148</v>
      </c>
      <c r="I42" t="s">
        <v>11</v>
      </c>
      <c r="J42" t="s">
        <v>12</v>
      </c>
      <c r="K42">
        <v>40</v>
      </c>
      <c r="L42">
        <v>893800</v>
      </c>
      <c r="M42" s="17">
        <f>L42/K42</f>
        <v>22345</v>
      </c>
      <c r="O42" s="17">
        <f t="shared" ref="O42:O61" si="22">M42+(M42*30%)</f>
        <v>29048.5</v>
      </c>
      <c r="P42" s="17">
        <f t="shared" ref="P42:P61" si="23">IF(C42="Alta Complejidad",M42,0)</f>
        <v>22345</v>
      </c>
      <c r="Q42" s="18">
        <v>0.15</v>
      </c>
      <c r="R42" s="17">
        <f t="shared" ref="R42:R61" si="24">P42+(P42*Q42)</f>
        <v>25696.75</v>
      </c>
      <c r="S42" s="19">
        <f t="shared" ref="S42:S61" si="25">IFERROR(((R42-P42)/R42),0)</f>
        <v>0.13043478260869565</v>
      </c>
      <c r="T42" s="17">
        <f t="shared" ref="T42:T61" si="26">IF(C42="Mediana Complejidad",M42,0)</f>
        <v>0</v>
      </c>
      <c r="U42" s="18">
        <v>0.3</v>
      </c>
      <c r="V42" s="17">
        <f t="shared" ref="V42:V61" si="27">(T42)+(T42*U42)</f>
        <v>0</v>
      </c>
      <c r="W42" s="18">
        <f t="shared" ref="W42:W61" si="28">IFERROR(((V42-T42)/V42),0)</f>
        <v>0</v>
      </c>
      <c r="X42" s="17">
        <f t="shared" ref="X42:X61" si="29">IF(C42="Baja Complejidad",M42,0)</f>
        <v>0</v>
      </c>
      <c r="Y42" s="18">
        <v>0.3</v>
      </c>
      <c r="Z42" s="17">
        <f t="shared" ref="Z42:Z61" si="30">(X42)+(X42*Y42)</f>
        <v>0</v>
      </c>
      <c r="AA42" s="18">
        <f t="shared" ref="AA42:AA61" si="31">IFERROR(((Z42-X42)/Z42),0)</f>
        <v>0</v>
      </c>
      <c r="AB42" s="18">
        <v>0.1</v>
      </c>
    </row>
    <row r="43" spans="1:28">
      <c r="A43">
        <v>2026</v>
      </c>
      <c r="B43" t="s">
        <v>155</v>
      </c>
      <c r="C43" t="s">
        <v>146</v>
      </c>
      <c r="D43" t="s">
        <v>147</v>
      </c>
      <c r="E43">
        <v>709900</v>
      </c>
      <c r="G43" t="s">
        <v>148</v>
      </c>
      <c r="H43" t="s">
        <v>148</v>
      </c>
      <c r="I43" t="s">
        <v>18</v>
      </c>
      <c r="J43" t="s">
        <v>12</v>
      </c>
      <c r="K43">
        <v>250</v>
      </c>
      <c r="L43">
        <v>80300</v>
      </c>
      <c r="M43" s="17">
        <f t="shared" ref="M43:M59" si="32">L43/K43</f>
        <v>321.2</v>
      </c>
      <c r="O43" s="17">
        <f t="shared" si="22"/>
        <v>417.56</v>
      </c>
      <c r="P43" s="17">
        <f t="shared" si="23"/>
        <v>321.2</v>
      </c>
      <c r="Q43" s="18">
        <v>0.18</v>
      </c>
      <c r="R43" s="17">
        <f t="shared" si="24"/>
        <v>379.01599999999996</v>
      </c>
      <c r="S43" s="19">
        <f t="shared" si="25"/>
        <v>0.15254237288135589</v>
      </c>
      <c r="T43" s="17">
        <f t="shared" si="26"/>
        <v>0</v>
      </c>
      <c r="U43" s="18">
        <v>0.28000000000000003</v>
      </c>
      <c r="V43" s="17">
        <f t="shared" si="27"/>
        <v>0</v>
      </c>
      <c r="W43" s="18">
        <f t="shared" si="28"/>
        <v>0</v>
      </c>
      <c r="X43" s="17">
        <f t="shared" si="29"/>
        <v>0</v>
      </c>
      <c r="Y43" s="18">
        <v>0.28000000000000003</v>
      </c>
      <c r="Z43" s="17">
        <f t="shared" si="30"/>
        <v>0</v>
      </c>
      <c r="AA43" s="18">
        <f t="shared" si="31"/>
        <v>0</v>
      </c>
      <c r="AB43" s="18">
        <v>0.1</v>
      </c>
    </row>
    <row r="44" spans="1:28">
      <c r="A44">
        <v>2026</v>
      </c>
      <c r="B44" t="s">
        <v>155</v>
      </c>
      <c r="C44" t="s">
        <v>146</v>
      </c>
      <c r="D44" t="s">
        <v>147</v>
      </c>
      <c r="E44">
        <v>709902</v>
      </c>
      <c r="G44" t="s">
        <v>148</v>
      </c>
      <c r="H44" t="s">
        <v>148</v>
      </c>
      <c r="I44" t="s">
        <v>26</v>
      </c>
      <c r="J44" t="s">
        <v>22</v>
      </c>
      <c r="K44">
        <v>10</v>
      </c>
      <c r="L44">
        <v>28800</v>
      </c>
      <c r="M44" s="17">
        <f t="shared" si="32"/>
        <v>2880</v>
      </c>
      <c r="O44" s="17">
        <f t="shared" si="22"/>
        <v>3744</v>
      </c>
      <c r="P44" s="17">
        <f t="shared" si="23"/>
        <v>2880</v>
      </c>
      <c r="Q44" s="18">
        <v>0.28999999999999998</v>
      </c>
      <c r="R44" s="17">
        <f t="shared" si="24"/>
        <v>3715.2</v>
      </c>
      <c r="S44" s="19">
        <f t="shared" si="25"/>
        <v>0.22480620155038755</v>
      </c>
      <c r="T44" s="17">
        <f t="shared" si="26"/>
        <v>0</v>
      </c>
      <c r="U44" s="18">
        <v>0.27</v>
      </c>
      <c r="V44" s="17">
        <f t="shared" si="27"/>
        <v>0</v>
      </c>
      <c r="W44" s="18">
        <f t="shared" si="28"/>
        <v>0</v>
      </c>
      <c r="X44" s="17">
        <f t="shared" si="29"/>
        <v>0</v>
      </c>
      <c r="Y44" s="18">
        <v>0.27</v>
      </c>
      <c r="Z44" s="17">
        <f t="shared" si="30"/>
        <v>0</v>
      </c>
      <c r="AA44" s="18">
        <f t="shared" si="31"/>
        <v>0</v>
      </c>
      <c r="AB44" s="18">
        <v>0.1</v>
      </c>
    </row>
    <row r="45" spans="1:28">
      <c r="A45">
        <v>2026</v>
      </c>
      <c r="B45" t="s">
        <v>155</v>
      </c>
      <c r="C45" t="s">
        <v>146</v>
      </c>
      <c r="D45" t="s">
        <v>147</v>
      </c>
      <c r="E45">
        <v>709903</v>
      </c>
      <c r="G45" t="s">
        <v>148</v>
      </c>
      <c r="H45" t="s">
        <v>148</v>
      </c>
      <c r="I45" t="s">
        <v>35</v>
      </c>
      <c r="J45" t="s">
        <v>22</v>
      </c>
      <c r="K45">
        <v>10</v>
      </c>
      <c r="L45">
        <v>36700</v>
      </c>
      <c r="M45" s="17">
        <f t="shared" si="32"/>
        <v>3670</v>
      </c>
      <c r="O45" s="17">
        <f t="shared" si="22"/>
        <v>4771</v>
      </c>
      <c r="P45" s="17">
        <f t="shared" si="23"/>
        <v>3670</v>
      </c>
      <c r="Q45" s="18">
        <v>0.34</v>
      </c>
      <c r="R45" s="17">
        <f t="shared" si="24"/>
        <v>4917.8</v>
      </c>
      <c r="S45" s="19">
        <f t="shared" si="25"/>
        <v>0.2537313432835821</v>
      </c>
      <c r="T45" s="17">
        <f t="shared" si="26"/>
        <v>0</v>
      </c>
      <c r="U45" s="18">
        <v>0.17</v>
      </c>
      <c r="V45" s="17">
        <f t="shared" si="27"/>
        <v>0</v>
      </c>
      <c r="W45" s="18">
        <f t="shared" si="28"/>
        <v>0</v>
      </c>
      <c r="X45" s="17">
        <f t="shared" si="29"/>
        <v>0</v>
      </c>
      <c r="Y45" s="18">
        <v>0.17</v>
      </c>
      <c r="Z45" s="17">
        <f t="shared" si="30"/>
        <v>0</v>
      </c>
      <c r="AA45" s="18">
        <f t="shared" si="31"/>
        <v>0</v>
      </c>
      <c r="AB45" s="18">
        <v>0.1</v>
      </c>
    </row>
    <row r="46" spans="1:28">
      <c r="A46">
        <v>2026</v>
      </c>
      <c r="B46" t="s">
        <v>155</v>
      </c>
      <c r="C46" t="s">
        <v>146</v>
      </c>
      <c r="D46" t="s">
        <v>147</v>
      </c>
      <c r="E46">
        <v>603421</v>
      </c>
      <c r="G46" t="s">
        <v>148</v>
      </c>
      <c r="H46" t="s">
        <v>148</v>
      </c>
      <c r="I46" t="s">
        <v>159</v>
      </c>
      <c r="J46" t="s">
        <v>29</v>
      </c>
      <c r="K46">
        <v>5</v>
      </c>
      <c r="L46">
        <v>28000</v>
      </c>
      <c r="M46" s="17">
        <f t="shared" si="32"/>
        <v>5600</v>
      </c>
      <c r="O46" s="17">
        <f t="shared" si="22"/>
        <v>7280</v>
      </c>
      <c r="P46" s="17">
        <f t="shared" si="23"/>
        <v>5600</v>
      </c>
      <c r="Q46" s="18">
        <v>0.25</v>
      </c>
      <c r="R46" s="17">
        <f t="shared" si="24"/>
        <v>7000</v>
      </c>
      <c r="S46" s="19">
        <f t="shared" si="25"/>
        <v>0.2</v>
      </c>
      <c r="T46" s="17">
        <f t="shared" si="26"/>
        <v>0</v>
      </c>
      <c r="U46" s="18">
        <v>0.22</v>
      </c>
      <c r="V46" s="17">
        <f t="shared" si="27"/>
        <v>0</v>
      </c>
      <c r="W46" s="18">
        <f t="shared" si="28"/>
        <v>0</v>
      </c>
      <c r="X46" s="17">
        <f t="shared" si="29"/>
        <v>0</v>
      </c>
      <c r="Y46" s="18">
        <v>0.22</v>
      </c>
      <c r="Z46" s="17">
        <f t="shared" si="30"/>
        <v>0</v>
      </c>
      <c r="AA46" s="18">
        <f t="shared" si="31"/>
        <v>0</v>
      </c>
      <c r="AB46" s="18">
        <v>0.1</v>
      </c>
    </row>
    <row r="47" spans="1:28">
      <c r="A47">
        <v>2026</v>
      </c>
      <c r="B47" t="s">
        <v>155</v>
      </c>
      <c r="C47" t="s">
        <v>146</v>
      </c>
      <c r="D47" t="s">
        <v>147</v>
      </c>
      <c r="E47">
        <v>603422</v>
      </c>
      <c r="G47" t="s">
        <v>148</v>
      </c>
      <c r="H47" t="s">
        <v>148</v>
      </c>
      <c r="I47" t="s">
        <v>50</v>
      </c>
      <c r="J47" t="s">
        <v>29</v>
      </c>
      <c r="K47">
        <v>5</v>
      </c>
      <c r="L47">
        <v>36700</v>
      </c>
      <c r="M47" s="17">
        <f t="shared" si="32"/>
        <v>7340</v>
      </c>
      <c r="O47" s="17">
        <f t="shared" si="22"/>
        <v>9542</v>
      </c>
      <c r="P47" s="17">
        <f t="shared" si="23"/>
        <v>7340</v>
      </c>
      <c r="Q47" s="18">
        <v>0.35</v>
      </c>
      <c r="R47" s="17">
        <f t="shared" si="24"/>
        <v>9909</v>
      </c>
      <c r="S47" s="19">
        <f t="shared" si="25"/>
        <v>0.25925925925925924</v>
      </c>
      <c r="T47" s="17">
        <f t="shared" si="26"/>
        <v>0</v>
      </c>
      <c r="U47" s="18">
        <v>0.12</v>
      </c>
      <c r="V47" s="17">
        <f t="shared" si="27"/>
        <v>0</v>
      </c>
      <c r="W47" s="18">
        <f t="shared" si="28"/>
        <v>0</v>
      </c>
      <c r="X47" s="17">
        <f t="shared" si="29"/>
        <v>0</v>
      </c>
      <c r="Y47" s="18">
        <v>0.12</v>
      </c>
      <c r="Z47" s="17">
        <f t="shared" si="30"/>
        <v>0</v>
      </c>
      <c r="AA47" s="18">
        <f t="shared" si="31"/>
        <v>0</v>
      </c>
      <c r="AB47" s="18">
        <v>0.1</v>
      </c>
    </row>
    <row r="48" spans="1:28">
      <c r="A48">
        <v>2026</v>
      </c>
      <c r="B48" t="s">
        <v>155</v>
      </c>
      <c r="C48" t="s">
        <v>146</v>
      </c>
      <c r="D48" t="s">
        <v>147</v>
      </c>
      <c r="E48">
        <v>603423</v>
      </c>
      <c r="G48" t="s">
        <v>148</v>
      </c>
      <c r="H48" t="s">
        <v>148</v>
      </c>
      <c r="I48" t="s">
        <v>59</v>
      </c>
      <c r="J48" t="s">
        <v>29</v>
      </c>
      <c r="K48">
        <v>5</v>
      </c>
      <c r="L48">
        <v>21900</v>
      </c>
      <c r="M48" s="17">
        <f t="shared" si="32"/>
        <v>4380</v>
      </c>
      <c r="O48" s="17">
        <f t="shared" si="22"/>
        <v>5694</v>
      </c>
      <c r="P48" s="17">
        <f t="shared" si="23"/>
        <v>4380</v>
      </c>
      <c r="Q48" s="18">
        <v>0.12</v>
      </c>
      <c r="R48" s="17">
        <f t="shared" si="24"/>
        <v>4905.6000000000004</v>
      </c>
      <c r="S48" s="19">
        <f t="shared" si="25"/>
        <v>0.10714285714285721</v>
      </c>
      <c r="T48" s="17">
        <f t="shared" si="26"/>
        <v>0</v>
      </c>
      <c r="U48" s="18">
        <v>0.15</v>
      </c>
      <c r="V48" s="17">
        <f t="shared" si="27"/>
        <v>0</v>
      </c>
      <c r="W48" s="18">
        <f t="shared" si="28"/>
        <v>0</v>
      </c>
      <c r="X48" s="17">
        <f t="shared" si="29"/>
        <v>0</v>
      </c>
      <c r="Y48" s="18">
        <v>0.15</v>
      </c>
      <c r="Z48" s="17">
        <f t="shared" si="30"/>
        <v>0</v>
      </c>
      <c r="AA48" s="18">
        <f t="shared" si="31"/>
        <v>0</v>
      </c>
      <c r="AB48" s="18">
        <v>0.1</v>
      </c>
    </row>
    <row r="49" spans="1:28">
      <c r="A49">
        <v>2026</v>
      </c>
      <c r="B49" t="s">
        <v>155</v>
      </c>
      <c r="C49" t="s">
        <v>146</v>
      </c>
      <c r="D49" t="s">
        <v>147</v>
      </c>
      <c r="E49">
        <v>294199</v>
      </c>
      <c r="G49" t="s">
        <v>148</v>
      </c>
      <c r="H49" t="s">
        <v>148</v>
      </c>
      <c r="I49" t="s">
        <v>67</v>
      </c>
      <c r="J49" t="s">
        <v>29</v>
      </c>
      <c r="K49">
        <v>5</v>
      </c>
      <c r="L49">
        <v>114900</v>
      </c>
      <c r="M49" s="17">
        <f t="shared" si="32"/>
        <v>22980</v>
      </c>
      <c r="O49" s="17">
        <f t="shared" si="22"/>
        <v>29874</v>
      </c>
      <c r="P49" s="17">
        <f t="shared" si="23"/>
        <v>22980</v>
      </c>
      <c r="Q49" s="18">
        <v>0.25</v>
      </c>
      <c r="R49" s="17">
        <f t="shared" si="24"/>
        <v>28725</v>
      </c>
      <c r="S49" s="19">
        <f t="shared" si="25"/>
        <v>0.2</v>
      </c>
      <c r="T49" s="17">
        <f t="shared" si="26"/>
        <v>0</v>
      </c>
      <c r="U49" s="18">
        <v>0.18</v>
      </c>
      <c r="V49" s="17">
        <f t="shared" si="27"/>
        <v>0</v>
      </c>
      <c r="W49" s="18">
        <f t="shared" si="28"/>
        <v>0</v>
      </c>
      <c r="X49" s="17">
        <f t="shared" si="29"/>
        <v>0</v>
      </c>
      <c r="Y49" s="18">
        <v>0.18</v>
      </c>
      <c r="Z49" s="17">
        <f t="shared" si="30"/>
        <v>0</v>
      </c>
      <c r="AA49" s="18">
        <f t="shared" si="31"/>
        <v>0</v>
      </c>
      <c r="AB49" s="18">
        <v>0.1</v>
      </c>
    </row>
    <row r="50" spans="1:28">
      <c r="A50">
        <v>2026</v>
      </c>
      <c r="B50" t="s">
        <v>155</v>
      </c>
      <c r="C50" t="s">
        <v>146</v>
      </c>
      <c r="D50" t="s">
        <v>147</v>
      </c>
      <c r="E50">
        <v>294299</v>
      </c>
      <c r="G50" t="s">
        <v>148</v>
      </c>
      <c r="H50" t="s">
        <v>148</v>
      </c>
      <c r="I50" t="s">
        <v>160</v>
      </c>
      <c r="J50" t="s">
        <v>29</v>
      </c>
      <c r="K50">
        <v>5</v>
      </c>
      <c r="L50">
        <v>28000</v>
      </c>
      <c r="M50" s="17">
        <f t="shared" si="32"/>
        <v>5600</v>
      </c>
      <c r="O50" s="17">
        <f t="shared" si="22"/>
        <v>7280</v>
      </c>
      <c r="P50" s="17">
        <f t="shared" si="23"/>
        <v>5600</v>
      </c>
      <c r="Q50" s="18">
        <v>0.1</v>
      </c>
      <c r="R50" s="17">
        <f t="shared" si="24"/>
        <v>6160</v>
      </c>
      <c r="S50" s="19">
        <f t="shared" si="25"/>
        <v>9.0909090909090912E-2</v>
      </c>
      <c r="T50" s="17">
        <f t="shared" si="26"/>
        <v>0</v>
      </c>
      <c r="U50" s="18">
        <v>0.28999999999999998</v>
      </c>
      <c r="V50" s="17">
        <f t="shared" si="27"/>
        <v>0</v>
      </c>
      <c r="W50" s="18">
        <f t="shared" si="28"/>
        <v>0</v>
      </c>
      <c r="X50" s="17">
        <f t="shared" si="29"/>
        <v>0</v>
      </c>
      <c r="Y50" s="18">
        <v>0.28999999999999998</v>
      </c>
      <c r="Z50" s="17">
        <f t="shared" si="30"/>
        <v>0</v>
      </c>
      <c r="AA50" s="18">
        <f t="shared" si="31"/>
        <v>0</v>
      </c>
      <c r="AB50" s="18">
        <v>0.1</v>
      </c>
    </row>
    <row r="51" spans="1:28">
      <c r="A51">
        <v>2026</v>
      </c>
      <c r="B51" t="s">
        <v>155</v>
      </c>
      <c r="C51" t="s">
        <v>146</v>
      </c>
      <c r="D51" t="s">
        <v>147</v>
      </c>
      <c r="E51">
        <v>294399</v>
      </c>
      <c r="G51" t="s">
        <v>148</v>
      </c>
      <c r="H51" t="s">
        <v>148</v>
      </c>
      <c r="I51" t="s">
        <v>161</v>
      </c>
      <c r="J51" t="s">
        <v>29</v>
      </c>
      <c r="K51">
        <v>5</v>
      </c>
      <c r="L51">
        <v>49200</v>
      </c>
      <c r="M51" s="17">
        <f t="shared" si="32"/>
        <v>9840</v>
      </c>
      <c r="O51" s="17">
        <f t="shared" si="22"/>
        <v>12792</v>
      </c>
      <c r="P51" s="17">
        <f t="shared" si="23"/>
        <v>9840</v>
      </c>
      <c r="Q51" s="18">
        <v>0.35</v>
      </c>
      <c r="R51" s="17">
        <f t="shared" si="24"/>
        <v>13284</v>
      </c>
      <c r="S51" s="19">
        <f t="shared" si="25"/>
        <v>0.25925925925925924</v>
      </c>
      <c r="T51" s="17">
        <f t="shared" si="26"/>
        <v>0</v>
      </c>
      <c r="U51" s="18">
        <v>0.34</v>
      </c>
      <c r="V51" s="17">
        <f t="shared" si="27"/>
        <v>0</v>
      </c>
      <c r="W51" s="18">
        <f t="shared" si="28"/>
        <v>0</v>
      </c>
      <c r="X51" s="17">
        <f t="shared" si="29"/>
        <v>0</v>
      </c>
      <c r="Y51" s="18">
        <v>0.34</v>
      </c>
      <c r="Z51" s="17">
        <f t="shared" si="30"/>
        <v>0</v>
      </c>
      <c r="AA51" s="18">
        <f t="shared" si="31"/>
        <v>0</v>
      </c>
      <c r="AB51" s="18">
        <v>0.1</v>
      </c>
    </row>
    <row r="52" spans="1:28">
      <c r="A52">
        <v>2026</v>
      </c>
      <c r="B52" t="s">
        <v>155</v>
      </c>
      <c r="C52" t="s">
        <v>146</v>
      </c>
      <c r="D52" t="s">
        <v>147</v>
      </c>
      <c r="E52">
        <v>294499</v>
      </c>
      <c r="G52" t="s">
        <v>148</v>
      </c>
      <c r="H52" t="s">
        <v>148</v>
      </c>
      <c r="I52" t="s">
        <v>162</v>
      </c>
      <c r="J52" t="s">
        <v>29</v>
      </c>
      <c r="K52">
        <v>5</v>
      </c>
      <c r="L52">
        <v>141600</v>
      </c>
      <c r="M52" s="17">
        <f t="shared" si="32"/>
        <v>28320</v>
      </c>
      <c r="O52" s="17">
        <f t="shared" si="22"/>
        <v>36816</v>
      </c>
      <c r="P52" s="17">
        <f t="shared" si="23"/>
        <v>28320</v>
      </c>
      <c r="Q52" s="18">
        <v>0.33</v>
      </c>
      <c r="R52" s="17">
        <f t="shared" si="24"/>
        <v>37665.599999999999</v>
      </c>
      <c r="S52" s="19">
        <f t="shared" si="25"/>
        <v>0.24812030075187966</v>
      </c>
      <c r="T52" s="17">
        <f t="shared" si="26"/>
        <v>0</v>
      </c>
      <c r="U52" s="18">
        <v>0.25</v>
      </c>
      <c r="V52" s="17">
        <f t="shared" si="27"/>
        <v>0</v>
      </c>
      <c r="W52" s="18">
        <f t="shared" si="28"/>
        <v>0</v>
      </c>
      <c r="X52" s="17">
        <f t="shared" si="29"/>
        <v>0</v>
      </c>
      <c r="Y52" s="18">
        <v>0.25</v>
      </c>
      <c r="Z52" s="17">
        <f t="shared" si="30"/>
        <v>0</v>
      </c>
      <c r="AA52" s="18">
        <f t="shared" si="31"/>
        <v>0</v>
      </c>
      <c r="AB52" s="18">
        <v>0.1</v>
      </c>
    </row>
    <row r="53" spans="1:28">
      <c r="A53">
        <v>2026</v>
      </c>
      <c r="B53" t="s">
        <v>155</v>
      </c>
      <c r="C53" t="s">
        <v>146</v>
      </c>
      <c r="D53" t="s">
        <v>147</v>
      </c>
      <c r="E53">
        <v>284190</v>
      </c>
      <c r="G53" t="s">
        <v>148</v>
      </c>
      <c r="H53" t="s">
        <v>148</v>
      </c>
      <c r="I53" t="s">
        <v>163</v>
      </c>
      <c r="J53" t="s">
        <v>29</v>
      </c>
      <c r="K53">
        <v>5</v>
      </c>
      <c r="L53">
        <v>174700</v>
      </c>
      <c r="M53" s="17">
        <f t="shared" si="32"/>
        <v>34940</v>
      </c>
      <c r="O53" s="17">
        <f t="shared" si="22"/>
        <v>45422</v>
      </c>
      <c r="P53" s="17">
        <f t="shared" si="23"/>
        <v>34940</v>
      </c>
      <c r="Q53" s="18">
        <v>0.31</v>
      </c>
      <c r="R53" s="17">
        <f t="shared" si="24"/>
        <v>45771.4</v>
      </c>
      <c r="S53" s="19">
        <f t="shared" si="25"/>
        <v>0.23664122137404583</v>
      </c>
      <c r="T53" s="17">
        <f t="shared" si="26"/>
        <v>0</v>
      </c>
      <c r="U53" s="18">
        <v>0.09</v>
      </c>
      <c r="V53" s="17">
        <f t="shared" si="27"/>
        <v>0</v>
      </c>
      <c r="W53" s="18">
        <f t="shared" si="28"/>
        <v>0</v>
      </c>
      <c r="X53" s="17">
        <f t="shared" si="29"/>
        <v>0</v>
      </c>
      <c r="Y53" s="18">
        <v>0.35</v>
      </c>
      <c r="Z53" s="17">
        <f t="shared" si="30"/>
        <v>0</v>
      </c>
      <c r="AA53" s="18">
        <f t="shared" si="31"/>
        <v>0</v>
      </c>
      <c r="AB53" s="18">
        <v>0.1</v>
      </c>
    </row>
    <row r="54" spans="1:28">
      <c r="A54">
        <v>2026</v>
      </c>
      <c r="B54" t="s">
        <v>155</v>
      </c>
      <c r="C54" t="s">
        <v>146</v>
      </c>
      <c r="D54" t="s">
        <v>147</v>
      </c>
      <c r="E54">
        <v>284390</v>
      </c>
      <c r="G54" t="s">
        <v>148</v>
      </c>
      <c r="H54" t="s">
        <v>148</v>
      </c>
      <c r="I54" t="s">
        <v>164</v>
      </c>
      <c r="J54" t="s">
        <v>29</v>
      </c>
      <c r="K54">
        <v>5</v>
      </c>
      <c r="L54">
        <v>204000</v>
      </c>
      <c r="M54" s="17">
        <f t="shared" si="32"/>
        <v>40800</v>
      </c>
      <c r="O54" s="17">
        <f t="shared" si="22"/>
        <v>53040</v>
      </c>
      <c r="P54" s="17">
        <f t="shared" si="23"/>
        <v>40800</v>
      </c>
      <c r="Q54" s="18">
        <v>0.3</v>
      </c>
      <c r="R54" s="17">
        <f t="shared" si="24"/>
        <v>53040</v>
      </c>
      <c r="S54" s="19">
        <f t="shared" si="25"/>
        <v>0.23076923076923078</v>
      </c>
      <c r="T54" s="17">
        <f t="shared" si="26"/>
        <v>0</v>
      </c>
      <c r="U54" s="18">
        <v>0.08</v>
      </c>
      <c r="V54" s="17">
        <f t="shared" si="27"/>
        <v>0</v>
      </c>
      <c r="W54" s="18">
        <f t="shared" si="28"/>
        <v>0</v>
      </c>
      <c r="X54" s="17">
        <f t="shared" si="29"/>
        <v>0</v>
      </c>
      <c r="Y54" s="18">
        <v>0.12</v>
      </c>
      <c r="Z54" s="17">
        <f t="shared" si="30"/>
        <v>0</v>
      </c>
      <c r="AA54" s="18">
        <f t="shared" si="31"/>
        <v>0</v>
      </c>
      <c r="AB54" s="18">
        <v>0.1</v>
      </c>
    </row>
    <row r="55" spans="1:28">
      <c r="A55">
        <v>2026</v>
      </c>
      <c r="B55" t="s">
        <v>155</v>
      </c>
      <c r="C55" t="s">
        <v>146</v>
      </c>
      <c r="D55" t="s">
        <v>147</v>
      </c>
      <c r="E55">
        <v>287100</v>
      </c>
      <c r="G55" t="s">
        <v>148</v>
      </c>
      <c r="H55" t="s">
        <v>148</v>
      </c>
      <c r="I55" t="s">
        <v>74</v>
      </c>
      <c r="J55" t="s">
        <v>29</v>
      </c>
      <c r="K55">
        <v>5</v>
      </c>
      <c r="L55">
        <v>49000</v>
      </c>
      <c r="M55" s="17">
        <f t="shared" si="32"/>
        <v>9800</v>
      </c>
      <c r="O55" s="17">
        <f t="shared" si="22"/>
        <v>12740</v>
      </c>
      <c r="P55" s="17">
        <f t="shared" si="23"/>
        <v>9800</v>
      </c>
      <c r="Q55" s="18">
        <v>0.28000000000000003</v>
      </c>
      <c r="R55" s="17">
        <f t="shared" si="24"/>
        <v>12544</v>
      </c>
      <c r="S55" s="19">
        <f t="shared" si="25"/>
        <v>0.21875</v>
      </c>
      <c r="T55" s="17">
        <f t="shared" si="26"/>
        <v>0</v>
      </c>
      <c r="U55" s="18">
        <v>0.06</v>
      </c>
      <c r="V55" s="17">
        <f t="shared" si="27"/>
        <v>0</v>
      </c>
      <c r="W55" s="18">
        <f t="shared" si="28"/>
        <v>0</v>
      </c>
      <c r="X55" s="17">
        <f t="shared" si="29"/>
        <v>0</v>
      </c>
      <c r="Y55" s="18">
        <v>0.25</v>
      </c>
      <c r="Z55" s="17">
        <f t="shared" si="30"/>
        <v>0</v>
      </c>
      <c r="AA55" s="18">
        <f t="shared" si="31"/>
        <v>0</v>
      </c>
      <c r="AB55" s="18">
        <v>0.1</v>
      </c>
    </row>
    <row r="56" spans="1:28">
      <c r="A56">
        <v>2026</v>
      </c>
      <c r="B56" t="s">
        <v>155</v>
      </c>
      <c r="C56" t="s">
        <v>146</v>
      </c>
      <c r="D56" t="s">
        <v>147</v>
      </c>
      <c r="E56">
        <v>287200</v>
      </c>
      <c r="G56" t="s">
        <v>148</v>
      </c>
      <c r="H56" t="s">
        <v>148</v>
      </c>
      <c r="I56" t="s">
        <v>165</v>
      </c>
      <c r="J56" t="s">
        <v>22</v>
      </c>
      <c r="K56">
        <v>10</v>
      </c>
      <c r="L56">
        <v>224100</v>
      </c>
      <c r="M56" s="17">
        <f t="shared" si="32"/>
        <v>22410</v>
      </c>
      <c r="O56" s="17">
        <f t="shared" si="22"/>
        <v>29133</v>
      </c>
      <c r="P56" s="17">
        <f t="shared" si="23"/>
        <v>22410</v>
      </c>
      <c r="Q56" s="18">
        <v>0.27</v>
      </c>
      <c r="R56" s="17">
        <f t="shared" si="24"/>
        <v>28460.7</v>
      </c>
      <c r="S56" s="19">
        <f t="shared" si="25"/>
        <v>0.2125984251968504</v>
      </c>
      <c r="T56" s="17">
        <f t="shared" si="26"/>
        <v>0</v>
      </c>
      <c r="U56" s="18">
        <v>0.35</v>
      </c>
      <c r="V56" s="17">
        <f t="shared" si="27"/>
        <v>0</v>
      </c>
      <c r="W56" s="18">
        <f t="shared" si="28"/>
        <v>0</v>
      </c>
      <c r="X56" s="17">
        <f t="shared" si="29"/>
        <v>0</v>
      </c>
      <c r="Y56" s="18">
        <v>0.1</v>
      </c>
      <c r="Z56" s="17">
        <f t="shared" si="30"/>
        <v>0</v>
      </c>
      <c r="AA56" s="18">
        <f t="shared" si="31"/>
        <v>0</v>
      </c>
      <c r="AB56" s="18">
        <v>0.1</v>
      </c>
    </row>
    <row r="57" spans="1:28">
      <c r="A57">
        <v>2026</v>
      </c>
      <c r="B57" t="s">
        <v>155</v>
      </c>
      <c r="C57" t="s">
        <v>146</v>
      </c>
      <c r="D57" t="s">
        <v>147</v>
      </c>
      <c r="E57">
        <v>287300</v>
      </c>
      <c r="G57" t="s">
        <v>148</v>
      </c>
      <c r="H57" t="s">
        <v>148</v>
      </c>
      <c r="I57" t="s">
        <v>81</v>
      </c>
      <c r="J57" t="s">
        <v>22</v>
      </c>
      <c r="K57">
        <v>10</v>
      </c>
      <c r="L57">
        <v>38000</v>
      </c>
      <c r="M57" s="17">
        <f t="shared" si="32"/>
        <v>3800</v>
      </c>
      <c r="O57" s="17">
        <f t="shared" si="22"/>
        <v>4940</v>
      </c>
      <c r="P57" s="17">
        <f t="shared" si="23"/>
        <v>3800</v>
      </c>
      <c r="Q57" s="18">
        <v>0.17</v>
      </c>
      <c r="R57" s="17">
        <f t="shared" si="24"/>
        <v>4446</v>
      </c>
      <c r="S57" s="19">
        <f t="shared" si="25"/>
        <v>0.14529914529914531</v>
      </c>
      <c r="T57" s="17">
        <f t="shared" si="26"/>
        <v>0</v>
      </c>
      <c r="U57" s="18">
        <v>0.12</v>
      </c>
      <c r="V57" s="17">
        <f t="shared" si="27"/>
        <v>0</v>
      </c>
      <c r="W57" s="18">
        <f t="shared" si="28"/>
        <v>0</v>
      </c>
      <c r="X57" s="17">
        <f t="shared" si="29"/>
        <v>0</v>
      </c>
      <c r="Y57" s="18">
        <v>0.35</v>
      </c>
      <c r="Z57" s="17">
        <f t="shared" si="30"/>
        <v>0</v>
      </c>
      <c r="AA57" s="18">
        <f t="shared" si="31"/>
        <v>0</v>
      </c>
      <c r="AB57" s="18">
        <v>0.1</v>
      </c>
    </row>
    <row r="58" spans="1:28">
      <c r="A58">
        <v>2026</v>
      </c>
      <c r="B58" t="s">
        <v>155</v>
      </c>
      <c r="C58" t="s">
        <v>146</v>
      </c>
      <c r="D58" t="s">
        <v>147</v>
      </c>
      <c r="E58">
        <v>287400</v>
      </c>
      <c r="G58" t="s">
        <v>148</v>
      </c>
      <c r="H58" t="s">
        <v>148</v>
      </c>
      <c r="I58" t="s">
        <v>83</v>
      </c>
      <c r="J58" t="s">
        <v>22</v>
      </c>
      <c r="K58">
        <v>10</v>
      </c>
      <c r="L58">
        <v>39800</v>
      </c>
      <c r="M58" s="17">
        <f t="shared" si="32"/>
        <v>3980</v>
      </c>
      <c r="O58" s="17">
        <f t="shared" si="22"/>
        <v>5174</v>
      </c>
      <c r="P58" s="17">
        <f t="shared" si="23"/>
        <v>3980</v>
      </c>
      <c r="Q58" s="18">
        <v>0.22</v>
      </c>
      <c r="R58" s="17">
        <f t="shared" si="24"/>
        <v>4855.6000000000004</v>
      </c>
      <c r="S58" s="19">
        <f t="shared" si="25"/>
        <v>0.18032786885245908</v>
      </c>
      <c r="T58" s="17">
        <f t="shared" si="26"/>
        <v>0</v>
      </c>
      <c r="U58" s="18">
        <v>0.25</v>
      </c>
      <c r="V58" s="17">
        <f t="shared" si="27"/>
        <v>0</v>
      </c>
      <c r="W58" s="18">
        <f t="shared" si="28"/>
        <v>0</v>
      </c>
      <c r="X58" s="17">
        <f t="shared" si="29"/>
        <v>0</v>
      </c>
      <c r="Y58" s="18">
        <v>0.33</v>
      </c>
      <c r="Z58" s="17">
        <f t="shared" si="30"/>
        <v>0</v>
      </c>
      <c r="AA58" s="18">
        <f t="shared" si="31"/>
        <v>0</v>
      </c>
      <c r="AB58" s="18">
        <v>0.1</v>
      </c>
    </row>
    <row r="59" spans="1:28">
      <c r="A59">
        <v>2026</v>
      </c>
      <c r="B59" t="s">
        <v>155</v>
      </c>
      <c r="C59" t="s">
        <v>146</v>
      </c>
      <c r="D59" t="s">
        <v>147</v>
      </c>
      <c r="E59">
        <v>294899</v>
      </c>
      <c r="G59" t="s">
        <v>148</v>
      </c>
      <c r="H59" t="s">
        <v>148</v>
      </c>
      <c r="I59" t="s">
        <v>97</v>
      </c>
      <c r="J59" t="s">
        <v>12</v>
      </c>
      <c r="K59">
        <v>1</v>
      </c>
      <c r="L59">
        <v>43500</v>
      </c>
      <c r="M59" s="17">
        <f t="shared" si="32"/>
        <v>43500</v>
      </c>
      <c r="O59" s="17">
        <f t="shared" si="22"/>
        <v>56550</v>
      </c>
      <c r="P59" s="17">
        <f t="shared" si="23"/>
        <v>43500</v>
      </c>
      <c r="Q59" s="18">
        <v>0.12</v>
      </c>
      <c r="R59" s="17">
        <f t="shared" si="24"/>
        <v>48720</v>
      </c>
      <c r="S59" s="19">
        <f t="shared" si="25"/>
        <v>0.10714285714285714</v>
      </c>
      <c r="T59" s="17">
        <f t="shared" si="26"/>
        <v>0</v>
      </c>
      <c r="U59" s="18">
        <v>0.1</v>
      </c>
      <c r="V59" s="17">
        <f t="shared" si="27"/>
        <v>0</v>
      </c>
      <c r="W59" s="18">
        <f t="shared" si="28"/>
        <v>0</v>
      </c>
      <c r="X59" s="17">
        <f t="shared" si="29"/>
        <v>0</v>
      </c>
      <c r="Y59" s="18">
        <v>0.31</v>
      </c>
      <c r="Z59" s="17">
        <f t="shared" si="30"/>
        <v>0</v>
      </c>
      <c r="AA59" s="18">
        <f t="shared" si="31"/>
        <v>0</v>
      </c>
      <c r="AB59" s="18">
        <v>0.1</v>
      </c>
    </row>
    <row r="60" spans="1:28">
      <c r="A60">
        <v>2026</v>
      </c>
      <c r="B60" t="s">
        <v>155</v>
      </c>
      <c r="C60" t="s">
        <v>146</v>
      </c>
      <c r="D60" t="s">
        <v>147</v>
      </c>
      <c r="E60">
        <v>394590</v>
      </c>
      <c r="G60" t="s">
        <v>148</v>
      </c>
      <c r="H60" t="s">
        <v>148</v>
      </c>
      <c r="I60" t="s">
        <v>105</v>
      </c>
      <c r="J60" t="s">
        <v>166</v>
      </c>
      <c r="K60">
        <v>2</v>
      </c>
      <c r="L60">
        <v>67900</v>
      </c>
      <c r="M60" s="17">
        <f>(L60/10)*2</f>
        <v>13580</v>
      </c>
      <c r="O60" s="17">
        <f t="shared" si="22"/>
        <v>17654</v>
      </c>
      <c r="P60" s="17">
        <f t="shared" si="23"/>
        <v>13580</v>
      </c>
      <c r="Q60" s="18">
        <v>0.15</v>
      </c>
      <c r="R60" s="17">
        <f t="shared" si="24"/>
        <v>15617</v>
      </c>
      <c r="S60" s="19">
        <f t="shared" si="25"/>
        <v>0.13043478260869565</v>
      </c>
      <c r="T60" s="17">
        <f t="shared" si="26"/>
        <v>0</v>
      </c>
      <c r="U60" s="18">
        <v>0.35</v>
      </c>
      <c r="V60" s="17">
        <f t="shared" si="27"/>
        <v>0</v>
      </c>
      <c r="W60" s="18">
        <f t="shared" si="28"/>
        <v>0</v>
      </c>
      <c r="X60" s="17">
        <f t="shared" si="29"/>
        <v>0</v>
      </c>
      <c r="Y60" s="18">
        <v>0.3</v>
      </c>
      <c r="Z60" s="17">
        <f t="shared" si="30"/>
        <v>0</v>
      </c>
      <c r="AA60" s="18">
        <f t="shared" si="31"/>
        <v>0</v>
      </c>
      <c r="AB60" s="18">
        <v>0.1</v>
      </c>
    </row>
    <row r="61" spans="1:28">
      <c r="A61">
        <v>2026</v>
      </c>
      <c r="B61" t="s">
        <v>155</v>
      </c>
      <c r="C61" t="s">
        <v>146</v>
      </c>
      <c r="D61" t="s">
        <v>147</v>
      </c>
      <c r="E61">
        <v>610200</v>
      </c>
      <c r="G61" t="s">
        <v>148</v>
      </c>
      <c r="H61" t="s">
        <v>148</v>
      </c>
      <c r="I61" t="s">
        <v>107</v>
      </c>
      <c r="J61" t="s">
        <v>166</v>
      </c>
      <c r="K61">
        <v>2</v>
      </c>
      <c r="L61">
        <v>50300</v>
      </c>
      <c r="M61" s="17">
        <f>(L61/10)*2</f>
        <v>10060</v>
      </c>
      <c r="O61" s="17">
        <f t="shared" si="22"/>
        <v>13078</v>
      </c>
      <c r="P61" s="17">
        <f t="shared" si="23"/>
        <v>10060</v>
      </c>
      <c r="Q61" s="18">
        <v>0.18</v>
      </c>
      <c r="R61" s="17">
        <f t="shared" si="24"/>
        <v>11870.8</v>
      </c>
      <c r="S61" s="19">
        <f t="shared" si="25"/>
        <v>0.15254237288135589</v>
      </c>
      <c r="T61" s="17">
        <f t="shared" si="26"/>
        <v>0</v>
      </c>
      <c r="U61" s="18">
        <v>0.33</v>
      </c>
      <c r="V61" s="17">
        <f t="shared" si="27"/>
        <v>0</v>
      </c>
      <c r="W61" s="18">
        <f t="shared" si="28"/>
        <v>0</v>
      </c>
      <c r="X61" s="17">
        <f t="shared" si="29"/>
        <v>0</v>
      </c>
      <c r="Y61" s="18">
        <v>0.28000000000000003</v>
      </c>
      <c r="Z61" s="17">
        <f t="shared" si="30"/>
        <v>0</v>
      </c>
      <c r="AA61" s="18">
        <f t="shared" si="31"/>
        <v>0</v>
      </c>
      <c r="AB61" s="18">
        <v>0.1</v>
      </c>
    </row>
    <row r="62" spans="1:28">
      <c r="A62">
        <v>2026</v>
      </c>
      <c r="B62" t="s">
        <v>145</v>
      </c>
      <c r="C62" t="s">
        <v>146</v>
      </c>
      <c r="D62" t="s">
        <v>147</v>
      </c>
      <c r="E62">
        <v>360001</v>
      </c>
      <c r="G62" t="s">
        <v>148</v>
      </c>
      <c r="H62" t="s">
        <v>148</v>
      </c>
      <c r="I62" t="s">
        <v>11</v>
      </c>
      <c r="J62" t="s">
        <v>12</v>
      </c>
      <c r="K62">
        <v>40</v>
      </c>
      <c r="L62">
        <v>893800</v>
      </c>
      <c r="M62" s="17">
        <f>L62/K62</f>
        <v>22345</v>
      </c>
      <c r="O62" s="17">
        <f t="shared" ref="O62:O81" si="33">M62+(M62*30%)</f>
        <v>29048.5</v>
      </c>
      <c r="P62" s="17">
        <f t="shared" ref="P62:P81" si="34">IF(C62="Alta Complejidad",M62,0)</f>
        <v>22345</v>
      </c>
      <c r="Q62" s="18">
        <v>0.15</v>
      </c>
      <c r="R62" s="17">
        <f t="shared" ref="R62:R81" si="35">P62+(P62*Q62)</f>
        <v>25696.75</v>
      </c>
      <c r="S62" s="19">
        <f t="shared" ref="S62:S81" si="36">IFERROR(((R62-P62)/R62),0)</f>
        <v>0.13043478260869565</v>
      </c>
      <c r="T62" s="17">
        <f t="shared" ref="T62:T81" si="37">IF(C62="Mediana Complejidad",M62,0)</f>
        <v>0</v>
      </c>
      <c r="U62" s="18">
        <v>0.3</v>
      </c>
      <c r="V62" s="17">
        <f t="shared" ref="V62:V81" si="38">(T62)+(T62*U62)</f>
        <v>0</v>
      </c>
      <c r="W62" s="18">
        <f t="shared" ref="W62:W81" si="39">IFERROR(((V62-T62)/V62),0)</f>
        <v>0</v>
      </c>
      <c r="X62" s="17">
        <f t="shared" ref="X62:X81" si="40">IF(C62="Baja Complejidad",M62,0)</f>
        <v>0</v>
      </c>
      <c r="Y62" s="18">
        <v>0.3</v>
      </c>
      <c r="Z62" s="17">
        <f t="shared" ref="Z62:Z81" si="41">(X62)+(X62*Y62)</f>
        <v>0</v>
      </c>
      <c r="AA62" s="18">
        <f t="shared" ref="AA62:AA81" si="42">IFERROR(((Z62-X62)/Z62),0)</f>
        <v>0</v>
      </c>
      <c r="AB62" s="18">
        <v>0.1</v>
      </c>
    </row>
    <row r="63" spans="1:28">
      <c r="A63">
        <v>2026</v>
      </c>
      <c r="B63" t="s">
        <v>145</v>
      </c>
      <c r="C63" t="s">
        <v>146</v>
      </c>
      <c r="D63" t="s">
        <v>147</v>
      </c>
      <c r="E63">
        <v>709900</v>
      </c>
      <c r="G63" t="s">
        <v>148</v>
      </c>
      <c r="H63" t="s">
        <v>148</v>
      </c>
      <c r="I63" t="s">
        <v>18</v>
      </c>
      <c r="J63" t="s">
        <v>12</v>
      </c>
      <c r="K63">
        <v>250</v>
      </c>
      <c r="L63">
        <v>80300</v>
      </c>
      <c r="M63" s="17">
        <f t="shared" ref="M63:M79" si="43">L63/K63</f>
        <v>321.2</v>
      </c>
      <c r="O63" s="17">
        <f t="shared" si="33"/>
        <v>417.56</v>
      </c>
      <c r="P63" s="17">
        <f t="shared" si="34"/>
        <v>321.2</v>
      </c>
      <c r="Q63" s="18">
        <v>0.18</v>
      </c>
      <c r="R63" s="17">
        <f t="shared" si="35"/>
        <v>379.01599999999996</v>
      </c>
      <c r="S63" s="19">
        <f t="shared" si="36"/>
        <v>0.15254237288135589</v>
      </c>
      <c r="T63" s="17">
        <f t="shared" si="37"/>
        <v>0</v>
      </c>
      <c r="U63" s="18">
        <v>0.28000000000000003</v>
      </c>
      <c r="V63" s="17">
        <f t="shared" si="38"/>
        <v>0</v>
      </c>
      <c r="W63" s="18">
        <f t="shared" si="39"/>
        <v>0</v>
      </c>
      <c r="X63" s="17">
        <f t="shared" si="40"/>
        <v>0</v>
      </c>
      <c r="Y63" s="18">
        <v>0.28000000000000003</v>
      </c>
      <c r="Z63" s="17">
        <f t="shared" si="41"/>
        <v>0</v>
      </c>
      <c r="AA63" s="18">
        <f t="shared" si="42"/>
        <v>0</v>
      </c>
      <c r="AB63" s="18">
        <v>0.1</v>
      </c>
    </row>
    <row r="64" spans="1:28">
      <c r="A64">
        <v>2026</v>
      </c>
      <c r="B64" t="s">
        <v>145</v>
      </c>
      <c r="C64" t="s">
        <v>146</v>
      </c>
      <c r="D64" t="s">
        <v>147</v>
      </c>
      <c r="E64">
        <v>709902</v>
      </c>
      <c r="G64" t="s">
        <v>148</v>
      </c>
      <c r="H64" t="s">
        <v>148</v>
      </c>
      <c r="I64" t="s">
        <v>26</v>
      </c>
      <c r="J64" t="s">
        <v>22</v>
      </c>
      <c r="K64">
        <v>10</v>
      </c>
      <c r="L64">
        <v>28800</v>
      </c>
      <c r="M64" s="17">
        <f t="shared" si="43"/>
        <v>2880</v>
      </c>
      <c r="O64" s="17">
        <f t="shared" si="33"/>
        <v>3744</v>
      </c>
      <c r="P64" s="17">
        <f t="shared" si="34"/>
        <v>2880</v>
      </c>
      <c r="Q64" s="18">
        <v>0.28999999999999998</v>
      </c>
      <c r="R64" s="17">
        <f t="shared" si="35"/>
        <v>3715.2</v>
      </c>
      <c r="S64" s="19">
        <f t="shared" si="36"/>
        <v>0.22480620155038755</v>
      </c>
      <c r="T64" s="17">
        <f t="shared" si="37"/>
        <v>0</v>
      </c>
      <c r="U64" s="18">
        <v>0.27</v>
      </c>
      <c r="V64" s="17">
        <f t="shared" si="38"/>
        <v>0</v>
      </c>
      <c r="W64" s="18">
        <f t="shared" si="39"/>
        <v>0</v>
      </c>
      <c r="X64" s="17">
        <f t="shared" si="40"/>
        <v>0</v>
      </c>
      <c r="Y64" s="18">
        <v>0.27</v>
      </c>
      <c r="Z64" s="17">
        <f t="shared" si="41"/>
        <v>0</v>
      </c>
      <c r="AA64" s="18">
        <f t="shared" si="42"/>
        <v>0</v>
      </c>
      <c r="AB64" s="18">
        <v>0.1</v>
      </c>
    </row>
    <row r="65" spans="1:28">
      <c r="A65">
        <v>2026</v>
      </c>
      <c r="B65" t="s">
        <v>145</v>
      </c>
      <c r="C65" t="s">
        <v>146</v>
      </c>
      <c r="D65" t="s">
        <v>147</v>
      </c>
      <c r="E65">
        <v>709903</v>
      </c>
      <c r="G65" t="s">
        <v>148</v>
      </c>
      <c r="H65" t="s">
        <v>148</v>
      </c>
      <c r="I65" t="s">
        <v>35</v>
      </c>
      <c r="J65" t="s">
        <v>22</v>
      </c>
      <c r="K65">
        <v>10</v>
      </c>
      <c r="L65">
        <v>36700</v>
      </c>
      <c r="M65" s="17">
        <f t="shared" si="43"/>
        <v>3670</v>
      </c>
      <c r="O65" s="17">
        <f t="shared" si="33"/>
        <v>4771</v>
      </c>
      <c r="P65" s="17">
        <f t="shared" si="34"/>
        <v>3670</v>
      </c>
      <c r="Q65" s="18">
        <v>0.34</v>
      </c>
      <c r="R65" s="17">
        <f t="shared" si="35"/>
        <v>4917.8</v>
      </c>
      <c r="S65" s="19">
        <f t="shared" si="36"/>
        <v>0.2537313432835821</v>
      </c>
      <c r="T65" s="17">
        <f t="shared" si="37"/>
        <v>0</v>
      </c>
      <c r="U65" s="18">
        <v>0.17</v>
      </c>
      <c r="V65" s="17">
        <f t="shared" si="38"/>
        <v>0</v>
      </c>
      <c r="W65" s="18">
        <f t="shared" si="39"/>
        <v>0</v>
      </c>
      <c r="X65" s="17">
        <f t="shared" si="40"/>
        <v>0</v>
      </c>
      <c r="Y65" s="18">
        <v>0.17</v>
      </c>
      <c r="Z65" s="17">
        <f t="shared" si="41"/>
        <v>0</v>
      </c>
      <c r="AA65" s="18">
        <f t="shared" si="42"/>
        <v>0</v>
      </c>
      <c r="AB65" s="18">
        <v>0.1</v>
      </c>
    </row>
    <row r="66" spans="1:28">
      <c r="A66">
        <v>2026</v>
      </c>
      <c r="B66" t="s">
        <v>145</v>
      </c>
      <c r="C66" t="s">
        <v>146</v>
      </c>
      <c r="D66" t="s">
        <v>147</v>
      </c>
      <c r="E66">
        <v>603421</v>
      </c>
      <c r="G66" t="s">
        <v>148</v>
      </c>
      <c r="H66" t="s">
        <v>148</v>
      </c>
      <c r="I66" t="s">
        <v>159</v>
      </c>
      <c r="J66" t="s">
        <v>29</v>
      </c>
      <c r="K66">
        <v>5</v>
      </c>
      <c r="L66">
        <v>28000</v>
      </c>
      <c r="M66" s="17">
        <f t="shared" si="43"/>
        <v>5600</v>
      </c>
      <c r="O66" s="17">
        <f t="shared" si="33"/>
        <v>7280</v>
      </c>
      <c r="P66" s="17">
        <f t="shared" si="34"/>
        <v>5600</v>
      </c>
      <c r="Q66" s="18">
        <v>0.25</v>
      </c>
      <c r="R66" s="17">
        <f t="shared" si="35"/>
        <v>7000</v>
      </c>
      <c r="S66" s="19">
        <f t="shared" si="36"/>
        <v>0.2</v>
      </c>
      <c r="T66" s="17">
        <f t="shared" si="37"/>
        <v>0</v>
      </c>
      <c r="U66" s="18">
        <v>0.22</v>
      </c>
      <c r="V66" s="17">
        <f t="shared" si="38"/>
        <v>0</v>
      </c>
      <c r="W66" s="18">
        <f t="shared" si="39"/>
        <v>0</v>
      </c>
      <c r="X66" s="17">
        <f t="shared" si="40"/>
        <v>0</v>
      </c>
      <c r="Y66" s="18">
        <v>0.22</v>
      </c>
      <c r="Z66" s="17">
        <f t="shared" si="41"/>
        <v>0</v>
      </c>
      <c r="AA66" s="18">
        <f t="shared" si="42"/>
        <v>0</v>
      </c>
      <c r="AB66" s="18">
        <v>0.1</v>
      </c>
    </row>
    <row r="67" spans="1:28">
      <c r="A67">
        <v>2026</v>
      </c>
      <c r="B67" t="s">
        <v>145</v>
      </c>
      <c r="C67" t="s">
        <v>146</v>
      </c>
      <c r="D67" t="s">
        <v>147</v>
      </c>
      <c r="E67">
        <v>603422</v>
      </c>
      <c r="G67" t="s">
        <v>148</v>
      </c>
      <c r="H67" t="s">
        <v>148</v>
      </c>
      <c r="I67" t="s">
        <v>50</v>
      </c>
      <c r="J67" t="s">
        <v>29</v>
      </c>
      <c r="K67">
        <v>5</v>
      </c>
      <c r="L67">
        <v>36700</v>
      </c>
      <c r="M67" s="17">
        <f t="shared" si="43"/>
        <v>7340</v>
      </c>
      <c r="O67" s="17">
        <f t="shared" si="33"/>
        <v>9542</v>
      </c>
      <c r="P67" s="17">
        <f t="shared" si="34"/>
        <v>7340</v>
      </c>
      <c r="Q67" s="18">
        <v>0.35</v>
      </c>
      <c r="R67" s="17">
        <f t="shared" si="35"/>
        <v>9909</v>
      </c>
      <c r="S67" s="19">
        <f t="shared" si="36"/>
        <v>0.25925925925925924</v>
      </c>
      <c r="T67" s="17">
        <f t="shared" si="37"/>
        <v>0</v>
      </c>
      <c r="U67" s="18">
        <v>0.12</v>
      </c>
      <c r="V67" s="17">
        <f t="shared" si="38"/>
        <v>0</v>
      </c>
      <c r="W67" s="18">
        <f t="shared" si="39"/>
        <v>0</v>
      </c>
      <c r="X67" s="17">
        <f t="shared" si="40"/>
        <v>0</v>
      </c>
      <c r="Y67" s="18">
        <v>0.12</v>
      </c>
      <c r="Z67" s="17">
        <f t="shared" si="41"/>
        <v>0</v>
      </c>
      <c r="AA67" s="18">
        <f t="shared" si="42"/>
        <v>0</v>
      </c>
      <c r="AB67" s="18">
        <v>0.1</v>
      </c>
    </row>
    <row r="68" spans="1:28">
      <c r="A68">
        <v>2026</v>
      </c>
      <c r="B68" t="s">
        <v>145</v>
      </c>
      <c r="C68" t="s">
        <v>146</v>
      </c>
      <c r="D68" t="s">
        <v>147</v>
      </c>
      <c r="E68">
        <v>603423</v>
      </c>
      <c r="G68" t="s">
        <v>148</v>
      </c>
      <c r="H68" t="s">
        <v>148</v>
      </c>
      <c r="I68" t="s">
        <v>59</v>
      </c>
      <c r="J68" t="s">
        <v>29</v>
      </c>
      <c r="K68">
        <v>5</v>
      </c>
      <c r="L68">
        <v>21900</v>
      </c>
      <c r="M68" s="17">
        <f t="shared" si="43"/>
        <v>4380</v>
      </c>
      <c r="O68" s="17">
        <f t="shared" si="33"/>
        <v>5694</v>
      </c>
      <c r="P68" s="17">
        <f t="shared" si="34"/>
        <v>4380</v>
      </c>
      <c r="Q68" s="18">
        <v>0.12</v>
      </c>
      <c r="R68" s="17">
        <f t="shared" si="35"/>
        <v>4905.6000000000004</v>
      </c>
      <c r="S68" s="19">
        <f t="shared" si="36"/>
        <v>0.10714285714285721</v>
      </c>
      <c r="T68" s="17">
        <f t="shared" si="37"/>
        <v>0</v>
      </c>
      <c r="U68" s="18">
        <v>0.15</v>
      </c>
      <c r="V68" s="17">
        <f t="shared" si="38"/>
        <v>0</v>
      </c>
      <c r="W68" s="18">
        <f t="shared" si="39"/>
        <v>0</v>
      </c>
      <c r="X68" s="17">
        <f t="shared" si="40"/>
        <v>0</v>
      </c>
      <c r="Y68" s="18">
        <v>0.15</v>
      </c>
      <c r="Z68" s="17">
        <f t="shared" si="41"/>
        <v>0</v>
      </c>
      <c r="AA68" s="18">
        <f t="shared" si="42"/>
        <v>0</v>
      </c>
      <c r="AB68" s="18">
        <v>0.1</v>
      </c>
    </row>
    <row r="69" spans="1:28">
      <c r="A69">
        <v>2026</v>
      </c>
      <c r="B69" t="s">
        <v>145</v>
      </c>
      <c r="C69" t="s">
        <v>146</v>
      </c>
      <c r="D69" t="s">
        <v>147</v>
      </c>
      <c r="E69">
        <v>294199</v>
      </c>
      <c r="G69" t="s">
        <v>148</v>
      </c>
      <c r="H69" t="s">
        <v>148</v>
      </c>
      <c r="I69" t="s">
        <v>67</v>
      </c>
      <c r="J69" t="s">
        <v>29</v>
      </c>
      <c r="K69">
        <v>5</v>
      </c>
      <c r="L69">
        <v>114900</v>
      </c>
      <c r="M69" s="17">
        <f t="shared" si="43"/>
        <v>22980</v>
      </c>
      <c r="O69" s="17">
        <f t="shared" si="33"/>
        <v>29874</v>
      </c>
      <c r="P69" s="17">
        <f t="shared" si="34"/>
        <v>22980</v>
      </c>
      <c r="Q69" s="18">
        <v>0.25</v>
      </c>
      <c r="R69" s="17">
        <f t="shared" si="35"/>
        <v>28725</v>
      </c>
      <c r="S69" s="19">
        <f t="shared" si="36"/>
        <v>0.2</v>
      </c>
      <c r="T69" s="17">
        <f t="shared" si="37"/>
        <v>0</v>
      </c>
      <c r="U69" s="18">
        <v>0.18</v>
      </c>
      <c r="V69" s="17">
        <f t="shared" si="38"/>
        <v>0</v>
      </c>
      <c r="W69" s="18">
        <f t="shared" si="39"/>
        <v>0</v>
      </c>
      <c r="X69" s="17">
        <f t="shared" si="40"/>
        <v>0</v>
      </c>
      <c r="Y69" s="18">
        <v>0.18</v>
      </c>
      <c r="Z69" s="17">
        <f t="shared" si="41"/>
        <v>0</v>
      </c>
      <c r="AA69" s="18">
        <f t="shared" si="42"/>
        <v>0</v>
      </c>
      <c r="AB69" s="18">
        <v>0.1</v>
      </c>
    </row>
    <row r="70" spans="1:28">
      <c r="A70">
        <v>2026</v>
      </c>
      <c r="B70" t="s">
        <v>145</v>
      </c>
      <c r="C70" t="s">
        <v>146</v>
      </c>
      <c r="D70" t="s">
        <v>147</v>
      </c>
      <c r="E70">
        <v>294299</v>
      </c>
      <c r="G70" t="s">
        <v>148</v>
      </c>
      <c r="H70" t="s">
        <v>148</v>
      </c>
      <c r="I70" t="s">
        <v>160</v>
      </c>
      <c r="J70" t="s">
        <v>29</v>
      </c>
      <c r="K70">
        <v>5</v>
      </c>
      <c r="L70">
        <v>28000</v>
      </c>
      <c r="M70" s="17">
        <f t="shared" si="43"/>
        <v>5600</v>
      </c>
      <c r="O70" s="17">
        <f t="shared" si="33"/>
        <v>7280</v>
      </c>
      <c r="P70" s="17">
        <f t="shared" si="34"/>
        <v>5600</v>
      </c>
      <c r="Q70" s="18">
        <v>0.1</v>
      </c>
      <c r="R70" s="17">
        <f t="shared" si="35"/>
        <v>6160</v>
      </c>
      <c r="S70" s="19">
        <f t="shared" si="36"/>
        <v>9.0909090909090912E-2</v>
      </c>
      <c r="T70" s="17">
        <f t="shared" si="37"/>
        <v>0</v>
      </c>
      <c r="U70" s="18">
        <v>0.28999999999999998</v>
      </c>
      <c r="V70" s="17">
        <f t="shared" si="38"/>
        <v>0</v>
      </c>
      <c r="W70" s="18">
        <f t="shared" si="39"/>
        <v>0</v>
      </c>
      <c r="X70" s="17">
        <f t="shared" si="40"/>
        <v>0</v>
      </c>
      <c r="Y70" s="18">
        <v>0.28999999999999998</v>
      </c>
      <c r="Z70" s="17">
        <f t="shared" si="41"/>
        <v>0</v>
      </c>
      <c r="AA70" s="18">
        <f t="shared" si="42"/>
        <v>0</v>
      </c>
      <c r="AB70" s="18">
        <v>0.1</v>
      </c>
    </row>
    <row r="71" spans="1:28">
      <c r="A71">
        <v>2026</v>
      </c>
      <c r="B71" t="s">
        <v>145</v>
      </c>
      <c r="C71" t="s">
        <v>146</v>
      </c>
      <c r="D71" t="s">
        <v>147</v>
      </c>
      <c r="E71">
        <v>294399</v>
      </c>
      <c r="G71" t="s">
        <v>148</v>
      </c>
      <c r="H71" t="s">
        <v>148</v>
      </c>
      <c r="I71" t="s">
        <v>161</v>
      </c>
      <c r="J71" t="s">
        <v>29</v>
      </c>
      <c r="K71">
        <v>5</v>
      </c>
      <c r="L71">
        <v>49200</v>
      </c>
      <c r="M71" s="17">
        <f t="shared" si="43"/>
        <v>9840</v>
      </c>
      <c r="O71" s="17">
        <f t="shared" si="33"/>
        <v>12792</v>
      </c>
      <c r="P71" s="17">
        <f t="shared" si="34"/>
        <v>9840</v>
      </c>
      <c r="Q71" s="18">
        <v>0.35</v>
      </c>
      <c r="R71" s="17">
        <f t="shared" si="35"/>
        <v>13284</v>
      </c>
      <c r="S71" s="19">
        <f t="shared" si="36"/>
        <v>0.25925925925925924</v>
      </c>
      <c r="T71" s="17">
        <f t="shared" si="37"/>
        <v>0</v>
      </c>
      <c r="U71" s="18">
        <v>0.34</v>
      </c>
      <c r="V71" s="17">
        <f t="shared" si="38"/>
        <v>0</v>
      </c>
      <c r="W71" s="18">
        <f t="shared" si="39"/>
        <v>0</v>
      </c>
      <c r="X71" s="17">
        <f t="shared" si="40"/>
        <v>0</v>
      </c>
      <c r="Y71" s="18">
        <v>0.34</v>
      </c>
      <c r="Z71" s="17">
        <f t="shared" si="41"/>
        <v>0</v>
      </c>
      <c r="AA71" s="18">
        <f t="shared" si="42"/>
        <v>0</v>
      </c>
      <c r="AB71" s="18">
        <v>0.1</v>
      </c>
    </row>
    <row r="72" spans="1:28">
      <c r="A72">
        <v>2026</v>
      </c>
      <c r="B72" t="s">
        <v>145</v>
      </c>
      <c r="C72" t="s">
        <v>146</v>
      </c>
      <c r="D72" t="s">
        <v>147</v>
      </c>
      <c r="E72">
        <v>294499</v>
      </c>
      <c r="G72" t="s">
        <v>148</v>
      </c>
      <c r="H72" t="s">
        <v>148</v>
      </c>
      <c r="I72" t="s">
        <v>162</v>
      </c>
      <c r="J72" t="s">
        <v>29</v>
      </c>
      <c r="K72">
        <v>5</v>
      </c>
      <c r="L72">
        <v>141600</v>
      </c>
      <c r="M72" s="17">
        <f t="shared" si="43"/>
        <v>28320</v>
      </c>
      <c r="O72" s="17">
        <f t="shared" si="33"/>
        <v>36816</v>
      </c>
      <c r="P72" s="17">
        <f t="shared" si="34"/>
        <v>28320</v>
      </c>
      <c r="Q72" s="18">
        <v>0.33</v>
      </c>
      <c r="R72" s="17">
        <f t="shared" si="35"/>
        <v>37665.599999999999</v>
      </c>
      <c r="S72" s="19">
        <f t="shared" si="36"/>
        <v>0.24812030075187966</v>
      </c>
      <c r="T72" s="17">
        <f t="shared" si="37"/>
        <v>0</v>
      </c>
      <c r="U72" s="18">
        <v>0.25</v>
      </c>
      <c r="V72" s="17">
        <f t="shared" si="38"/>
        <v>0</v>
      </c>
      <c r="W72" s="18">
        <f t="shared" si="39"/>
        <v>0</v>
      </c>
      <c r="X72" s="17">
        <f t="shared" si="40"/>
        <v>0</v>
      </c>
      <c r="Y72" s="18">
        <v>0.25</v>
      </c>
      <c r="Z72" s="17">
        <f t="shared" si="41"/>
        <v>0</v>
      </c>
      <c r="AA72" s="18">
        <f t="shared" si="42"/>
        <v>0</v>
      </c>
      <c r="AB72" s="18">
        <v>0.1</v>
      </c>
    </row>
    <row r="73" spans="1:28">
      <c r="A73">
        <v>2026</v>
      </c>
      <c r="B73" t="s">
        <v>145</v>
      </c>
      <c r="C73" t="s">
        <v>146</v>
      </c>
      <c r="D73" t="s">
        <v>147</v>
      </c>
      <c r="E73">
        <v>284190</v>
      </c>
      <c r="G73" t="s">
        <v>148</v>
      </c>
      <c r="H73" t="s">
        <v>148</v>
      </c>
      <c r="I73" t="s">
        <v>163</v>
      </c>
      <c r="J73" t="s">
        <v>29</v>
      </c>
      <c r="K73">
        <v>5</v>
      </c>
      <c r="L73">
        <v>174700</v>
      </c>
      <c r="M73" s="17">
        <f t="shared" si="43"/>
        <v>34940</v>
      </c>
      <c r="O73" s="17">
        <f t="shared" si="33"/>
        <v>45422</v>
      </c>
      <c r="P73" s="17">
        <f t="shared" si="34"/>
        <v>34940</v>
      </c>
      <c r="Q73" s="18">
        <v>0.31</v>
      </c>
      <c r="R73" s="17">
        <f t="shared" si="35"/>
        <v>45771.4</v>
      </c>
      <c r="S73" s="19">
        <f t="shared" si="36"/>
        <v>0.23664122137404583</v>
      </c>
      <c r="T73" s="17">
        <f t="shared" si="37"/>
        <v>0</v>
      </c>
      <c r="U73" s="18">
        <v>0.09</v>
      </c>
      <c r="V73" s="17">
        <f t="shared" si="38"/>
        <v>0</v>
      </c>
      <c r="W73" s="18">
        <f t="shared" si="39"/>
        <v>0</v>
      </c>
      <c r="X73" s="17">
        <f t="shared" si="40"/>
        <v>0</v>
      </c>
      <c r="Y73" s="18">
        <v>0.35</v>
      </c>
      <c r="Z73" s="17">
        <f t="shared" si="41"/>
        <v>0</v>
      </c>
      <c r="AA73" s="18">
        <f t="shared" si="42"/>
        <v>0</v>
      </c>
      <c r="AB73" s="18">
        <v>0.1</v>
      </c>
    </row>
    <row r="74" spans="1:28">
      <c r="A74">
        <v>2026</v>
      </c>
      <c r="B74" t="s">
        <v>145</v>
      </c>
      <c r="C74" t="s">
        <v>146</v>
      </c>
      <c r="D74" t="s">
        <v>147</v>
      </c>
      <c r="E74">
        <v>284390</v>
      </c>
      <c r="G74" t="s">
        <v>148</v>
      </c>
      <c r="H74" t="s">
        <v>148</v>
      </c>
      <c r="I74" t="s">
        <v>164</v>
      </c>
      <c r="J74" t="s">
        <v>29</v>
      </c>
      <c r="K74">
        <v>5</v>
      </c>
      <c r="L74">
        <v>204000</v>
      </c>
      <c r="M74" s="17">
        <f t="shared" si="43"/>
        <v>40800</v>
      </c>
      <c r="O74" s="17">
        <f t="shared" si="33"/>
        <v>53040</v>
      </c>
      <c r="P74" s="17">
        <f t="shared" si="34"/>
        <v>40800</v>
      </c>
      <c r="Q74" s="18">
        <v>0.3</v>
      </c>
      <c r="R74" s="17">
        <f t="shared" si="35"/>
        <v>53040</v>
      </c>
      <c r="S74" s="19">
        <f t="shared" si="36"/>
        <v>0.23076923076923078</v>
      </c>
      <c r="T74" s="17">
        <f t="shared" si="37"/>
        <v>0</v>
      </c>
      <c r="U74" s="18">
        <v>0.08</v>
      </c>
      <c r="V74" s="17">
        <f t="shared" si="38"/>
        <v>0</v>
      </c>
      <c r="W74" s="18">
        <f t="shared" si="39"/>
        <v>0</v>
      </c>
      <c r="X74" s="17">
        <f t="shared" si="40"/>
        <v>0</v>
      </c>
      <c r="Y74" s="18">
        <v>0.12</v>
      </c>
      <c r="Z74" s="17">
        <f t="shared" si="41"/>
        <v>0</v>
      </c>
      <c r="AA74" s="18">
        <f t="shared" si="42"/>
        <v>0</v>
      </c>
      <c r="AB74" s="18">
        <v>0.1</v>
      </c>
    </row>
    <row r="75" spans="1:28">
      <c r="A75">
        <v>2026</v>
      </c>
      <c r="B75" t="s">
        <v>145</v>
      </c>
      <c r="C75" t="s">
        <v>146</v>
      </c>
      <c r="D75" t="s">
        <v>147</v>
      </c>
      <c r="E75">
        <v>287100</v>
      </c>
      <c r="G75" t="s">
        <v>148</v>
      </c>
      <c r="H75" t="s">
        <v>148</v>
      </c>
      <c r="I75" t="s">
        <v>74</v>
      </c>
      <c r="J75" t="s">
        <v>29</v>
      </c>
      <c r="K75">
        <v>5</v>
      </c>
      <c r="L75">
        <v>49000</v>
      </c>
      <c r="M75" s="17">
        <f t="shared" si="43"/>
        <v>9800</v>
      </c>
      <c r="O75" s="17">
        <f t="shared" si="33"/>
        <v>12740</v>
      </c>
      <c r="P75" s="17">
        <f t="shared" si="34"/>
        <v>9800</v>
      </c>
      <c r="Q75" s="18">
        <v>0.28000000000000003</v>
      </c>
      <c r="R75" s="17">
        <f t="shared" si="35"/>
        <v>12544</v>
      </c>
      <c r="S75" s="19">
        <f t="shared" si="36"/>
        <v>0.21875</v>
      </c>
      <c r="T75" s="17">
        <f t="shared" si="37"/>
        <v>0</v>
      </c>
      <c r="U75" s="18">
        <v>0.06</v>
      </c>
      <c r="V75" s="17">
        <f t="shared" si="38"/>
        <v>0</v>
      </c>
      <c r="W75" s="18">
        <f t="shared" si="39"/>
        <v>0</v>
      </c>
      <c r="X75" s="17">
        <f t="shared" si="40"/>
        <v>0</v>
      </c>
      <c r="Y75" s="18">
        <v>0.25</v>
      </c>
      <c r="Z75" s="17">
        <f t="shared" si="41"/>
        <v>0</v>
      </c>
      <c r="AA75" s="18">
        <f t="shared" si="42"/>
        <v>0</v>
      </c>
      <c r="AB75" s="18">
        <v>0.1</v>
      </c>
    </row>
    <row r="76" spans="1:28">
      <c r="A76">
        <v>2026</v>
      </c>
      <c r="B76" t="s">
        <v>145</v>
      </c>
      <c r="C76" t="s">
        <v>146</v>
      </c>
      <c r="D76" t="s">
        <v>147</v>
      </c>
      <c r="E76">
        <v>287200</v>
      </c>
      <c r="G76" t="s">
        <v>148</v>
      </c>
      <c r="H76" t="s">
        <v>148</v>
      </c>
      <c r="I76" t="s">
        <v>165</v>
      </c>
      <c r="J76" t="s">
        <v>22</v>
      </c>
      <c r="K76">
        <v>10</v>
      </c>
      <c r="L76">
        <v>224100</v>
      </c>
      <c r="M76" s="17">
        <f t="shared" si="43"/>
        <v>22410</v>
      </c>
      <c r="O76" s="17">
        <f t="shared" si="33"/>
        <v>29133</v>
      </c>
      <c r="P76" s="17">
        <f t="shared" si="34"/>
        <v>22410</v>
      </c>
      <c r="Q76" s="18">
        <v>0.27</v>
      </c>
      <c r="R76" s="17">
        <f t="shared" si="35"/>
        <v>28460.7</v>
      </c>
      <c r="S76" s="19">
        <f t="shared" si="36"/>
        <v>0.2125984251968504</v>
      </c>
      <c r="T76" s="17">
        <f t="shared" si="37"/>
        <v>0</v>
      </c>
      <c r="U76" s="18">
        <v>0.35</v>
      </c>
      <c r="V76" s="17">
        <f t="shared" si="38"/>
        <v>0</v>
      </c>
      <c r="W76" s="18">
        <f t="shared" si="39"/>
        <v>0</v>
      </c>
      <c r="X76" s="17">
        <f t="shared" si="40"/>
        <v>0</v>
      </c>
      <c r="Y76" s="18">
        <v>0.1</v>
      </c>
      <c r="Z76" s="17">
        <f t="shared" si="41"/>
        <v>0</v>
      </c>
      <c r="AA76" s="18">
        <f t="shared" si="42"/>
        <v>0</v>
      </c>
      <c r="AB76" s="18">
        <v>0.1</v>
      </c>
    </row>
    <row r="77" spans="1:28">
      <c r="A77">
        <v>2026</v>
      </c>
      <c r="B77" t="s">
        <v>145</v>
      </c>
      <c r="C77" t="s">
        <v>146</v>
      </c>
      <c r="D77" t="s">
        <v>147</v>
      </c>
      <c r="E77">
        <v>287300</v>
      </c>
      <c r="G77" t="s">
        <v>148</v>
      </c>
      <c r="H77" t="s">
        <v>148</v>
      </c>
      <c r="I77" t="s">
        <v>81</v>
      </c>
      <c r="J77" t="s">
        <v>22</v>
      </c>
      <c r="K77">
        <v>10</v>
      </c>
      <c r="L77">
        <v>38000</v>
      </c>
      <c r="M77" s="17">
        <f t="shared" si="43"/>
        <v>3800</v>
      </c>
      <c r="O77" s="17">
        <f t="shared" si="33"/>
        <v>4940</v>
      </c>
      <c r="P77" s="17">
        <f t="shared" si="34"/>
        <v>3800</v>
      </c>
      <c r="Q77" s="18">
        <v>0.17</v>
      </c>
      <c r="R77" s="17">
        <f t="shared" si="35"/>
        <v>4446</v>
      </c>
      <c r="S77" s="19">
        <f t="shared" si="36"/>
        <v>0.14529914529914531</v>
      </c>
      <c r="T77" s="17">
        <f t="shared" si="37"/>
        <v>0</v>
      </c>
      <c r="U77" s="18">
        <v>0.12</v>
      </c>
      <c r="V77" s="17">
        <f t="shared" si="38"/>
        <v>0</v>
      </c>
      <c r="W77" s="18">
        <f t="shared" si="39"/>
        <v>0</v>
      </c>
      <c r="X77" s="17">
        <f t="shared" si="40"/>
        <v>0</v>
      </c>
      <c r="Y77" s="18">
        <v>0.35</v>
      </c>
      <c r="Z77" s="17">
        <f t="shared" si="41"/>
        <v>0</v>
      </c>
      <c r="AA77" s="18">
        <f t="shared" si="42"/>
        <v>0</v>
      </c>
      <c r="AB77" s="18">
        <v>0.1</v>
      </c>
    </row>
    <row r="78" spans="1:28">
      <c r="A78">
        <v>2026</v>
      </c>
      <c r="B78" t="s">
        <v>145</v>
      </c>
      <c r="C78" t="s">
        <v>146</v>
      </c>
      <c r="D78" t="s">
        <v>147</v>
      </c>
      <c r="E78">
        <v>287400</v>
      </c>
      <c r="G78" t="s">
        <v>148</v>
      </c>
      <c r="H78" t="s">
        <v>148</v>
      </c>
      <c r="I78" t="s">
        <v>83</v>
      </c>
      <c r="J78" t="s">
        <v>22</v>
      </c>
      <c r="K78">
        <v>10</v>
      </c>
      <c r="L78">
        <v>39800</v>
      </c>
      <c r="M78" s="17">
        <f t="shared" si="43"/>
        <v>3980</v>
      </c>
      <c r="O78" s="17">
        <f t="shared" si="33"/>
        <v>5174</v>
      </c>
      <c r="P78" s="17">
        <f t="shared" si="34"/>
        <v>3980</v>
      </c>
      <c r="Q78" s="18">
        <v>0.22</v>
      </c>
      <c r="R78" s="17">
        <f t="shared" si="35"/>
        <v>4855.6000000000004</v>
      </c>
      <c r="S78" s="19">
        <f t="shared" si="36"/>
        <v>0.18032786885245908</v>
      </c>
      <c r="T78" s="17">
        <f t="shared" si="37"/>
        <v>0</v>
      </c>
      <c r="U78" s="18">
        <v>0.25</v>
      </c>
      <c r="V78" s="17">
        <f t="shared" si="38"/>
        <v>0</v>
      </c>
      <c r="W78" s="18">
        <f t="shared" si="39"/>
        <v>0</v>
      </c>
      <c r="X78" s="17">
        <f t="shared" si="40"/>
        <v>0</v>
      </c>
      <c r="Y78" s="18">
        <v>0.33</v>
      </c>
      <c r="Z78" s="17">
        <f t="shared" si="41"/>
        <v>0</v>
      </c>
      <c r="AA78" s="18">
        <f t="shared" si="42"/>
        <v>0</v>
      </c>
      <c r="AB78" s="18">
        <v>0.1</v>
      </c>
    </row>
    <row r="79" spans="1:28">
      <c r="A79">
        <v>2026</v>
      </c>
      <c r="B79" t="s">
        <v>145</v>
      </c>
      <c r="C79" t="s">
        <v>146</v>
      </c>
      <c r="D79" t="s">
        <v>147</v>
      </c>
      <c r="E79">
        <v>294899</v>
      </c>
      <c r="G79" t="s">
        <v>148</v>
      </c>
      <c r="H79" t="s">
        <v>148</v>
      </c>
      <c r="I79" t="s">
        <v>97</v>
      </c>
      <c r="J79" t="s">
        <v>12</v>
      </c>
      <c r="K79">
        <v>1</v>
      </c>
      <c r="L79">
        <v>43500</v>
      </c>
      <c r="M79" s="17">
        <f t="shared" si="43"/>
        <v>43500</v>
      </c>
      <c r="O79" s="17">
        <f t="shared" si="33"/>
        <v>56550</v>
      </c>
      <c r="P79" s="17">
        <f t="shared" si="34"/>
        <v>43500</v>
      </c>
      <c r="Q79" s="18">
        <v>0.12</v>
      </c>
      <c r="R79" s="17">
        <f t="shared" si="35"/>
        <v>48720</v>
      </c>
      <c r="S79" s="19">
        <f t="shared" si="36"/>
        <v>0.10714285714285714</v>
      </c>
      <c r="T79" s="17">
        <f t="shared" si="37"/>
        <v>0</v>
      </c>
      <c r="U79" s="18">
        <v>0.1</v>
      </c>
      <c r="V79" s="17">
        <f t="shared" si="38"/>
        <v>0</v>
      </c>
      <c r="W79" s="18">
        <f t="shared" si="39"/>
        <v>0</v>
      </c>
      <c r="X79" s="17">
        <f t="shared" si="40"/>
        <v>0</v>
      </c>
      <c r="Y79" s="18">
        <v>0.31</v>
      </c>
      <c r="Z79" s="17">
        <f t="shared" si="41"/>
        <v>0</v>
      </c>
      <c r="AA79" s="18">
        <f t="shared" si="42"/>
        <v>0</v>
      </c>
      <c r="AB79" s="18">
        <v>0.1</v>
      </c>
    </row>
    <row r="80" spans="1:28">
      <c r="A80">
        <v>2026</v>
      </c>
      <c r="B80" t="s">
        <v>145</v>
      </c>
      <c r="C80" t="s">
        <v>146</v>
      </c>
      <c r="D80" t="s">
        <v>147</v>
      </c>
      <c r="E80">
        <v>394590</v>
      </c>
      <c r="G80" t="s">
        <v>148</v>
      </c>
      <c r="H80" t="s">
        <v>148</v>
      </c>
      <c r="I80" t="s">
        <v>105</v>
      </c>
      <c r="J80" t="s">
        <v>166</v>
      </c>
      <c r="K80">
        <v>2</v>
      </c>
      <c r="L80">
        <v>67900</v>
      </c>
      <c r="M80" s="17">
        <f>(L80/10)*2</f>
        <v>13580</v>
      </c>
      <c r="O80" s="17">
        <f t="shared" si="33"/>
        <v>17654</v>
      </c>
      <c r="P80" s="17">
        <f t="shared" si="34"/>
        <v>13580</v>
      </c>
      <c r="Q80" s="18">
        <v>0.15</v>
      </c>
      <c r="R80" s="17">
        <f t="shared" si="35"/>
        <v>15617</v>
      </c>
      <c r="S80" s="19">
        <f t="shared" si="36"/>
        <v>0.13043478260869565</v>
      </c>
      <c r="T80" s="17">
        <f t="shared" si="37"/>
        <v>0</v>
      </c>
      <c r="U80" s="18">
        <v>0.35</v>
      </c>
      <c r="V80" s="17">
        <f t="shared" si="38"/>
        <v>0</v>
      </c>
      <c r="W80" s="18">
        <f t="shared" si="39"/>
        <v>0</v>
      </c>
      <c r="X80" s="17">
        <f t="shared" si="40"/>
        <v>0</v>
      </c>
      <c r="Y80" s="18">
        <v>0.3</v>
      </c>
      <c r="Z80" s="17">
        <f t="shared" si="41"/>
        <v>0</v>
      </c>
      <c r="AA80" s="18">
        <f t="shared" si="42"/>
        <v>0</v>
      </c>
      <c r="AB80" s="18">
        <v>0.1</v>
      </c>
    </row>
    <row r="81" spans="1:28">
      <c r="A81">
        <v>2026</v>
      </c>
      <c r="B81" t="s">
        <v>145</v>
      </c>
      <c r="C81" t="s">
        <v>146</v>
      </c>
      <c r="D81" t="s">
        <v>147</v>
      </c>
      <c r="E81">
        <v>610200</v>
      </c>
      <c r="G81" t="s">
        <v>148</v>
      </c>
      <c r="H81" t="s">
        <v>148</v>
      </c>
      <c r="I81" t="s">
        <v>107</v>
      </c>
      <c r="J81" t="s">
        <v>166</v>
      </c>
      <c r="K81">
        <v>2</v>
      </c>
      <c r="L81">
        <v>50300</v>
      </c>
      <c r="M81" s="17">
        <f>(L81/10)*2</f>
        <v>10060</v>
      </c>
      <c r="O81" s="17">
        <f t="shared" si="33"/>
        <v>13078</v>
      </c>
      <c r="P81" s="17">
        <f t="shared" si="34"/>
        <v>10060</v>
      </c>
      <c r="Q81" s="18">
        <v>0.18</v>
      </c>
      <c r="R81" s="17">
        <f t="shared" si="35"/>
        <v>11870.8</v>
      </c>
      <c r="S81" s="19">
        <f t="shared" si="36"/>
        <v>0.15254237288135589</v>
      </c>
      <c r="T81" s="17">
        <f t="shared" si="37"/>
        <v>0</v>
      </c>
      <c r="U81" s="18">
        <v>0.33</v>
      </c>
      <c r="V81" s="17">
        <f t="shared" si="38"/>
        <v>0</v>
      </c>
      <c r="W81" s="18">
        <f t="shared" si="39"/>
        <v>0</v>
      </c>
      <c r="X81" s="17">
        <f t="shared" si="40"/>
        <v>0</v>
      </c>
      <c r="Y81" s="18">
        <v>0.28000000000000003</v>
      </c>
      <c r="Z81" s="17">
        <f t="shared" si="41"/>
        <v>0</v>
      </c>
      <c r="AA81" s="18">
        <f t="shared" si="42"/>
        <v>0</v>
      </c>
      <c r="AB81" s="18">
        <v>0.1</v>
      </c>
    </row>
    <row r="82" spans="1:28">
      <c r="A82">
        <v>2026</v>
      </c>
      <c r="B82" t="s">
        <v>156</v>
      </c>
      <c r="C82" t="s">
        <v>146</v>
      </c>
      <c r="D82" t="s">
        <v>147</v>
      </c>
      <c r="E82">
        <v>360001</v>
      </c>
      <c r="G82" t="s">
        <v>148</v>
      </c>
      <c r="H82" t="s">
        <v>148</v>
      </c>
      <c r="I82" t="s">
        <v>11</v>
      </c>
      <c r="J82" t="s">
        <v>12</v>
      </c>
      <c r="K82">
        <v>40</v>
      </c>
      <c r="L82">
        <v>893800</v>
      </c>
      <c r="M82" s="17">
        <f>L82/K82</f>
        <v>22345</v>
      </c>
      <c r="O82" s="17">
        <f t="shared" ref="O82:O101" si="44">M82+(M82*30%)</f>
        <v>29048.5</v>
      </c>
      <c r="P82" s="17">
        <f t="shared" ref="P82:P101" si="45">IF(C82="Alta Complejidad",M82,0)</f>
        <v>22345</v>
      </c>
      <c r="Q82" s="18">
        <v>0.15</v>
      </c>
      <c r="R82" s="17">
        <f t="shared" ref="R82:R101" si="46">P82+(P82*Q82)</f>
        <v>25696.75</v>
      </c>
      <c r="S82" s="19">
        <f t="shared" ref="S82:S101" si="47">IFERROR(((R82-P82)/R82),0)</f>
        <v>0.13043478260869565</v>
      </c>
      <c r="T82" s="17">
        <f t="shared" ref="T82:T101" si="48">IF(C82="Mediana Complejidad",M82,0)</f>
        <v>0</v>
      </c>
      <c r="U82" s="18">
        <v>0.3</v>
      </c>
      <c r="V82" s="17">
        <f t="shared" ref="V82:V101" si="49">(T82)+(T82*U82)</f>
        <v>0</v>
      </c>
      <c r="W82" s="18">
        <f t="shared" ref="W82:W101" si="50">IFERROR(((V82-T82)/V82),0)</f>
        <v>0</v>
      </c>
      <c r="X82" s="17">
        <f t="shared" ref="X82:X101" si="51">IF(C82="Baja Complejidad",M82,0)</f>
        <v>0</v>
      </c>
      <c r="Y82" s="18">
        <v>0.3</v>
      </c>
      <c r="Z82" s="17">
        <f t="shared" ref="Z82:Z101" si="52">(X82)+(X82*Y82)</f>
        <v>0</v>
      </c>
      <c r="AA82" s="18">
        <f t="shared" ref="AA82:AA101" si="53">IFERROR(((Z82-X82)/Z82),0)</f>
        <v>0</v>
      </c>
      <c r="AB82" s="18">
        <v>0.1</v>
      </c>
    </row>
    <row r="83" spans="1:28">
      <c r="A83">
        <v>2026</v>
      </c>
      <c r="B83" t="s">
        <v>156</v>
      </c>
      <c r="C83" t="s">
        <v>146</v>
      </c>
      <c r="D83" t="s">
        <v>147</v>
      </c>
      <c r="E83">
        <v>709900</v>
      </c>
      <c r="G83" t="s">
        <v>148</v>
      </c>
      <c r="H83" t="s">
        <v>148</v>
      </c>
      <c r="I83" t="s">
        <v>18</v>
      </c>
      <c r="J83" t="s">
        <v>12</v>
      </c>
      <c r="K83">
        <v>250</v>
      </c>
      <c r="L83">
        <v>80300</v>
      </c>
      <c r="M83" s="17">
        <f t="shared" ref="M83:M99" si="54">L83/K83</f>
        <v>321.2</v>
      </c>
      <c r="O83" s="17">
        <f t="shared" si="44"/>
        <v>417.56</v>
      </c>
      <c r="P83" s="17">
        <f t="shared" si="45"/>
        <v>321.2</v>
      </c>
      <c r="Q83" s="18">
        <v>0.18</v>
      </c>
      <c r="R83" s="17">
        <f t="shared" si="46"/>
        <v>379.01599999999996</v>
      </c>
      <c r="S83" s="19">
        <f t="shared" si="47"/>
        <v>0.15254237288135589</v>
      </c>
      <c r="T83" s="17">
        <f t="shared" si="48"/>
        <v>0</v>
      </c>
      <c r="U83" s="18">
        <v>0.28000000000000003</v>
      </c>
      <c r="V83" s="17">
        <f t="shared" si="49"/>
        <v>0</v>
      </c>
      <c r="W83" s="18">
        <f t="shared" si="50"/>
        <v>0</v>
      </c>
      <c r="X83" s="17">
        <f t="shared" si="51"/>
        <v>0</v>
      </c>
      <c r="Y83" s="18">
        <v>0.28000000000000003</v>
      </c>
      <c r="Z83" s="17">
        <f t="shared" si="52"/>
        <v>0</v>
      </c>
      <c r="AA83" s="18">
        <f t="shared" si="53"/>
        <v>0</v>
      </c>
      <c r="AB83" s="18">
        <v>0.1</v>
      </c>
    </row>
    <row r="84" spans="1:28">
      <c r="A84">
        <v>2026</v>
      </c>
      <c r="B84" t="s">
        <v>156</v>
      </c>
      <c r="C84" t="s">
        <v>146</v>
      </c>
      <c r="D84" t="s">
        <v>147</v>
      </c>
      <c r="E84">
        <v>709902</v>
      </c>
      <c r="G84" t="s">
        <v>148</v>
      </c>
      <c r="H84" t="s">
        <v>148</v>
      </c>
      <c r="I84" t="s">
        <v>26</v>
      </c>
      <c r="J84" t="s">
        <v>22</v>
      </c>
      <c r="K84">
        <v>10</v>
      </c>
      <c r="L84">
        <v>28800</v>
      </c>
      <c r="M84" s="17">
        <f t="shared" si="54"/>
        <v>2880</v>
      </c>
      <c r="O84" s="17">
        <f t="shared" si="44"/>
        <v>3744</v>
      </c>
      <c r="P84" s="17">
        <f t="shared" si="45"/>
        <v>2880</v>
      </c>
      <c r="Q84" s="18">
        <v>0.28999999999999998</v>
      </c>
      <c r="R84" s="17">
        <f t="shared" si="46"/>
        <v>3715.2</v>
      </c>
      <c r="S84" s="19">
        <f t="shared" si="47"/>
        <v>0.22480620155038755</v>
      </c>
      <c r="T84" s="17">
        <f t="shared" si="48"/>
        <v>0</v>
      </c>
      <c r="U84" s="18">
        <v>0.27</v>
      </c>
      <c r="V84" s="17">
        <f t="shared" si="49"/>
        <v>0</v>
      </c>
      <c r="W84" s="18">
        <f t="shared" si="50"/>
        <v>0</v>
      </c>
      <c r="X84" s="17">
        <f t="shared" si="51"/>
        <v>0</v>
      </c>
      <c r="Y84" s="18">
        <v>0.27</v>
      </c>
      <c r="Z84" s="17">
        <f t="shared" si="52"/>
        <v>0</v>
      </c>
      <c r="AA84" s="18">
        <f t="shared" si="53"/>
        <v>0</v>
      </c>
      <c r="AB84" s="18">
        <v>0.1</v>
      </c>
    </row>
    <row r="85" spans="1:28">
      <c r="A85">
        <v>2026</v>
      </c>
      <c r="B85" t="s">
        <v>156</v>
      </c>
      <c r="C85" t="s">
        <v>146</v>
      </c>
      <c r="D85" t="s">
        <v>147</v>
      </c>
      <c r="E85">
        <v>709903</v>
      </c>
      <c r="G85" t="s">
        <v>148</v>
      </c>
      <c r="H85" t="s">
        <v>148</v>
      </c>
      <c r="I85" t="s">
        <v>35</v>
      </c>
      <c r="J85" t="s">
        <v>22</v>
      </c>
      <c r="K85">
        <v>10</v>
      </c>
      <c r="L85">
        <v>36700</v>
      </c>
      <c r="M85" s="17">
        <f t="shared" si="54"/>
        <v>3670</v>
      </c>
      <c r="O85" s="17">
        <f t="shared" si="44"/>
        <v>4771</v>
      </c>
      <c r="P85" s="17">
        <f t="shared" si="45"/>
        <v>3670</v>
      </c>
      <c r="Q85" s="18">
        <v>0.34</v>
      </c>
      <c r="R85" s="17">
        <f t="shared" si="46"/>
        <v>4917.8</v>
      </c>
      <c r="S85" s="19">
        <f t="shared" si="47"/>
        <v>0.2537313432835821</v>
      </c>
      <c r="T85" s="17">
        <f t="shared" si="48"/>
        <v>0</v>
      </c>
      <c r="U85" s="18">
        <v>0.17</v>
      </c>
      <c r="V85" s="17">
        <f t="shared" si="49"/>
        <v>0</v>
      </c>
      <c r="W85" s="18">
        <f t="shared" si="50"/>
        <v>0</v>
      </c>
      <c r="X85" s="17">
        <f t="shared" si="51"/>
        <v>0</v>
      </c>
      <c r="Y85" s="18">
        <v>0.17</v>
      </c>
      <c r="Z85" s="17">
        <f t="shared" si="52"/>
        <v>0</v>
      </c>
      <c r="AA85" s="18">
        <f t="shared" si="53"/>
        <v>0</v>
      </c>
      <c r="AB85" s="18">
        <v>0.1</v>
      </c>
    </row>
    <row r="86" spans="1:28">
      <c r="A86">
        <v>2026</v>
      </c>
      <c r="B86" t="s">
        <v>156</v>
      </c>
      <c r="C86" t="s">
        <v>146</v>
      </c>
      <c r="D86" t="s">
        <v>147</v>
      </c>
      <c r="E86">
        <v>603421</v>
      </c>
      <c r="G86" t="s">
        <v>148</v>
      </c>
      <c r="H86" t="s">
        <v>148</v>
      </c>
      <c r="I86" t="s">
        <v>159</v>
      </c>
      <c r="J86" t="s">
        <v>29</v>
      </c>
      <c r="K86">
        <v>5</v>
      </c>
      <c r="L86">
        <v>28000</v>
      </c>
      <c r="M86" s="17">
        <f t="shared" si="54"/>
        <v>5600</v>
      </c>
      <c r="O86" s="17">
        <f t="shared" si="44"/>
        <v>7280</v>
      </c>
      <c r="P86" s="17">
        <f t="shared" si="45"/>
        <v>5600</v>
      </c>
      <c r="Q86" s="18">
        <v>0.25</v>
      </c>
      <c r="R86" s="17">
        <f t="shared" si="46"/>
        <v>7000</v>
      </c>
      <c r="S86" s="19">
        <f t="shared" si="47"/>
        <v>0.2</v>
      </c>
      <c r="T86" s="17">
        <f t="shared" si="48"/>
        <v>0</v>
      </c>
      <c r="U86" s="18">
        <v>0.22</v>
      </c>
      <c r="V86" s="17">
        <f t="shared" si="49"/>
        <v>0</v>
      </c>
      <c r="W86" s="18">
        <f t="shared" si="50"/>
        <v>0</v>
      </c>
      <c r="X86" s="17">
        <f t="shared" si="51"/>
        <v>0</v>
      </c>
      <c r="Y86" s="18">
        <v>0.22</v>
      </c>
      <c r="Z86" s="17">
        <f t="shared" si="52"/>
        <v>0</v>
      </c>
      <c r="AA86" s="18">
        <f t="shared" si="53"/>
        <v>0</v>
      </c>
      <c r="AB86" s="18">
        <v>0.1</v>
      </c>
    </row>
    <row r="87" spans="1:28">
      <c r="A87">
        <v>2026</v>
      </c>
      <c r="B87" t="s">
        <v>156</v>
      </c>
      <c r="C87" t="s">
        <v>146</v>
      </c>
      <c r="D87" t="s">
        <v>147</v>
      </c>
      <c r="E87">
        <v>603422</v>
      </c>
      <c r="G87" t="s">
        <v>148</v>
      </c>
      <c r="H87" t="s">
        <v>148</v>
      </c>
      <c r="I87" t="s">
        <v>50</v>
      </c>
      <c r="J87" t="s">
        <v>29</v>
      </c>
      <c r="K87">
        <v>5</v>
      </c>
      <c r="L87">
        <v>36700</v>
      </c>
      <c r="M87" s="17">
        <f t="shared" si="54"/>
        <v>7340</v>
      </c>
      <c r="O87" s="17">
        <f t="shared" si="44"/>
        <v>9542</v>
      </c>
      <c r="P87" s="17">
        <f t="shared" si="45"/>
        <v>7340</v>
      </c>
      <c r="Q87" s="18">
        <v>0.35</v>
      </c>
      <c r="R87" s="17">
        <f t="shared" si="46"/>
        <v>9909</v>
      </c>
      <c r="S87" s="19">
        <f t="shared" si="47"/>
        <v>0.25925925925925924</v>
      </c>
      <c r="T87" s="17">
        <f t="shared" si="48"/>
        <v>0</v>
      </c>
      <c r="U87" s="18">
        <v>0.12</v>
      </c>
      <c r="V87" s="17">
        <f t="shared" si="49"/>
        <v>0</v>
      </c>
      <c r="W87" s="18">
        <f t="shared" si="50"/>
        <v>0</v>
      </c>
      <c r="X87" s="17">
        <f t="shared" si="51"/>
        <v>0</v>
      </c>
      <c r="Y87" s="18">
        <v>0.12</v>
      </c>
      <c r="Z87" s="17">
        <f t="shared" si="52"/>
        <v>0</v>
      </c>
      <c r="AA87" s="18">
        <f t="shared" si="53"/>
        <v>0</v>
      </c>
      <c r="AB87" s="18">
        <v>0.1</v>
      </c>
    </row>
    <row r="88" spans="1:28">
      <c r="A88">
        <v>2026</v>
      </c>
      <c r="B88" t="s">
        <v>156</v>
      </c>
      <c r="C88" t="s">
        <v>146</v>
      </c>
      <c r="D88" t="s">
        <v>147</v>
      </c>
      <c r="E88">
        <v>603423</v>
      </c>
      <c r="G88" t="s">
        <v>148</v>
      </c>
      <c r="H88" t="s">
        <v>148</v>
      </c>
      <c r="I88" t="s">
        <v>59</v>
      </c>
      <c r="J88" t="s">
        <v>29</v>
      </c>
      <c r="K88">
        <v>5</v>
      </c>
      <c r="L88">
        <v>21900</v>
      </c>
      <c r="M88" s="17">
        <f t="shared" si="54"/>
        <v>4380</v>
      </c>
      <c r="O88" s="17">
        <f t="shared" si="44"/>
        <v>5694</v>
      </c>
      <c r="P88" s="17">
        <f t="shared" si="45"/>
        <v>4380</v>
      </c>
      <c r="Q88" s="18">
        <v>0.12</v>
      </c>
      <c r="R88" s="17">
        <f t="shared" si="46"/>
        <v>4905.6000000000004</v>
      </c>
      <c r="S88" s="19">
        <f t="shared" si="47"/>
        <v>0.10714285714285721</v>
      </c>
      <c r="T88" s="17">
        <f t="shared" si="48"/>
        <v>0</v>
      </c>
      <c r="U88" s="18">
        <v>0.15</v>
      </c>
      <c r="V88" s="17">
        <f t="shared" si="49"/>
        <v>0</v>
      </c>
      <c r="W88" s="18">
        <f t="shared" si="50"/>
        <v>0</v>
      </c>
      <c r="X88" s="17">
        <f t="shared" si="51"/>
        <v>0</v>
      </c>
      <c r="Y88" s="18">
        <v>0.15</v>
      </c>
      <c r="Z88" s="17">
        <f t="shared" si="52"/>
        <v>0</v>
      </c>
      <c r="AA88" s="18">
        <f t="shared" si="53"/>
        <v>0</v>
      </c>
      <c r="AB88" s="18">
        <v>0.1</v>
      </c>
    </row>
    <row r="89" spans="1:28">
      <c r="A89">
        <v>2026</v>
      </c>
      <c r="B89" t="s">
        <v>156</v>
      </c>
      <c r="C89" t="s">
        <v>146</v>
      </c>
      <c r="D89" t="s">
        <v>147</v>
      </c>
      <c r="E89">
        <v>294199</v>
      </c>
      <c r="G89" t="s">
        <v>148</v>
      </c>
      <c r="H89" t="s">
        <v>148</v>
      </c>
      <c r="I89" t="s">
        <v>67</v>
      </c>
      <c r="J89" t="s">
        <v>29</v>
      </c>
      <c r="K89">
        <v>5</v>
      </c>
      <c r="L89">
        <v>114900</v>
      </c>
      <c r="M89" s="17">
        <f t="shared" si="54"/>
        <v>22980</v>
      </c>
      <c r="O89" s="17">
        <f t="shared" si="44"/>
        <v>29874</v>
      </c>
      <c r="P89" s="17">
        <f t="shared" si="45"/>
        <v>22980</v>
      </c>
      <c r="Q89" s="18">
        <v>0.25</v>
      </c>
      <c r="R89" s="17">
        <f t="shared" si="46"/>
        <v>28725</v>
      </c>
      <c r="S89" s="19">
        <f t="shared" si="47"/>
        <v>0.2</v>
      </c>
      <c r="T89" s="17">
        <f t="shared" si="48"/>
        <v>0</v>
      </c>
      <c r="U89" s="18">
        <v>0.18</v>
      </c>
      <c r="V89" s="17">
        <f t="shared" si="49"/>
        <v>0</v>
      </c>
      <c r="W89" s="18">
        <f t="shared" si="50"/>
        <v>0</v>
      </c>
      <c r="X89" s="17">
        <f t="shared" si="51"/>
        <v>0</v>
      </c>
      <c r="Y89" s="18">
        <v>0.18</v>
      </c>
      <c r="Z89" s="17">
        <f t="shared" si="52"/>
        <v>0</v>
      </c>
      <c r="AA89" s="18">
        <f t="shared" si="53"/>
        <v>0</v>
      </c>
      <c r="AB89" s="18">
        <v>0.1</v>
      </c>
    </row>
    <row r="90" spans="1:28">
      <c r="A90">
        <v>2026</v>
      </c>
      <c r="B90" t="s">
        <v>156</v>
      </c>
      <c r="C90" t="s">
        <v>146</v>
      </c>
      <c r="D90" t="s">
        <v>147</v>
      </c>
      <c r="E90">
        <v>294299</v>
      </c>
      <c r="G90" t="s">
        <v>148</v>
      </c>
      <c r="H90" t="s">
        <v>148</v>
      </c>
      <c r="I90" t="s">
        <v>160</v>
      </c>
      <c r="J90" t="s">
        <v>29</v>
      </c>
      <c r="K90">
        <v>5</v>
      </c>
      <c r="L90">
        <v>28000</v>
      </c>
      <c r="M90" s="17">
        <f t="shared" si="54"/>
        <v>5600</v>
      </c>
      <c r="O90" s="17">
        <f t="shared" si="44"/>
        <v>7280</v>
      </c>
      <c r="P90" s="17">
        <f t="shared" si="45"/>
        <v>5600</v>
      </c>
      <c r="Q90" s="18">
        <v>0.1</v>
      </c>
      <c r="R90" s="17">
        <f t="shared" si="46"/>
        <v>6160</v>
      </c>
      <c r="S90" s="19">
        <f t="shared" si="47"/>
        <v>9.0909090909090912E-2</v>
      </c>
      <c r="T90" s="17">
        <f t="shared" si="48"/>
        <v>0</v>
      </c>
      <c r="U90" s="18">
        <v>0.28999999999999998</v>
      </c>
      <c r="V90" s="17">
        <f t="shared" si="49"/>
        <v>0</v>
      </c>
      <c r="W90" s="18">
        <f t="shared" si="50"/>
        <v>0</v>
      </c>
      <c r="X90" s="17">
        <f t="shared" si="51"/>
        <v>0</v>
      </c>
      <c r="Y90" s="18">
        <v>0.28999999999999998</v>
      </c>
      <c r="Z90" s="17">
        <f t="shared" si="52"/>
        <v>0</v>
      </c>
      <c r="AA90" s="18">
        <f t="shared" si="53"/>
        <v>0</v>
      </c>
      <c r="AB90" s="18">
        <v>0.1</v>
      </c>
    </row>
    <row r="91" spans="1:28">
      <c r="A91">
        <v>2026</v>
      </c>
      <c r="B91" t="s">
        <v>156</v>
      </c>
      <c r="C91" t="s">
        <v>146</v>
      </c>
      <c r="D91" t="s">
        <v>147</v>
      </c>
      <c r="E91">
        <v>294399</v>
      </c>
      <c r="G91" t="s">
        <v>148</v>
      </c>
      <c r="H91" t="s">
        <v>148</v>
      </c>
      <c r="I91" t="s">
        <v>161</v>
      </c>
      <c r="J91" t="s">
        <v>29</v>
      </c>
      <c r="K91">
        <v>5</v>
      </c>
      <c r="L91">
        <v>49200</v>
      </c>
      <c r="M91" s="17">
        <f t="shared" si="54"/>
        <v>9840</v>
      </c>
      <c r="O91" s="17">
        <f t="shared" si="44"/>
        <v>12792</v>
      </c>
      <c r="P91" s="17">
        <f t="shared" si="45"/>
        <v>9840</v>
      </c>
      <c r="Q91" s="18">
        <v>0.35</v>
      </c>
      <c r="R91" s="17">
        <f t="shared" si="46"/>
        <v>13284</v>
      </c>
      <c r="S91" s="19">
        <f t="shared" si="47"/>
        <v>0.25925925925925924</v>
      </c>
      <c r="T91" s="17">
        <f t="shared" si="48"/>
        <v>0</v>
      </c>
      <c r="U91" s="18">
        <v>0.34</v>
      </c>
      <c r="V91" s="17">
        <f t="shared" si="49"/>
        <v>0</v>
      </c>
      <c r="W91" s="18">
        <f t="shared" si="50"/>
        <v>0</v>
      </c>
      <c r="X91" s="17">
        <f t="shared" si="51"/>
        <v>0</v>
      </c>
      <c r="Y91" s="18">
        <v>0.34</v>
      </c>
      <c r="Z91" s="17">
        <f t="shared" si="52"/>
        <v>0</v>
      </c>
      <c r="AA91" s="18">
        <f t="shared" si="53"/>
        <v>0</v>
      </c>
      <c r="AB91" s="18">
        <v>0.1</v>
      </c>
    </row>
    <row r="92" spans="1:28">
      <c r="A92">
        <v>2026</v>
      </c>
      <c r="B92" t="s">
        <v>156</v>
      </c>
      <c r="C92" t="s">
        <v>146</v>
      </c>
      <c r="D92" t="s">
        <v>147</v>
      </c>
      <c r="E92">
        <v>294499</v>
      </c>
      <c r="G92" t="s">
        <v>148</v>
      </c>
      <c r="H92" t="s">
        <v>148</v>
      </c>
      <c r="I92" t="s">
        <v>162</v>
      </c>
      <c r="J92" t="s">
        <v>29</v>
      </c>
      <c r="K92">
        <v>5</v>
      </c>
      <c r="L92">
        <v>141600</v>
      </c>
      <c r="M92" s="17">
        <f t="shared" si="54"/>
        <v>28320</v>
      </c>
      <c r="O92" s="17">
        <f t="shared" si="44"/>
        <v>36816</v>
      </c>
      <c r="P92" s="17">
        <f t="shared" si="45"/>
        <v>28320</v>
      </c>
      <c r="Q92" s="18">
        <v>0.33</v>
      </c>
      <c r="R92" s="17">
        <f t="shared" si="46"/>
        <v>37665.599999999999</v>
      </c>
      <c r="S92" s="19">
        <f t="shared" si="47"/>
        <v>0.24812030075187966</v>
      </c>
      <c r="T92" s="17">
        <f t="shared" si="48"/>
        <v>0</v>
      </c>
      <c r="U92" s="18">
        <v>0.25</v>
      </c>
      <c r="V92" s="17">
        <f t="shared" si="49"/>
        <v>0</v>
      </c>
      <c r="W92" s="18">
        <f t="shared" si="50"/>
        <v>0</v>
      </c>
      <c r="X92" s="17">
        <f t="shared" si="51"/>
        <v>0</v>
      </c>
      <c r="Y92" s="18">
        <v>0.25</v>
      </c>
      <c r="Z92" s="17">
        <f t="shared" si="52"/>
        <v>0</v>
      </c>
      <c r="AA92" s="18">
        <f t="shared" si="53"/>
        <v>0</v>
      </c>
      <c r="AB92" s="18">
        <v>0.1</v>
      </c>
    </row>
    <row r="93" spans="1:28">
      <c r="A93">
        <v>2026</v>
      </c>
      <c r="B93" t="s">
        <v>156</v>
      </c>
      <c r="C93" t="s">
        <v>146</v>
      </c>
      <c r="D93" t="s">
        <v>147</v>
      </c>
      <c r="E93">
        <v>284190</v>
      </c>
      <c r="G93" t="s">
        <v>148</v>
      </c>
      <c r="H93" t="s">
        <v>148</v>
      </c>
      <c r="I93" t="s">
        <v>163</v>
      </c>
      <c r="J93" t="s">
        <v>29</v>
      </c>
      <c r="K93">
        <v>5</v>
      </c>
      <c r="L93">
        <v>174700</v>
      </c>
      <c r="M93" s="17">
        <f t="shared" si="54"/>
        <v>34940</v>
      </c>
      <c r="O93" s="17">
        <f t="shared" si="44"/>
        <v>45422</v>
      </c>
      <c r="P93" s="17">
        <f t="shared" si="45"/>
        <v>34940</v>
      </c>
      <c r="Q93" s="18">
        <v>0.31</v>
      </c>
      <c r="R93" s="17">
        <f t="shared" si="46"/>
        <v>45771.4</v>
      </c>
      <c r="S93" s="19">
        <f t="shared" si="47"/>
        <v>0.23664122137404583</v>
      </c>
      <c r="T93" s="17">
        <f t="shared" si="48"/>
        <v>0</v>
      </c>
      <c r="U93" s="18">
        <v>0.09</v>
      </c>
      <c r="V93" s="17">
        <f t="shared" si="49"/>
        <v>0</v>
      </c>
      <c r="W93" s="18">
        <f t="shared" si="50"/>
        <v>0</v>
      </c>
      <c r="X93" s="17">
        <f t="shared" si="51"/>
        <v>0</v>
      </c>
      <c r="Y93" s="18">
        <v>0.35</v>
      </c>
      <c r="Z93" s="17">
        <f t="shared" si="52"/>
        <v>0</v>
      </c>
      <c r="AA93" s="18">
        <f t="shared" si="53"/>
        <v>0</v>
      </c>
      <c r="AB93" s="18">
        <v>0.1</v>
      </c>
    </row>
    <row r="94" spans="1:28">
      <c r="A94">
        <v>2026</v>
      </c>
      <c r="B94" t="s">
        <v>156</v>
      </c>
      <c r="C94" t="s">
        <v>146</v>
      </c>
      <c r="D94" t="s">
        <v>147</v>
      </c>
      <c r="E94">
        <v>284390</v>
      </c>
      <c r="G94" t="s">
        <v>148</v>
      </c>
      <c r="H94" t="s">
        <v>148</v>
      </c>
      <c r="I94" t="s">
        <v>164</v>
      </c>
      <c r="J94" t="s">
        <v>29</v>
      </c>
      <c r="K94">
        <v>5</v>
      </c>
      <c r="L94">
        <v>204000</v>
      </c>
      <c r="M94" s="17">
        <f t="shared" si="54"/>
        <v>40800</v>
      </c>
      <c r="O94" s="17">
        <f t="shared" si="44"/>
        <v>53040</v>
      </c>
      <c r="P94" s="17">
        <f t="shared" si="45"/>
        <v>40800</v>
      </c>
      <c r="Q94" s="18">
        <v>0.3</v>
      </c>
      <c r="R94" s="17">
        <f t="shared" si="46"/>
        <v>53040</v>
      </c>
      <c r="S94" s="19">
        <f t="shared" si="47"/>
        <v>0.23076923076923078</v>
      </c>
      <c r="T94" s="17">
        <f t="shared" si="48"/>
        <v>0</v>
      </c>
      <c r="U94" s="18">
        <v>0.08</v>
      </c>
      <c r="V94" s="17">
        <f t="shared" si="49"/>
        <v>0</v>
      </c>
      <c r="W94" s="18">
        <f t="shared" si="50"/>
        <v>0</v>
      </c>
      <c r="X94" s="17">
        <f t="shared" si="51"/>
        <v>0</v>
      </c>
      <c r="Y94" s="18">
        <v>0.12</v>
      </c>
      <c r="Z94" s="17">
        <f t="shared" si="52"/>
        <v>0</v>
      </c>
      <c r="AA94" s="18">
        <f t="shared" si="53"/>
        <v>0</v>
      </c>
      <c r="AB94" s="18">
        <v>0.1</v>
      </c>
    </row>
    <row r="95" spans="1:28">
      <c r="A95">
        <v>2026</v>
      </c>
      <c r="B95" t="s">
        <v>156</v>
      </c>
      <c r="C95" t="s">
        <v>146</v>
      </c>
      <c r="D95" t="s">
        <v>147</v>
      </c>
      <c r="E95">
        <v>287100</v>
      </c>
      <c r="G95" t="s">
        <v>148</v>
      </c>
      <c r="H95" t="s">
        <v>148</v>
      </c>
      <c r="I95" t="s">
        <v>74</v>
      </c>
      <c r="J95" t="s">
        <v>29</v>
      </c>
      <c r="K95">
        <v>5</v>
      </c>
      <c r="L95">
        <v>49000</v>
      </c>
      <c r="M95" s="17">
        <f t="shared" si="54"/>
        <v>9800</v>
      </c>
      <c r="O95" s="17">
        <f t="shared" si="44"/>
        <v>12740</v>
      </c>
      <c r="P95" s="17">
        <f t="shared" si="45"/>
        <v>9800</v>
      </c>
      <c r="Q95" s="18">
        <v>0.28000000000000003</v>
      </c>
      <c r="R95" s="17">
        <f t="shared" si="46"/>
        <v>12544</v>
      </c>
      <c r="S95" s="19">
        <f t="shared" si="47"/>
        <v>0.21875</v>
      </c>
      <c r="T95" s="17">
        <f t="shared" si="48"/>
        <v>0</v>
      </c>
      <c r="U95" s="18">
        <v>0.06</v>
      </c>
      <c r="V95" s="17">
        <f t="shared" si="49"/>
        <v>0</v>
      </c>
      <c r="W95" s="18">
        <f t="shared" si="50"/>
        <v>0</v>
      </c>
      <c r="X95" s="17">
        <f t="shared" si="51"/>
        <v>0</v>
      </c>
      <c r="Y95" s="18">
        <v>0.25</v>
      </c>
      <c r="Z95" s="17">
        <f t="shared" si="52"/>
        <v>0</v>
      </c>
      <c r="AA95" s="18">
        <f t="shared" si="53"/>
        <v>0</v>
      </c>
      <c r="AB95" s="18">
        <v>0.1</v>
      </c>
    </row>
    <row r="96" spans="1:28">
      <c r="A96">
        <v>2026</v>
      </c>
      <c r="B96" t="s">
        <v>156</v>
      </c>
      <c r="C96" t="s">
        <v>146</v>
      </c>
      <c r="D96" t="s">
        <v>147</v>
      </c>
      <c r="E96">
        <v>287200</v>
      </c>
      <c r="G96" t="s">
        <v>148</v>
      </c>
      <c r="H96" t="s">
        <v>148</v>
      </c>
      <c r="I96" t="s">
        <v>165</v>
      </c>
      <c r="J96" t="s">
        <v>22</v>
      </c>
      <c r="K96">
        <v>10</v>
      </c>
      <c r="L96">
        <v>224100</v>
      </c>
      <c r="M96" s="17">
        <f t="shared" si="54"/>
        <v>22410</v>
      </c>
      <c r="O96" s="17">
        <f t="shared" si="44"/>
        <v>29133</v>
      </c>
      <c r="P96" s="17">
        <f t="shared" si="45"/>
        <v>22410</v>
      </c>
      <c r="Q96" s="18">
        <v>0.27</v>
      </c>
      <c r="R96" s="17">
        <f t="shared" si="46"/>
        <v>28460.7</v>
      </c>
      <c r="S96" s="19">
        <f t="shared" si="47"/>
        <v>0.2125984251968504</v>
      </c>
      <c r="T96" s="17">
        <f t="shared" si="48"/>
        <v>0</v>
      </c>
      <c r="U96" s="18">
        <v>0.35</v>
      </c>
      <c r="V96" s="17">
        <f t="shared" si="49"/>
        <v>0</v>
      </c>
      <c r="W96" s="18">
        <f t="shared" si="50"/>
        <v>0</v>
      </c>
      <c r="X96" s="17">
        <f t="shared" si="51"/>
        <v>0</v>
      </c>
      <c r="Y96" s="18">
        <v>0.1</v>
      </c>
      <c r="Z96" s="17">
        <f t="shared" si="52"/>
        <v>0</v>
      </c>
      <c r="AA96" s="18">
        <f t="shared" si="53"/>
        <v>0</v>
      </c>
      <c r="AB96" s="18">
        <v>0.1</v>
      </c>
    </row>
    <row r="97" spans="1:28">
      <c r="A97">
        <v>2026</v>
      </c>
      <c r="B97" t="s">
        <v>156</v>
      </c>
      <c r="C97" t="s">
        <v>146</v>
      </c>
      <c r="D97" t="s">
        <v>147</v>
      </c>
      <c r="E97">
        <v>287300</v>
      </c>
      <c r="G97" t="s">
        <v>148</v>
      </c>
      <c r="H97" t="s">
        <v>148</v>
      </c>
      <c r="I97" t="s">
        <v>81</v>
      </c>
      <c r="J97" t="s">
        <v>22</v>
      </c>
      <c r="K97">
        <v>10</v>
      </c>
      <c r="L97">
        <v>38000</v>
      </c>
      <c r="M97" s="17">
        <f t="shared" si="54"/>
        <v>3800</v>
      </c>
      <c r="O97" s="17">
        <f t="shared" si="44"/>
        <v>4940</v>
      </c>
      <c r="P97" s="17">
        <f t="shared" si="45"/>
        <v>3800</v>
      </c>
      <c r="Q97" s="18">
        <v>0.17</v>
      </c>
      <c r="R97" s="17">
        <f t="shared" si="46"/>
        <v>4446</v>
      </c>
      <c r="S97" s="19">
        <f t="shared" si="47"/>
        <v>0.14529914529914531</v>
      </c>
      <c r="T97" s="17">
        <f t="shared" si="48"/>
        <v>0</v>
      </c>
      <c r="U97" s="18">
        <v>0.12</v>
      </c>
      <c r="V97" s="17">
        <f t="shared" si="49"/>
        <v>0</v>
      </c>
      <c r="W97" s="18">
        <f t="shared" si="50"/>
        <v>0</v>
      </c>
      <c r="X97" s="17">
        <f t="shared" si="51"/>
        <v>0</v>
      </c>
      <c r="Y97" s="18">
        <v>0.35</v>
      </c>
      <c r="Z97" s="17">
        <f t="shared" si="52"/>
        <v>0</v>
      </c>
      <c r="AA97" s="18">
        <f t="shared" si="53"/>
        <v>0</v>
      </c>
      <c r="AB97" s="18">
        <v>0.1</v>
      </c>
    </row>
    <row r="98" spans="1:28">
      <c r="A98">
        <v>2026</v>
      </c>
      <c r="B98" t="s">
        <v>156</v>
      </c>
      <c r="C98" t="s">
        <v>146</v>
      </c>
      <c r="D98" t="s">
        <v>147</v>
      </c>
      <c r="E98">
        <v>287400</v>
      </c>
      <c r="G98" t="s">
        <v>148</v>
      </c>
      <c r="H98" t="s">
        <v>148</v>
      </c>
      <c r="I98" t="s">
        <v>83</v>
      </c>
      <c r="J98" t="s">
        <v>22</v>
      </c>
      <c r="K98">
        <v>10</v>
      </c>
      <c r="L98">
        <v>39800</v>
      </c>
      <c r="M98" s="17">
        <f t="shared" si="54"/>
        <v>3980</v>
      </c>
      <c r="O98" s="17">
        <f t="shared" si="44"/>
        <v>5174</v>
      </c>
      <c r="P98" s="17">
        <f t="shared" si="45"/>
        <v>3980</v>
      </c>
      <c r="Q98" s="18">
        <v>0.22</v>
      </c>
      <c r="R98" s="17">
        <f t="shared" si="46"/>
        <v>4855.6000000000004</v>
      </c>
      <c r="S98" s="19">
        <f t="shared" si="47"/>
        <v>0.18032786885245908</v>
      </c>
      <c r="T98" s="17">
        <f t="shared" si="48"/>
        <v>0</v>
      </c>
      <c r="U98" s="18">
        <v>0.25</v>
      </c>
      <c r="V98" s="17">
        <f t="shared" si="49"/>
        <v>0</v>
      </c>
      <c r="W98" s="18">
        <f t="shared" si="50"/>
        <v>0</v>
      </c>
      <c r="X98" s="17">
        <f t="shared" si="51"/>
        <v>0</v>
      </c>
      <c r="Y98" s="18">
        <v>0.33</v>
      </c>
      <c r="Z98" s="17">
        <f t="shared" si="52"/>
        <v>0</v>
      </c>
      <c r="AA98" s="18">
        <f t="shared" si="53"/>
        <v>0</v>
      </c>
      <c r="AB98" s="18">
        <v>0.1</v>
      </c>
    </row>
    <row r="99" spans="1:28">
      <c r="A99">
        <v>2026</v>
      </c>
      <c r="B99" t="s">
        <v>156</v>
      </c>
      <c r="C99" t="s">
        <v>146</v>
      </c>
      <c r="D99" t="s">
        <v>147</v>
      </c>
      <c r="E99">
        <v>294899</v>
      </c>
      <c r="G99" t="s">
        <v>148</v>
      </c>
      <c r="H99" t="s">
        <v>148</v>
      </c>
      <c r="I99" t="s">
        <v>97</v>
      </c>
      <c r="J99" t="s">
        <v>12</v>
      </c>
      <c r="K99">
        <v>1</v>
      </c>
      <c r="L99">
        <v>43500</v>
      </c>
      <c r="M99" s="17">
        <f t="shared" si="54"/>
        <v>43500</v>
      </c>
      <c r="O99" s="17">
        <f t="shared" si="44"/>
        <v>56550</v>
      </c>
      <c r="P99" s="17">
        <f t="shared" si="45"/>
        <v>43500</v>
      </c>
      <c r="Q99" s="18">
        <v>0.12</v>
      </c>
      <c r="R99" s="17">
        <f t="shared" si="46"/>
        <v>48720</v>
      </c>
      <c r="S99" s="19">
        <f t="shared" si="47"/>
        <v>0.10714285714285714</v>
      </c>
      <c r="T99" s="17">
        <f t="shared" si="48"/>
        <v>0</v>
      </c>
      <c r="U99" s="18">
        <v>0.1</v>
      </c>
      <c r="V99" s="17">
        <f t="shared" si="49"/>
        <v>0</v>
      </c>
      <c r="W99" s="18">
        <f t="shared" si="50"/>
        <v>0</v>
      </c>
      <c r="X99" s="17">
        <f t="shared" si="51"/>
        <v>0</v>
      </c>
      <c r="Y99" s="18">
        <v>0.31</v>
      </c>
      <c r="Z99" s="17">
        <f t="shared" si="52"/>
        <v>0</v>
      </c>
      <c r="AA99" s="18">
        <f t="shared" si="53"/>
        <v>0</v>
      </c>
      <c r="AB99" s="18">
        <v>0.1</v>
      </c>
    </row>
    <row r="100" spans="1:28">
      <c r="A100">
        <v>2026</v>
      </c>
      <c r="B100" t="s">
        <v>156</v>
      </c>
      <c r="C100" t="s">
        <v>146</v>
      </c>
      <c r="D100" t="s">
        <v>147</v>
      </c>
      <c r="E100">
        <v>394590</v>
      </c>
      <c r="G100" t="s">
        <v>148</v>
      </c>
      <c r="H100" t="s">
        <v>148</v>
      </c>
      <c r="I100" t="s">
        <v>105</v>
      </c>
      <c r="J100" t="s">
        <v>166</v>
      </c>
      <c r="K100">
        <v>2</v>
      </c>
      <c r="L100">
        <v>67900</v>
      </c>
      <c r="M100" s="17">
        <f>(L100/10)*2</f>
        <v>13580</v>
      </c>
      <c r="O100" s="17">
        <f t="shared" si="44"/>
        <v>17654</v>
      </c>
      <c r="P100" s="17">
        <f t="shared" si="45"/>
        <v>13580</v>
      </c>
      <c r="Q100" s="18">
        <v>0.15</v>
      </c>
      <c r="R100" s="17">
        <f t="shared" si="46"/>
        <v>15617</v>
      </c>
      <c r="S100" s="19">
        <f t="shared" si="47"/>
        <v>0.13043478260869565</v>
      </c>
      <c r="T100" s="17">
        <f t="shared" si="48"/>
        <v>0</v>
      </c>
      <c r="U100" s="18">
        <v>0.35</v>
      </c>
      <c r="V100" s="17">
        <f t="shared" si="49"/>
        <v>0</v>
      </c>
      <c r="W100" s="18">
        <f t="shared" si="50"/>
        <v>0</v>
      </c>
      <c r="X100" s="17">
        <f t="shared" si="51"/>
        <v>0</v>
      </c>
      <c r="Y100" s="18">
        <v>0.3</v>
      </c>
      <c r="Z100" s="17">
        <f t="shared" si="52"/>
        <v>0</v>
      </c>
      <c r="AA100" s="18">
        <f t="shared" si="53"/>
        <v>0</v>
      </c>
      <c r="AB100" s="18">
        <v>0.1</v>
      </c>
    </row>
    <row r="101" spans="1:28">
      <c r="A101">
        <v>2026</v>
      </c>
      <c r="B101" t="s">
        <v>156</v>
      </c>
      <c r="C101" t="s">
        <v>146</v>
      </c>
      <c r="D101" t="s">
        <v>147</v>
      </c>
      <c r="E101">
        <v>610200</v>
      </c>
      <c r="G101" t="s">
        <v>148</v>
      </c>
      <c r="H101" t="s">
        <v>148</v>
      </c>
      <c r="I101" t="s">
        <v>107</v>
      </c>
      <c r="J101" t="s">
        <v>166</v>
      </c>
      <c r="K101">
        <v>2</v>
      </c>
      <c r="L101">
        <v>50300</v>
      </c>
      <c r="M101" s="17">
        <f>(L101/10)*2</f>
        <v>10060</v>
      </c>
      <c r="O101" s="17">
        <f t="shared" si="44"/>
        <v>13078</v>
      </c>
      <c r="P101" s="17">
        <f t="shared" si="45"/>
        <v>10060</v>
      </c>
      <c r="Q101" s="18">
        <v>0.18</v>
      </c>
      <c r="R101" s="17">
        <f t="shared" si="46"/>
        <v>11870.8</v>
      </c>
      <c r="S101" s="19">
        <f t="shared" si="47"/>
        <v>0.15254237288135589</v>
      </c>
      <c r="T101" s="17">
        <f t="shared" si="48"/>
        <v>0</v>
      </c>
      <c r="U101" s="18">
        <v>0.33</v>
      </c>
      <c r="V101" s="17">
        <f t="shared" si="49"/>
        <v>0</v>
      </c>
      <c r="W101" s="18">
        <f t="shared" si="50"/>
        <v>0</v>
      </c>
      <c r="X101" s="17">
        <f t="shared" si="51"/>
        <v>0</v>
      </c>
      <c r="Y101" s="18">
        <v>0.28000000000000003</v>
      </c>
      <c r="Z101" s="17">
        <f t="shared" si="52"/>
        <v>0</v>
      </c>
      <c r="AA101" s="18">
        <f t="shared" si="53"/>
        <v>0</v>
      </c>
      <c r="AB101" s="18">
        <v>0.1</v>
      </c>
    </row>
    <row r="102" spans="1:28">
      <c r="A102">
        <v>2026</v>
      </c>
      <c r="B102" t="s">
        <v>157</v>
      </c>
      <c r="C102" t="s">
        <v>146</v>
      </c>
      <c r="D102" t="s">
        <v>147</v>
      </c>
      <c r="E102">
        <v>360001</v>
      </c>
      <c r="G102" t="s">
        <v>148</v>
      </c>
      <c r="H102" t="s">
        <v>148</v>
      </c>
      <c r="I102" t="s">
        <v>11</v>
      </c>
      <c r="J102" t="s">
        <v>12</v>
      </c>
      <c r="K102">
        <v>40</v>
      </c>
      <c r="L102">
        <v>893800</v>
      </c>
      <c r="M102" s="17">
        <f>L102/K102</f>
        <v>22345</v>
      </c>
      <c r="O102" s="17">
        <f t="shared" ref="O102:O121" si="55">M102+(M102*30%)</f>
        <v>29048.5</v>
      </c>
      <c r="P102" s="17">
        <f t="shared" ref="P102:P121" si="56">IF(C102="Alta Complejidad",M102,0)</f>
        <v>22345</v>
      </c>
      <c r="Q102" s="18">
        <v>0.15</v>
      </c>
      <c r="R102" s="17">
        <f t="shared" ref="R102:R121" si="57">P102+(P102*Q102)</f>
        <v>25696.75</v>
      </c>
      <c r="S102" s="19">
        <f t="shared" ref="S102:S121" si="58">IFERROR(((R102-P102)/R102),0)</f>
        <v>0.13043478260869565</v>
      </c>
      <c r="T102" s="17">
        <f t="shared" ref="T102:T121" si="59">IF(C102="Mediana Complejidad",M102,0)</f>
        <v>0</v>
      </c>
      <c r="U102" s="18">
        <v>0.3</v>
      </c>
      <c r="V102" s="17">
        <f t="shared" ref="V102:V121" si="60">(T102)+(T102*U102)</f>
        <v>0</v>
      </c>
      <c r="W102" s="18">
        <f t="shared" ref="W102:W121" si="61">IFERROR(((V102-T102)/V102),0)</f>
        <v>0</v>
      </c>
      <c r="X102" s="17">
        <f t="shared" ref="X102:X121" si="62">IF(C102="Baja Complejidad",M102,0)</f>
        <v>0</v>
      </c>
      <c r="Y102" s="18">
        <v>0.3</v>
      </c>
      <c r="Z102" s="17">
        <f t="shared" ref="Z102:Z121" si="63">(X102)+(X102*Y102)</f>
        <v>0</v>
      </c>
      <c r="AA102" s="18">
        <f t="shared" ref="AA102:AA121" si="64">IFERROR(((Z102-X102)/Z102),0)</f>
        <v>0</v>
      </c>
      <c r="AB102" s="18">
        <v>0.1</v>
      </c>
    </row>
    <row r="103" spans="1:28">
      <c r="A103">
        <v>2026</v>
      </c>
      <c r="B103" t="s">
        <v>157</v>
      </c>
      <c r="C103" t="s">
        <v>146</v>
      </c>
      <c r="D103" t="s">
        <v>147</v>
      </c>
      <c r="E103">
        <v>709900</v>
      </c>
      <c r="G103" t="s">
        <v>148</v>
      </c>
      <c r="H103" t="s">
        <v>148</v>
      </c>
      <c r="I103" t="s">
        <v>18</v>
      </c>
      <c r="J103" t="s">
        <v>12</v>
      </c>
      <c r="K103">
        <v>250</v>
      </c>
      <c r="L103">
        <v>80300</v>
      </c>
      <c r="M103" s="17">
        <f t="shared" ref="M103:M119" si="65">L103/K103</f>
        <v>321.2</v>
      </c>
      <c r="O103" s="17">
        <f t="shared" si="55"/>
        <v>417.56</v>
      </c>
      <c r="P103" s="17">
        <f t="shared" si="56"/>
        <v>321.2</v>
      </c>
      <c r="Q103" s="18">
        <v>0.18</v>
      </c>
      <c r="R103" s="17">
        <f t="shared" si="57"/>
        <v>379.01599999999996</v>
      </c>
      <c r="S103" s="19">
        <f t="shared" si="58"/>
        <v>0.15254237288135589</v>
      </c>
      <c r="T103" s="17">
        <f t="shared" si="59"/>
        <v>0</v>
      </c>
      <c r="U103" s="18">
        <v>0.28000000000000003</v>
      </c>
      <c r="V103" s="17">
        <f t="shared" si="60"/>
        <v>0</v>
      </c>
      <c r="W103" s="18">
        <f t="shared" si="61"/>
        <v>0</v>
      </c>
      <c r="X103" s="17">
        <f t="shared" si="62"/>
        <v>0</v>
      </c>
      <c r="Y103" s="18">
        <v>0.28000000000000003</v>
      </c>
      <c r="Z103" s="17">
        <f t="shared" si="63"/>
        <v>0</v>
      </c>
      <c r="AA103" s="18">
        <f t="shared" si="64"/>
        <v>0</v>
      </c>
      <c r="AB103" s="18">
        <v>0.1</v>
      </c>
    </row>
    <row r="104" spans="1:28">
      <c r="A104">
        <v>2026</v>
      </c>
      <c r="B104" t="s">
        <v>157</v>
      </c>
      <c r="C104" t="s">
        <v>146</v>
      </c>
      <c r="D104" t="s">
        <v>147</v>
      </c>
      <c r="E104">
        <v>709902</v>
      </c>
      <c r="G104" t="s">
        <v>148</v>
      </c>
      <c r="H104" t="s">
        <v>148</v>
      </c>
      <c r="I104" t="s">
        <v>26</v>
      </c>
      <c r="J104" t="s">
        <v>22</v>
      </c>
      <c r="K104">
        <v>10</v>
      </c>
      <c r="L104">
        <v>28800</v>
      </c>
      <c r="M104" s="17">
        <f t="shared" si="65"/>
        <v>2880</v>
      </c>
      <c r="O104" s="17">
        <f t="shared" si="55"/>
        <v>3744</v>
      </c>
      <c r="P104" s="17">
        <f t="shared" si="56"/>
        <v>2880</v>
      </c>
      <c r="Q104" s="18">
        <v>0.28999999999999998</v>
      </c>
      <c r="R104" s="17">
        <f t="shared" si="57"/>
        <v>3715.2</v>
      </c>
      <c r="S104" s="19">
        <f t="shared" si="58"/>
        <v>0.22480620155038755</v>
      </c>
      <c r="T104" s="17">
        <f t="shared" si="59"/>
        <v>0</v>
      </c>
      <c r="U104" s="18">
        <v>0.27</v>
      </c>
      <c r="V104" s="17">
        <f t="shared" si="60"/>
        <v>0</v>
      </c>
      <c r="W104" s="18">
        <f t="shared" si="61"/>
        <v>0</v>
      </c>
      <c r="X104" s="17">
        <f t="shared" si="62"/>
        <v>0</v>
      </c>
      <c r="Y104" s="18">
        <v>0.27</v>
      </c>
      <c r="Z104" s="17">
        <f t="shared" si="63"/>
        <v>0</v>
      </c>
      <c r="AA104" s="18">
        <f t="shared" si="64"/>
        <v>0</v>
      </c>
      <c r="AB104" s="18">
        <v>0.1</v>
      </c>
    </row>
    <row r="105" spans="1:28">
      <c r="A105">
        <v>2026</v>
      </c>
      <c r="B105" t="s">
        <v>157</v>
      </c>
      <c r="C105" t="s">
        <v>146</v>
      </c>
      <c r="D105" t="s">
        <v>147</v>
      </c>
      <c r="E105">
        <v>709903</v>
      </c>
      <c r="G105" t="s">
        <v>148</v>
      </c>
      <c r="H105" t="s">
        <v>148</v>
      </c>
      <c r="I105" t="s">
        <v>35</v>
      </c>
      <c r="J105" t="s">
        <v>22</v>
      </c>
      <c r="K105">
        <v>10</v>
      </c>
      <c r="L105">
        <v>36700</v>
      </c>
      <c r="M105" s="17">
        <f t="shared" si="65"/>
        <v>3670</v>
      </c>
      <c r="O105" s="17">
        <f t="shared" si="55"/>
        <v>4771</v>
      </c>
      <c r="P105" s="17">
        <f t="shared" si="56"/>
        <v>3670</v>
      </c>
      <c r="Q105" s="18">
        <v>0.34</v>
      </c>
      <c r="R105" s="17">
        <f t="shared" si="57"/>
        <v>4917.8</v>
      </c>
      <c r="S105" s="19">
        <f t="shared" si="58"/>
        <v>0.2537313432835821</v>
      </c>
      <c r="T105" s="17">
        <f t="shared" si="59"/>
        <v>0</v>
      </c>
      <c r="U105" s="18">
        <v>0.17</v>
      </c>
      <c r="V105" s="17">
        <f t="shared" si="60"/>
        <v>0</v>
      </c>
      <c r="W105" s="18">
        <f t="shared" si="61"/>
        <v>0</v>
      </c>
      <c r="X105" s="17">
        <f t="shared" si="62"/>
        <v>0</v>
      </c>
      <c r="Y105" s="18">
        <v>0.17</v>
      </c>
      <c r="Z105" s="17">
        <f t="shared" si="63"/>
        <v>0</v>
      </c>
      <c r="AA105" s="18">
        <f t="shared" si="64"/>
        <v>0</v>
      </c>
      <c r="AB105" s="18">
        <v>0.1</v>
      </c>
    </row>
    <row r="106" spans="1:28">
      <c r="A106">
        <v>2026</v>
      </c>
      <c r="B106" t="s">
        <v>157</v>
      </c>
      <c r="C106" t="s">
        <v>146</v>
      </c>
      <c r="D106" t="s">
        <v>147</v>
      </c>
      <c r="E106">
        <v>603421</v>
      </c>
      <c r="G106" t="s">
        <v>148</v>
      </c>
      <c r="H106" t="s">
        <v>148</v>
      </c>
      <c r="I106" t="s">
        <v>159</v>
      </c>
      <c r="J106" t="s">
        <v>29</v>
      </c>
      <c r="K106">
        <v>5</v>
      </c>
      <c r="L106">
        <v>28000</v>
      </c>
      <c r="M106" s="17">
        <f t="shared" si="65"/>
        <v>5600</v>
      </c>
      <c r="O106" s="17">
        <f t="shared" si="55"/>
        <v>7280</v>
      </c>
      <c r="P106" s="17">
        <f t="shared" si="56"/>
        <v>5600</v>
      </c>
      <c r="Q106" s="18">
        <v>0.25</v>
      </c>
      <c r="R106" s="17">
        <f t="shared" si="57"/>
        <v>7000</v>
      </c>
      <c r="S106" s="19">
        <f t="shared" si="58"/>
        <v>0.2</v>
      </c>
      <c r="T106" s="17">
        <f t="shared" si="59"/>
        <v>0</v>
      </c>
      <c r="U106" s="18">
        <v>0.22</v>
      </c>
      <c r="V106" s="17">
        <f t="shared" si="60"/>
        <v>0</v>
      </c>
      <c r="W106" s="18">
        <f t="shared" si="61"/>
        <v>0</v>
      </c>
      <c r="X106" s="17">
        <f t="shared" si="62"/>
        <v>0</v>
      </c>
      <c r="Y106" s="18">
        <v>0.22</v>
      </c>
      <c r="Z106" s="17">
        <f t="shared" si="63"/>
        <v>0</v>
      </c>
      <c r="AA106" s="18">
        <f t="shared" si="64"/>
        <v>0</v>
      </c>
      <c r="AB106" s="18">
        <v>0.1</v>
      </c>
    </row>
    <row r="107" spans="1:28">
      <c r="A107">
        <v>2026</v>
      </c>
      <c r="B107" t="s">
        <v>157</v>
      </c>
      <c r="C107" t="s">
        <v>146</v>
      </c>
      <c r="D107" t="s">
        <v>147</v>
      </c>
      <c r="E107">
        <v>603422</v>
      </c>
      <c r="G107" t="s">
        <v>148</v>
      </c>
      <c r="H107" t="s">
        <v>148</v>
      </c>
      <c r="I107" t="s">
        <v>50</v>
      </c>
      <c r="J107" t="s">
        <v>29</v>
      </c>
      <c r="K107">
        <v>5</v>
      </c>
      <c r="L107">
        <v>36700</v>
      </c>
      <c r="M107" s="17">
        <f t="shared" si="65"/>
        <v>7340</v>
      </c>
      <c r="O107" s="17">
        <f t="shared" si="55"/>
        <v>9542</v>
      </c>
      <c r="P107" s="17">
        <f t="shared" si="56"/>
        <v>7340</v>
      </c>
      <c r="Q107" s="18">
        <v>0.35</v>
      </c>
      <c r="R107" s="17">
        <f t="shared" si="57"/>
        <v>9909</v>
      </c>
      <c r="S107" s="19">
        <f t="shared" si="58"/>
        <v>0.25925925925925924</v>
      </c>
      <c r="T107" s="17">
        <f t="shared" si="59"/>
        <v>0</v>
      </c>
      <c r="U107" s="18">
        <v>0.12</v>
      </c>
      <c r="V107" s="17">
        <f t="shared" si="60"/>
        <v>0</v>
      </c>
      <c r="W107" s="18">
        <f t="shared" si="61"/>
        <v>0</v>
      </c>
      <c r="X107" s="17">
        <f t="shared" si="62"/>
        <v>0</v>
      </c>
      <c r="Y107" s="18">
        <v>0.12</v>
      </c>
      <c r="Z107" s="17">
        <f t="shared" si="63"/>
        <v>0</v>
      </c>
      <c r="AA107" s="18">
        <f t="shared" si="64"/>
        <v>0</v>
      </c>
      <c r="AB107" s="18">
        <v>0.1</v>
      </c>
    </row>
    <row r="108" spans="1:28">
      <c r="A108">
        <v>2026</v>
      </c>
      <c r="B108" t="s">
        <v>157</v>
      </c>
      <c r="C108" t="s">
        <v>146</v>
      </c>
      <c r="D108" t="s">
        <v>147</v>
      </c>
      <c r="E108">
        <v>603423</v>
      </c>
      <c r="G108" t="s">
        <v>148</v>
      </c>
      <c r="H108" t="s">
        <v>148</v>
      </c>
      <c r="I108" t="s">
        <v>59</v>
      </c>
      <c r="J108" t="s">
        <v>29</v>
      </c>
      <c r="K108">
        <v>5</v>
      </c>
      <c r="L108">
        <v>21900</v>
      </c>
      <c r="M108" s="17">
        <f t="shared" si="65"/>
        <v>4380</v>
      </c>
      <c r="O108" s="17">
        <f t="shared" si="55"/>
        <v>5694</v>
      </c>
      <c r="P108" s="17">
        <f t="shared" si="56"/>
        <v>4380</v>
      </c>
      <c r="Q108" s="18">
        <v>0.12</v>
      </c>
      <c r="R108" s="17">
        <f t="shared" si="57"/>
        <v>4905.6000000000004</v>
      </c>
      <c r="S108" s="19">
        <f t="shared" si="58"/>
        <v>0.10714285714285721</v>
      </c>
      <c r="T108" s="17">
        <f t="shared" si="59"/>
        <v>0</v>
      </c>
      <c r="U108" s="18">
        <v>0.15</v>
      </c>
      <c r="V108" s="17">
        <f t="shared" si="60"/>
        <v>0</v>
      </c>
      <c r="W108" s="18">
        <f t="shared" si="61"/>
        <v>0</v>
      </c>
      <c r="X108" s="17">
        <f t="shared" si="62"/>
        <v>0</v>
      </c>
      <c r="Y108" s="18">
        <v>0.15</v>
      </c>
      <c r="Z108" s="17">
        <f t="shared" si="63"/>
        <v>0</v>
      </c>
      <c r="AA108" s="18">
        <f t="shared" si="64"/>
        <v>0</v>
      </c>
      <c r="AB108" s="18">
        <v>0.1</v>
      </c>
    </row>
    <row r="109" spans="1:28">
      <c r="A109">
        <v>2026</v>
      </c>
      <c r="B109" t="s">
        <v>157</v>
      </c>
      <c r="C109" t="s">
        <v>146</v>
      </c>
      <c r="D109" t="s">
        <v>147</v>
      </c>
      <c r="E109">
        <v>294199</v>
      </c>
      <c r="G109" t="s">
        <v>148</v>
      </c>
      <c r="H109" t="s">
        <v>148</v>
      </c>
      <c r="I109" t="s">
        <v>67</v>
      </c>
      <c r="J109" t="s">
        <v>29</v>
      </c>
      <c r="K109">
        <v>5</v>
      </c>
      <c r="L109">
        <v>114900</v>
      </c>
      <c r="M109" s="17">
        <f t="shared" si="65"/>
        <v>22980</v>
      </c>
      <c r="O109" s="17">
        <f t="shared" si="55"/>
        <v>29874</v>
      </c>
      <c r="P109" s="17">
        <f t="shared" si="56"/>
        <v>22980</v>
      </c>
      <c r="Q109" s="18">
        <v>0.25</v>
      </c>
      <c r="R109" s="17">
        <f t="shared" si="57"/>
        <v>28725</v>
      </c>
      <c r="S109" s="19">
        <f t="shared" si="58"/>
        <v>0.2</v>
      </c>
      <c r="T109" s="17">
        <f t="shared" si="59"/>
        <v>0</v>
      </c>
      <c r="U109" s="18">
        <v>0.18</v>
      </c>
      <c r="V109" s="17">
        <f t="shared" si="60"/>
        <v>0</v>
      </c>
      <c r="W109" s="18">
        <f t="shared" si="61"/>
        <v>0</v>
      </c>
      <c r="X109" s="17">
        <f t="shared" si="62"/>
        <v>0</v>
      </c>
      <c r="Y109" s="18">
        <v>0.18</v>
      </c>
      <c r="Z109" s="17">
        <f t="shared" si="63"/>
        <v>0</v>
      </c>
      <c r="AA109" s="18">
        <f t="shared" si="64"/>
        <v>0</v>
      </c>
      <c r="AB109" s="18">
        <v>0.1</v>
      </c>
    </row>
    <row r="110" spans="1:28">
      <c r="A110">
        <v>2026</v>
      </c>
      <c r="B110" t="s">
        <v>157</v>
      </c>
      <c r="C110" t="s">
        <v>146</v>
      </c>
      <c r="D110" t="s">
        <v>147</v>
      </c>
      <c r="E110">
        <v>294299</v>
      </c>
      <c r="G110" t="s">
        <v>148</v>
      </c>
      <c r="H110" t="s">
        <v>148</v>
      </c>
      <c r="I110" t="s">
        <v>160</v>
      </c>
      <c r="J110" t="s">
        <v>29</v>
      </c>
      <c r="K110">
        <v>5</v>
      </c>
      <c r="L110">
        <v>28000</v>
      </c>
      <c r="M110" s="17">
        <f t="shared" si="65"/>
        <v>5600</v>
      </c>
      <c r="O110" s="17">
        <f t="shared" si="55"/>
        <v>7280</v>
      </c>
      <c r="P110" s="17">
        <f t="shared" si="56"/>
        <v>5600</v>
      </c>
      <c r="Q110" s="18">
        <v>0.1</v>
      </c>
      <c r="R110" s="17">
        <f t="shared" si="57"/>
        <v>6160</v>
      </c>
      <c r="S110" s="19">
        <f t="shared" si="58"/>
        <v>9.0909090909090912E-2</v>
      </c>
      <c r="T110" s="17">
        <f t="shared" si="59"/>
        <v>0</v>
      </c>
      <c r="U110" s="18">
        <v>0.28999999999999998</v>
      </c>
      <c r="V110" s="17">
        <f t="shared" si="60"/>
        <v>0</v>
      </c>
      <c r="W110" s="18">
        <f t="shared" si="61"/>
        <v>0</v>
      </c>
      <c r="X110" s="17">
        <f t="shared" si="62"/>
        <v>0</v>
      </c>
      <c r="Y110" s="18">
        <v>0.28999999999999998</v>
      </c>
      <c r="Z110" s="17">
        <f t="shared" si="63"/>
        <v>0</v>
      </c>
      <c r="AA110" s="18">
        <f t="shared" si="64"/>
        <v>0</v>
      </c>
      <c r="AB110" s="18">
        <v>0.1</v>
      </c>
    </row>
    <row r="111" spans="1:28">
      <c r="A111">
        <v>2026</v>
      </c>
      <c r="B111" t="s">
        <v>157</v>
      </c>
      <c r="C111" t="s">
        <v>146</v>
      </c>
      <c r="D111" t="s">
        <v>147</v>
      </c>
      <c r="E111">
        <v>294399</v>
      </c>
      <c r="G111" t="s">
        <v>148</v>
      </c>
      <c r="H111" t="s">
        <v>148</v>
      </c>
      <c r="I111" t="s">
        <v>161</v>
      </c>
      <c r="J111" t="s">
        <v>29</v>
      </c>
      <c r="K111">
        <v>5</v>
      </c>
      <c r="L111">
        <v>49200</v>
      </c>
      <c r="M111" s="17">
        <f t="shared" si="65"/>
        <v>9840</v>
      </c>
      <c r="O111" s="17">
        <f t="shared" si="55"/>
        <v>12792</v>
      </c>
      <c r="P111" s="17">
        <f t="shared" si="56"/>
        <v>9840</v>
      </c>
      <c r="Q111" s="18">
        <v>0.35</v>
      </c>
      <c r="R111" s="17">
        <f t="shared" si="57"/>
        <v>13284</v>
      </c>
      <c r="S111" s="19">
        <f t="shared" si="58"/>
        <v>0.25925925925925924</v>
      </c>
      <c r="T111" s="17">
        <f t="shared" si="59"/>
        <v>0</v>
      </c>
      <c r="U111" s="18">
        <v>0.34</v>
      </c>
      <c r="V111" s="17">
        <f t="shared" si="60"/>
        <v>0</v>
      </c>
      <c r="W111" s="18">
        <f t="shared" si="61"/>
        <v>0</v>
      </c>
      <c r="X111" s="17">
        <f t="shared" si="62"/>
        <v>0</v>
      </c>
      <c r="Y111" s="18">
        <v>0.34</v>
      </c>
      <c r="Z111" s="17">
        <f t="shared" si="63"/>
        <v>0</v>
      </c>
      <c r="AA111" s="18">
        <f t="shared" si="64"/>
        <v>0</v>
      </c>
      <c r="AB111" s="18">
        <v>0.1</v>
      </c>
    </row>
    <row r="112" spans="1:28">
      <c r="A112">
        <v>2026</v>
      </c>
      <c r="B112" t="s">
        <v>157</v>
      </c>
      <c r="C112" t="s">
        <v>146</v>
      </c>
      <c r="D112" t="s">
        <v>147</v>
      </c>
      <c r="E112">
        <v>294499</v>
      </c>
      <c r="G112" t="s">
        <v>148</v>
      </c>
      <c r="H112" t="s">
        <v>148</v>
      </c>
      <c r="I112" t="s">
        <v>162</v>
      </c>
      <c r="J112" t="s">
        <v>29</v>
      </c>
      <c r="K112">
        <v>5</v>
      </c>
      <c r="L112">
        <v>141600</v>
      </c>
      <c r="M112" s="17">
        <f t="shared" si="65"/>
        <v>28320</v>
      </c>
      <c r="O112" s="17">
        <f t="shared" si="55"/>
        <v>36816</v>
      </c>
      <c r="P112" s="17">
        <f t="shared" si="56"/>
        <v>28320</v>
      </c>
      <c r="Q112" s="18">
        <v>0.33</v>
      </c>
      <c r="R112" s="17">
        <f t="shared" si="57"/>
        <v>37665.599999999999</v>
      </c>
      <c r="S112" s="19">
        <f t="shared" si="58"/>
        <v>0.24812030075187966</v>
      </c>
      <c r="T112" s="17">
        <f t="shared" si="59"/>
        <v>0</v>
      </c>
      <c r="U112" s="18">
        <v>0.25</v>
      </c>
      <c r="V112" s="17">
        <f t="shared" si="60"/>
        <v>0</v>
      </c>
      <c r="W112" s="18">
        <f t="shared" si="61"/>
        <v>0</v>
      </c>
      <c r="X112" s="17">
        <f t="shared" si="62"/>
        <v>0</v>
      </c>
      <c r="Y112" s="18">
        <v>0.25</v>
      </c>
      <c r="Z112" s="17">
        <f t="shared" si="63"/>
        <v>0</v>
      </c>
      <c r="AA112" s="18">
        <f t="shared" si="64"/>
        <v>0</v>
      </c>
      <c r="AB112" s="18">
        <v>0.1</v>
      </c>
    </row>
    <row r="113" spans="1:28">
      <c r="A113">
        <v>2026</v>
      </c>
      <c r="B113" t="s">
        <v>157</v>
      </c>
      <c r="C113" t="s">
        <v>146</v>
      </c>
      <c r="D113" t="s">
        <v>147</v>
      </c>
      <c r="E113">
        <v>284190</v>
      </c>
      <c r="G113" t="s">
        <v>148</v>
      </c>
      <c r="H113" t="s">
        <v>148</v>
      </c>
      <c r="I113" t="s">
        <v>163</v>
      </c>
      <c r="J113" t="s">
        <v>29</v>
      </c>
      <c r="K113">
        <v>5</v>
      </c>
      <c r="L113">
        <v>174700</v>
      </c>
      <c r="M113" s="17">
        <f t="shared" si="65"/>
        <v>34940</v>
      </c>
      <c r="O113" s="17">
        <f t="shared" si="55"/>
        <v>45422</v>
      </c>
      <c r="P113" s="17">
        <f t="shared" si="56"/>
        <v>34940</v>
      </c>
      <c r="Q113" s="18">
        <v>0.31</v>
      </c>
      <c r="R113" s="17">
        <f t="shared" si="57"/>
        <v>45771.4</v>
      </c>
      <c r="S113" s="19">
        <f t="shared" si="58"/>
        <v>0.23664122137404583</v>
      </c>
      <c r="T113" s="17">
        <f t="shared" si="59"/>
        <v>0</v>
      </c>
      <c r="U113" s="18">
        <v>0.09</v>
      </c>
      <c r="V113" s="17">
        <f t="shared" si="60"/>
        <v>0</v>
      </c>
      <c r="W113" s="18">
        <f t="shared" si="61"/>
        <v>0</v>
      </c>
      <c r="X113" s="17">
        <f t="shared" si="62"/>
        <v>0</v>
      </c>
      <c r="Y113" s="18">
        <v>0.35</v>
      </c>
      <c r="Z113" s="17">
        <f t="shared" si="63"/>
        <v>0</v>
      </c>
      <c r="AA113" s="18">
        <f t="shared" si="64"/>
        <v>0</v>
      </c>
      <c r="AB113" s="18">
        <v>0.1</v>
      </c>
    </row>
    <row r="114" spans="1:28">
      <c r="A114">
        <v>2026</v>
      </c>
      <c r="B114" t="s">
        <v>157</v>
      </c>
      <c r="C114" t="s">
        <v>146</v>
      </c>
      <c r="D114" t="s">
        <v>147</v>
      </c>
      <c r="E114">
        <v>284390</v>
      </c>
      <c r="G114" t="s">
        <v>148</v>
      </c>
      <c r="H114" t="s">
        <v>148</v>
      </c>
      <c r="I114" t="s">
        <v>164</v>
      </c>
      <c r="J114" t="s">
        <v>29</v>
      </c>
      <c r="K114">
        <v>5</v>
      </c>
      <c r="L114">
        <v>204000</v>
      </c>
      <c r="M114" s="17">
        <f t="shared" si="65"/>
        <v>40800</v>
      </c>
      <c r="O114" s="17">
        <f t="shared" si="55"/>
        <v>53040</v>
      </c>
      <c r="P114" s="17">
        <f t="shared" si="56"/>
        <v>40800</v>
      </c>
      <c r="Q114" s="18">
        <v>0.3</v>
      </c>
      <c r="R114" s="17">
        <f t="shared" si="57"/>
        <v>53040</v>
      </c>
      <c r="S114" s="19">
        <f t="shared" si="58"/>
        <v>0.23076923076923078</v>
      </c>
      <c r="T114" s="17">
        <f t="shared" si="59"/>
        <v>0</v>
      </c>
      <c r="U114" s="18">
        <v>0.08</v>
      </c>
      <c r="V114" s="17">
        <f t="shared" si="60"/>
        <v>0</v>
      </c>
      <c r="W114" s="18">
        <f t="shared" si="61"/>
        <v>0</v>
      </c>
      <c r="X114" s="17">
        <f t="shared" si="62"/>
        <v>0</v>
      </c>
      <c r="Y114" s="18">
        <v>0.12</v>
      </c>
      <c r="Z114" s="17">
        <f t="shared" si="63"/>
        <v>0</v>
      </c>
      <c r="AA114" s="18">
        <f t="shared" si="64"/>
        <v>0</v>
      </c>
      <c r="AB114" s="18">
        <v>0.1</v>
      </c>
    </row>
    <row r="115" spans="1:28">
      <c r="A115">
        <v>2026</v>
      </c>
      <c r="B115" t="s">
        <v>157</v>
      </c>
      <c r="C115" t="s">
        <v>146</v>
      </c>
      <c r="D115" t="s">
        <v>147</v>
      </c>
      <c r="E115">
        <v>287100</v>
      </c>
      <c r="G115" t="s">
        <v>148</v>
      </c>
      <c r="H115" t="s">
        <v>148</v>
      </c>
      <c r="I115" t="s">
        <v>74</v>
      </c>
      <c r="J115" t="s">
        <v>29</v>
      </c>
      <c r="K115">
        <v>5</v>
      </c>
      <c r="L115">
        <v>49000</v>
      </c>
      <c r="M115" s="17">
        <f t="shared" si="65"/>
        <v>9800</v>
      </c>
      <c r="O115" s="17">
        <f t="shared" si="55"/>
        <v>12740</v>
      </c>
      <c r="P115" s="17">
        <f t="shared" si="56"/>
        <v>9800</v>
      </c>
      <c r="Q115" s="18">
        <v>0.28000000000000003</v>
      </c>
      <c r="R115" s="17">
        <f t="shared" si="57"/>
        <v>12544</v>
      </c>
      <c r="S115" s="19">
        <f t="shared" si="58"/>
        <v>0.21875</v>
      </c>
      <c r="T115" s="17">
        <f t="shared" si="59"/>
        <v>0</v>
      </c>
      <c r="U115" s="18">
        <v>0.06</v>
      </c>
      <c r="V115" s="17">
        <f t="shared" si="60"/>
        <v>0</v>
      </c>
      <c r="W115" s="18">
        <f t="shared" si="61"/>
        <v>0</v>
      </c>
      <c r="X115" s="17">
        <f t="shared" si="62"/>
        <v>0</v>
      </c>
      <c r="Y115" s="18">
        <v>0.25</v>
      </c>
      <c r="Z115" s="17">
        <f t="shared" si="63"/>
        <v>0</v>
      </c>
      <c r="AA115" s="18">
        <f t="shared" si="64"/>
        <v>0</v>
      </c>
      <c r="AB115" s="18">
        <v>0.1</v>
      </c>
    </row>
    <row r="116" spans="1:28">
      <c r="A116">
        <v>2026</v>
      </c>
      <c r="B116" t="s">
        <v>157</v>
      </c>
      <c r="C116" t="s">
        <v>146</v>
      </c>
      <c r="D116" t="s">
        <v>147</v>
      </c>
      <c r="E116">
        <v>287200</v>
      </c>
      <c r="G116" t="s">
        <v>148</v>
      </c>
      <c r="H116" t="s">
        <v>148</v>
      </c>
      <c r="I116" t="s">
        <v>165</v>
      </c>
      <c r="J116" t="s">
        <v>22</v>
      </c>
      <c r="K116">
        <v>10</v>
      </c>
      <c r="L116">
        <v>224100</v>
      </c>
      <c r="M116" s="17">
        <f t="shared" si="65"/>
        <v>22410</v>
      </c>
      <c r="O116" s="17">
        <f t="shared" si="55"/>
        <v>29133</v>
      </c>
      <c r="P116" s="17">
        <f t="shared" si="56"/>
        <v>22410</v>
      </c>
      <c r="Q116" s="18">
        <v>0.27</v>
      </c>
      <c r="R116" s="17">
        <f t="shared" si="57"/>
        <v>28460.7</v>
      </c>
      <c r="S116" s="19">
        <f t="shared" si="58"/>
        <v>0.2125984251968504</v>
      </c>
      <c r="T116" s="17">
        <f t="shared" si="59"/>
        <v>0</v>
      </c>
      <c r="U116" s="18">
        <v>0.35</v>
      </c>
      <c r="V116" s="17">
        <f t="shared" si="60"/>
        <v>0</v>
      </c>
      <c r="W116" s="18">
        <f t="shared" si="61"/>
        <v>0</v>
      </c>
      <c r="X116" s="17">
        <f t="shared" si="62"/>
        <v>0</v>
      </c>
      <c r="Y116" s="18">
        <v>0.1</v>
      </c>
      <c r="Z116" s="17">
        <f t="shared" si="63"/>
        <v>0</v>
      </c>
      <c r="AA116" s="18">
        <f t="shared" si="64"/>
        <v>0</v>
      </c>
      <c r="AB116" s="18">
        <v>0.1</v>
      </c>
    </row>
    <row r="117" spans="1:28">
      <c r="A117">
        <v>2026</v>
      </c>
      <c r="B117" t="s">
        <v>157</v>
      </c>
      <c r="C117" t="s">
        <v>146</v>
      </c>
      <c r="D117" t="s">
        <v>147</v>
      </c>
      <c r="E117">
        <v>287300</v>
      </c>
      <c r="G117" t="s">
        <v>148</v>
      </c>
      <c r="H117" t="s">
        <v>148</v>
      </c>
      <c r="I117" t="s">
        <v>81</v>
      </c>
      <c r="J117" t="s">
        <v>22</v>
      </c>
      <c r="K117">
        <v>10</v>
      </c>
      <c r="L117">
        <v>38000</v>
      </c>
      <c r="M117" s="17">
        <f t="shared" si="65"/>
        <v>3800</v>
      </c>
      <c r="O117" s="17">
        <f t="shared" si="55"/>
        <v>4940</v>
      </c>
      <c r="P117" s="17">
        <f t="shared" si="56"/>
        <v>3800</v>
      </c>
      <c r="Q117" s="18">
        <v>0.17</v>
      </c>
      <c r="R117" s="17">
        <f t="shared" si="57"/>
        <v>4446</v>
      </c>
      <c r="S117" s="19">
        <f t="shared" si="58"/>
        <v>0.14529914529914531</v>
      </c>
      <c r="T117" s="17">
        <f t="shared" si="59"/>
        <v>0</v>
      </c>
      <c r="U117" s="18">
        <v>0.12</v>
      </c>
      <c r="V117" s="17">
        <f t="shared" si="60"/>
        <v>0</v>
      </c>
      <c r="W117" s="18">
        <f t="shared" si="61"/>
        <v>0</v>
      </c>
      <c r="X117" s="17">
        <f t="shared" si="62"/>
        <v>0</v>
      </c>
      <c r="Y117" s="18">
        <v>0.35</v>
      </c>
      <c r="Z117" s="17">
        <f t="shared" si="63"/>
        <v>0</v>
      </c>
      <c r="AA117" s="18">
        <f t="shared" si="64"/>
        <v>0</v>
      </c>
      <c r="AB117" s="18">
        <v>0.1</v>
      </c>
    </row>
    <row r="118" spans="1:28">
      <c r="A118">
        <v>2026</v>
      </c>
      <c r="B118" t="s">
        <v>157</v>
      </c>
      <c r="C118" t="s">
        <v>146</v>
      </c>
      <c r="D118" t="s">
        <v>147</v>
      </c>
      <c r="E118">
        <v>287400</v>
      </c>
      <c r="G118" t="s">
        <v>148</v>
      </c>
      <c r="H118" t="s">
        <v>148</v>
      </c>
      <c r="I118" t="s">
        <v>83</v>
      </c>
      <c r="J118" t="s">
        <v>22</v>
      </c>
      <c r="K118">
        <v>10</v>
      </c>
      <c r="L118">
        <v>39800</v>
      </c>
      <c r="M118" s="17">
        <f t="shared" si="65"/>
        <v>3980</v>
      </c>
      <c r="O118" s="17">
        <f t="shared" si="55"/>
        <v>5174</v>
      </c>
      <c r="P118" s="17">
        <f t="shared" si="56"/>
        <v>3980</v>
      </c>
      <c r="Q118" s="18">
        <v>0.22</v>
      </c>
      <c r="R118" s="17">
        <f t="shared" si="57"/>
        <v>4855.6000000000004</v>
      </c>
      <c r="S118" s="19">
        <f t="shared" si="58"/>
        <v>0.18032786885245908</v>
      </c>
      <c r="T118" s="17">
        <f t="shared" si="59"/>
        <v>0</v>
      </c>
      <c r="U118" s="18">
        <v>0.25</v>
      </c>
      <c r="V118" s="17">
        <f t="shared" si="60"/>
        <v>0</v>
      </c>
      <c r="W118" s="18">
        <f t="shared" si="61"/>
        <v>0</v>
      </c>
      <c r="X118" s="17">
        <f t="shared" si="62"/>
        <v>0</v>
      </c>
      <c r="Y118" s="18">
        <v>0.33</v>
      </c>
      <c r="Z118" s="17">
        <f t="shared" si="63"/>
        <v>0</v>
      </c>
      <c r="AA118" s="18">
        <f t="shared" si="64"/>
        <v>0</v>
      </c>
      <c r="AB118" s="18">
        <v>0.1</v>
      </c>
    </row>
    <row r="119" spans="1:28">
      <c r="A119">
        <v>2026</v>
      </c>
      <c r="B119" t="s">
        <v>157</v>
      </c>
      <c r="C119" t="s">
        <v>146</v>
      </c>
      <c r="D119" t="s">
        <v>147</v>
      </c>
      <c r="E119">
        <v>294899</v>
      </c>
      <c r="G119" t="s">
        <v>148</v>
      </c>
      <c r="H119" t="s">
        <v>148</v>
      </c>
      <c r="I119" t="s">
        <v>97</v>
      </c>
      <c r="J119" t="s">
        <v>12</v>
      </c>
      <c r="K119">
        <v>1</v>
      </c>
      <c r="L119">
        <v>43500</v>
      </c>
      <c r="M119" s="17">
        <f t="shared" si="65"/>
        <v>43500</v>
      </c>
      <c r="O119" s="17">
        <f t="shared" si="55"/>
        <v>56550</v>
      </c>
      <c r="P119" s="17">
        <f t="shared" si="56"/>
        <v>43500</v>
      </c>
      <c r="Q119" s="18">
        <v>0.12</v>
      </c>
      <c r="R119" s="17">
        <f t="shared" si="57"/>
        <v>48720</v>
      </c>
      <c r="S119" s="19">
        <f t="shared" si="58"/>
        <v>0.10714285714285714</v>
      </c>
      <c r="T119" s="17">
        <f t="shared" si="59"/>
        <v>0</v>
      </c>
      <c r="U119" s="18">
        <v>0.1</v>
      </c>
      <c r="V119" s="17">
        <f t="shared" si="60"/>
        <v>0</v>
      </c>
      <c r="W119" s="18">
        <f t="shared" si="61"/>
        <v>0</v>
      </c>
      <c r="X119" s="17">
        <f t="shared" si="62"/>
        <v>0</v>
      </c>
      <c r="Y119" s="18">
        <v>0.31</v>
      </c>
      <c r="Z119" s="17">
        <f t="shared" si="63"/>
        <v>0</v>
      </c>
      <c r="AA119" s="18">
        <f t="shared" si="64"/>
        <v>0</v>
      </c>
      <c r="AB119" s="18">
        <v>0.1</v>
      </c>
    </row>
    <row r="120" spans="1:28">
      <c r="A120">
        <v>2026</v>
      </c>
      <c r="B120" t="s">
        <v>157</v>
      </c>
      <c r="C120" t="s">
        <v>146</v>
      </c>
      <c r="D120" t="s">
        <v>147</v>
      </c>
      <c r="E120">
        <v>394590</v>
      </c>
      <c r="G120" t="s">
        <v>148</v>
      </c>
      <c r="H120" t="s">
        <v>148</v>
      </c>
      <c r="I120" t="s">
        <v>105</v>
      </c>
      <c r="J120" t="s">
        <v>166</v>
      </c>
      <c r="K120">
        <v>2</v>
      </c>
      <c r="L120">
        <v>67900</v>
      </c>
      <c r="M120" s="17">
        <f>(L120/10)*2</f>
        <v>13580</v>
      </c>
      <c r="O120" s="17">
        <f t="shared" si="55"/>
        <v>17654</v>
      </c>
      <c r="P120" s="17">
        <f t="shared" si="56"/>
        <v>13580</v>
      </c>
      <c r="Q120" s="18">
        <v>0.15</v>
      </c>
      <c r="R120" s="17">
        <f t="shared" si="57"/>
        <v>15617</v>
      </c>
      <c r="S120" s="19">
        <f t="shared" si="58"/>
        <v>0.13043478260869565</v>
      </c>
      <c r="T120" s="17">
        <f t="shared" si="59"/>
        <v>0</v>
      </c>
      <c r="U120" s="18">
        <v>0.35</v>
      </c>
      <c r="V120" s="17">
        <f t="shared" si="60"/>
        <v>0</v>
      </c>
      <c r="W120" s="18">
        <f t="shared" si="61"/>
        <v>0</v>
      </c>
      <c r="X120" s="17">
        <f t="shared" si="62"/>
        <v>0</v>
      </c>
      <c r="Y120" s="18">
        <v>0.3</v>
      </c>
      <c r="Z120" s="17">
        <f t="shared" si="63"/>
        <v>0</v>
      </c>
      <c r="AA120" s="18">
        <f t="shared" si="64"/>
        <v>0</v>
      </c>
      <c r="AB120" s="18">
        <v>0.1</v>
      </c>
    </row>
    <row r="121" spans="1:28">
      <c r="A121">
        <v>2026</v>
      </c>
      <c r="B121" t="s">
        <v>157</v>
      </c>
      <c r="C121" t="s">
        <v>146</v>
      </c>
      <c r="D121" t="s">
        <v>147</v>
      </c>
      <c r="E121">
        <v>610200</v>
      </c>
      <c r="G121" t="s">
        <v>148</v>
      </c>
      <c r="H121" t="s">
        <v>148</v>
      </c>
      <c r="I121" t="s">
        <v>107</v>
      </c>
      <c r="J121" t="s">
        <v>166</v>
      </c>
      <c r="K121">
        <v>2</v>
      </c>
      <c r="L121">
        <v>50300</v>
      </c>
      <c r="M121" s="17">
        <f>(L121/10)*2</f>
        <v>10060</v>
      </c>
      <c r="O121" s="17">
        <f t="shared" si="55"/>
        <v>13078</v>
      </c>
      <c r="P121" s="17">
        <f t="shared" si="56"/>
        <v>10060</v>
      </c>
      <c r="Q121" s="18">
        <v>0.18</v>
      </c>
      <c r="R121" s="17">
        <f t="shared" si="57"/>
        <v>11870.8</v>
      </c>
      <c r="S121" s="19">
        <f t="shared" si="58"/>
        <v>0.15254237288135589</v>
      </c>
      <c r="T121" s="17">
        <f t="shared" si="59"/>
        <v>0</v>
      </c>
      <c r="U121" s="18">
        <v>0.33</v>
      </c>
      <c r="V121" s="17">
        <f t="shared" si="60"/>
        <v>0</v>
      </c>
      <c r="W121" s="18">
        <f t="shared" si="61"/>
        <v>0</v>
      </c>
      <c r="X121" s="17">
        <f t="shared" si="62"/>
        <v>0</v>
      </c>
      <c r="Y121" s="18">
        <v>0.28000000000000003</v>
      </c>
      <c r="Z121" s="17">
        <f t="shared" si="63"/>
        <v>0</v>
      </c>
      <c r="AA121" s="18">
        <f t="shared" si="64"/>
        <v>0</v>
      </c>
      <c r="AB121" s="18">
        <v>0.1</v>
      </c>
    </row>
    <row r="122" spans="1:28">
      <c r="A122">
        <v>2026</v>
      </c>
      <c r="B122" t="s">
        <v>158</v>
      </c>
      <c r="C122" t="s">
        <v>146</v>
      </c>
      <c r="D122" t="s">
        <v>147</v>
      </c>
      <c r="E122">
        <v>360001</v>
      </c>
      <c r="G122" t="s">
        <v>148</v>
      </c>
      <c r="H122" t="s">
        <v>148</v>
      </c>
      <c r="I122" t="s">
        <v>11</v>
      </c>
      <c r="J122" t="s">
        <v>12</v>
      </c>
      <c r="K122">
        <v>40</v>
      </c>
      <c r="L122">
        <v>893800</v>
      </c>
      <c r="M122" s="17">
        <f>L122/K122</f>
        <v>22345</v>
      </c>
      <c r="O122" s="17">
        <f t="shared" ref="O122:O141" si="66">M122+(M122*30%)</f>
        <v>29048.5</v>
      </c>
      <c r="P122" s="17">
        <f t="shared" ref="P122:P141" si="67">IF(C122="Alta Complejidad",M122,0)</f>
        <v>22345</v>
      </c>
      <c r="Q122" s="18">
        <v>0.15</v>
      </c>
      <c r="R122" s="17">
        <f t="shared" ref="R122:R141" si="68">P122+(P122*Q122)</f>
        <v>25696.75</v>
      </c>
      <c r="S122" s="19">
        <f t="shared" ref="S122:S141" si="69">IFERROR(((R122-P122)/R122),0)</f>
        <v>0.13043478260869565</v>
      </c>
      <c r="T122" s="17">
        <f t="shared" ref="T122:T141" si="70">IF(C122="Mediana Complejidad",M122,0)</f>
        <v>0</v>
      </c>
      <c r="U122" s="18">
        <v>0.3</v>
      </c>
      <c r="V122" s="17">
        <f t="shared" ref="V122:V141" si="71">(T122)+(T122*U122)</f>
        <v>0</v>
      </c>
      <c r="W122" s="18">
        <f t="shared" ref="W122:W141" si="72">IFERROR(((V122-T122)/V122),0)</f>
        <v>0</v>
      </c>
      <c r="X122" s="17">
        <f t="shared" ref="X122:X141" si="73">IF(C122="Baja Complejidad",M122,0)</f>
        <v>0</v>
      </c>
      <c r="Y122" s="18">
        <v>0.3</v>
      </c>
      <c r="Z122" s="17">
        <f t="shared" ref="Z122:Z141" si="74">(X122)+(X122*Y122)</f>
        <v>0</v>
      </c>
      <c r="AA122" s="18">
        <f t="shared" ref="AA122:AA141" si="75">IFERROR(((Z122-X122)/Z122),0)</f>
        <v>0</v>
      </c>
      <c r="AB122" s="18">
        <v>0.1</v>
      </c>
    </row>
    <row r="123" spans="1:28">
      <c r="A123">
        <v>2026</v>
      </c>
      <c r="B123" t="s">
        <v>158</v>
      </c>
      <c r="C123" t="s">
        <v>146</v>
      </c>
      <c r="D123" t="s">
        <v>147</v>
      </c>
      <c r="E123">
        <v>709900</v>
      </c>
      <c r="G123" t="s">
        <v>148</v>
      </c>
      <c r="H123" t="s">
        <v>148</v>
      </c>
      <c r="I123" t="s">
        <v>18</v>
      </c>
      <c r="J123" t="s">
        <v>12</v>
      </c>
      <c r="K123">
        <v>250</v>
      </c>
      <c r="L123">
        <v>80300</v>
      </c>
      <c r="M123" s="17">
        <f t="shared" ref="M123:M139" si="76">L123/K123</f>
        <v>321.2</v>
      </c>
      <c r="O123" s="17">
        <f t="shared" si="66"/>
        <v>417.56</v>
      </c>
      <c r="P123" s="17">
        <f t="shared" si="67"/>
        <v>321.2</v>
      </c>
      <c r="Q123" s="18">
        <v>0.18</v>
      </c>
      <c r="R123" s="17">
        <f t="shared" si="68"/>
        <v>379.01599999999996</v>
      </c>
      <c r="S123" s="19">
        <f t="shared" si="69"/>
        <v>0.15254237288135589</v>
      </c>
      <c r="T123" s="17">
        <f t="shared" si="70"/>
        <v>0</v>
      </c>
      <c r="U123" s="18">
        <v>0.28000000000000003</v>
      </c>
      <c r="V123" s="17">
        <f t="shared" si="71"/>
        <v>0</v>
      </c>
      <c r="W123" s="18">
        <f t="shared" si="72"/>
        <v>0</v>
      </c>
      <c r="X123" s="17">
        <f t="shared" si="73"/>
        <v>0</v>
      </c>
      <c r="Y123" s="18">
        <v>0.28000000000000003</v>
      </c>
      <c r="Z123" s="17">
        <f t="shared" si="74"/>
        <v>0</v>
      </c>
      <c r="AA123" s="18">
        <f t="shared" si="75"/>
        <v>0</v>
      </c>
      <c r="AB123" s="18">
        <v>0.1</v>
      </c>
    </row>
    <row r="124" spans="1:28">
      <c r="A124">
        <v>2026</v>
      </c>
      <c r="B124" t="s">
        <v>158</v>
      </c>
      <c r="C124" t="s">
        <v>146</v>
      </c>
      <c r="D124" t="s">
        <v>147</v>
      </c>
      <c r="E124">
        <v>709902</v>
      </c>
      <c r="G124" t="s">
        <v>148</v>
      </c>
      <c r="H124" t="s">
        <v>148</v>
      </c>
      <c r="I124" t="s">
        <v>26</v>
      </c>
      <c r="J124" t="s">
        <v>22</v>
      </c>
      <c r="K124">
        <v>10</v>
      </c>
      <c r="L124">
        <v>28800</v>
      </c>
      <c r="M124" s="17">
        <f t="shared" si="76"/>
        <v>2880</v>
      </c>
      <c r="O124" s="17">
        <f t="shared" si="66"/>
        <v>3744</v>
      </c>
      <c r="P124" s="17">
        <f t="shared" si="67"/>
        <v>2880</v>
      </c>
      <c r="Q124" s="18">
        <v>0.28999999999999998</v>
      </c>
      <c r="R124" s="17">
        <f t="shared" si="68"/>
        <v>3715.2</v>
      </c>
      <c r="S124" s="19">
        <f t="shared" si="69"/>
        <v>0.22480620155038755</v>
      </c>
      <c r="T124" s="17">
        <f t="shared" si="70"/>
        <v>0</v>
      </c>
      <c r="U124" s="18">
        <v>0.27</v>
      </c>
      <c r="V124" s="17">
        <f t="shared" si="71"/>
        <v>0</v>
      </c>
      <c r="W124" s="18">
        <f t="shared" si="72"/>
        <v>0</v>
      </c>
      <c r="X124" s="17">
        <f t="shared" si="73"/>
        <v>0</v>
      </c>
      <c r="Y124" s="18">
        <v>0.27</v>
      </c>
      <c r="Z124" s="17">
        <f t="shared" si="74"/>
        <v>0</v>
      </c>
      <c r="AA124" s="18">
        <f t="shared" si="75"/>
        <v>0</v>
      </c>
      <c r="AB124" s="18">
        <v>0.1</v>
      </c>
    </row>
    <row r="125" spans="1:28">
      <c r="A125">
        <v>2026</v>
      </c>
      <c r="B125" t="s">
        <v>158</v>
      </c>
      <c r="C125" t="s">
        <v>146</v>
      </c>
      <c r="D125" t="s">
        <v>147</v>
      </c>
      <c r="E125">
        <v>709903</v>
      </c>
      <c r="G125" t="s">
        <v>148</v>
      </c>
      <c r="H125" t="s">
        <v>148</v>
      </c>
      <c r="I125" t="s">
        <v>35</v>
      </c>
      <c r="J125" t="s">
        <v>22</v>
      </c>
      <c r="K125">
        <v>10</v>
      </c>
      <c r="L125">
        <v>36700</v>
      </c>
      <c r="M125" s="17">
        <f t="shared" si="76"/>
        <v>3670</v>
      </c>
      <c r="O125" s="17">
        <f t="shared" si="66"/>
        <v>4771</v>
      </c>
      <c r="P125" s="17">
        <f t="shared" si="67"/>
        <v>3670</v>
      </c>
      <c r="Q125" s="18">
        <v>0.34</v>
      </c>
      <c r="R125" s="17">
        <f t="shared" si="68"/>
        <v>4917.8</v>
      </c>
      <c r="S125" s="19">
        <f t="shared" si="69"/>
        <v>0.2537313432835821</v>
      </c>
      <c r="T125" s="17">
        <f t="shared" si="70"/>
        <v>0</v>
      </c>
      <c r="U125" s="18">
        <v>0.17</v>
      </c>
      <c r="V125" s="17">
        <f t="shared" si="71"/>
        <v>0</v>
      </c>
      <c r="W125" s="18">
        <f t="shared" si="72"/>
        <v>0</v>
      </c>
      <c r="X125" s="17">
        <f t="shared" si="73"/>
        <v>0</v>
      </c>
      <c r="Y125" s="18">
        <v>0.17</v>
      </c>
      <c r="Z125" s="17">
        <f t="shared" si="74"/>
        <v>0</v>
      </c>
      <c r="AA125" s="18">
        <f t="shared" si="75"/>
        <v>0</v>
      </c>
      <c r="AB125" s="18">
        <v>0.1</v>
      </c>
    </row>
    <row r="126" spans="1:28">
      <c r="A126">
        <v>2026</v>
      </c>
      <c r="B126" t="s">
        <v>158</v>
      </c>
      <c r="C126" t="s">
        <v>146</v>
      </c>
      <c r="D126" t="s">
        <v>147</v>
      </c>
      <c r="E126">
        <v>603421</v>
      </c>
      <c r="G126" t="s">
        <v>148</v>
      </c>
      <c r="H126" t="s">
        <v>148</v>
      </c>
      <c r="I126" t="s">
        <v>159</v>
      </c>
      <c r="J126" t="s">
        <v>29</v>
      </c>
      <c r="K126">
        <v>5</v>
      </c>
      <c r="L126">
        <v>28000</v>
      </c>
      <c r="M126" s="17">
        <f t="shared" si="76"/>
        <v>5600</v>
      </c>
      <c r="O126" s="17">
        <f t="shared" si="66"/>
        <v>7280</v>
      </c>
      <c r="P126" s="17">
        <f t="shared" si="67"/>
        <v>5600</v>
      </c>
      <c r="Q126" s="18">
        <v>0.25</v>
      </c>
      <c r="R126" s="17">
        <f t="shared" si="68"/>
        <v>7000</v>
      </c>
      <c r="S126" s="19">
        <f t="shared" si="69"/>
        <v>0.2</v>
      </c>
      <c r="T126" s="17">
        <f t="shared" si="70"/>
        <v>0</v>
      </c>
      <c r="U126" s="18">
        <v>0.22</v>
      </c>
      <c r="V126" s="17">
        <f t="shared" si="71"/>
        <v>0</v>
      </c>
      <c r="W126" s="18">
        <f t="shared" si="72"/>
        <v>0</v>
      </c>
      <c r="X126" s="17">
        <f t="shared" si="73"/>
        <v>0</v>
      </c>
      <c r="Y126" s="18">
        <v>0.22</v>
      </c>
      <c r="Z126" s="17">
        <f t="shared" si="74"/>
        <v>0</v>
      </c>
      <c r="AA126" s="18">
        <f t="shared" si="75"/>
        <v>0</v>
      </c>
      <c r="AB126" s="18">
        <v>0.1</v>
      </c>
    </row>
    <row r="127" spans="1:28">
      <c r="A127">
        <v>2026</v>
      </c>
      <c r="B127" t="s">
        <v>158</v>
      </c>
      <c r="C127" t="s">
        <v>146</v>
      </c>
      <c r="D127" t="s">
        <v>147</v>
      </c>
      <c r="E127">
        <v>603422</v>
      </c>
      <c r="G127" t="s">
        <v>148</v>
      </c>
      <c r="H127" t="s">
        <v>148</v>
      </c>
      <c r="I127" t="s">
        <v>50</v>
      </c>
      <c r="J127" t="s">
        <v>29</v>
      </c>
      <c r="K127">
        <v>5</v>
      </c>
      <c r="L127">
        <v>36700</v>
      </c>
      <c r="M127" s="17">
        <f t="shared" si="76"/>
        <v>7340</v>
      </c>
      <c r="O127" s="17">
        <f t="shared" si="66"/>
        <v>9542</v>
      </c>
      <c r="P127" s="17">
        <f t="shared" si="67"/>
        <v>7340</v>
      </c>
      <c r="Q127" s="18">
        <v>0.35</v>
      </c>
      <c r="R127" s="17">
        <f t="shared" si="68"/>
        <v>9909</v>
      </c>
      <c r="S127" s="19">
        <f t="shared" si="69"/>
        <v>0.25925925925925924</v>
      </c>
      <c r="T127" s="17">
        <f t="shared" si="70"/>
        <v>0</v>
      </c>
      <c r="U127" s="18">
        <v>0.12</v>
      </c>
      <c r="V127" s="17">
        <f t="shared" si="71"/>
        <v>0</v>
      </c>
      <c r="W127" s="18">
        <f t="shared" si="72"/>
        <v>0</v>
      </c>
      <c r="X127" s="17">
        <f t="shared" si="73"/>
        <v>0</v>
      </c>
      <c r="Y127" s="18">
        <v>0.12</v>
      </c>
      <c r="Z127" s="17">
        <f t="shared" si="74"/>
        <v>0</v>
      </c>
      <c r="AA127" s="18">
        <f t="shared" si="75"/>
        <v>0</v>
      </c>
      <c r="AB127" s="18">
        <v>0.1</v>
      </c>
    </row>
    <row r="128" spans="1:28">
      <c r="A128">
        <v>2026</v>
      </c>
      <c r="B128" t="s">
        <v>158</v>
      </c>
      <c r="C128" t="s">
        <v>146</v>
      </c>
      <c r="D128" t="s">
        <v>147</v>
      </c>
      <c r="E128">
        <v>603423</v>
      </c>
      <c r="G128" t="s">
        <v>148</v>
      </c>
      <c r="H128" t="s">
        <v>148</v>
      </c>
      <c r="I128" t="s">
        <v>59</v>
      </c>
      <c r="J128" t="s">
        <v>29</v>
      </c>
      <c r="K128">
        <v>5</v>
      </c>
      <c r="L128">
        <v>21900</v>
      </c>
      <c r="M128" s="17">
        <f t="shared" si="76"/>
        <v>4380</v>
      </c>
      <c r="O128" s="17">
        <f t="shared" si="66"/>
        <v>5694</v>
      </c>
      <c r="P128" s="17">
        <f t="shared" si="67"/>
        <v>4380</v>
      </c>
      <c r="Q128" s="18">
        <v>0.12</v>
      </c>
      <c r="R128" s="17">
        <f t="shared" si="68"/>
        <v>4905.6000000000004</v>
      </c>
      <c r="S128" s="19">
        <f t="shared" si="69"/>
        <v>0.10714285714285721</v>
      </c>
      <c r="T128" s="17">
        <f t="shared" si="70"/>
        <v>0</v>
      </c>
      <c r="U128" s="18">
        <v>0.15</v>
      </c>
      <c r="V128" s="17">
        <f t="shared" si="71"/>
        <v>0</v>
      </c>
      <c r="W128" s="18">
        <f t="shared" si="72"/>
        <v>0</v>
      </c>
      <c r="X128" s="17">
        <f t="shared" si="73"/>
        <v>0</v>
      </c>
      <c r="Y128" s="18">
        <v>0.15</v>
      </c>
      <c r="Z128" s="17">
        <f t="shared" si="74"/>
        <v>0</v>
      </c>
      <c r="AA128" s="18">
        <f t="shared" si="75"/>
        <v>0</v>
      </c>
      <c r="AB128" s="18">
        <v>0.1</v>
      </c>
    </row>
    <row r="129" spans="1:28">
      <c r="A129">
        <v>2026</v>
      </c>
      <c r="B129" t="s">
        <v>158</v>
      </c>
      <c r="C129" t="s">
        <v>146</v>
      </c>
      <c r="D129" t="s">
        <v>147</v>
      </c>
      <c r="E129">
        <v>294199</v>
      </c>
      <c r="G129" t="s">
        <v>148</v>
      </c>
      <c r="H129" t="s">
        <v>148</v>
      </c>
      <c r="I129" t="s">
        <v>67</v>
      </c>
      <c r="J129" t="s">
        <v>29</v>
      </c>
      <c r="K129">
        <v>5</v>
      </c>
      <c r="L129">
        <v>114900</v>
      </c>
      <c r="M129" s="17">
        <f t="shared" si="76"/>
        <v>22980</v>
      </c>
      <c r="O129" s="17">
        <f t="shared" si="66"/>
        <v>29874</v>
      </c>
      <c r="P129" s="17">
        <f t="shared" si="67"/>
        <v>22980</v>
      </c>
      <c r="Q129" s="18">
        <v>0.25</v>
      </c>
      <c r="R129" s="17">
        <f t="shared" si="68"/>
        <v>28725</v>
      </c>
      <c r="S129" s="19">
        <f t="shared" si="69"/>
        <v>0.2</v>
      </c>
      <c r="T129" s="17">
        <f t="shared" si="70"/>
        <v>0</v>
      </c>
      <c r="U129" s="18">
        <v>0.18</v>
      </c>
      <c r="V129" s="17">
        <f t="shared" si="71"/>
        <v>0</v>
      </c>
      <c r="W129" s="18">
        <f t="shared" si="72"/>
        <v>0</v>
      </c>
      <c r="X129" s="17">
        <f t="shared" si="73"/>
        <v>0</v>
      </c>
      <c r="Y129" s="18">
        <v>0.18</v>
      </c>
      <c r="Z129" s="17">
        <f t="shared" si="74"/>
        <v>0</v>
      </c>
      <c r="AA129" s="18">
        <f t="shared" si="75"/>
        <v>0</v>
      </c>
      <c r="AB129" s="18">
        <v>0.1</v>
      </c>
    </row>
    <row r="130" spans="1:28">
      <c r="A130">
        <v>2026</v>
      </c>
      <c r="B130" t="s">
        <v>158</v>
      </c>
      <c r="C130" t="s">
        <v>146</v>
      </c>
      <c r="D130" t="s">
        <v>147</v>
      </c>
      <c r="E130">
        <v>294299</v>
      </c>
      <c r="G130" t="s">
        <v>148</v>
      </c>
      <c r="H130" t="s">
        <v>148</v>
      </c>
      <c r="I130" t="s">
        <v>160</v>
      </c>
      <c r="J130" t="s">
        <v>29</v>
      </c>
      <c r="K130">
        <v>5</v>
      </c>
      <c r="L130">
        <v>28000</v>
      </c>
      <c r="M130" s="17">
        <f t="shared" si="76"/>
        <v>5600</v>
      </c>
      <c r="O130" s="17">
        <f t="shared" si="66"/>
        <v>7280</v>
      </c>
      <c r="P130" s="17">
        <f t="shared" si="67"/>
        <v>5600</v>
      </c>
      <c r="Q130" s="18">
        <v>0.1</v>
      </c>
      <c r="R130" s="17">
        <f t="shared" si="68"/>
        <v>6160</v>
      </c>
      <c r="S130" s="19">
        <f t="shared" si="69"/>
        <v>9.0909090909090912E-2</v>
      </c>
      <c r="T130" s="17">
        <f t="shared" si="70"/>
        <v>0</v>
      </c>
      <c r="U130" s="18">
        <v>0.28999999999999998</v>
      </c>
      <c r="V130" s="17">
        <f t="shared" si="71"/>
        <v>0</v>
      </c>
      <c r="W130" s="18">
        <f t="shared" si="72"/>
        <v>0</v>
      </c>
      <c r="X130" s="17">
        <f t="shared" si="73"/>
        <v>0</v>
      </c>
      <c r="Y130" s="18">
        <v>0.28999999999999998</v>
      </c>
      <c r="Z130" s="17">
        <f t="shared" si="74"/>
        <v>0</v>
      </c>
      <c r="AA130" s="18">
        <f t="shared" si="75"/>
        <v>0</v>
      </c>
      <c r="AB130" s="18">
        <v>0.1</v>
      </c>
    </row>
    <row r="131" spans="1:28">
      <c r="A131">
        <v>2026</v>
      </c>
      <c r="B131" t="s">
        <v>158</v>
      </c>
      <c r="C131" t="s">
        <v>146</v>
      </c>
      <c r="D131" t="s">
        <v>147</v>
      </c>
      <c r="E131">
        <v>294399</v>
      </c>
      <c r="G131" t="s">
        <v>148</v>
      </c>
      <c r="H131" t="s">
        <v>148</v>
      </c>
      <c r="I131" t="s">
        <v>161</v>
      </c>
      <c r="J131" t="s">
        <v>29</v>
      </c>
      <c r="K131">
        <v>5</v>
      </c>
      <c r="L131">
        <v>49200</v>
      </c>
      <c r="M131" s="17">
        <f t="shared" si="76"/>
        <v>9840</v>
      </c>
      <c r="O131" s="17">
        <f t="shared" si="66"/>
        <v>12792</v>
      </c>
      <c r="P131" s="17">
        <f t="shared" si="67"/>
        <v>9840</v>
      </c>
      <c r="Q131" s="18">
        <v>0.35</v>
      </c>
      <c r="R131" s="17">
        <f t="shared" si="68"/>
        <v>13284</v>
      </c>
      <c r="S131" s="19">
        <f t="shared" si="69"/>
        <v>0.25925925925925924</v>
      </c>
      <c r="T131" s="17">
        <f t="shared" si="70"/>
        <v>0</v>
      </c>
      <c r="U131" s="18">
        <v>0.34</v>
      </c>
      <c r="V131" s="17">
        <f t="shared" si="71"/>
        <v>0</v>
      </c>
      <c r="W131" s="18">
        <f t="shared" si="72"/>
        <v>0</v>
      </c>
      <c r="X131" s="17">
        <f t="shared" si="73"/>
        <v>0</v>
      </c>
      <c r="Y131" s="18">
        <v>0.34</v>
      </c>
      <c r="Z131" s="17">
        <f t="shared" si="74"/>
        <v>0</v>
      </c>
      <c r="AA131" s="18">
        <f t="shared" si="75"/>
        <v>0</v>
      </c>
      <c r="AB131" s="18">
        <v>0.1</v>
      </c>
    </row>
    <row r="132" spans="1:28">
      <c r="A132">
        <v>2026</v>
      </c>
      <c r="B132" t="s">
        <v>158</v>
      </c>
      <c r="C132" t="s">
        <v>146</v>
      </c>
      <c r="D132" t="s">
        <v>147</v>
      </c>
      <c r="E132">
        <v>294499</v>
      </c>
      <c r="G132" t="s">
        <v>148</v>
      </c>
      <c r="H132" t="s">
        <v>148</v>
      </c>
      <c r="I132" t="s">
        <v>162</v>
      </c>
      <c r="J132" t="s">
        <v>29</v>
      </c>
      <c r="K132">
        <v>5</v>
      </c>
      <c r="L132">
        <v>141600</v>
      </c>
      <c r="M132" s="17">
        <f t="shared" si="76"/>
        <v>28320</v>
      </c>
      <c r="O132" s="17">
        <f t="shared" si="66"/>
        <v>36816</v>
      </c>
      <c r="P132" s="17">
        <f t="shared" si="67"/>
        <v>28320</v>
      </c>
      <c r="Q132" s="18">
        <v>0.33</v>
      </c>
      <c r="R132" s="17">
        <f t="shared" si="68"/>
        <v>37665.599999999999</v>
      </c>
      <c r="S132" s="19">
        <f t="shared" si="69"/>
        <v>0.24812030075187966</v>
      </c>
      <c r="T132" s="17">
        <f t="shared" si="70"/>
        <v>0</v>
      </c>
      <c r="U132" s="18">
        <v>0.25</v>
      </c>
      <c r="V132" s="17">
        <f t="shared" si="71"/>
        <v>0</v>
      </c>
      <c r="W132" s="18">
        <f t="shared" si="72"/>
        <v>0</v>
      </c>
      <c r="X132" s="17">
        <f t="shared" si="73"/>
        <v>0</v>
      </c>
      <c r="Y132" s="18">
        <v>0.25</v>
      </c>
      <c r="Z132" s="17">
        <f t="shared" si="74"/>
        <v>0</v>
      </c>
      <c r="AA132" s="18">
        <f t="shared" si="75"/>
        <v>0</v>
      </c>
      <c r="AB132" s="18">
        <v>0.1</v>
      </c>
    </row>
    <row r="133" spans="1:28">
      <c r="A133">
        <v>2026</v>
      </c>
      <c r="B133" t="s">
        <v>158</v>
      </c>
      <c r="C133" t="s">
        <v>146</v>
      </c>
      <c r="D133" t="s">
        <v>147</v>
      </c>
      <c r="E133">
        <v>284190</v>
      </c>
      <c r="G133" t="s">
        <v>148</v>
      </c>
      <c r="H133" t="s">
        <v>148</v>
      </c>
      <c r="I133" t="s">
        <v>163</v>
      </c>
      <c r="J133" t="s">
        <v>29</v>
      </c>
      <c r="K133">
        <v>5</v>
      </c>
      <c r="L133">
        <v>174700</v>
      </c>
      <c r="M133" s="17">
        <f t="shared" si="76"/>
        <v>34940</v>
      </c>
      <c r="O133" s="17">
        <f t="shared" si="66"/>
        <v>45422</v>
      </c>
      <c r="P133" s="17">
        <f t="shared" si="67"/>
        <v>34940</v>
      </c>
      <c r="Q133" s="18">
        <v>0.31</v>
      </c>
      <c r="R133" s="17">
        <f t="shared" si="68"/>
        <v>45771.4</v>
      </c>
      <c r="S133" s="19">
        <f t="shared" si="69"/>
        <v>0.23664122137404583</v>
      </c>
      <c r="T133" s="17">
        <f t="shared" si="70"/>
        <v>0</v>
      </c>
      <c r="U133" s="18">
        <v>0.09</v>
      </c>
      <c r="V133" s="17">
        <f t="shared" si="71"/>
        <v>0</v>
      </c>
      <c r="W133" s="18">
        <f t="shared" si="72"/>
        <v>0</v>
      </c>
      <c r="X133" s="17">
        <f t="shared" si="73"/>
        <v>0</v>
      </c>
      <c r="Y133" s="18">
        <v>0.35</v>
      </c>
      <c r="Z133" s="17">
        <f t="shared" si="74"/>
        <v>0</v>
      </c>
      <c r="AA133" s="18">
        <f t="shared" si="75"/>
        <v>0</v>
      </c>
      <c r="AB133" s="18">
        <v>0.1</v>
      </c>
    </row>
    <row r="134" spans="1:28">
      <c r="A134">
        <v>2026</v>
      </c>
      <c r="B134" t="s">
        <v>158</v>
      </c>
      <c r="C134" t="s">
        <v>146</v>
      </c>
      <c r="D134" t="s">
        <v>147</v>
      </c>
      <c r="E134">
        <v>284390</v>
      </c>
      <c r="G134" t="s">
        <v>148</v>
      </c>
      <c r="H134" t="s">
        <v>148</v>
      </c>
      <c r="I134" t="s">
        <v>164</v>
      </c>
      <c r="J134" t="s">
        <v>29</v>
      </c>
      <c r="K134">
        <v>5</v>
      </c>
      <c r="L134">
        <v>204000</v>
      </c>
      <c r="M134" s="17">
        <f t="shared" si="76"/>
        <v>40800</v>
      </c>
      <c r="O134" s="17">
        <f t="shared" si="66"/>
        <v>53040</v>
      </c>
      <c r="P134" s="17">
        <f t="shared" si="67"/>
        <v>40800</v>
      </c>
      <c r="Q134" s="18">
        <v>0.3</v>
      </c>
      <c r="R134" s="17">
        <f t="shared" si="68"/>
        <v>53040</v>
      </c>
      <c r="S134" s="19">
        <f t="shared" si="69"/>
        <v>0.23076923076923078</v>
      </c>
      <c r="T134" s="17">
        <f t="shared" si="70"/>
        <v>0</v>
      </c>
      <c r="U134" s="18">
        <v>0.08</v>
      </c>
      <c r="V134" s="17">
        <f t="shared" si="71"/>
        <v>0</v>
      </c>
      <c r="W134" s="18">
        <f t="shared" si="72"/>
        <v>0</v>
      </c>
      <c r="X134" s="17">
        <f t="shared" si="73"/>
        <v>0</v>
      </c>
      <c r="Y134" s="18">
        <v>0.12</v>
      </c>
      <c r="Z134" s="17">
        <f t="shared" si="74"/>
        <v>0</v>
      </c>
      <c r="AA134" s="18">
        <f t="shared" si="75"/>
        <v>0</v>
      </c>
      <c r="AB134" s="18">
        <v>0.1</v>
      </c>
    </row>
    <row r="135" spans="1:28">
      <c r="A135">
        <v>2026</v>
      </c>
      <c r="B135" t="s">
        <v>158</v>
      </c>
      <c r="C135" t="s">
        <v>146</v>
      </c>
      <c r="D135" t="s">
        <v>147</v>
      </c>
      <c r="E135">
        <v>287100</v>
      </c>
      <c r="G135" t="s">
        <v>148</v>
      </c>
      <c r="H135" t="s">
        <v>148</v>
      </c>
      <c r="I135" t="s">
        <v>74</v>
      </c>
      <c r="J135" t="s">
        <v>29</v>
      </c>
      <c r="K135">
        <v>5</v>
      </c>
      <c r="L135">
        <v>49000</v>
      </c>
      <c r="M135" s="17">
        <f t="shared" si="76"/>
        <v>9800</v>
      </c>
      <c r="O135" s="17">
        <f t="shared" si="66"/>
        <v>12740</v>
      </c>
      <c r="P135" s="17">
        <f t="shared" si="67"/>
        <v>9800</v>
      </c>
      <c r="Q135" s="18">
        <v>0.28000000000000003</v>
      </c>
      <c r="R135" s="17">
        <f t="shared" si="68"/>
        <v>12544</v>
      </c>
      <c r="S135" s="19">
        <f t="shared" si="69"/>
        <v>0.21875</v>
      </c>
      <c r="T135" s="17">
        <f t="shared" si="70"/>
        <v>0</v>
      </c>
      <c r="U135" s="18">
        <v>0.06</v>
      </c>
      <c r="V135" s="17">
        <f t="shared" si="71"/>
        <v>0</v>
      </c>
      <c r="W135" s="18">
        <f t="shared" si="72"/>
        <v>0</v>
      </c>
      <c r="X135" s="17">
        <f t="shared" si="73"/>
        <v>0</v>
      </c>
      <c r="Y135" s="18">
        <v>0.25</v>
      </c>
      <c r="Z135" s="17">
        <f t="shared" si="74"/>
        <v>0</v>
      </c>
      <c r="AA135" s="18">
        <f t="shared" si="75"/>
        <v>0</v>
      </c>
      <c r="AB135" s="18">
        <v>0.1</v>
      </c>
    </row>
    <row r="136" spans="1:28">
      <c r="A136">
        <v>2026</v>
      </c>
      <c r="B136" t="s">
        <v>158</v>
      </c>
      <c r="C136" t="s">
        <v>146</v>
      </c>
      <c r="D136" t="s">
        <v>147</v>
      </c>
      <c r="E136">
        <v>287200</v>
      </c>
      <c r="G136" t="s">
        <v>148</v>
      </c>
      <c r="H136" t="s">
        <v>148</v>
      </c>
      <c r="I136" t="s">
        <v>165</v>
      </c>
      <c r="J136" t="s">
        <v>22</v>
      </c>
      <c r="K136">
        <v>10</v>
      </c>
      <c r="L136">
        <v>224100</v>
      </c>
      <c r="M136" s="17">
        <f t="shared" si="76"/>
        <v>22410</v>
      </c>
      <c r="O136" s="17">
        <f t="shared" si="66"/>
        <v>29133</v>
      </c>
      <c r="P136" s="17">
        <f t="shared" si="67"/>
        <v>22410</v>
      </c>
      <c r="Q136" s="18">
        <v>0.27</v>
      </c>
      <c r="R136" s="17">
        <f t="shared" si="68"/>
        <v>28460.7</v>
      </c>
      <c r="S136" s="19">
        <f t="shared" si="69"/>
        <v>0.2125984251968504</v>
      </c>
      <c r="T136" s="17">
        <f t="shared" si="70"/>
        <v>0</v>
      </c>
      <c r="U136" s="18">
        <v>0.35</v>
      </c>
      <c r="V136" s="17">
        <f t="shared" si="71"/>
        <v>0</v>
      </c>
      <c r="W136" s="18">
        <f t="shared" si="72"/>
        <v>0</v>
      </c>
      <c r="X136" s="17">
        <f t="shared" si="73"/>
        <v>0</v>
      </c>
      <c r="Y136" s="18">
        <v>0.1</v>
      </c>
      <c r="Z136" s="17">
        <f t="shared" si="74"/>
        <v>0</v>
      </c>
      <c r="AA136" s="18">
        <f t="shared" si="75"/>
        <v>0</v>
      </c>
      <c r="AB136" s="18">
        <v>0.1</v>
      </c>
    </row>
    <row r="137" spans="1:28">
      <c r="A137">
        <v>2026</v>
      </c>
      <c r="B137" t="s">
        <v>158</v>
      </c>
      <c r="C137" t="s">
        <v>146</v>
      </c>
      <c r="D137" t="s">
        <v>147</v>
      </c>
      <c r="E137">
        <v>287300</v>
      </c>
      <c r="G137" t="s">
        <v>148</v>
      </c>
      <c r="H137" t="s">
        <v>148</v>
      </c>
      <c r="I137" t="s">
        <v>81</v>
      </c>
      <c r="J137" t="s">
        <v>22</v>
      </c>
      <c r="K137">
        <v>10</v>
      </c>
      <c r="L137">
        <v>38000</v>
      </c>
      <c r="M137" s="17">
        <f t="shared" si="76"/>
        <v>3800</v>
      </c>
      <c r="O137" s="17">
        <f t="shared" si="66"/>
        <v>4940</v>
      </c>
      <c r="P137" s="17">
        <f t="shared" si="67"/>
        <v>3800</v>
      </c>
      <c r="Q137" s="18">
        <v>0.17</v>
      </c>
      <c r="R137" s="17">
        <f t="shared" si="68"/>
        <v>4446</v>
      </c>
      <c r="S137" s="19">
        <f t="shared" si="69"/>
        <v>0.14529914529914531</v>
      </c>
      <c r="T137" s="17">
        <f t="shared" si="70"/>
        <v>0</v>
      </c>
      <c r="U137" s="18">
        <v>0.12</v>
      </c>
      <c r="V137" s="17">
        <f t="shared" si="71"/>
        <v>0</v>
      </c>
      <c r="W137" s="18">
        <f t="shared" si="72"/>
        <v>0</v>
      </c>
      <c r="X137" s="17">
        <f t="shared" si="73"/>
        <v>0</v>
      </c>
      <c r="Y137" s="18">
        <v>0.35</v>
      </c>
      <c r="Z137" s="17">
        <f t="shared" si="74"/>
        <v>0</v>
      </c>
      <c r="AA137" s="18">
        <f t="shared" si="75"/>
        <v>0</v>
      </c>
      <c r="AB137" s="18">
        <v>0.1</v>
      </c>
    </row>
    <row r="138" spans="1:28">
      <c r="A138">
        <v>2026</v>
      </c>
      <c r="B138" t="s">
        <v>158</v>
      </c>
      <c r="C138" t="s">
        <v>146</v>
      </c>
      <c r="D138" t="s">
        <v>147</v>
      </c>
      <c r="E138">
        <v>287400</v>
      </c>
      <c r="G138" t="s">
        <v>148</v>
      </c>
      <c r="H138" t="s">
        <v>148</v>
      </c>
      <c r="I138" t="s">
        <v>83</v>
      </c>
      <c r="J138" t="s">
        <v>22</v>
      </c>
      <c r="K138">
        <v>10</v>
      </c>
      <c r="L138">
        <v>39800</v>
      </c>
      <c r="M138" s="17">
        <f t="shared" si="76"/>
        <v>3980</v>
      </c>
      <c r="O138" s="17">
        <f t="shared" si="66"/>
        <v>5174</v>
      </c>
      <c r="P138" s="17">
        <f t="shared" si="67"/>
        <v>3980</v>
      </c>
      <c r="Q138" s="18">
        <v>0.22</v>
      </c>
      <c r="R138" s="17">
        <f t="shared" si="68"/>
        <v>4855.6000000000004</v>
      </c>
      <c r="S138" s="19">
        <f t="shared" si="69"/>
        <v>0.18032786885245908</v>
      </c>
      <c r="T138" s="17">
        <f t="shared" si="70"/>
        <v>0</v>
      </c>
      <c r="U138" s="18">
        <v>0.25</v>
      </c>
      <c r="V138" s="17">
        <f t="shared" si="71"/>
        <v>0</v>
      </c>
      <c r="W138" s="18">
        <f t="shared" si="72"/>
        <v>0</v>
      </c>
      <c r="X138" s="17">
        <f t="shared" si="73"/>
        <v>0</v>
      </c>
      <c r="Y138" s="18">
        <v>0.33</v>
      </c>
      <c r="Z138" s="17">
        <f t="shared" si="74"/>
        <v>0</v>
      </c>
      <c r="AA138" s="18">
        <f t="shared" si="75"/>
        <v>0</v>
      </c>
      <c r="AB138" s="18">
        <v>0.1</v>
      </c>
    </row>
    <row r="139" spans="1:28">
      <c r="A139">
        <v>2026</v>
      </c>
      <c r="B139" t="s">
        <v>158</v>
      </c>
      <c r="C139" t="s">
        <v>146</v>
      </c>
      <c r="D139" t="s">
        <v>147</v>
      </c>
      <c r="E139">
        <v>294899</v>
      </c>
      <c r="G139" t="s">
        <v>148</v>
      </c>
      <c r="H139" t="s">
        <v>148</v>
      </c>
      <c r="I139" t="s">
        <v>97</v>
      </c>
      <c r="J139" t="s">
        <v>12</v>
      </c>
      <c r="K139">
        <v>1</v>
      </c>
      <c r="L139">
        <v>43500</v>
      </c>
      <c r="M139" s="17">
        <f t="shared" si="76"/>
        <v>43500</v>
      </c>
      <c r="O139" s="17">
        <f t="shared" si="66"/>
        <v>56550</v>
      </c>
      <c r="P139" s="17">
        <f t="shared" si="67"/>
        <v>43500</v>
      </c>
      <c r="Q139" s="18">
        <v>0.12</v>
      </c>
      <c r="R139" s="17">
        <f t="shared" si="68"/>
        <v>48720</v>
      </c>
      <c r="S139" s="19">
        <f t="shared" si="69"/>
        <v>0.10714285714285714</v>
      </c>
      <c r="T139" s="17">
        <f t="shared" si="70"/>
        <v>0</v>
      </c>
      <c r="U139" s="18">
        <v>0.1</v>
      </c>
      <c r="V139" s="17">
        <f t="shared" si="71"/>
        <v>0</v>
      </c>
      <c r="W139" s="18">
        <f t="shared" si="72"/>
        <v>0</v>
      </c>
      <c r="X139" s="17">
        <f t="shared" si="73"/>
        <v>0</v>
      </c>
      <c r="Y139" s="18">
        <v>0.31</v>
      </c>
      <c r="Z139" s="17">
        <f t="shared" si="74"/>
        <v>0</v>
      </c>
      <c r="AA139" s="18">
        <f t="shared" si="75"/>
        <v>0</v>
      </c>
      <c r="AB139" s="18">
        <v>0.1</v>
      </c>
    </row>
    <row r="140" spans="1:28">
      <c r="A140">
        <v>2026</v>
      </c>
      <c r="B140" t="s">
        <v>158</v>
      </c>
      <c r="C140" t="s">
        <v>146</v>
      </c>
      <c r="D140" t="s">
        <v>147</v>
      </c>
      <c r="E140">
        <v>394590</v>
      </c>
      <c r="G140" t="s">
        <v>148</v>
      </c>
      <c r="H140" t="s">
        <v>148</v>
      </c>
      <c r="I140" t="s">
        <v>105</v>
      </c>
      <c r="J140" t="s">
        <v>166</v>
      </c>
      <c r="K140">
        <v>2</v>
      </c>
      <c r="L140">
        <v>67900</v>
      </c>
      <c r="M140" s="17">
        <f>(L140/10)*2</f>
        <v>13580</v>
      </c>
      <c r="O140" s="17">
        <f t="shared" si="66"/>
        <v>17654</v>
      </c>
      <c r="P140" s="17">
        <f t="shared" si="67"/>
        <v>13580</v>
      </c>
      <c r="Q140" s="18">
        <v>0.15</v>
      </c>
      <c r="R140" s="17">
        <f t="shared" si="68"/>
        <v>15617</v>
      </c>
      <c r="S140" s="19">
        <f t="shared" si="69"/>
        <v>0.13043478260869565</v>
      </c>
      <c r="T140" s="17">
        <f t="shared" si="70"/>
        <v>0</v>
      </c>
      <c r="U140" s="18">
        <v>0.35</v>
      </c>
      <c r="V140" s="17">
        <f t="shared" si="71"/>
        <v>0</v>
      </c>
      <c r="W140" s="18">
        <f t="shared" si="72"/>
        <v>0</v>
      </c>
      <c r="X140" s="17">
        <f t="shared" si="73"/>
        <v>0</v>
      </c>
      <c r="Y140" s="18">
        <v>0.3</v>
      </c>
      <c r="Z140" s="17">
        <f t="shared" si="74"/>
        <v>0</v>
      </c>
      <c r="AA140" s="18">
        <f t="shared" si="75"/>
        <v>0</v>
      </c>
      <c r="AB140" s="18">
        <v>0.1</v>
      </c>
    </row>
    <row r="141" spans="1:28">
      <c r="A141">
        <v>2026</v>
      </c>
      <c r="B141" t="s">
        <v>158</v>
      </c>
      <c r="C141" t="s">
        <v>146</v>
      </c>
      <c r="D141" t="s">
        <v>147</v>
      </c>
      <c r="E141">
        <v>610200</v>
      </c>
      <c r="G141" t="s">
        <v>148</v>
      </c>
      <c r="H141" t="s">
        <v>148</v>
      </c>
      <c r="I141" t="s">
        <v>107</v>
      </c>
      <c r="J141" t="s">
        <v>166</v>
      </c>
      <c r="K141">
        <v>2</v>
      </c>
      <c r="L141">
        <v>50300</v>
      </c>
      <c r="M141" s="17">
        <f>(L141/10)*2</f>
        <v>10060</v>
      </c>
      <c r="O141" s="17">
        <f t="shared" si="66"/>
        <v>13078</v>
      </c>
      <c r="P141" s="17">
        <f t="shared" si="67"/>
        <v>10060</v>
      </c>
      <c r="Q141" s="18">
        <v>0.18</v>
      </c>
      <c r="R141" s="17">
        <f t="shared" si="68"/>
        <v>11870.8</v>
      </c>
      <c r="S141" s="19">
        <f t="shared" si="69"/>
        <v>0.15254237288135589</v>
      </c>
      <c r="T141" s="17">
        <f t="shared" si="70"/>
        <v>0</v>
      </c>
      <c r="U141" s="18">
        <v>0.33</v>
      </c>
      <c r="V141" s="17">
        <f t="shared" si="71"/>
        <v>0</v>
      </c>
      <c r="W141" s="18">
        <f t="shared" si="72"/>
        <v>0</v>
      </c>
      <c r="X141" s="17">
        <f t="shared" si="73"/>
        <v>0</v>
      </c>
      <c r="Y141" s="18">
        <v>0.28000000000000003</v>
      </c>
      <c r="Z141" s="17">
        <f t="shared" si="74"/>
        <v>0</v>
      </c>
      <c r="AA141" s="18">
        <f t="shared" si="75"/>
        <v>0</v>
      </c>
      <c r="AB141" s="18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D6E65-836C-410A-98E9-3EDD5F9BF86E}">
  <dimension ref="A1:AB101"/>
  <sheetViews>
    <sheetView topLeftCell="R75" workbookViewId="0">
      <selection activeCell="A2" sqref="A2:AB101"/>
    </sheetView>
  </sheetViews>
  <sheetFormatPr baseColWidth="10" defaultRowHeight="14.25"/>
  <cols>
    <col min="7" max="7" width="30.375" customWidth="1"/>
    <col min="8" max="8" width="37.875" customWidth="1"/>
  </cols>
  <sheetData>
    <row r="1" spans="1:28" ht="15">
      <c r="A1" s="11" t="s">
        <v>117</v>
      </c>
      <c r="B1" s="11" t="s">
        <v>118</v>
      </c>
      <c r="C1" s="11" t="s">
        <v>119</v>
      </c>
      <c r="D1" s="11" t="s">
        <v>120</v>
      </c>
      <c r="E1" s="11" t="s">
        <v>121</v>
      </c>
      <c r="F1" s="11" t="s">
        <v>122</v>
      </c>
      <c r="G1" s="11" t="s">
        <v>123</v>
      </c>
      <c r="H1" s="11" t="s">
        <v>124</v>
      </c>
      <c r="I1" s="11" t="s">
        <v>125</v>
      </c>
      <c r="J1" s="11" t="s">
        <v>126</v>
      </c>
      <c r="K1" s="11" t="s">
        <v>127</v>
      </c>
      <c r="L1" s="11" t="s">
        <v>128</v>
      </c>
      <c r="M1" s="12" t="s">
        <v>129</v>
      </c>
      <c r="N1" s="11" t="s">
        <v>130</v>
      </c>
      <c r="O1" s="11" t="s">
        <v>131</v>
      </c>
      <c r="P1" s="11" t="s">
        <v>132</v>
      </c>
      <c r="Q1" s="13" t="s">
        <v>133</v>
      </c>
      <c r="R1" s="14" t="s">
        <v>134</v>
      </c>
      <c r="S1" s="15" t="s">
        <v>135</v>
      </c>
      <c r="T1" s="16" t="s">
        <v>136</v>
      </c>
      <c r="U1" s="16" t="s">
        <v>137</v>
      </c>
      <c r="V1" s="16" t="s">
        <v>138</v>
      </c>
      <c r="W1" s="13" t="s">
        <v>139</v>
      </c>
      <c r="X1" s="16" t="s">
        <v>140</v>
      </c>
      <c r="Y1" s="16" t="s">
        <v>141</v>
      </c>
      <c r="Z1" s="16" t="s">
        <v>142</v>
      </c>
      <c r="AA1" s="13" t="s">
        <v>143</v>
      </c>
      <c r="AB1" s="14" t="s">
        <v>144</v>
      </c>
    </row>
    <row r="2" spans="1:28">
      <c r="A2">
        <v>2026</v>
      </c>
      <c r="B2" t="s">
        <v>153</v>
      </c>
      <c r="C2" t="s">
        <v>149</v>
      </c>
      <c r="D2" t="s">
        <v>150</v>
      </c>
      <c r="E2">
        <v>360001</v>
      </c>
      <c r="G2" t="s">
        <v>148</v>
      </c>
      <c r="H2" t="s">
        <v>148</v>
      </c>
      <c r="I2" t="s">
        <v>11</v>
      </c>
      <c r="J2" t="s">
        <v>12</v>
      </c>
      <c r="K2">
        <v>40</v>
      </c>
      <c r="L2">
        <v>893800</v>
      </c>
      <c r="M2" s="17">
        <f>L2/K2</f>
        <v>22345</v>
      </c>
      <c r="O2" s="17">
        <f t="shared" ref="O2:O21" si="0">M2+(M2*30%)</f>
        <v>29048.5</v>
      </c>
      <c r="P2" s="17">
        <v>0</v>
      </c>
      <c r="Q2" s="18">
        <v>0.3</v>
      </c>
      <c r="R2" s="17">
        <v>0</v>
      </c>
      <c r="S2" s="19">
        <v>0</v>
      </c>
      <c r="T2" s="17">
        <v>0</v>
      </c>
      <c r="U2" s="18">
        <v>0.12</v>
      </c>
      <c r="V2" s="17">
        <v>0</v>
      </c>
      <c r="W2" s="18">
        <v>0</v>
      </c>
      <c r="X2" s="17">
        <f>M2</f>
        <v>22345</v>
      </c>
      <c r="Y2" s="18">
        <v>0.33</v>
      </c>
      <c r="Z2" s="17">
        <f>X2+(X2*Y2)</f>
        <v>29718.85</v>
      </c>
      <c r="AA2" s="18">
        <f t="shared" ref="AA2:AA21" si="1">IFERROR(((Z2-X2)/Z2),0)</f>
        <v>0.24812030075187966</v>
      </c>
      <c r="AB2" s="18">
        <v>0.1</v>
      </c>
    </row>
    <row r="3" spans="1:28">
      <c r="A3">
        <v>2026</v>
      </c>
      <c r="B3" t="s">
        <v>153</v>
      </c>
      <c r="C3" t="s">
        <v>149</v>
      </c>
      <c r="D3" t="s">
        <v>150</v>
      </c>
      <c r="E3">
        <v>360102</v>
      </c>
      <c r="G3" t="s">
        <v>148</v>
      </c>
      <c r="H3" t="s">
        <v>148</v>
      </c>
      <c r="I3" t="s">
        <v>18</v>
      </c>
      <c r="J3" t="s">
        <v>12</v>
      </c>
      <c r="K3">
        <v>250</v>
      </c>
      <c r="L3">
        <v>80300</v>
      </c>
      <c r="M3" s="17">
        <f t="shared" ref="M3:M19" si="2">L3/K3</f>
        <v>321.2</v>
      </c>
      <c r="O3" s="17">
        <f t="shared" si="0"/>
        <v>417.56</v>
      </c>
      <c r="P3" s="17">
        <v>0</v>
      </c>
      <c r="Q3" s="18">
        <v>0.28000000000000003</v>
      </c>
      <c r="R3" s="17">
        <v>0</v>
      </c>
      <c r="S3" s="19">
        <v>0</v>
      </c>
      <c r="T3" s="17">
        <v>0</v>
      </c>
      <c r="U3" s="18">
        <v>0.25</v>
      </c>
      <c r="V3" s="17">
        <v>0</v>
      </c>
      <c r="W3" s="18">
        <v>0</v>
      </c>
      <c r="X3" s="17">
        <f t="shared" ref="X3:X21" si="3">M3</f>
        <v>321.2</v>
      </c>
      <c r="Y3" s="18">
        <v>0.31</v>
      </c>
      <c r="Z3" s="17">
        <f t="shared" ref="Z3:Z21" si="4">X3+(X3*Y3)</f>
        <v>420.77199999999999</v>
      </c>
      <c r="AA3" s="18">
        <f t="shared" si="1"/>
        <v>0.23664122137404581</v>
      </c>
      <c r="AB3" s="18">
        <v>0.1</v>
      </c>
    </row>
    <row r="4" spans="1:28">
      <c r="A4">
        <v>2026</v>
      </c>
      <c r="B4" t="s">
        <v>153</v>
      </c>
      <c r="C4" t="s">
        <v>149</v>
      </c>
      <c r="D4" t="s">
        <v>150</v>
      </c>
      <c r="E4">
        <v>360104</v>
      </c>
      <c r="G4" t="s">
        <v>148</v>
      </c>
      <c r="H4" t="s">
        <v>148</v>
      </c>
      <c r="I4" t="s">
        <v>26</v>
      </c>
      <c r="J4" t="s">
        <v>22</v>
      </c>
      <c r="K4">
        <v>10</v>
      </c>
      <c r="L4">
        <v>28800</v>
      </c>
      <c r="M4" s="17">
        <f t="shared" si="2"/>
        <v>2880</v>
      </c>
      <c r="O4" s="17">
        <f t="shared" si="0"/>
        <v>3744</v>
      </c>
      <c r="P4" s="17">
        <v>0</v>
      </c>
      <c r="Q4" s="18">
        <v>0.27</v>
      </c>
      <c r="R4" s="17">
        <v>0</v>
      </c>
      <c r="S4" s="19">
        <v>0</v>
      </c>
      <c r="T4" s="17">
        <v>0</v>
      </c>
      <c r="U4" s="18">
        <v>0.1</v>
      </c>
      <c r="V4" s="17">
        <v>0</v>
      </c>
      <c r="W4" s="18">
        <v>0</v>
      </c>
      <c r="X4" s="17">
        <f t="shared" si="3"/>
        <v>2880</v>
      </c>
      <c r="Y4" s="18">
        <v>0.3</v>
      </c>
      <c r="Z4" s="17">
        <f t="shared" si="4"/>
        <v>3744</v>
      </c>
      <c r="AA4" s="18">
        <f t="shared" si="1"/>
        <v>0.23076923076923078</v>
      </c>
      <c r="AB4" s="18">
        <v>0.1</v>
      </c>
    </row>
    <row r="5" spans="1:28">
      <c r="A5">
        <v>2026</v>
      </c>
      <c r="B5" t="s">
        <v>153</v>
      </c>
      <c r="C5" t="s">
        <v>149</v>
      </c>
      <c r="D5" t="s">
        <v>150</v>
      </c>
      <c r="E5">
        <v>360100</v>
      </c>
      <c r="G5" t="s">
        <v>148</v>
      </c>
      <c r="H5" t="s">
        <v>148</v>
      </c>
      <c r="I5" t="s">
        <v>35</v>
      </c>
      <c r="J5" t="s">
        <v>22</v>
      </c>
      <c r="K5">
        <v>10</v>
      </c>
      <c r="L5">
        <v>36700</v>
      </c>
      <c r="M5" s="17">
        <f t="shared" si="2"/>
        <v>3670</v>
      </c>
      <c r="O5" s="17">
        <f t="shared" si="0"/>
        <v>4771</v>
      </c>
      <c r="P5" s="17">
        <v>0</v>
      </c>
      <c r="Q5" s="18">
        <v>0.17</v>
      </c>
      <c r="R5" s="17">
        <v>0</v>
      </c>
      <c r="S5" s="19">
        <v>0</v>
      </c>
      <c r="T5" s="17">
        <v>0</v>
      </c>
      <c r="U5" s="18">
        <v>0.35</v>
      </c>
      <c r="V5" s="17">
        <v>0</v>
      </c>
      <c r="W5" s="18">
        <v>0</v>
      </c>
      <c r="X5" s="17">
        <f t="shared" si="3"/>
        <v>3670</v>
      </c>
      <c r="Y5" s="18">
        <v>0.28000000000000003</v>
      </c>
      <c r="Z5" s="17">
        <f t="shared" si="4"/>
        <v>4697.6000000000004</v>
      </c>
      <c r="AA5" s="18">
        <f t="shared" si="1"/>
        <v>0.21875000000000006</v>
      </c>
      <c r="AB5" s="18">
        <v>0.1</v>
      </c>
    </row>
    <row r="6" spans="1:28">
      <c r="A6">
        <v>2026</v>
      </c>
      <c r="B6" t="s">
        <v>153</v>
      </c>
      <c r="C6" t="s">
        <v>149</v>
      </c>
      <c r="D6" t="s">
        <v>150</v>
      </c>
      <c r="E6">
        <v>360150</v>
      </c>
      <c r="G6" t="s">
        <v>148</v>
      </c>
      <c r="H6" t="s">
        <v>148</v>
      </c>
      <c r="I6" t="s">
        <v>159</v>
      </c>
      <c r="J6" t="s">
        <v>29</v>
      </c>
      <c r="K6">
        <v>5</v>
      </c>
      <c r="L6">
        <v>28000</v>
      </c>
      <c r="M6" s="17">
        <f t="shared" si="2"/>
        <v>5600</v>
      </c>
      <c r="O6" s="17">
        <f t="shared" si="0"/>
        <v>7280</v>
      </c>
      <c r="P6" s="17">
        <v>0</v>
      </c>
      <c r="Q6" s="18">
        <v>0.22</v>
      </c>
      <c r="R6" s="17">
        <v>0</v>
      </c>
      <c r="S6" s="19">
        <v>0</v>
      </c>
      <c r="T6" s="17">
        <v>0</v>
      </c>
      <c r="U6" s="18">
        <v>0.33</v>
      </c>
      <c r="V6" s="17">
        <v>0</v>
      </c>
      <c r="W6" s="18">
        <v>0</v>
      </c>
      <c r="X6" s="17">
        <f t="shared" si="3"/>
        <v>5600</v>
      </c>
      <c r="Y6" s="18">
        <v>0.27</v>
      </c>
      <c r="Z6" s="17">
        <f t="shared" si="4"/>
        <v>7112</v>
      </c>
      <c r="AA6" s="18">
        <f t="shared" si="1"/>
        <v>0.2125984251968504</v>
      </c>
      <c r="AB6" s="18">
        <v>0.1</v>
      </c>
    </row>
    <row r="7" spans="1:28">
      <c r="A7">
        <v>2026</v>
      </c>
      <c r="B7" t="s">
        <v>153</v>
      </c>
      <c r="C7" t="s">
        <v>149</v>
      </c>
      <c r="D7" t="s">
        <v>150</v>
      </c>
      <c r="E7">
        <v>360101</v>
      </c>
      <c r="G7" t="s">
        <v>148</v>
      </c>
      <c r="H7" t="s">
        <v>148</v>
      </c>
      <c r="I7" t="s">
        <v>50</v>
      </c>
      <c r="J7" t="s">
        <v>29</v>
      </c>
      <c r="K7">
        <v>5</v>
      </c>
      <c r="L7">
        <v>36700</v>
      </c>
      <c r="M7" s="17">
        <f t="shared" si="2"/>
        <v>7340</v>
      </c>
      <c r="O7" s="17">
        <f t="shared" si="0"/>
        <v>9542</v>
      </c>
      <c r="P7" s="17">
        <v>0</v>
      </c>
      <c r="Q7" s="18">
        <v>0.12</v>
      </c>
      <c r="R7" s="17">
        <v>0</v>
      </c>
      <c r="S7" s="19">
        <v>0</v>
      </c>
      <c r="T7" s="17">
        <v>0</v>
      </c>
      <c r="U7" s="18">
        <v>0.31</v>
      </c>
      <c r="V7" s="17">
        <v>0</v>
      </c>
      <c r="W7" s="18">
        <v>0</v>
      </c>
      <c r="X7" s="17">
        <f t="shared" si="3"/>
        <v>7340</v>
      </c>
      <c r="Y7" s="18">
        <v>0.17</v>
      </c>
      <c r="Z7" s="17">
        <f t="shared" si="4"/>
        <v>8587.7999999999993</v>
      </c>
      <c r="AA7" s="18">
        <f t="shared" si="1"/>
        <v>0.14529914529914523</v>
      </c>
      <c r="AB7" s="18">
        <v>0.1</v>
      </c>
    </row>
    <row r="8" spans="1:28">
      <c r="A8">
        <v>2026</v>
      </c>
      <c r="B8" t="s">
        <v>153</v>
      </c>
      <c r="C8" t="s">
        <v>149</v>
      </c>
      <c r="D8" t="s">
        <v>150</v>
      </c>
      <c r="E8">
        <v>360103</v>
      </c>
      <c r="G8" t="s">
        <v>148</v>
      </c>
      <c r="H8" t="s">
        <v>148</v>
      </c>
      <c r="I8" t="s">
        <v>59</v>
      </c>
      <c r="J8" t="s">
        <v>29</v>
      </c>
      <c r="K8">
        <v>5</v>
      </c>
      <c r="L8">
        <v>21900</v>
      </c>
      <c r="M8" s="17">
        <f t="shared" si="2"/>
        <v>4380</v>
      </c>
      <c r="O8" s="17">
        <f t="shared" si="0"/>
        <v>5694</v>
      </c>
      <c r="P8" s="17">
        <v>0</v>
      </c>
      <c r="Q8" s="18">
        <v>0.15</v>
      </c>
      <c r="R8" s="17">
        <v>0</v>
      </c>
      <c r="S8" s="19">
        <v>0</v>
      </c>
      <c r="T8" s="17">
        <v>0</v>
      </c>
      <c r="U8" s="18">
        <v>0.3</v>
      </c>
      <c r="V8" s="17">
        <v>0</v>
      </c>
      <c r="W8" s="18">
        <v>0</v>
      </c>
      <c r="X8" s="17">
        <f t="shared" si="3"/>
        <v>4380</v>
      </c>
      <c r="Y8" s="18">
        <v>0.22</v>
      </c>
      <c r="Z8" s="17">
        <f t="shared" si="4"/>
        <v>5343.6</v>
      </c>
      <c r="AA8" s="18">
        <f t="shared" si="1"/>
        <v>0.18032786885245908</v>
      </c>
      <c r="AB8" s="18">
        <v>0.1</v>
      </c>
    </row>
    <row r="9" spans="1:28">
      <c r="A9">
        <v>2026</v>
      </c>
      <c r="B9" t="s">
        <v>153</v>
      </c>
      <c r="C9" t="s">
        <v>149</v>
      </c>
      <c r="D9" t="s">
        <v>150</v>
      </c>
      <c r="E9">
        <v>709900</v>
      </c>
      <c r="G9" t="s">
        <v>148</v>
      </c>
      <c r="H9" t="s">
        <v>148</v>
      </c>
      <c r="I9" t="s">
        <v>67</v>
      </c>
      <c r="J9" t="s">
        <v>29</v>
      </c>
      <c r="K9">
        <v>5</v>
      </c>
      <c r="L9">
        <v>114900</v>
      </c>
      <c r="M9" s="17">
        <f t="shared" si="2"/>
        <v>22980</v>
      </c>
      <c r="O9" s="17">
        <f t="shared" si="0"/>
        <v>29874</v>
      </c>
      <c r="P9" s="17">
        <v>0</v>
      </c>
      <c r="Q9" s="18">
        <v>0.18</v>
      </c>
      <c r="R9" s="17">
        <v>0</v>
      </c>
      <c r="S9" s="19">
        <v>0</v>
      </c>
      <c r="T9" s="17">
        <v>0</v>
      </c>
      <c r="U9" s="18">
        <v>0.28000000000000003</v>
      </c>
      <c r="V9" s="17">
        <v>0</v>
      </c>
      <c r="W9" s="18">
        <v>0</v>
      </c>
      <c r="X9" s="17">
        <f t="shared" si="3"/>
        <v>22980</v>
      </c>
      <c r="Y9" s="18">
        <v>0.12</v>
      </c>
      <c r="Z9" s="17">
        <f t="shared" si="4"/>
        <v>25737.599999999999</v>
      </c>
      <c r="AA9" s="18">
        <f t="shared" si="1"/>
        <v>0.1071428571428571</v>
      </c>
      <c r="AB9" s="18">
        <v>0.1</v>
      </c>
    </row>
    <row r="10" spans="1:28">
      <c r="A10">
        <v>2026</v>
      </c>
      <c r="B10" t="s">
        <v>153</v>
      </c>
      <c r="C10" t="s">
        <v>149</v>
      </c>
      <c r="D10" t="s">
        <v>150</v>
      </c>
      <c r="E10">
        <v>709902</v>
      </c>
      <c r="G10" t="s">
        <v>148</v>
      </c>
      <c r="H10" t="s">
        <v>148</v>
      </c>
      <c r="I10" t="s">
        <v>160</v>
      </c>
      <c r="J10" t="s">
        <v>29</v>
      </c>
      <c r="K10">
        <v>5</v>
      </c>
      <c r="L10">
        <v>28000</v>
      </c>
      <c r="M10" s="17">
        <f t="shared" si="2"/>
        <v>5600</v>
      </c>
      <c r="O10" s="17">
        <f t="shared" si="0"/>
        <v>7280</v>
      </c>
      <c r="P10" s="17">
        <v>0</v>
      </c>
      <c r="Q10" s="18">
        <v>0.28999999999999998</v>
      </c>
      <c r="R10" s="17">
        <v>0</v>
      </c>
      <c r="S10" s="19">
        <v>0</v>
      </c>
      <c r="T10" s="17">
        <v>0</v>
      </c>
      <c r="U10" s="18">
        <v>0.27</v>
      </c>
      <c r="V10" s="17">
        <v>0</v>
      </c>
      <c r="W10" s="18">
        <v>0</v>
      </c>
      <c r="X10" s="17">
        <f t="shared" si="3"/>
        <v>5600</v>
      </c>
      <c r="Y10" s="18">
        <v>0.15</v>
      </c>
      <c r="Z10" s="17">
        <f t="shared" si="4"/>
        <v>6440</v>
      </c>
      <c r="AA10" s="18">
        <f t="shared" si="1"/>
        <v>0.13043478260869565</v>
      </c>
      <c r="AB10" s="18">
        <v>0.1</v>
      </c>
    </row>
    <row r="11" spans="1:28">
      <c r="A11">
        <v>2026</v>
      </c>
      <c r="B11" t="s">
        <v>153</v>
      </c>
      <c r="C11" t="s">
        <v>149</v>
      </c>
      <c r="D11" t="s">
        <v>150</v>
      </c>
      <c r="E11">
        <v>709903</v>
      </c>
      <c r="G11" t="s">
        <v>148</v>
      </c>
      <c r="H11" t="s">
        <v>148</v>
      </c>
      <c r="I11" t="s">
        <v>161</v>
      </c>
      <c r="J11" t="s">
        <v>29</v>
      </c>
      <c r="K11">
        <v>5</v>
      </c>
      <c r="L11">
        <v>49200</v>
      </c>
      <c r="M11" s="17">
        <f t="shared" si="2"/>
        <v>9840</v>
      </c>
      <c r="O11" s="17">
        <f t="shared" si="0"/>
        <v>12792</v>
      </c>
      <c r="P11" s="17">
        <v>0</v>
      </c>
      <c r="Q11" s="18">
        <v>0.34</v>
      </c>
      <c r="R11" s="17">
        <v>0</v>
      </c>
      <c r="S11" s="19">
        <v>0</v>
      </c>
      <c r="T11" s="17">
        <v>0</v>
      </c>
      <c r="U11" s="18">
        <v>0.17</v>
      </c>
      <c r="V11" s="17">
        <v>0</v>
      </c>
      <c r="W11" s="18">
        <v>0</v>
      </c>
      <c r="X11" s="17">
        <f t="shared" si="3"/>
        <v>9840</v>
      </c>
      <c r="Y11" s="18">
        <v>0.18</v>
      </c>
      <c r="Z11" s="17">
        <f t="shared" si="4"/>
        <v>11611.2</v>
      </c>
      <c r="AA11" s="18">
        <f t="shared" si="1"/>
        <v>0.152542372881356</v>
      </c>
      <c r="AB11" s="18">
        <v>0.1</v>
      </c>
    </row>
    <row r="12" spans="1:28">
      <c r="A12">
        <v>2026</v>
      </c>
      <c r="B12" t="s">
        <v>153</v>
      </c>
      <c r="C12" t="s">
        <v>149</v>
      </c>
      <c r="D12" t="s">
        <v>150</v>
      </c>
      <c r="E12">
        <v>709909</v>
      </c>
      <c r="G12" t="s">
        <v>148</v>
      </c>
      <c r="H12" t="s">
        <v>148</v>
      </c>
      <c r="I12" t="s">
        <v>162</v>
      </c>
      <c r="J12" t="s">
        <v>29</v>
      </c>
      <c r="K12">
        <v>5</v>
      </c>
      <c r="L12">
        <v>141600</v>
      </c>
      <c r="M12" s="17">
        <f t="shared" si="2"/>
        <v>28320</v>
      </c>
      <c r="O12" s="17">
        <f t="shared" si="0"/>
        <v>36816</v>
      </c>
      <c r="P12" s="17">
        <v>0</v>
      </c>
      <c r="Q12" s="18">
        <v>0.25</v>
      </c>
      <c r="R12" s="17">
        <v>0</v>
      </c>
      <c r="S12" s="19">
        <v>0</v>
      </c>
      <c r="T12" s="17">
        <v>0</v>
      </c>
      <c r="U12" s="18">
        <v>0.22</v>
      </c>
      <c r="V12" s="17">
        <v>0</v>
      </c>
      <c r="W12" s="18">
        <v>0</v>
      </c>
      <c r="X12" s="17">
        <f t="shared" si="3"/>
        <v>28320</v>
      </c>
      <c r="Y12" s="18">
        <v>0.28999999999999998</v>
      </c>
      <c r="Z12" s="17">
        <f t="shared" si="4"/>
        <v>36532.800000000003</v>
      </c>
      <c r="AA12" s="18">
        <f t="shared" si="1"/>
        <v>0.22480620155038766</v>
      </c>
      <c r="AB12" s="18">
        <v>0.1</v>
      </c>
    </row>
    <row r="13" spans="1:28">
      <c r="A13">
        <v>2026</v>
      </c>
      <c r="B13" t="s">
        <v>153</v>
      </c>
      <c r="C13" t="s">
        <v>149</v>
      </c>
      <c r="D13" t="s">
        <v>150</v>
      </c>
      <c r="E13">
        <v>709904</v>
      </c>
      <c r="G13" t="s">
        <v>148</v>
      </c>
      <c r="H13" t="s">
        <v>148</v>
      </c>
      <c r="I13" t="s">
        <v>163</v>
      </c>
      <c r="J13" t="s">
        <v>29</v>
      </c>
      <c r="K13">
        <v>5</v>
      </c>
      <c r="L13">
        <v>174700</v>
      </c>
      <c r="M13" s="17">
        <f t="shared" si="2"/>
        <v>34940</v>
      </c>
      <c r="O13" s="17">
        <f t="shared" si="0"/>
        <v>45422</v>
      </c>
      <c r="P13" s="17">
        <v>0</v>
      </c>
      <c r="Q13" s="18">
        <v>0.35</v>
      </c>
      <c r="R13" s="17">
        <v>0</v>
      </c>
      <c r="S13" s="19">
        <v>0</v>
      </c>
      <c r="T13" s="17">
        <v>0</v>
      </c>
      <c r="U13" s="18">
        <v>0.12</v>
      </c>
      <c r="V13" s="17">
        <v>0</v>
      </c>
      <c r="W13" s="18">
        <v>0</v>
      </c>
      <c r="X13" s="17">
        <f t="shared" si="3"/>
        <v>34940</v>
      </c>
      <c r="Y13" s="18">
        <v>0.34</v>
      </c>
      <c r="Z13" s="17">
        <f t="shared" si="4"/>
        <v>46819.6</v>
      </c>
      <c r="AA13" s="18">
        <f t="shared" si="1"/>
        <v>0.25373134328358204</v>
      </c>
      <c r="AB13" s="18">
        <v>0.1</v>
      </c>
    </row>
    <row r="14" spans="1:28">
      <c r="A14">
        <v>2026</v>
      </c>
      <c r="B14" t="s">
        <v>153</v>
      </c>
      <c r="C14" t="s">
        <v>149</v>
      </c>
      <c r="D14" t="s">
        <v>150</v>
      </c>
      <c r="E14">
        <v>603421</v>
      </c>
      <c r="G14" t="s">
        <v>148</v>
      </c>
      <c r="H14" t="s">
        <v>148</v>
      </c>
      <c r="I14" t="s">
        <v>164</v>
      </c>
      <c r="J14" t="s">
        <v>29</v>
      </c>
      <c r="K14">
        <v>5</v>
      </c>
      <c r="L14">
        <v>204000</v>
      </c>
      <c r="M14" s="17">
        <f t="shared" si="2"/>
        <v>40800</v>
      </c>
      <c r="O14" s="17">
        <f t="shared" si="0"/>
        <v>53040</v>
      </c>
      <c r="P14" s="17">
        <v>0</v>
      </c>
      <c r="Q14" s="18">
        <v>0.12</v>
      </c>
      <c r="R14" s="17">
        <v>0</v>
      </c>
      <c r="S14" s="19">
        <v>0</v>
      </c>
      <c r="T14" s="17">
        <v>0</v>
      </c>
      <c r="U14" s="18">
        <v>0.15</v>
      </c>
      <c r="V14" s="17">
        <v>0</v>
      </c>
      <c r="W14" s="18">
        <v>0</v>
      </c>
      <c r="X14" s="17">
        <f t="shared" si="3"/>
        <v>40800</v>
      </c>
      <c r="Y14" s="18">
        <v>0.25</v>
      </c>
      <c r="Z14" s="17">
        <f t="shared" si="4"/>
        <v>51000</v>
      </c>
      <c r="AA14" s="18">
        <f t="shared" si="1"/>
        <v>0.2</v>
      </c>
      <c r="AB14" s="18">
        <v>0.1</v>
      </c>
    </row>
    <row r="15" spans="1:28">
      <c r="A15">
        <v>2026</v>
      </c>
      <c r="B15" t="s">
        <v>153</v>
      </c>
      <c r="C15" t="s">
        <v>149</v>
      </c>
      <c r="D15" t="s">
        <v>150</v>
      </c>
      <c r="E15">
        <v>603422</v>
      </c>
      <c r="G15" t="s">
        <v>148</v>
      </c>
      <c r="H15" t="s">
        <v>148</v>
      </c>
      <c r="I15" t="s">
        <v>74</v>
      </c>
      <c r="J15" t="s">
        <v>29</v>
      </c>
      <c r="K15">
        <v>5</v>
      </c>
      <c r="L15">
        <v>49000</v>
      </c>
      <c r="M15" s="17">
        <f t="shared" si="2"/>
        <v>9800</v>
      </c>
      <c r="O15" s="17">
        <f t="shared" si="0"/>
        <v>12740</v>
      </c>
      <c r="P15" s="17">
        <v>0</v>
      </c>
      <c r="Q15" s="18">
        <v>0.25</v>
      </c>
      <c r="R15" s="17">
        <v>0</v>
      </c>
      <c r="S15" s="19">
        <v>0</v>
      </c>
      <c r="T15" s="17">
        <v>0</v>
      </c>
      <c r="U15" s="18">
        <v>0.18</v>
      </c>
      <c r="V15" s="17">
        <v>0</v>
      </c>
      <c r="W15" s="18">
        <v>0</v>
      </c>
      <c r="X15" s="17">
        <f t="shared" si="3"/>
        <v>9800</v>
      </c>
      <c r="Y15" s="18">
        <v>0.35</v>
      </c>
      <c r="Z15" s="17">
        <f t="shared" si="4"/>
        <v>13230</v>
      </c>
      <c r="AA15" s="18">
        <f t="shared" si="1"/>
        <v>0.25925925925925924</v>
      </c>
      <c r="AB15" s="18">
        <v>0.1</v>
      </c>
    </row>
    <row r="16" spans="1:28">
      <c r="A16">
        <v>2026</v>
      </c>
      <c r="B16" t="s">
        <v>153</v>
      </c>
      <c r="C16" t="s">
        <v>149</v>
      </c>
      <c r="D16" t="s">
        <v>150</v>
      </c>
      <c r="E16">
        <v>603423</v>
      </c>
      <c r="G16" t="s">
        <v>148</v>
      </c>
      <c r="H16" t="s">
        <v>148</v>
      </c>
      <c r="I16" t="s">
        <v>165</v>
      </c>
      <c r="J16" t="s">
        <v>22</v>
      </c>
      <c r="K16">
        <v>10</v>
      </c>
      <c r="L16">
        <v>224100</v>
      </c>
      <c r="M16" s="17">
        <f t="shared" si="2"/>
        <v>22410</v>
      </c>
      <c r="O16" s="17">
        <f t="shared" si="0"/>
        <v>29133</v>
      </c>
      <c r="P16" s="17">
        <v>0</v>
      </c>
      <c r="Q16" s="18">
        <v>0.1</v>
      </c>
      <c r="R16" s="17">
        <v>0</v>
      </c>
      <c r="S16" s="19">
        <v>0</v>
      </c>
      <c r="T16" s="17">
        <v>0</v>
      </c>
      <c r="U16" s="18">
        <v>0.28999999999999998</v>
      </c>
      <c r="V16" s="17">
        <v>0</v>
      </c>
      <c r="W16" s="18">
        <v>0</v>
      </c>
      <c r="X16" s="17">
        <f t="shared" si="3"/>
        <v>22410</v>
      </c>
      <c r="Y16" s="18">
        <v>0.12</v>
      </c>
      <c r="Z16" s="17">
        <f t="shared" si="4"/>
        <v>25099.200000000001</v>
      </c>
      <c r="AA16" s="18">
        <f t="shared" si="1"/>
        <v>0.10714285714285716</v>
      </c>
      <c r="AB16" s="18">
        <v>0.1</v>
      </c>
    </row>
    <row r="17" spans="1:28">
      <c r="A17">
        <v>2026</v>
      </c>
      <c r="B17" t="s">
        <v>153</v>
      </c>
      <c r="C17" t="s">
        <v>149</v>
      </c>
      <c r="D17" t="s">
        <v>150</v>
      </c>
      <c r="E17">
        <v>603420</v>
      </c>
      <c r="G17" t="s">
        <v>148</v>
      </c>
      <c r="H17" t="s">
        <v>148</v>
      </c>
      <c r="I17" t="s">
        <v>81</v>
      </c>
      <c r="J17" t="s">
        <v>22</v>
      </c>
      <c r="K17">
        <v>10</v>
      </c>
      <c r="L17">
        <v>38000</v>
      </c>
      <c r="M17" s="17">
        <f t="shared" si="2"/>
        <v>3800</v>
      </c>
      <c r="O17" s="17">
        <f t="shared" si="0"/>
        <v>4940</v>
      </c>
      <c r="P17" s="17">
        <v>0</v>
      </c>
      <c r="Q17" s="18">
        <v>0.35</v>
      </c>
      <c r="R17" s="17">
        <v>0</v>
      </c>
      <c r="S17" s="19">
        <v>0</v>
      </c>
      <c r="T17" s="17">
        <v>0</v>
      </c>
      <c r="U17" s="18">
        <v>0.34</v>
      </c>
      <c r="V17" s="17">
        <v>0</v>
      </c>
      <c r="W17" s="18">
        <v>0</v>
      </c>
      <c r="X17" s="17">
        <f t="shared" si="3"/>
        <v>3800</v>
      </c>
      <c r="Y17" s="18">
        <v>0.25</v>
      </c>
      <c r="Z17" s="17">
        <f t="shared" si="4"/>
        <v>4750</v>
      </c>
      <c r="AA17" s="18">
        <f t="shared" si="1"/>
        <v>0.2</v>
      </c>
      <c r="AB17" s="18">
        <v>0.1</v>
      </c>
    </row>
    <row r="18" spans="1:28">
      <c r="A18">
        <v>2026</v>
      </c>
      <c r="B18" t="s">
        <v>153</v>
      </c>
      <c r="C18" t="s">
        <v>149</v>
      </c>
      <c r="D18" t="s">
        <v>150</v>
      </c>
      <c r="E18">
        <v>603424</v>
      </c>
      <c r="G18" t="s">
        <v>148</v>
      </c>
      <c r="H18" t="s">
        <v>148</v>
      </c>
      <c r="I18" t="s">
        <v>83</v>
      </c>
      <c r="J18" t="s">
        <v>22</v>
      </c>
      <c r="K18">
        <v>10</v>
      </c>
      <c r="L18">
        <v>39800</v>
      </c>
      <c r="M18" s="17">
        <f t="shared" si="2"/>
        <v>3980</v>
      </c>
      <c r="O18" s="17">
        <f t="shared" si="0"/>
        <v>5174</v>
      </c>
      <c r="P18" s="17">
        <v>0</v>
      </c>
      <c r="Q18" s="18">
        <v>0.33</v>
      </c>
      <c r="R18" s="17">
        <v>0</v>
      </c>
      <c r="S18" s="19">
        <v>0</v>
      </c>
      <c r="T18" s="17">
        <v>0</v>
      </c>
      <c r="U18" s="18">
        <v>0.25</v>
      </c>
      <c r="V18" s="17">
        <v>0</v>
      </c>
      <c r="W18" s="18">
        <v>0</v>
      </c>
      <c r="X18" s="17">
        <f t="shared" si="3"/>
        <v>3980</v>
      </c>
      <c r="Y18" s="18">
        <v>0.1</v>
      </c>
      <c r="Z18" s="17">
        <f t="shared" si="4"/>
        <v>4378</v>
      </c>
      <c r="AA18" s="18">
        <f t="shared" si="1"/>
        <v>9.0909090909090912E-2</v>
      </c>
      <c r="AB18" s="18">
        <v>0.1</v>
      </c>
    </row>
    <row r="19" spans="1:28">
      <c r="A19">
        <v>2026</v>
      </c>
      <c r="B19" t="s">
        <v>153</v>
      </c>
      <c r="C19" t="s">
        <v>149</v>
      </c>
      <c r="D19" t="s">
        <v>150</v>
      </c>
      <c r="E19">
        <v>583300</v>
      </c>
      <c r="G19" t="s">
        <v>148</v>
      </c>
      <c r="H19" t="s">
        <v>148</v>
      </c>
      <c r="I19" t="s">
        <v>97</v>
      </c>
      <c r="J19" t="s">
        <v>12</v>
      </c>
      <c r="K19">
        <v>1</v>
      </c>
      <c r="L19">
        <v>43500</v>
      </c>
      <c r="M19" s="17">
        <f t="shared" si="2"/>
        <v>43500</v>
      </c>
      <c r="O19" s="17">
        <f t="shared" si="0"/>
        <v>56550</v>
      </c>
      <c r="P19" s="17">
        <v>0</v>
      </c>
      <c r="Q19" s="18">
        <v>0.31</v>
      </c>
      <c r="R19" s="17">
        <v>0</v>
      </c>
      <c r="S19" s="19">
        <v>0</v>
      </c>
      <c r="T19" s="17">
        <v>0</v>
      </c>
      <c r="U19" s="18">
        <v>0.35</v>
      </c>
      <c r="V19" s="17">
        <v>0</v>
      </c>
      <c r="W19" s="18">
        <v>0</v>
      </c>
      <c r="X19" s="17">
        <f t="shared" si="3"/>
        <v>43500</v>
      </c>
      <c r="Y19" s="18">
        <v>0.35</v>
      </c>
      <c r="Z19" s="17">
        <f t="shared" si="4"/>
        <v>58725</v>
      </c>
      <c r="AA19" s="18">
        <f t="shared" si="1"/>
        <v>0.25925925925925924</v>
      </c>
      <c r="AB19" s="18">
        <v>0.1</v>
      </c>
    </row>
    <row r="20" spans="1:28">
      <c r="A20">
        <v>2026</v>
      </c>
      <c r="B20" t="s">
        <v>153</v>
      </c>
      <c r="C20" t="s">
        <v>149</v>
      </c>
      <c r="D20" t="s">
        <v>150</v>
      </c>
      <c r="E20">
        <v>583400</v>
      </c>
      <c r="G20" t="s">
        <v>148</v>
      </c>
      <c r="H20" t="s">
        <v>148</v>
      </c>
      <c r="I20" t="s">
        <v>105</v>
      </c>
      <c r="J20" t="s">
        <v>166</v>
      </c>
      <c r="K20">
        <v>2</v>
      </c>
      <c r="L20">
        <v>67900</v>
      </c>
      <c r="M20" s="17">
        <f>(L20/10)*2</f>
        <v>13580</v>
      </c>
      <c r="O20" s="17">
        <f t="shared" si="0"/>
        <v>17654</v>
      </c>
      <c r="P20" s="17">
        <v>0</v>
      </c>
      <c r="Q20" s="18">
        <v>0.3</v>
      </c>
      <c r="R20" s="17">
        <v>0</v>
      </c>
      <c r="S20" s="19">
        <v>0</v>
      </c>
      <c r="T20" s="17">
        <v>0</v>
      </c>
      <c r="U20" s="18">
        <v>0.12</v>
      </c>
      <c r="V20" s="17">
        <v>0</v>
      </c>
      <c r="W20" s="18">
        <v>0</v>
      </c>
      <c r="X20" s="17">
        <f t="shared" si="3"/>
        <v>13580</v>
      </c>
      <c r="Y20" s="18">
        <v>0.33</v>
      </c>
      <c r="Z20" s="17">
        <f t="shared" si="4"/>
        <v>18061.400000000001</v>
      </c>
      <c r="AA20" s="18">
        <f t="shared" si="1"/>
        <v>0.24812030075187977</v>
      </c>
      <c r="AB20" s="18">
        <v>0.1</v>
      </c>
    </row>
    <row r="21" spans="1:28">
      <c r="A21">
        <v>2026</v>
      </c>
      <c r="B21" t="s">
        <v>153</v>
      </c>
      <c r="C21" t="s">
        <v>149</v>
      </c>
      <c r="D21" t="s">
        <v>150</v>
      </c>
      <c r="E21">
        <v>583500</v>
      </c>
      <c r="G21" t="s">
        <v>148</v>
      </c>
      <c r="H21" t="s">
        <v>148</v>
      </c>
      <c r="I21" t="s">
        <v>107</v>
      </c>
      <c r="J21" t="s">
        <v>166</v>
      </c>
      <c r="K21">
        <v>2</v>
      </c>
      <c r="L21">
        <v>50300</v>
      </c>
      <c r="M21" s="17">
        <f>(L21/10)*2</f>
        <v>10060</v>
      </c>
      <c r="O21" s="17">
        <f t="shared" si="0"/>
        <v>13078</v>
      </c>
      <c r="P21" s="17">
        <v>0</v>
      </c>
      <c r="Q21" s="18">
        <v>0.28000000000000003</v>
      </c>
      <c r="R21" s="17">
        <v>0</v>
      </c>
      <c r="S21" s="19">
        <v>0</v>
      </c>
      <c r="T21" s="17">
        <v>0</v>
      </c>
      <c r="U21" s="18">
        <v>0.25</v>
      </c>
      <c r="V21" s="17">
        <v>0</v>
      </c>
      <c r="W21" s="18">
        <v>0</v>
      </c>
      <c r="X21" s="17">
        <f t="shared" si="3"/>
        <v>10060</v>
      </c>
      <c r="Y21" s="18">
        <v>0.31</v>
      </c>
      <c r="Z21" s="17">
        <f t="shared" si="4"/>
        <v>13178.6</v>
      </c>
      <c r="AA21" s="18">
        <f t="shared" si="1"/>
        <v>0.23664122137404583</v>
      </c>
      <c r="AB21" s="18">
        <v>0.1</v>
      </c>
    </row>
    <row r="22" spans="1:28">
      <c r="A22">
        <v>2026</v>
      </c>
      <c r="B22" t="s">
        <v>154</v>
      </c>
      <c r="C22" t="s">
        <v>149</v>
      </c>
      <c r="D22" t="s">
        <v>150</v>
      </c>
      <c r="E22">
        <v>360001</v>
      </c>
      <c r="G22" t="s">
        <v>148</v>
      </c>
      <c r="H22" t="s">
        <v>148</v>
      </c>
      <c r="I22" t="s">
        <v>11</v>
      </c>
      <c r="J22" t="s">
        <v>12</v>
      </c>
      <c r="K22">
        <v>40</v>
      </c>
      <c r="L22">
        <v>893800</v>
      </c>
      <c r="M22" s="17">
        <f>L22/K22</f>
        <v>22345</v>
      </c>
      <c r="O22" s="17">
        <f t="shared" ref="O22:O41" si="5">M22+(M22*30%)</f>
        <v>29048.5</v>
      </c>
      <c r="P22" s="17">
        <v>0</v>
      </c>
      <c r="Q22" s="18">
        <v>0.3</v>
      </c>
      <c r="R22" s="17">
        <v>0</v>
      </c>
      <c r="S22" s="19">
        <v>0</v>
      </c>
      <c r="T22" s="17">
        <v>0</v>
      </c>
      <c r="U22" s="18">
        <v>0.12</v>
      </c>
      <c r="V22" s="17">
        <v>0</v>
      </c>
      <c r="W22" s="18">
        <v>0</v>
      </c>
      <c r="X22" s="17">
        <f>M22</f>
        <v>22345</v>
      </c>
      <c r="Y22" s="18">
        <v>0.33</v>
      </c>
      <c r="Z22" s="17">
        <f>X22+(X22*Y22)</f>
        <v>29718.85</v>
      </c>
      <c r="AA22" s="18">
        <f t="shared" ref="AA22:AA41" si="6">IFERROR(((Z22-X22)/Z22),0)</f>
        <v>0.24812030075187966</v>
      </c>
      <c r="AB22" s="18">
        <v>0.1</v>
      </c>
    </row>
    <row r="23" spans="1:28">
      <c r="A23">
        <v>2026</v>
      </c>
      <c r="B23" t="s">
        <v>154</v>
      </c>
      <c r="C23" t="s">
        <v>149</v>
      </c>
      <c r="D23" t="s">
        <v>150</v>
      </c>
      <c r="E23">
        <v>360102</v>
      </c>
      <c r="G23" t="s">
        <v>148</v>
      </c>
      <c r="H23" t="s">
        <v>148</v>
      </c>
      <c r="I23" t="s">
        <v>18</v>
      </c>
      <c r="J23" t="s">
        <v>12</v>
      </c>
      <c r="K23">
        <v>250</v>
      </c>
      <c r="L23">
        <v>80300</v>
      </c>
      <c r="M23" s="17">
        <f t="shared" ref="M23:M39" si="7">L23/K23</f>
        <v>321.2</v>
      </c>
      <c r="O23" s="17">
        <f t="shared" si="5"/>
        <v>417.56</v>
      </c>
      <c r="P23" s="17">
        <v>0</v>
      </c>
      <c r="Q23" s="18">
        <v>0.28000000000000003</v>
      </c>
      <c r="R23" s="17">
        <v>0</v>
      </c>
      <c r="S23" s="19">
        <v>0</v>
      </c>
      <c r="T23" s="17">
        <v>0</v>
      </c>
      <c r="U23" s="18">
        <v>0.25</v>
      </c>
      <c r="V23" s="17">
        <v>0</v>
      </c>
      <c r="W23" s="18">
        <v>0</v>
      </c>
      <c r="X23" s="17">
        <f t="shared" ref="X23:X41" si="8">M23</f>
        <v>321.2</v>
      </c>
      <c r="Y23" s="18">
        <v>0.31</v>
      </c>
      <c r="Z23" s="17">
        <f t="shared" ref="Z23:Z41" si="9">X23+(X23*Y23)</f>
        <v>420.77199999999999</v>
      </c>
      <c r="AA23" s="18">
        <f t="shared" si="6"/>
        <v>0.23664122137404581</v>
      </c>
      <c r="AB23" s="18">
        <v>0.1</v>
      </c>
    </row>
    <row r="24" spans="1:28">
      <c r="A24">
        <v>2026</v>
      </c>
      <c r="B24" t="s">
        <v>154</v>
      </c>
      <c r="C24" t="s">
        <v>149</v>
      </c>
      <c r="D24" t="s">
        <v>150</v>
      </c>
      <c r="E24">
        <v>360104</v>
      </c>
      <c r="G24" t="s">
        <v>148</v>
      </c>
      <c r="H24" t="s">
        <v>148</v>
      </c>
      <c r="I24" t="s">
        <v>26</v>
      </c>
      <c r="J24" t="s">
        <v>22</v>
      </c>
      <c r="K24">
        <v>10</v>
      </c>
      <c r="L24">
        <v>28800</v>
      </c>
      <c r="M24" s="17">
        <f t="shared" si="7"/>
        <v>2880</v>
      </c>
      <c r="O24" s="17">
        <f t="shared" si="5"/>
        <v>3744</v>
      </c>
      <c r="P24" s="17">
        <v>0</v>
      </c>
      <c r="Q24" s="18">
        <v>0.27</v>
      </c>
      <c r="R24" s="17">
        <v>0</v>
      </c>
      <c r="S24" s="19">
        <v>0</v>
      </c>
      <c r="T24" s="17">
        <v>0</v>
      </c>
      <c r="U24" s="18">
        <v>0.1</v>
      </c>
      <c r="V24" s="17">
        <v>0</v>
      </c>
      <c r="W24" s="18">
        <v>0</v>
      </c>
      <c r="X24" s="17">
        <f t="shared" si="8"/>
        <v>2880</v>
      </c>
      <c r="Y24" s="18">
        <v>0.3</v>
      </c>
      <c r="Z24" s="17">
        <f t="shared" si="9"/>
        <v>3744</v>
      </c>
      <c r="AA24" s="18">
        <f t="shared" si="6"/>
        <v>0.23076923076923078</v>
      </c>
      <c r="AB24" s="18">
        <v>0.1</v>
      </c>
    </row>
    <row r="25" spans="1:28">
      <c r="A25">
        <v>2026</v>
      </c>
      <c r="B25" t="s">
        <v>154</v>
      </c>
      <c r="C25" t="s">
        <v>149</v>
      </c>
      <c r="D25" t="s">
        <v>150</v>
      </c>
      <c r="E25">
        <v>360100</v>
      </c>
      <c r="G25" t="s">
        <v>148</v>
      </c>
      <c r="H25" t="s">
        <v>148</v>
      </c>
      <c r="I25" t="s">
        <v>35</v>
      </c>
      <c r="J25" t="s">
        <v>22</v>
      </c>
      <c r="K25">
        <v>10</v>
      </c>
      <c r="L25">
        <v>36700</v>
      </c>
      <c r="M25" s="17">
        <f t="shared" si="7"/>
        <v>3670</v>
      </c>
      <c r="O25" s="17">
        <f t="shared" si="5"/>
        <v>4771</v>
      </c>
      <c r="P25" s="17">
        <v>0</v>
      </c>
      <c r="Q25" s="18">
        <v>0.17</v>
      </c>
      <c r="R25" s="17">
        <v>0</v>
      </c>
      <c r="S25" s="19">
        <v>0</v>
      </c>
      <c r="T25" s="17">
        <v>0</v>
      </c>
      <c r="U25" s="18">
        <v>0.35</v>
      </c>
      <c r="V25" s="17">
        <v>0</v>
      </c>
      <c r="W25" s="18">
        <v>0</v>
      </c>
      <c r="X25" s="17">
        <f t="shared" si="8"/>
        <v>3670</v>
      </c>
      <c r="Y25" s="18">
        <v>0.28000000000000003</v>
      </c>
      <c r="Z25" s="17">
        <f t="shared" si="9"/>
        <v>4697.6000000000004</v>
      </c>
      <c r="AA25" s="18">
        <f t="shared" si="6"/>
        <v>0.21875000000000006</v>
      </c>
      <c r="AB25" s="18">
        <v>0.1</v>
      </c>
    </row>
    <row r="26" spans="1:28">
      <c r="A26">
        <v>2026</v>
      </c>
      <c r="B26" t="s">
        <v>154</v>
      </c>
      <c r="C26" t="s">
        <v>149</v>
      </c>
      <c r="D26" t="s">
        <v>150</v>
      </c>
      <c r="E26">
        <v>360150</v>
      </c>
      <c r="G26" t="s">
        <v>148</v>
      </c>
      <c r="H26" t="s">
        <v>148</v>
      </c>
      <c r="I26" t="s">
        <v>159</v>
      </c>
      <c r="J26" t="s">
        <v>29</v>
      </c>
      <c r="K26">
        <v>5</v>
      </c>
      <c r="L26">
        <v>28000</v>
      </c>
      <c r="M26" s="17">
        <f t="shared" si="7"/>
        <v>5600</v>
      </c>
      <c r="O26" s="17">
        <f t="shared" si="5"/>
        <v>7280</v>
      </c>
      <c r="P26" s="17">
        <v>0</v>
      </c>
      <c r="Q26" s="18">
        <v>0.22</v>
      </c>
      <c r="R26" s="17">
        <v>0</v>
      </c>
      <c r="S26" s="19">
        <v>0</v>
      </c>
      <c r="T26" s="17">
        <v>0</v>
      </c>
      <c r="U26" s="18">
        <v>0.33</v>
      </c>
      <c r="V26" s="17">
        <v>0</v>
      </c>
      <c r="W26" s="18">
        <v>0</v>
      </c>
      <c r="X26" s="17">
        <f t="shared" si="8"/>
        <v>5600</v>
      </c>
      <c r="Y26" s="18">
        <v>0.27</v>
      </c>
      <c r="Z26" s="17">
        <f t="shared" si="9"/>
        <v>7112</v>
      </c>
      <c r="AA26" s="18">
        <f t="shared" si="6"/>
        <v>0.2125984251968504</v>
      </c>
      <c r="AB26" s="18">
        <v>0.1</v>
      </c>
    </row>
    <row r="27" spans="1:28">
      <c r="A27">
        <v>2026</v>
      </c>
      <c r="B27" t="s">
        <v>154</v>
      </c>
      <c r="C27" t="s">
        <v>149</v>
      </c>
      <c r="D27" t="s">
        <v>150</v>
      </c>
      <c r="E27">
        <v>360101</v>
      </c>
      <c r="G27" t="s">
        <v>148</v>
      </c>
      <c r="H27" t="s">
        <v>148</v>
      </c>
      <c r="I27" t="s">
        <v>50</v>
      </c>
      <c r="J27" t="s">
        <v>29</v>
      </c>
      <c r="K27">
        <v>5</v>
      </c>
      <c r="L27">
        <v>36700</v>
      </c>
      <c r="M27" s="17">
        <f t="shared" si="7"/>
        <v>7340</v>
      </c>
      <c r="O27" s="17">
        <f t="shared" si="5"/>
        <v>9542</v>
      </c>
      <c r="P27" s="17">
        <v>0</v>
      </c>
      <c r="Q27" s="18">
        <v>0.12</v>
      </c>
      <c r="R27" s="17">
        <v>0</v>
      </c>
      <c r="S27" s="19">
        <v>0</v>
      </c>
      <c r="T27" s="17">
        <v>0</v>
      </c>
      <c r="U27" s="18">
        <v>0.31</v>
      </c>
      <c r="V27" s="17">
        <v>0</v>
      </c>
      <c r="W27" s="18">
        <v>0</v>
      </c>
      <c r="X27" s="17">
        <f t="shared" si="8"/>
        <v>7340</v>
      </c>
      <c r="Y27" s="18">
        <v>0.17</v>
      </c>
      <c r="Z27" s="17">
        <f t="shared" si="9"/>
        <v>8587.7999999999993</v>
      </c>
      <c r="AA27" s="18">
        <f t="shared" si="6"/>
        <v>0.14529914529914523</v>
      </c>
      <c r="AB27" s="18">
        <v>0.1</v>
      </c>
    </row>
    <row r="28" spans="1:28">
      <c r="A28">
        <v>2026</v>
      </c>
      <c r="B28" t="s">
        <v>154</v>
      </c>
      <c r="C28" t="s">
        <v>149</v>
      </c>
      <c r="D28" t="s">
        <v>150</v>
      </c>
      <c r="E28">
        <v>360103</v>
      </c>
      <c r="G28" t="s">
        <v>148</v>
      </c>
      <c r="H28" t="s">
        <v>148</v>
      </c>
      <c r="I28" t="s">
        <v>59</v>
      </c>
      <c r="J28" t="s">
        <v>29</v>
      </c>
      <c r="K28">
        <v>5</v>
      </c>
      <c r="L28">
        <v>21900</v>
      </c>
      <c r="M28" s="17">
        <f t="shared" si="7"/>
        <v>4380</v>
      </c>
      <c r="O28" s="17">
        <f t="shared" si="5"/>
        <v>5694</v>
      </c>
      <c r="P28" s="17">
        <v>0</v>
      </c>
      <c r="Q28" s="18">
        <v>0.15</v>
      </c>
      <c r="R28" s="17">
        <v>0</v>
      </c>
      <c r="S28" s="19">
        <v>0</v>
      </c>
      <c r="T28" s="17">
        <v>0</v>
      </c>
      <c r="U28" s="18">
        <v>0.3</v>
      </c>
      <c r="V28" s="17">
        <v>0</v>
      </c>
      <c r="W28" s="18">
        <v>0</v>
      </c>
      <c r="X28" s="17">
        <f t="shared" si="8"/>
        <v>4380</v>
      </c>
      <c r="Y28" s="18">
        <v>0.22</v>
      </c>
      <c r="Z28" s="17">
        <f t="shared" si="9"/>
        <v>5343.6</v>
      </c>
      <c r="AA28" s="18">
        <f t="shared" si="6"/>
        <v>0.18032786885245908</v>
      </c>
      <c r="AB28" s="18">
        <v>0.1</v>
      </c>
    </row>
    <row r="29" spans="1:28">
      <c r="A29">
        <v>2026</v>
      </c>
      <c r="B29" t="s">
        <v>154</v>
      </c>
      <c r="C29" t="s">
        <v>149</v>
      </c>
      <c r="D29" t="s">
        <v>150</v>
      </c>
      <c r="E29">
        <v>709900</v>
      </c>
      <c r="G29" t="s">
        <v>148</v>
      </c>
      <c r="H29" t="s">
        <v>148</v>
      </c>
      <c r="I29" t="s">
        <v>67</v>
      </c>
      <c r="J29" t="s">
        <v>29</v>
      </c>
      <c r="K29">
        <v>5</v>
      </c>
      <c r="L29">
        <v>114900</v>
      </c>
      <c r="M29" s="17">
        <f t="shared" si="7"/>
        <v>22980</v>
      </c>
      <c r="O29" s="17">
        <f t="shared" si="5"/>
        <v>29874</v>
      </c>
      <c r="P29" s="17">
        <v>0</v>
      </c>
      <c r="Q29" s="18">
        <v>0.18</v>
      </c>
      <c r="R29" s="17">
        <v>0</v>
      </c>
      <c r="S29" s="19">
        <v>0</v>
      </c>
      <c r="T29" s="17">
        <v>0</v>
      </c>
      <c r="U29" s="18">
        <v>0.28000000000000003</v>
      </c>
      <c r="V29" s="17">
        <v>0</v>
      </c>
      <c r="W29" s="18">
        <v>0</v>
      </c>
      <c r="X29" s="17">
        <f t="shared" si="8"/>
        <v>22980</v>
      </c>
      <c r="Y29" s="18">
        <v>0.12</v>
      </c>
      <c r="Z29" s="17">
        <f t="shared" si="9"/>
        <v>25737.599999999999</v>
      </c>
      <c r="AA29" s="18">
        <f t="shared" si="6"/>
        <v>0.1071428571428571</v>
      </c>
      <c r="AB29" s="18">
        <v>0.1</v>
      </c>
    </row>
    <row r="30" spans="1:28">
      <c r="A30">
        <v>2026</v>
      </c>
      <c r="B30" t="s">
        <v>154</v>
      </c>
      <c r="C30" t="s">
        <v>149</v>
      </c>
      <c r="D30" t="s">
        <v>150</v>
      </c>
      <c r="E30">
        <v>709902</v>
      </c>
      <c r="G30" t="s">
        <v>148</v>
      </c>
      <c r="H30" t="s">
        <v>148</v>
      </c>
      <c r="I30" t="s">
        <v>160</v>
      </c>
      <c r="J30" t="s">
        <v>29</v>
      </c>
      <c r="K30">
        <v>5</v>
      </c>
      <c r="L30">
        <v>28000</v>
      </c>
      <c r="M30" s="17">
        <f t="shared" si="7"/>
        <v>5600</v>
      </c>
      <c r="O30" s="17">
        <f t="shared" si="5"/>
        <v>7280</v>
      </c>
      <c r="P30" s="17">
        <v>0</v>
      </c>
      <c r="Q30" s="18">
        <v>0.28999999999999998</v>
      </c>
      <c r="R30" s="17">
        <v>0</v>
      </c>
      <c r="S30" s="19">
        <v>0</v>
      </c>
      <c r="T30" s="17">
        <v>0</v>
      </c>
      <c r="U30" s="18">
        <v>0.27</v>
      </c>
      <c r="V30" s="17">
        <v>0</v>
      </c>
      <c r="W30" s="18">
        <v>0</v>
      </c>
      <c r="X30" s="17">
        <f t="shared" si="8"/>
        <v>5600</v>
      </c>
      <c r="Y30" s="18">
        <v>0.15</v>
      </c>
      <c r="Z30" s="17">
        <f t="shared" si="9"/>
        <v>6440</v>
      </c>
      <c r="AA30" s="18">
        <f t="shared" si="6"/>
        <v>0.13043478260869565</v>
      </c>
      <c r="AB30" s="18">
        <v>0.1</v>
      </c>
    </row>
    <row r="31" spans="1:28">
      <c r="A31">
        <v>2026</v>
      </c>
      <c r="B31" t="s">
        <v>154</v>
      </c>
      <c r="C31" t="s">
        <v>149</v>
      </c>
      <c r="D31" t="s">
        <v>150</v>
      </c>
      <c r="E31">
        <v>709903</v>
      </c>
      <c r="G31" t="s">
        <v>148</v>
      </c>
      <c r="H31" t="s">
        <v>148</v>
      </c>
      <c r="I31" t="s">
        <v>161</v>
      </c>
      <c r="J31" t="s">
        <v>29</v>
      </c>
      <c r="K31">
        <v>5</v>
      </c>
      <c r="L31">
        <v>49200</v>
      </c>
      <c r="M31" s="17">
        <f t="shared" si="7"/>
        <v>9840</v>
      </c>
      <c r="O31" s="17">
        <f t="shared" si="5"/>
        <v>12792</v>
      </c>
      <c r="P31" s="17">
        <v>0</v>
      </c>
      <c r="Q31" s="18">
        <v>0.34</v>
      </c>
      <c r="R31" s="17">
        <v>0</v>
      </c>
      <c r="S31" s="19">
        <v>0</v>
      </c>
      <c r="T31" s="17">
        <v>0</v>
      </c>
      <c r="U31" s="18">
        <v>0.17</v>
      </c>
      <c r="V31" s="17">
        <v>0</v>
      </c>
      <c r="W31" s="18">
        <v>0</v>
      </c>
      <c r="X31" s="17">
        <f t="shared" si="8"/>
        <v>9840</v>
      </c>
      <c r="Y31" s="18">
        <v>0.18</v>
      </c>
      <c r="Z31" s="17">
        <f t="shared" si="9"/>
        <v>11611.2</v>
      </c>
      <c r="AA31" s="18">
        <f t="shared" si="6"/>
        <v>0.152542372881356</v>
      </c>
      <c r="AB31" s="18">
        <v>0.1</v>
      </c>
    </row>
    <row r="32" spans="1:28">
      <c r="A32">
        <v>2026</v>
      </c>
      <c r="B32" t="s">
        <v>154</v>
      </c>
      <c r="C32" t="s">
        <v>149</v>
      </c>
      <c r="D32" t="s">
        <v>150</v>
      </c>
      <c r="E32">
        <v>709909</v>
      </c>
      <c r="G32" t="s">
        <v>148</v>
      </c>
      <c r="H32" t="s">
        <v>148</v>
      </c>
      <c r="I32" t="s">
        <v>162</v>
      </c>
      <c r="J32" t="s">
        <v>29</v>
      </c>
      <c r="K32">
        <v>5</v>
      </c>
      <c r="L32">
        <v>141600</v>
      </c>
      <c r="M32" s="17">
        <f t="shared" si="7"/>
        <v>28320</v>
      </c>
      <c r="O32" s="17">
        <f t="shared" si="5"/>
        <v>36816</v>
      </c>
      <c r="P32" s="17">
        <v>0</v>
      </c>
      <c r="Q32" s="18">
        <v>0.25</v>
      </c>
      <c r="R32" s="17">
        <v>0</v>
      </c>
      <c r="S32" s="19">
        <v>0</v>
      </c>
      <c r="T32" s="17">
        <v>0</v>
      </c>
      <c r="U32" s="18">
        <v>0.22</v>
      </c>
      <c r="V32" s="17">
        <v>0</v>
      </c>
      <c r="W32" s="18">
        <v>0</v>
      </c>
      <c r="X32" s="17">
        <f t="shared" si="8"/>
        <v>28320</v>
      </c>
      <c r="Y32" s="18">
        <v>0.28999999999999998</v>
      </c>
      <c r="Z32" s="17">
        <f t="shared" si="9"/>
        <v>36532.800000000003</v>
      </c>
      <c r="AA32" s="18">
        <f t="shared" si="6"/>
        <v>0.22480620155038766</v>
      </c>
      <c r="AB32" s="18">
        <v>0.1</v>
      </c>
    </row>
    <row r="33" spans="1:28">
      <c r="A33">
        <v>2026</v>
      </c>
      <c r="B33" t="s">
        <v>154</v>
      </c>
      <c r="C33" t="s">
        <v>149</v>
      </c>
      <c r="D33" t="s">
        <v>150</v>
      </c>
      <c r="E33">
        <v>709904</v>
      </c>
      <c r="G33" t="s">
        <v>148</v>
      </c>
      <c r="H33" t="s">
        <v>148</v>
      </c>
      <c r="I33" t="s">
        <v>163</v>
      </c>
      <c r="J33" t="s">
        <v>29</v>
      </c>
      <c r="K33">
        <v>5</v>
      </c>
      <c r="L33">
        <v>174700</v>
      </c>
      <c r="M33" s="17">
        <f t="shared" si="7"/>
        <v>34940</v>
      </c>
      <c r="O33" s="17">
        <f t="shared" si="5"/>
        <v>45422</v>
      </c>
      <c r="P33" s="17">
        <v>0</v>
      </c>
      <c r="Q33" s="18">
        <v>0.35</v>
      </c>
      <c r="R33" s="17">
        <v>0</v>
      </c>
      <c r="S33" s="19">
        <v>0</v>
      </c>
      <c r="T33" s="17">
        <v>0</v>
      </c>
      <c r="U33" s="18">
        <v>0.12</v>
      </c>
      <c r="V33" s="17">
        <v>0</v>
      </c>
      <c r="W33" s="18">
        <v>0</v>
      </c>
      <c r="X33" s="17">
        <f t="shared" si="8"/>
        <v>34940</v>
      </c>
      <c r="Y33" s="18">
        <v>0.34</v>
      </c>
      <c r="Z33" s="17">
        <f t="shared" si="9"/>
        <v>46819.6</v>
      </c>
      <c r="AA33" s="18">
        <f t="shared" si="6"/>
        <v>0.25373134328358204</v>
      </c>
      <c r="AB33" s="18">
        <v>0.1</v>
      </c>
    </row>
    <row r="34" spans="1:28">
      <c r="A34">
        <v>2026</v>
      </c>
      <c r="B34" t="s">
        <v>154</v>
      </c>
      <c r="C34" t="s">
        <v>149</v>
      </c>
      <c r="D34" t="s">
        <v>150</v>
      </c>
      <c r="E34">
        <v>603421</v>
      </c>
      <c r="G34" t="s">
        <v>148</v>
      </c>
      <c r="H34" t="s">
        <v>148</v>
      </c>
      <c r="I34" t="s">
        <v>164</v>
      </c>
      <c r="J34" t="s">
        <v>29</v>
      </c>
      <c r="K34">
        <v>5</v>
      </c>
      <c r="L34">
        <v>204000</v>
      </c>
      <c r="M34" s="17">
        <f t="shared" si="7"/>
        <v>40800</v>
      </c>
      <c r="O34" s="17">
        <f t="shared" si="5"/>
        <v>53040</v>
      </c>
      <c r="P34" s="17">
        <v>0</v>
      </c>
      <c r="Q34" s="18">
        <v>0.12</v>
      </c>
      <c r="R34" s="17">
        <v>0</v>
      </c>
      <c r="S34" s="19">
        <v>0</v>
      </c>
      <c r="T34" s="17">
        <v>0</v>
      </c>
      <c r="U34" s="18">
        <v>0.15</v>
      </c>
      <c r="V34" s="17">
        <v>0</v>
      </c>
      <c r="W34" s="18">
        <v>0</v>
      </c>
      <c r="X34" s="17">
        <f t="shared" si="8"/>
        <v>40800</v>
      </c>
      <c r="Y34" s="18">
        <v>0.25</v>
      </c>
      <c r="Z34" s="17">
        <f t="shared" si="9"/>
        <v>51000</v>
      </c>
      <c r="AA34" s="18">
        <f t="shared" si="6"/>
        <v>0.2</v>
      </c>
      <c r="AB34" s="18">
        <v>0.1</v>
      </c>
    </row>
    <row r="35" spans="1:28">
      <c r="A35">
        <v>2026</v>
      </c>
      <c r="B35" t="s">
        <v>154</v>
      </c>
      <c r="C35" t="s">
        <v>149</v>
      </c>
      <c r="D35" t="s">
        <v>150</v>
      </c>
      <c r="E35">
        <v>603422</v>
      </c>
      <c r="G35" t="s">
        <v>148</v>
      </c>
      <c r="H35" t="s">
        <v>148</v>
      </c>
      <c r="I35" t="s">
        <v>74</v>
      </c>
      <c r="J35" t="s">
        <v>29</v>
      </c>
      <c r="K35">
        <v>5</v>
      </c>
      <c r="L35">
        <v>49000</v>
      </c>
      <c r="M35" s="17">
        <f t="shared" si="7"/>
        <v>9800</v>
      </c>
      <c r="O35" s="17">
        <f t="shared" si="5"/>
        <v>12740</v>
      </c>
      <c r="P35" s="17">
        <v>0</v>
      </c>
      <c r="Q35" s="18">
        <v>0.25</v>
      </c>
      <c r="R35" s="17">
        <v>0</v>
      </c>
      <c r="S35" s="19">
        <v>0</v>
      </c>
      <c r="T35" s="17">
        <v>0</v>
      </c>
      <c r="U35" s="18">
        <v>0.18</v>
      </c>
      <c r="V35" s="17">
        <v>0</v>
      </c>
      <c r="W35" s="18">
        <v>0</v>
      </c>
      <c r="X35" s="17">
        <f t="shared" si="8"/>
        <v>9800</v>
      </c>
      <c r="Y35" s="18">
        <v>0.35</v>
      </c>
      <c r="Z35" s="17">
        <f t="shared" si="9"/>
        <v>13230</v>
      </c>
      <c r="AA35" s="18">
        <f t="shared" si="6"/>
        <v>0.25925925925925924</v>
      </c>
      <c r="AB35" s="18">
        <v>0.1</v>
      </c>
    </row>
    <row r="36" spans="1:28">
      <c r="A36">
        <v>2026</v>
      </c>
      <c r="B36" t="s">
        <v>154</v>
      </c>
      <c r="C36" t="s">
        <v>149</v>
      </c>
      <c r="D36" t="s">
        <v>150</v>
      </c>
      <c r="E36">
        <v>603423</v>
      </c>
      <c r="G36" t="s">
        <v>148</v>
      </c>
      <c r="H36" t="s">
        <v>148</v>
      </c>
      <c r="I36" t="s">
        <v>165</v>
      </c>
      <c r="J36" t="s">
        <v>22</v>
      </c>
      <c r="K36">
        <v>10</v>
      </c>
      <c r="L36">
        <v>224100</v>
      </c>
      <c r="M36" s="17">
        <f t="shared" si="7"/>
        <v>22410</v>
      </c>
      <c r="O36" s="17">
        <f t="shared" si="5"/>
        <v>29133</v>
      </c>
      <c r="P36" s="17">
        <v>0</v>
      </c>
      <c r="Q36" s="18">
        <v>0.1</v>
      </c>
      <c r="R36" s="17">
        <v>0</v>
      </c>
      <c r="S36" s="19">
        <v>0</v>
      </c>
      <c r="T36" s="17">
        <v>0</v>
      </c>
      <c r="U36" s="18">
        <v>0.28999999999999998</v>
      </c>
      <c r="V36" s="17">
        <v>0</v>
      </c>
      <c r="W36" s="18">
        <v>0</v>
      </c>
      <c r="X36" s="17">
        <f t="shared" si="8"/>
        <v>22410</v>
      </c>
      <c r="Y36" s="18">
        <v>0.12</v>
      </c>
      <c r="Z36" s="17">
        <f t="shared" si="9"/>
        <v>25099.200000000001</v>
      </c>
      <c r="AA36" s="18">
        <f t="shared" si="6"/>
        <v>0.10714285714285716</v>
      </c>
      <c r="AB36" s="18">
        <v>0.1</v>
      </c>
    </row>
    <row r="37" spans="1:28">
      <c r="A37">
        <v>2026</v>
      </c>
      <c r="B37" t="s">
        <v>154</v>
      </c>
      <c r="C37" t="s">
        <v>149</v>
      </c>
      <c r="D37" t="s">
        <v>150</v>
      </c>
      <c r="E37">
        <v>603420</v>
      </c>
      <c r="G37" t="s">
        <v>148</v>
      </c>
      <c r="H37" t="s">
        <v>148</v>
      </c>
      <c r="I37" t="s">
        <v>81</v>
      </c>
      <c r="J37" t="s">
        <v>22</v>
      </c>
      <c r="K37">
        <v>10</v>
      </c>
      <c r="L37">
        <v>38000</v>
      </c>
      <c r="M37" s="17">
        <f t="shared" si="7"/>
        <v>3800</v>
      </c>
      <c r="O37" s="17">
        <f t="shared" si="5"/>
        <v>4940</v>
      </c>
      <c r="P37" s="17">
        <v>0</v>
      </c>
      <c r="Q37" s="18">
        <v>0.35</v>
      </c>
      <c r="R37" s="17">
        <v>0</v>
      </c>
      <c r="S37" s="19">
        <v>0</v>
      </c>
      <c r="T37" s="17">
        <v>0</v>
      </c>
      <c r="U37" s="18">
        <v>0.34</v>
      </c>
      <c r="V37" s="17">
        <v>0</v>
      </c>
      <c r="W37" s="18">
        <v>0</v>
      </c>
      <c r="X37" s="17">
        <f t="shared" si="8"/>
        <v>3800</v>
      </c>
      <c r="Y37" s="18">
        <v>0.25</v>
      </c>
      <c r="Z37" s="17">
        <f t="shared" si="9"/>
        <v>4750</v>
      </c>
      <c r="AA37" s="18">
        <f t="shared" si="6"/>
        <v>0.2</v>
      </c>
      <c r="AB37" s="18">
        <v>0.1</v>
      </c>
    </row>
    <row r="38" spans="1:28">
      <c r="A38">
        <v>2026</v>
      </c>
      <c r="B38" t="s">
        <v>154</v>
      </c>
      <c r="C38" t="s">
        <v>149</v>
      </c>
      <c r="D38" t="s">
        <v>150</v>
      </c>
      <c r="E38">
        <v>603424</v>
      </c>
      <c r="G38" t="s">
        <v>148</v>
      </c>
      <c r="H38" t="s">
        <v>148</v>
      </c>
      <c r="I38" t="s">
        <v>83</v>
      </c>
      <c r="J38" t="s">
        <v>22</v>
      </c>
      <c r="K38">
        <v>10</v>
      </c>
      <c r="L38">
        <v>39800</v>
      </c>
      <c r="M38" s="17">
        <f t="shared" si="7"/>
        <v>3980</v>
      </c>
      <c r="O38" s="17">
        <f t="shared" si="5"/>
        <v>5174</v>
      </c>
      <c r="P38" s="17">
        <v>0</v>
      </c>
      <c r="Q38" s="18">
        <v>0.33</v>
      </c>
      <c r="R38" s="17">
        <v>0</v>
      </c>
      <c r="S38" s="19">
        <v>0</v>
      </c>
      <c r="T38" s="17">
        <v>0</v>
      </c>
      <c r="U38" s="18">
        <v>0.25</v>
      </c>
      <c r="V38" s="17">
        <v>0</v>
      </c>
      <c r="W38" s="18">
        <v>0</v>
      </c>
      <c r="X38" s="17">
        <f t="shared" si="8"/>
        <v>3980</v>
      </c>
      <c r="Y38" s="18">
        <v>0.1</v>
      </c>
      <c r="Z38" s="17">
        <f t="shared" si="9"/>
        <v>4378</v>
      </c>
      <c r="AA38" s="18">
        <f t="shared" si="6"/>
        <v>9.0909090909090912E-2</v>
      </c>
      <c r="AB38" s="18">
        <v>0.1</v>
      </c>
    </row>
    <row r="39" spans="1:28">
      <c r="A39">
        <v>2026</v>
      </c>
      <c r="B39" t="s">
        <v>154</v>
      </c>
      <c r="C39" t="s">
        <v>149</v>
      </c>
      <c r="D39" t="s">
        <v>150</v>
      </c>
      <c r="E39">
        <v>583300</v>
      </c>
      <c r="G39" t="s">
        <v>148</v>
      </c>
      <c r="H39" t="s">
        <v>148</v>
      </c>
      <c r="I39" t="s">
        <v>97</v>
      </c>
      <c r="J39" t="s">
        <v>12</v>
      </c>
      <c r="K39">
        <v>1</v>
      </c>
      <c r="L39">
        <v>43500</v>
      </c>
      <c r="M39" s="17">
        <f t="shared" si="7"/>
        <v>43500</v>
      </c>
      <c r="O39" s="17">
        <f t="shared" si="5"/>
        <v>56550</v>
      </c>
      <c r="P39" s="17">
        <v>0</v>
      </c>
      <c r="Q39" s="18">
        <v>0.31</v>
      </c>
      <c r="R39" s="17">
        <v>0</v>
      </c>
      <c r="S39" s="19">
        <v>0</v>
      </c>
      <c r="T39" s="17">
        <v>0</v>
      </c>
      <c r="U39" s="18">
        <v>0.35</v>
      </c>
      <c r="V39" s="17">
        <v>0</v>
      </c>
      <c r="W39" s="18">
        <v>0</v>
      </c>
      <c r="X39" s="17">
        <f t="shared" si="8"/>
        <v>43500</v>
      </c>
      <c r="Y39" s="18">
        <v>0.35</v>
      </c>
      <c r="Z39" s="17">
        <f t="shared" si="9"/>
        <v>58725</v>
      </c>
      <c r="AA39" s="18">
        <f t="shared" si="6"/>
        <v>0.25925925925925924</v>
      </c>
      <c r="AB39" s="18">
        <v>0.1</v>
      </c>
    </row>
    <row r="40" spans="1:28">
      <c r="A40">
        <v>2026</v>
      </c>
      <c r="B40" t="s">
        <v>154</v>
      </c>
      <c r="C40" t="s">
        <v>149</v>
      </c>
      <c r="D40" t="s">
        <v>150</v>
      </c>
      <c r="E40">
        <v>583400</v>
      </c>
      <c r="G40" t="s">
        <v>148</v>
      </c>
      <c r="H40" t="s">
        <v>148</v>
      </c>
      <c r="I40" t="s">
        <v>105</v>
      </c>
      <c r="J40" t="s">
        <v>166</v>
      </c>
      <c r="K40">
        <v>2</v>
      </c>
      <c r="L40">
        <v>67900</v>
      </c>
      <c r="M40" s="17">
        <f>(L40/10)*2</f>
        <v>13580</v>
      </c>
      <c r="O40" s="17">
        <f t="shared" si="5"/>
        <v>17654</v>
      </c>
      <c r="P40" s="17">
        <v>0</v>
      </c>
      <c r="Q40" s="18">
        <v>0.3</v>
      </c>
      <c r="R40" s="17">
        <v>0</v>
      </c>
      <c r="S40" s="19">
        <v>0</v>
      </c>
      <c r="T40" s="17">
        <v>0</v>
      </c>
      <c r="U40" s="18">
        <v>0.12</v>
      </c>
      <c r="V40" s="17">
        <v>0</v>
      </c>
      <c r="W40" s="18">
        <v>0</v>
      </c>
      <c r="X40" s="17">
        <f t="shared" si="8"/>
        <v>13580</v>
      </c>
      <c r="Y40" s="18">
        <v>0.33</v>
      </c>
      <c r="Z40" s="17">
        <f t="shared" si="9"/>
        <v>18061.400000000001</v>
      </c>
      <c r="AA40" s="18">
        <f t="shared" si="6"/>
        <v>0.24812030075187977</v>
      </c>
      <c r="AB40" s="18">
        <v>0.1</v>
      </c>
    </row>
    <row r="41" spans="1:28">
      <c r="A41">
        <v>2026</v>
      </c>
      <c r="B41" t="s">
        <v>154</v>
      </c>
      <c r="C41" t="s">
        <v>149</v>
      </c>
      <c r="D41" t="s">
        <v>150</v>
      </c>
      <c r="E41">
        <v>583500</v>
      </c>
      <c r="G41" t="s">
        <v>148</v>
      </c>
      <c r="H41" t="s">
        <v>148</v>
      </c>
      <c r="I41" t="s">
        <v>107</v>
      </c>
      <c r="J41" t="s">
        <v>166</v>
      </c>
      <c r="K41">
        <v>2</v>
      </c>
      <c r="L41">
        <v>50300</v>
      </c>
      <c r="M41" s="17">
        <f>(L41/10)*2</f>
        <v>10060</v>
      </c>
      <c r="O41" s="17">
        <f t="shared" si="5"/>
        <v>13078</v>
      </c>
      <c r="P41" s="17">
        <v>0</v>
      </c>
      <c r="Q41" s="18">
        <v>0.28000000000000003</v>
      </c>
      <c r="R41" s="17">
        <v>0</v>
      </c>
      <c r="S41" s="19">
        <v>0</v>
      </c>
      <c r="T41" s="17">
        <v>0</v>
      </c>
      <c r="U41" s="18">
        <v>0.25</v>
      </c>
      <c r="V41" s="17">
        <v>0</v>
      </c>
      <c r="W41" s="18">
        <v>0</v>
      </c>
      <c r="X41" s="17">
        <f t="shared" si="8"/>
        <v>10060</v>
      </c>
      <c r="Y41" s="18">
        <v>0.31</v>
      </c>
      <c r="Z41" s="17">
        <f t="shared" si="9"/>
        <v>13178.6</v>
      </c>
      <c r="AA41" s="18">
        <f t="shared" si="6"/>
        <v>0.23664122137404583</v>
      </c>
      <c r="AB41" s="18">
        <v>0.1</v>
      </c>
    </row>
    <row r="42" spans="1:28">
      <c r="A42">
        <v>2026</v>
      </c>
      <c r="B42" t="s">
        <v>155</v>
      </c>
      <c r="C42" t="s">
        <v>149</v>
      </c>
      <c r="D42" t="s">
        <v>150</v>
      </c>
      <c r="E42">
        <v>360001</v>
      </c>
      <c r="G42" t="s">
        <v>148</v>
      </c>
      <c r="H42" t="s">
        <v>148</v>
      </c>
      <c r="I42" t="s">
        <v>11</v>
      </c>
      <c r="J42" t="s">
        <v>12</v>
      </c>
      <c r="K42">
        <v>40</v>
      </c>
      <c r="L42">
        <v>893800</v>
      </c>
      <c r="M42" s="17">
        <f>L42/K42</f>
        <v>22345</v>
      </c>
      <c r="O42" s="17">
        <f t="shared" ref="O42:O61" si="10">M42+(M42*30%)</f>
        <v>29048.5</v>
      </c>
      <c r="P42" s="17">
        <v>0</v>
      </c>
      <c r="Q42" s="18">
        <v>0.3</v>
      </c>
      <c r="R42" s="17">
        <v>0</v>
      </c>
      <c r="S42" s="19">
        <v>0</v>
      </c>
      <c r="T42" s="17">
        <v>0</v>
      </c>
      <c r="U42" s="18">
        <v>0.12</v>
      </c>
      <c r="V42" s="17">
        <v>0</v>
      </c>
      <c r="W42" s="18">
        <v>0</v>
      </c>
      <c r="X42" s="17">
        <f>M42</f>
        <v>22345</v>
      </c>
      <c r="Y42" s="18">
        <v>0.33</v>
      </c>
      <c r="Z42" s="17">
        <f>X42+(X42*Y42)</f>
        <v>29718.85</v>
      </c>
      <c r="AA42" s="18">
        <f t="shared" ref="AA42:AA61" si="11">IFERROR(((Z42-X42)/Z42),0)</f>
        <v>0.24812030075187966</v>
      </c>
      <c r="AB42" s="18">
        <v>0.1</v>
      </c>
    </row>
    <row r="43" spans="1:28">
      <c r="A43">
        <v>2026</v>
      </c>
      <c r="B43" t="s">
        <v>155</v>
      </c>
      <c r="C43" t="s">
        <v>149</v>
      </c>
      <c r="D43" t="s">
        <v>150</v>
      </c>
      <c r="E43">
        <v>360102</v>
      </c>
      <c r="G43" t="s">
        <v>148</v>
      </c>
      <c r="H43" t="s">
        <v>148</v>
      </c>
      <c r="I43" t="s">
        <v>18</v>
      </c>
      <c r="J43" t="s">
        <v>12</v>
      </c>
      <c r="K43">
        <v>250</v>
      </c>
      <c r="L43">
        <v>80300</v>
      </c>
      <c r="M43" s="17">
        <f t="shared" ref="M43:M59" si="12">L43/K43</f>
        <v>321.2</v>
      </c>
      <c r="O43" s="17">
        <f t="shared" si="10"/>
        <v>417.56</v>
      </c>
      <c r="P43" s="17">
        <v>0</v>
      </c>
      <c r="Q43" s="18">
        <v>0.28000000000000003</v>
      </c>
      <c r="R43" s="17">
        <v>0</v>
      </c>
      <c r="S43" s="19">
        <v>0</v>
      </c>
      <c r="T43" s="17">
        <v>0</v>
      </c>
      <c r="U43" s="18">
        <v>0.25</v>
      </c>
      <c r="V43" s="17">
        <v>0</v>
      </c>
      <c r="W43" s="18">
        <v>0</v>
      </c>
      <c r="X43" s="17">
        <f t="shared" ref="X43:X61" si="13">M43</f>
        <v>321.2</v>
      </c>
      <c r="Y43" s="18">
        <v>0.31</v>
      </c>
      <c r="Z43" s="17">
        <f t="shared" ref="Z43:Z61" si="14">X43+(X43*Y43)</f>
        <v>420.77199999999999</v>
      </c>
      <c r="AA43" s="18">
        <f t="shared" si="11"/>
        <v>0.23664122137404581</v>
      </c>
      <c r="AB43" s="18">
        <v>0.1</v>
      </c>
    </row>
    <row r="44" spans="1:28">
      <c r="A44">
        <v>2026</v>
      </c>
      <c r="B44" t="s">
        <v>155</v>
      </c>
      <c r="C44" t="s">
        <v>149</v>
      </c>
      <c r="D44" t="s">
        <v>150</v>
      </c>
      <c r="E44">
        <v>360104</v>
      </c>
      <c r="G44" t="s">
        <v>148</v>
      </c>
      <c r="H44" t="s">
        <v>148</v>
      </c>
      <c r="I44" t="s">
        <v>26</v>
      </c>
      <c r="J44" t="s">
        <v>22</v>
      </c>
      <c r="K44">
        <v>10</v>
      </c>
      <c r="L44">
        <v>28800</v>
      </c>
      <c r="M44" s="17">
        <f t="shared" si="12"/>
        <v>2880</v>
      </c>
      <c r="O44" s="17">
        <f t="shared" si="10"/>
        <v>3744</v>
      </c>
      <c r="P44" s="17">
        <v>0</v>
      </c>
      <c r="Q44" s="18">
        <v>0.27</v>
      </c>
      <c r="R44" s="17">
        <v>0</v>
      </c>
      <c r="S44" s="19">
        <v>0</v>
      </c>
      <c r="T44" s="17">
        <v>0</v>
      </c>
      <c r="U44" s="18">
        <v>0.1</v>
      </c>
      <c r="V44" s="17">
        <v>0</v>
      </c>
      <c r="W44" s="18">
        <v>0</v>
      </c>
      <c r="X44" s="17">
        <f t="shared" si="13"/>
        <v>2880</v>
      </c>
      <c r="Y44" s="18">
        <v>0.3</v>
      </c>
      <c r="Z44" s="17">
        <f t="shared" si="14"/>
        <v>3744</v>
      </c>
      <c r="AA44" s="18">
        <f t="shared" si="11"/>
        <v>0.23076923076923078</v>
      </c>
      <c r="AB44" s="18">
        <v>0.1</v>
      </c>
    </row>
    <row r="45" spans="1:28">
      <c r="A45">
        <v>2026</v>
      </c>
      <c r="B45" t="s">
        <v>155</v>
      </c>
      <c r="C45" t="s">
        <v>149</v>
      </c>
      <c r="D45" t="s">
        <v>150</v>
      </c>
      <c r="E45">
        <v>360100</v>
      </c>
      <c r="G45" t="s">
        <v>148</v>
      </c>
      <c r="H45" t="s">
        <v>148</v>
      </c>
      <c r="I45" t="s">
        <v>35</v>
      </c>
      <c r="J45" t="s">
        <v>22</v>
      </c>
      <c r="K45">
        <v>10</v>
      </c>
      <c r="L45">
        <v>36700</v>
      </c>
      <c r="M45" s="17">
        <f t="shared" si="12"/>
        <v>3670</v>
      </c>
      <c r="O45" s="17">
        <f t="shared" si="10"/>
        <v>4771</v>
      </c>
      <c r="P45" s="17">
        <v>0</v>
      </c>
      <c r="Q45" s="18">
        <v>0.17</v>
      </c>
      <c r="R45" s="17">
        <v>0</v>
      </c>
      <c r="S45" s="19">
        <v>0</v>
      </c>
      <c r="T45" s="17">
        <v>0</v>
      </c>
      <c r="U45" s="18">
        <v>0.35</v>
      </c>
      <c r="V45" s="17">
        <v>0</v>
      </c>
      <c r="W45" s="18">
        <v>0</v>
      </c>
      <c r="X45" s="17">
        <f t="shared" si="13"/>
        <v>3670</v>
      </c>
      <c r="Y45" s="18">
        <v>0.28000000000000003</v>
      </c>
      <c r="Z45" s="17">
        <f t="shared" si="14"/>
        <v>4697.6000000000004</v>
      </c>
      <c r="AA45" s="18">
        <f t="shared" si="11"/>
        <v>0.21875000000000006</v>
      </c>
      <c r="AB45" s="18">
        <v>0.1</v>
      </c>
    </row>
    <row r="46" spans="1:28">
      <c r="A46">
        <v>2026</v>
      </c>
      <c r="B46" t="s">
        <v>155</v>
      </c>
      <c r="C46" t="s">
        <v>149</v>
      </c>
      <c r="D46" t="s">
        <v>150</v>
      </c>
      <c r="E46">
        <v>360150</v>
      </c>
      <c r="G46" t="s">
        <v>148</v>
      </c>
      <c r="H46" t="s">
        <v>148</v>
      </c>
      <c r="I46" t="s">
        <v>159</v>
      </c>
      <c r="J46" t="s">
        <v>29</v>
      </c>
      <c r="K46">
        <v>5</v>
      </c>
      <c r="L46">
        <v>28000</v>
      </c>
      <c r="M46" s="17">
        <f t="shared" si="12"/>
        <v>5600</v>
      </c>
      <c r="O46" s="17">
        <f t="shared" si="10"/>
        <v>7280</v>
      </c>
      <c r="P46" s="17">
        <v>0</v>
      </c>
      <c r="Q46" s="18">
        <v>0.22</v>
      </c>
      <c r="R46" s="17">
        <v>0</v>
      </c>
      <c r="S46" s="19">
        <v>0</v>
      </c>
      <c r="T46" s="17">
        <v>0</v>
      </c>
      <c r="U46" s="18">
        <v>0.33</v>
      </c>
      <c r="V46" s="17">
        <v>0</v>
      </c>
      <c r="W46" s="18">
        <v>0</v>
      </c>
      <c r="X46" s="17">
        <f t="shared" si="13"/>
        <v>5600</v>
      </c>
      <c r="Y46" s="18">
        <v>0.27</v>
      </c>
      <c r="Z46" s="17">
        <f t="shared" si="14"/>
        <v>7112</v>
      </c>
      <c r="AA46" s="18">
        <f t="shared" si="11"/>
        <v>0.2125984251968504</v>
      </c>
      <c r="AB46" s="18">
        <v>0.1</v>
      </c>
    </row>
    <row r="47" spans="1:28">
      <c r="A47">
        <v>2026</v>
      </c>
      <c r="B47" t="s">
        <v>155</v>
      </c>
      <c r="C47" t="s">
        <v>149</v>
      </c>
      <c r="D47" t="s">
        <v>150</v>
      </c>
      <c r="E47">
        <v>360101</v>
      </c>
      <c r="G47" t="s">
        <v>148</v>
      </c>
      <c r="H47" t="s">
        <v>148</v>
      </c>
      <c r="I47" t="s">
        <v>50</v>
      </c>
      <c r="J47" t="s">
        <v>29</v>
      </c>
      <c r="K47">
        <v>5</v>
      </c>
      <c r="L47">
        <v>36700</v>
      </c>
      <c r="M47" s="17">
        <f t="shared" si="12"/>
        <v>7340</v>
      </c>
      <c r="O47" s="17">
        <f t="shared" si="10"/>
        <v>9542</v>
      </c>
      <c r="P47" s="17">
        <v>0</v>
      </c>
      <c r="Q47" s="18">
        <v>0.12</v>
      </c>
      <c r="R47" s="17">
        <v>0</v>
      </c>
      <c r="S47" s="19">
        <v>0</v>
      </c>
      <c r="T47" s="17">
        <v>0</v>
      </c>
      <c r="U47" s="18">
        <v>0.31</v>
      </c>
      <c r="V47" s="17">
        <v>0</v>
      </c>
      <c r="W47" s="18">
        <v>0</v>
      </c>
      <c r="X47" s="17">
        <f t="shared" si="13"/>
        <v>7340</v>
      </c>
      <c r="Y47" s="18">
        <v>0.17</v>
      </c>
      <c r="Z47" s="17">
        <f t="shared" si="14"/>
        <v>8587.7999999999993</v>
      </c>
      <c r="AA47" s="18">
        <f t="shared" si="11"/>
        <v>0.14529914529914523</v>
      </c>
      <c r="AB47" s="18">
        <v>0.1</v>
      </c>
    </row>
    <row r="48" spans="1:28">
      <c r="A48">
        <v>2026</v>
      </c>
      <c r="B48" t="s">
        <v>155</v>
      </c>
      <c r="C48" t="s">
        <v>149</v>
      </c>
      <c r="D48" t="s">
        <v>150</v>
      </c>
      <c r="E48">
        <v>360103</v>
      </c>
      <c r="G48" t="s">
        <v>148</v>
      </c>
      <c r="H48" t="s">
        <v>148</v>
      </c>
      <c r="I48" t="s">
        <v>59</v>
      </c>
      <c r="J48" t="s">
        <v>29</v>
      </c>
      <c r="K48">
        <v>5</v>
      </c>
      <c r="L48">
        <v>21900</v>
      </c>
      <c r="M48" s="17">
        <f t="shared" si="12"/>
        <v>4380</v>
      </c>
      <c r="O48" s="17">
        <f t="shared" si="10"/>
        <v>5694</v>
      </c>
      <c r="P48" s="17">
        <v>0</v>
      </c>
      <c r="Q48" s="18">
        <v>0.15</v>
      </c>
      <c r="R48" s="17">
        <v>0</v>
      </c>
      <c r="S48" s="19">
        <v>0</v>
      </c>
      <c r="T48" s="17">
        <v>0</v>
      </c>
      <c r="U48" s="18">
        <v>0.3</v>
      </c>
      <c r="V48" s="17">
        <v>0</v>
      </c>
      <c r="W48" s="18">
        <v>0</v>
      </c>
      <c r="X48" s="17">
        <f t="shared" si="13"/>
        <v>4380</v>
      </c>
      <c r="Y48" s="18">
        <v>0.22</v>
      </c>
      <c r="Z48" s="17">
        <f t="shared" si="14"/>
        <v>5343.6</v>
      </c>
      <c r="AA48" s="18">
        <f t="shared" si="11"/>
        <v>0.18032786885245908</v>
      </c>
      <c r="AB48" s="18">
        <v>0.1</v>
      </c>
    </row>
    <row r="49" spans="1:28">
      <c r="A49">
        <v>2026</v>
      </c>
      <c r="B49" t="s">
        <v>155</v>
      </c>
      <c r="C49" t="s">
        <v>149</v>
      </c>
      <c r="D49" t="s">
        <v>150</v>
      </c>
      <c r="E49">
        <v>709900</v>
      </c>
      <c r="G49" t="s">
        <v>148</v>
      </c>
      <c r="H49" t="s">
        <v>148</v>
      </c>
      <c r="I49" t="s">
        <v>67</v>
      </c>
      <c r="J49" t="s">
        <v>29</v>
      </c>
      <c r="K49">
        <v>5</v>
      </c>
      <c r="L49">
        <v>114900</v>
      </c>
      <c r="M49" s="17">
        <f t="shared" si="12"/>
        <v>22980</v>
      </c>
      <c r="O49" s="17">
        <f t="shared" si="10"/>
        <v>29874</v>
      </c>
      <c r="P49" s="17">
        <v>0</v>
      </c>
      <c r="Q49" s="18">
        <v>0.18</v>
      </c>
      <c r="R49" s="17">
        <v>0</v>
      </c>
      <c r="S49" s="19">
        <v>0</v>
      </c>
      <c r="T49" s="17">
        <v>0</v>
      </c>
      <c r="U49" s="18">
        <v>0.28000000000000003</v>
      </c>
      <c r="V49" s="17">
        <v>0</v>
      </c>
      <c r="W49" s="18">
        <v>0</v>
      </c>
      <c r="X49" s="17">
        <f t="shared" si="13"/>
        <v>22980</v>
      </c>
      <c r="Y49" s="18">
        <v>0.12</v>
      </c>
      <c r="Z49" s="17">
        <f t="shared" si="14"/>
        <v>25737.599999999999</v>
      </c>
      <c r="AA49" s="18">
        <f t="shared" si="11"/>
        <v>0.1071428571428571</v>
      </c>
      <c r="AB49" s="18">
        <v>0.1</v>
      </c>
    </row>
    <row r="50" spans="1:28">
      <c r="A50">
        <v>2026</v>
      </c>
      <c r="B50" t="s">
        <v>155</v>
      </c>
      <c r="C50" t="s">
        <v>149</v>
      </c>
      <c r="D50" t="s">
        <v>150</v>
      </c>
      <c r="E50">
        <v>709902</v>
      </c>
      <c r="G50" t="s">
        <v>148</v>
      </c>
      <c r="H50" t="s">
        <v>148</v>
      </c>
      <c r="I50" t="s">
        <v>160</v>
      </c>
      <c r="J50" t="s">
        <v>29</v>
      </c>
      <c r="K50">
        <v>5</v>
      </c>
      <c r="L50">
        <v>28000</v>
      </c>
      <c r="M50" s="17">
        <f t="shared" si="12"/>
        <v>5600</v>
      </c>
      <c r="O50" s="17">
        <f t="shared" si="10"/>
        <v>7280</v>
      </c>
      <c r="P50" s="17">
        <v>0</v>
      </c>
      <c r="Q50" s="18">
        <v>0.28999999999999998</v>
      </c>
      <c r="R50" s="17">
        <v>0</v>
      </c>
      <c r="S50" s="19">
        <v>0</v>
      </c>
      <c r="T50" s="17">
        <v>0</v>
      </c>
      <c r="U50" s="18">
        <v>0.27</v>
      </c>
      <c r="V50" s="17">
        <v>0</v>
      </c>
      <c r="W50" s="18">
        <v>0</v>
      </c>
      <c r="X50" s="17">
        <f t="shared" si="13"/>
        <v>5600</v>
      </c>
      <c r="Y50" s="18">
        <v>0.15</v>
      </c>
      <c r="Z50" s="17">
        <f t="shared" si="14"/>
        <v>6440</v>
      </c>
      <c r="AA50" s="18">
        <f t="shared" si="11"/>
        <v>0.13043478260869565</v>
      </c>
      <c r="AB50" s="18">
        <v>0.1</v>
      </c>
    </row>
    <row r="51" spans="1:28">
      <c r="A51">
        <v>2026</v>
      </c>
      <c r="B51" t="s">
        <v>155</v>
      </c>
      <c r="C51" t="s">
        <v>149</v>
      </c>
      <c r="D51" t="s">
        <v>150</v>
      </c>
      <c r="E51">
        <v>709903</v>
      </c>
      <c r="G51" t="s">
        <v>148</v>
      </c>
      <c r="H51" t="s">
        <v>148</v>
      </c>
      <c r="I51" t="s">
        <v>161</v>
      </c>
      <c r="J51" t="s">
        <v>29</v>
      </c>
      <c r="K51">
        <v>5</v>
      </c>
      <c r="L51">
        <v>49200</v>
      </c>
      <c r="M51" s="17">
        <f t="shared" si="12"/>
        <v>9840</v>
      </c>
      <c r="O51" s="17">
        <f t="shared" si="10"/>
        <v>12792</v>
      </c>
      <c r="P51" s="17">
        <v>0</v>
      </c>
      <c r="Q51" s="18">
        <v>0.34</v>
      </c>
      <c r="R51" s="17">
        <v>0</v>
      </c>
      <c r="S51" s="19">
        <v>0</v>
      </c>
      <c r="T51" s="17">
        <v>0</v>
      </c>
      <c r="U51" s="18">
        <v>0.17</v>
      </c>
      <c r="V51" s="17">
        <v>0</v>
      </c>
      <c r="W51" s="18">
        <v>0</v>
      </c>
      <c r="X51" s="17">
        <f t="shared" si="13"/>
        <v>9840</v>
      </c>
      <c r="Y51" s="18">
        <v>0.18</v>
      </c>
      <c r="Z51" s="17">
        <f t="shared" si="14"/>
        <v>11611.2</v>
      </c>
      <c r="AA51" s="18">
        <f t="shared" si="11"/>
        <v>0.152542372881356</v>
      </c>
      <c r="AB51" s="18">
        <v>0.1</v>
      </c>
    </row>
    <row r="52" spans="1:28">
      <c r="A52">
        <v>2026</v>
      </c>
      <c r="B52" t="s">
        <v>155</v>
      </c>
      <c r="C52" t="s">
        <v>149</v>
      </c>
      <c r="D52" t="s">
        <v>150</v>
      </c>
      <c r="E52">
        <v>709909</v>
      </c>
      <c r="G52" t="s">
        <v>148</v>
      </c>
      <c r="H52" t="s">
        <v>148</v>
      </c>
      <c r="I52" t="s">
        <v>162</v>
      </c>
      <c r="J52" t="s">
        <v>29</v>
      </c>
      <c r="K52">
        <v>5</v>
      </c>
      <c r="L52">
        <v>141600</v>
      </c>
      <c r="M52" s="17">
        <f t="shared" si="12"/>
        <v>28320</v>
      </c>
      <c r="O52" s="17">
        <f t="shared" si="10"/>
        <v>36816</v>
      </c>
      <c r="P52" s="17">
        <v>0</v>
      </c>
      <c r="Q52" s="18">
        <v>0.25</v>
      </c>
      <c r="R52" s="17">
        <v>0</v>
      </c>
      <c r="S52" s="19">
        <v>0</v>
      </c>
      <c r="T52" s="17">
        <v>0</v>
      </c>
      <c r="U52" s="18">
        <v>0.22</v>
      </c>
      <c r="V52" s="17">
        <v>0</v>
      </c>
      <c r="W52" s="18">
        <v>0</v>
      </c>
      <c r="X52" s="17">
        <f t="shared" si="13"/>
        <v>28320</v>
      </c>
      <c r="Y52" s="18">
        <v>0.28999999999999998</v>
      </c>
      <c r="Z52" s="17">
        <f t="shared" si="14"/>
        <v>36532.800000000003</v>
      </c>
      <c r="AA52" s="18">
        <f t="shared" si="11"/>
        <v>0.22480620155038766</v>
      </c>
      <c r="AB52" s="18">
        <v>0.1</v>
      </c>
    </row>
    <row r="53" spans="1:28">
      <c r="A53">
        <v>2026</v>
      </c>
      <c r="B53" t="s">
        <v>155</v>
      </c>
      <c r="C53" t="s">
        <v>149</v>
      </c>
      <c r="D53" t="s">
        <v>150</v>
      </c>
      <c r="E53">
        <v>709904</v>
      </c>
      <c r="G53" t="s">
        <v>148</v>
      </c>
      <c r="H53" t="s">
        <v>148</v>
      </c>
      <c r="I53" t="s">
        <v>163</v>
      </c>
      <c r="J53" t="s">
        <v>29</v>
      </c>
      <c r="K53">
        <v>5</v>
      </c>
      <c r="L53">
        <v>174700</v>
      </c>
      <c r="M53" s="17">
        <f t="shared" si="12"/>
        <v>34940</v>
      </c>
      <c r="O53" s="17">
        <f t="shared" si="10"/>
        <v>45422</v>
      </c>
      <c r="P53" s="17">
        <v>0</v>
      </c>
      <c r="Q53" s="18">
        <v>0.35</v>
      </c>
      <c r="R53" s="17">
        <v>0</v>
      </c>
      <c r="S53" s="19">
        <v>0</v>
      </c>
      <c r="T53" s="17">
        <v>0</v>
      </c>
      <c r="U53" s="18">
        <v>0.12</v>
      </c>
      <c r="V53" s="17">
        <v>0</v>
      </c>
      <c r="W53" s="18">
        <v>0</v>
      </c>
      <c r="X53" s="17">
        <f t="shared" si="13"/>
        <v>34940</v>
      </c>
      <c r="Y53" s="18">
        <v>0.34</v>
      </c>
      <c r="Z53" s="17">
        <f t="shared" si="14"/>
        <v>46819.6</v>
      </c>
      <c r="AA53" s="18">
        <f t="shared" si="11"/>
        <v>0.25373134328358204</v>
      </c>
      <c r="AB53" s="18">
        <v>0.1</v>
      </c>
    </row>
    <row r="54" spans="1:28">
      <c r="A54">
        <v>2026</v>
      </c>
      <c r="B54" t="s">
        <v>155</v>
      </c>
      <c r="C54" t="s">
        <v>149</v>
      </c>
      <c r="D54" t="s">
        <v>150</v>
      </c>
      <c r="E54">
        <v>603421</v>
      </c>
      <c r="G54" t="s">
        <v>148</v>
      </c>
      <c r="H54" t="s">
        <v>148</v>
      </c>
      <c r="I54" t="s">
        <v>164</v>
      </c>
      <c r="J54" t="s">
        <v>29</v>
      </c>
      <c r="K54">
        <v>5</v>
      </c>
      <c r="L54">
        <v>204000</v>
      </c>
      <c r="M54" s="17">
        <f t="shared" si="12"/>
        <v>40800</v>
      </c>
      <c r="O54" s="17">
        <f t="shared" si="10"/>
        <v>53040</v>
      </c>
      <c r="P54" s="17">
        <v>0</v>
      </c>
      <c r="Q54" s="18">
        <v>0.12</v>
      </c>
      <c r="R54" s="17">
        <v>0</v>
      </c>
      <c r="S54" s="19">
        <v>0</v>
      </c>
      <c r="T54" s="17">
        <v>0</v>
      </c>
      <c r="U54" s="18">
        <v>0.15</v>
      </c>
      <c r="V54" s="17">
        <v>0</v>
      </c>
      <c r="W54" s="18">
        <v>0</v>
      </c>
      <c r="X54" s="17">
        <f t="shared" si="13"/>
        <v>40800</v>
      </c>
      <c r="Y54" s="18">
        <v>0.25</v>
      </c>
      <c r="Z54" s="17">
        <f t="shared" si="14"/>
        <v>51000</v>
      </c>
      <c r="AA54" s="18">
        <f t="shared" si="11"/>
        <v>0.2</v>
      </c>
      <c r="AB54" s="18">
        <v>0.1</v>
      </c>
    </row>
    <row r="55" spans="1:28">
      <c r="A55">
        <v>2026</v>
      </c>
      <c r="B55" t="s">
        <v>155</v>
      </c>
      <c r="C55" t="s">
        <v>149</v>
      </c>
      <c r="D55" t="s">
        <v>150</v>
      </c>
      <c r="E55">
        <v>603422</v>
      </c>
      <c r="G55" t="s">
        <v>148</v>
      </c>
      <c r="H55" t="s">
        <v>148</v>
      </c>
      <c r="I55" t="s">
        <v>74</v>
      </c>
      <c r="J55" t="s">
        <v>29</v>
      </c>
      <c r="K55">
        <v>5</v>
      </c>
      <c r="L55">
        <v>49000</v>
      </c>
      <c r="M55" s="17">
        <f t="shared" si="12"/>
        <v>9800</v>
      </c>
      <c r="O55" s="17">
        <f t="shared" si="10"/>
        <v>12740</v>
      </c>
      <c r="P55" s="17">
        <v>0</v>
      </c>
      <c r="Q55" s="18">
        <v>0.25</v>
      </c>
      <c r="R55" s="17">
        <v>0</v>
      </c>
      <c r="S55" s="19">
        <v>0</v>
      </c>
      <c r="T55" s="17">
        <v>0</v>
      </c>
      <c r="U55" s="18">
        <v>0.18</v>
      </c>
      <c r="V55" s="17">
        <v>0</v>
      </c>
      <c r="W55" s="18">
        <v>0</v>
      </c>
      <c r="X55" s="17">
        <f t="shared" si="13"/>
        <v>9800</v>
      </c>
      <c r="Y55" s="18">
        <v>0.35</v>
      </c>
      <c r="Z55" s="17">
        <f t="shared" si="14"/>
        <v>13230</v>
      </c>
      <c r="AA55" s="18">
        <f t="shared" si="11"/>
        <v>0.25925925925925924</v>
      </c>
      <c r="AB55" s="18">
        <v>0.1</v>
      </c>
    </row>
    <row r="56" spans="1:28">
      <c r="A56">
        <v>2026</v>
      </c>
      <c r="B56" t="s">
        <v>155</v>
      </c>
      <c r="C56" t="s">
        <v>149</v>
      </c>
      <c r="D56" t="s">
        <v>150</v>
      </c>
      <c r="E56">
        <v>603423</v>
      </c>
      <c r="G56" t="s">
        <v>148</v>
      </c>
      <c r="H56" t="s">
        <v>148</v>
      </c>
      <c r="I56" t="s">
        <v>165</v>
      </c>
      <c r="J56" t="s">
        <v>22</v>
      </c>
      <c r="K56">
        <v>10</v>
      </c>
      <c r="L56">
        <v>224100</v>
      </c>
      <c r="M56" s="17">
        <f t="shared" si="12"/>
        <v>22410</v>
      </c>
      <c r="O56" s="17">
        <f t="shared" si="10"/>
        <v>29133</v>
      </c>
      <c r="P56" s="17">
        <v>0</v>
      </c>
      <c r="Q56" s="18">
        <v>0.1</v>
      </c>
      <c r="R56" s="17">
        <v>0</v>
      </c>
      <c r="S56" s="19">
        <v>0</v>
      </c>
      <c r="T56" s="17">
        <v>0</v>
      </c>
      <c r="U56" s="18">
        <v>0.28999999999999998</v>
      </c>
      <c r="V56" s="17">
        <v>0</v>
      </c>
      <c r="W56" s="18">
        <v>0</v>
      </c>
      <c r="X56" s="17">
        <f t="shared" si="13"/>
        <v>22410</v>
      </c>
      <c r="Y56" s="18">
        <v>0.12</v>
      </c>
      <c r="Z56" s="17">
        <f t="shared" si="14"/>
        <v>25099.200000000001</v>
      </c>
      <c r="AA56" s="18">
        <f t="shared" si="11"/>
        <v>0.10714285714285716</v>
      </c>
      <c r="AB56" s="18">
        <v>0.1</v>
      </c>
    </row>
    <row r="57" spans="1:28">
      <c r="A57">
        <v>2026</v>
      </c>
      <c r="B57" t="s">
        <v>155</v>
      </c>
      <c r="C57" t="s">
        <v>149</v>
      </c>
      <c r="D57" t="s">
        <v>150</v>
      </c>
      <c r="E57">
        <v>603420</v>
      </c>
      <c r="G57" t="s">
        <v>148</v>
      </c>
      <c r="H57" t="s">
        <v>148</v>
      </c>
      <c r="I57" t="s">
        <v>81</v>
      </c>
      <c r="J57" t="s">
        <v>22</v>
      </c>
      <c r="K57">
        <v>10</v>
      </c>
      <c r="L57">
        <v>38000</v>
      </c>
      <c r="M57" s="17">
        <f t="shared" si="12"/>
        <v>3800</v>
      </c>
      <c r="O57" s="17">
        <f t="shared" si="10"/>
        <v>4940</v>
      </c>
      <c r="P57" s="17">
        <v>0</v>
      </c>
      <c r="Q57" s="18">
        <v>0.35</v>
      </c>
      <c r="R57" s="17">
        <v>0</v>
      </c>
      <c r="S57" s="19">
        <v>0</v>
      </c>
      <c r="T57" s="17">
        <v>0</v>
      </c>
      <c r="U57" s="18">
        <v>0.34</v>
      </c>
      <c r="V57" s="17">
        <v>0</v>
      </c>
      <c r="W57" s="18">
        <v>0</v>
      </c>
      <c r="X57" s="17">
        <f t="shared" si="13"/>
        <v>3800</v>
      </c>
      <c r="Y57" s="18">
        <v>0.25</v>
      </c>
      <c r="Z57" s="17">
        <f t="shared" si="14"/>
        <v>4750</v>
      </c>
      <c r="AA57" s="18">
        <f t="shared" si="11"/>
        <v>0.2</v>
      </c>
      <c r="AB57" s="18">
        <v>0.1</v>
      </c>
    </row>
    <row r="58" spans="1:28">
      <c r="A58">
        <v>2026</v>
      </c>
      <c r="B58" t="s">
        <v>155</v>
      </c>
      <c r="C58" t="s">
        <v>149</v>
      </c>
      <c r="D58" t="s">
        <v>150</v>
      </c>
      <c r="E58">
        <v>603424</v>
      </c>
      <c r="G58" t="s">
        <v>148</v>
      </c>
      <c r="H58" t="s">
        <v>148</v>
      </c>
      <c r="I58" t="s">
        <v>83</v>
      </c>
      <c r="J58" t="s">
        <v>22</v>
      </c>
      <c r="K58">
        <v>10</v>
      </c>
      <c r="L58">
        <v>39800</v>
      </c>
      <c r="M58" s="17">
        <f t="shared" si="12"/>
        <v>3980</v>
      </c>
      <c r="O58" s="17">
        <f t="shared" si="10"/>
        <v>5174</v>
      </c>
      <c r="P58" s="17">
        <v>0</v>
      </c>
      <c r="Q58" s="18">
        <v>0.33</v>
      </c>
      <c r="R58" s="17">
        <v>0</v>
      </c>
      <c r="S58" s="19">
        <v>0</v>
      </c>
      <c r="T58" s="17">
        <v>0</v>
      </c>
      <c r="U58" s="18">
        <v>0.25</v>
      </c>
      <c r="V58" s="17">
        <v>0</v>
      </c>
      <c r="W58" s="18">
        <v>0</v>
      </c>
      <c r="X58" s="17">
        <f t="shared" si="13"/>
        <v>3980</v>
      </c>
      <c r="Y58" s="18">
        <v>0.1</v>
      </c>
      <c r="Z58" s="17">
        <f t="shared" si="14"/>
        <v>4378</v>
      </c>
      <c r="AA58" s="18">
        <f t="shared" si="11"/>
        <v>9.0909090909090912E-2</v>
      </c>
      <c r="AB58" s="18">
        <v>0.1</v>
      </c>
    </row>
    <row r="59" spans="1:28">
      <c r="A59">
        <v>2026</v>
      </c>
      <c r="B59" t="s">
        <v>155</v>
      </c>
      <c r="C59" t="s">
        <v>149</v>
      </c>
      <c r="D59" t="s">
        <v>150</v>
      </c>
      <c r="E59">
        <v>583300</v>
      </c>
      <c r="G59" t="s">
        <v>148</v>
      </c>
      <c r="H59" t="s">
        <v>148</v>
      </c>
      <c r="I59" t="s">
        <v>97</v>
      </c>
      <c r="J59" t="s">
        <v>12</v>
      </c>
      <c r="K59">
        <v>1</v>
      </c>
      <c r="L59">
        <v>43500</v>
      </c>
      <c r="M59" s="17">
        <f t="shared" si="12"/>
        <v>43500</v>
      </c>
      <c r="O59" s="17">
        <f t="shared" si="10"/>
        <v>56550</v>
      </c>
      <c r="P59" s="17">
        <v>0</v>
      </c>
      <c r="Q59" s="18">
        <v>0.31</v>
      </c>
      <c r="R59" s="17">
        <v>0</v>
      </c>
      <c r="S59" s="19">
        <v>0</v>
      </c>
      <c r="T59" s="17">
        <v>0</v>
      </c>
      <c r="U59" s="18">
        <v>0.35</v>
      </c>
      <c r="V59" s="17">
        <v>0</v>
      </c>
      <c r="W59" s="18">
        <v>0</v>
      </c>
      <c r="X59" s="17">
        <f t="shared" si="13"/>
        <v>43500</v>
      </c>
      <c r="Y59" s="18">
        <v>0.35</v>
      </c>
      <c r="Z59" s="17">
        <f t="shared" si="14"/>
        <v>58725</v>
      </c>
      <c r="AA59" s="18">
        <f t="shared" si="11"/>
        <v>0.25925925925925924</v>
      </c>
      <c r="AB59" s="18">
        <v>0.1</v>
      </c>
    </row>
    <row r="60" spans="1:28">
      <c r="A60">
        <v>2026</v>
      </c>
      <c r="B60" t="s">
        <v>155</v>
      </c>
      <c r="C60" t="s">
        <v>149</v>
      </c>
      <c r="D60" t="s">
        <v>150</v>
      </c>
      <c r="E60">
        <v>583400</v>
      </c>
      <c r="G60" t="s">
        <v>148</v>
      </c>
      <c r="H60" t="s">
        <v>148</v>
      </c>
      <c r="I60" t="s">
        <v>105</v>
      </c>
      <c r="J60" t="s">
        <v>166</v>
      </c>
      <c r="K60">
        <v>2</v>
      </c>
      <c r="L60">
        <v>67900</v>
      </c>
      <c r="M60" s="17">
        <f>(L60/10)*2</f>
        <v>13580</v>
      </c>
      <c r="O60" s="17">
        <f t="shared" si="10"/>
        <v>17654</v>
      </c>
      <c r="P60" s="17">
        <v>0</v>
      </c>
      <c r="Q60" s="18">
        <v>0.3</v>
      </c>
      <c r="R60" s="17">
        <v>0</v>
      </c>
      <c r="S60" s="19">
        <v>0</v>
      </c>
      <c r="T60" s="17">
        <v>0</v>
      </c>
      <c r="U60" s="18">
        <v>0.12</v>
      </c>
      <c r="V60" s="17">
        <v>0</v>
      </c>
      <c r="W60" s="18">
        <v>0</v>
      </c>
      <c r="X60" s="17">
        <f t="shared" si="13"/>
        <v>13580</v>
      </c>
      <c r="Y60" s="18">
        <v>0.33</v>
      </c>
      <c r="Z60" s="17">
        <f t="shared" si="14"/>
        <v>18061.400000000001</v>
      </c>
      <c r="AA60" s="18">
        <f t="shared" si="11"/>
        <v>0.24812030075187977</v>
      </c>
      <c r="AB60" s="18">
        <v>0.1</v>
      </c>
    </row>
    <row r="61" spans="1:28">
      <c r="A61">
        <v>2026</v>
      </c>
      <c r="B61" t="s">
        <v>155</v>
      </c>
      <c r="C61" t="s">
        <v>149</v>
      </c>
      <c r="D61" t="s">
        <v>150</v>
      </c>
      <c r="E61">
        <v>583500</v>
      </c>
      <c r="G61" t="s">
        <v>148</v>
      </c>
      <c r="H61" t="s">
        <v>148</v>
      </c>
      <c r="I61" t="s">
        <v>107</v>
      </c>
      <c r="J61" t="s">
        <v>166</v>
      </c>
      <c r="K61">
        <v>2</v>
      </c>
      <c r="L61">
        <v>50300</v>
      </c>
      <c r="M61" s="17">
        <f>(L61/10)*2</f>
        <v>10060</v>
      </c>
      <c r="O61" s="17">
        <f t="shared" si="10"/>
        <v>13078</v>
      </c>
      <c r="P61" s="17">
        <v>0</v>
      </c>
      <c r="Q61" s="18">
        <v>0.28000000000000003</v>
      </c>
      <c r="R61" s="17">
        <v>0</v>
      </c>
      <c r="S61" s="19">
        <v>0</v>
      </c>
      <c r="T61" s="17">
        <v>0</v>
      </c>
      <c r="U61" s="18">
        <v>0.25</v>
      </c>
      <c r="V61" s="17">
        <v>0</v>
      </c>
      <c r="W61" s="18">
        <v>0</v>
      </c>
      <c r="X61" s="17">
        <f t="shared" si="13"/>
        <v>10060</v>
      </c>
      <c r="Y61" s="18">
        <v>0.31</v>
      </c>
      <c r="Z61" s="17">
        <f t="shared" si="14"/>
        <v>13178.6</v>
      </c>
      <c r="AA61" s="18">
        <f t="shared" si="11"/>
        <v>0.23664122137404583</v>
      </c>
      <c r="AB61" s="18">
        <v>0.1</v>
      </c>
    </row>
    <row r="62" spans="1:28">
      <c r="A62">
        <v>2026</v>
      </c>
      <c r="B62" t="s">
        <v>145</v>
      </c>
      <c r="C62" t="s">
        <v>149</v>
      </c>
      <c r="D62" t="s">
        <v>150</v>
      </c>
      <c r="E62">
        <v>360001</v>
      </c>
      <c r="G62" t="s">
        <v>148</v>
      </c>
      <c r="H62" t="s">
        <v>148</v>
      </c>
      <c r="I62" t="s">
        <v>11</v>
      </c>
      <c r="J62" t="s">
        <v>12</v>
      </c>
      <c r="K62">
        <v>40</v>
      </c>
      <c r="L62">
        <v>893800</v>
      </c>
      <c r="M62" s="17">
        <f>L62/K62</f>
        <v>22345</v>
      </c>
      <c r="O62" s="17">
        <f t="shared" ref="O62:O81" si="15">M62+(M62*30%)</f>
        <v>29048.5</v>
      </c>
      <c r="P62" s="17">
        <v>0</v>
      </c>
      <c r="Q62" s="18">
        <v>0.3</v>
      </c>
      <c r="R62" s="17">
        <v>0</v>
      </c>
      <c r="S62" s="19">
        <v>0</v>
      </c>
      <c r="T62" s="17">
        <v>0</v>
      </c>
      <c r="U62" s="18">
        <v>0.12</v>
      </c>
      <c r="V62" s="17">
        <v>0</v>
      </c>
      <c r="W62" s="18">
        <v>0</v>
      </c>
      <c r="X62" s="17">
        <f>M62</f>
        <v>22345</v>
      </c>
      <c r="Y62" s="18">
        <v>0.33</v>
      </c>
      <c r="Z62" s="17">
        <f>X62+(X62*Y62)</f>
        <v>29718.85</v>
      </c>
      <c r="AA62" s="18">
        <f t="shared" ref="AA62:AA81" si="16">IFERROR(((Z62-X62)/Z62),0)</f>
        <v>0.24812030075187966</v>
      </c>
      <c r="AB62" s="18">
        <v>0.1</v>
      </c>
    </row>
    <row r="63" spans="1:28">
      <c r="A63">
        <v>2026</v>
      </c>
      <c r="B63" t="s">
        <v>145</v>
      </c>
      <c r="C63" t="s">
        <v>149</v>
      </c>
      <c r="D63" t="s">
        <v>150</v>
      </c>
      <c r="E63">
        <v>360102</v>
      </c>
      <c r="G63" t="s">
        <v>148</v>
      </c>
      <c r="H63" t="s">
        <v>148</v>
      </c>
      <c r="I63" t="s">
        <v>18</v>
      </c>
      <c r="J63" t="s">
        <v>12</v>
      </c>
      <c r="K63">
        <v>250</v>
      </c>
      <c r="L63">
        <v>80300</v>
      </c>
      <c r="M63" s="17">
        <f t="shared" ref="M63:M79" si="17">L63/K63</f>
        <v>321.2</v>
      </c>
      <c r="O63" s="17">
        <f t="shared" si="15"/>
        <v>417.56</v>
      </c>
      <c r="P63" s="17">
        <v>0</v>
      </c>
      <c r="Q63" s="18">
        <v>0.28000000000000003</v>
      </c>
      <c r="R63" s="17">
        <v>0</v>
      </c>
      <c r="S63" s="19">
        <v>0</v>
      </c>
      <c r="T63" s="17">
        <v>0</v>
      </c>
      <c r="U63" s="18">
        <v>0.25</v>
      </c>
      <c r="V63" s="17">
        <v>0</v>
      </c>
      <c r="W63" s="18">
        <v>0</v>
      </c>
      <c r="X63" s="17">
        <f t="shared" ref="X63:X81" si="18">M63</f>
        <v>321.2</v>
      </c>
      <c r="Y63" s="18">
        <v>0.31</v>
      </c>
      <c r="Z63" s="17">
        <f t="shared" ref="Z63:Z81" si="19">X63+(X63*Y63)</f>
        <v>420.77199999999999</v>
      </c>
      <c r="AA63" s="18">
        <f t="shared" si="16"/>
        <v>0.23664122137404581</v>
      </c>
      <c r="AB63" s="18">
        <v>0.1</v>
      </c>
    </row>
    <row r="64" spans="1:28">
      <c r="A64">
        <v>2026</v>
      </c>
      <c r="B64" t="s">
        <v>145</v>
      </c>
      <c r="C64" t="s">
        <v>149</v>
      </c>
      <c r="D64" t="s">
        <v>150</v>
      </c>
      <c r="E64">
        <v>360104</v>
      </c>
      <c r="G64" t="s">
        <v>148</v>
      </c>
      <c r="H64" t="s">
        <v>148</v>
      </c>
      <c r="I64" t="s">
        <v>26</v>
      </c>
      <c r="J64" t="s">
        <v>22</v>
      </c>
      <c r="K64">
        <v>10</v>
      </c>
      <c r="L64">
        <v>28800</v>
      </c>
      <c r="M64" s="17">
        <f t="shared" si="17"/>
        <v>2880</v>
      </c>
      <c r="O64" s="17">
        <f t="shared" si="15"/>
        <v>3744</v>
      </c>
      <c r="P64" s="17">
        <v>0</v>
      </c>
      <c r="Q64" s="18">
        <v>0.27</v>
      </c>
      <c r="R64" s="17">
        <v>0</v>
      </c>
      <c r="S64" s="19">
        <v>0</v>
      </c>
      <c r="T64" s="17">
        <v>0</v>
      </c>
      <c r="U64" s="18">
        <v>0.1</v>
      </c>
      <c r="V64" s="17">
        <v>0</v>
      </c>
      <c r="W64" s="18">
        <v>0</v>
      </c>
      <c r="X64" s="17">
        <f t="shared" si="18"/>
        <v>2880</v>
      </c>
      <c r="Y64" s="18">
        <v>0.3</v>
      </c>
      <c r="Z64" s="17">
        <f t="shared" si="19"/>
        <v>3744</v>
      </c>
      <c r="AA64" s="18">
        <f t="shared" si="16"/>
        <v>0.23076923076923078</v>
      </c>
      <c r="AB64" s="18">
        <v>0.1</v>
      </c>
    </row>
    <row r="65" spans="1:28">
      <c r="A65">
        <v>2026</v>
      </c>
      <c r="B65" t="s">
        <v>145</v>
      </c>
      <c r="C65" t="s">
        <v>149</v>
      </c>
      <c r="D65" t="s">
        <v>150</v>
      </c>
      <c r="E65">
        <v>360100</v>
      </c>
      <c r="G65" t="s">
        <v>148</v>
      </c>
      <c r="H65" t="s">
        <v>148</v>
      </c>
      <c r="I65" t="s">
        <v>35</v>
      </c>
      <c r="J65" t="s">
        <v>22</v>
      </c>
      <c r="K65">
        <v>10</v>
      </c>
      <c r="L65">
        <v>36700</v>
      </c>
      <c r="M65" s="17">
        <f t="shared" si="17"/>
        <v>3670</v>
      </c>
      <c r="O65" s="17">
        <f t="shared" si="15"/>
        <v>4771</v>
      </c>
      <c r="P65" s="17">
        <v>0</v>
      </c>
      <c r="Q65" s="18">
        <v>0.17</v>
      </c>
      <c r="R65" s="17">
        <v>0</v>
      </c>
      <c r="S65" s="19">
        <v>0</v>
      </c>
      <c r="T65" s="17">
        <v>0</v>
      </c>
      <c r="U65" s="18">
        <v>0.35</v>
      </c>
      <c r="V65" s="17">
        <v>0</v>
      </c>
      <c r="W65" s="18">
        <v>0</v>
      </c>
      <c r="X65" s="17">
        <f t="shared" si="18"/>
        <v>3670</v>
      </c>
      <c r="Y65" s="18">
        <v>0.28000000000000003</v>
      </c>
      <c r="Z65" s="17">
        <f t="shared" si="19"/>
        <v>4697.6000000000004</v>
      </c>
      <c r="AA65" s="18">
        <f t="shared" si="16"/>
        <v>0.21875000000000006</v>
      </c>
      <c r="AB65" s="18">
        <v>0.1</v>
      </c>
    </row>
    <row r="66" spans="1:28">
      <c r="A66">
        <v>2026</v>
      </c>
      <c r="B66" t="s">
        <v>145</v>
      </c>
      <c r="C66" t="s">
        <v>149</v>
      </c>
      <c r="D66" t="s">
        <v>150</v>
      </c>
      <c r="E66">
        <v>360150</v>
      </c>
      <c r="G66" t="s">
        <v>148</v>
      </c>
      <c r="H66" t="s">
        <v>148</v>
      </c>
      <c r="I66" t="s">
        <v>159</v>
      </c>
      <c r="J66" t="s">
        <v>29</v>
      </c>
      <c r="K66">
        <v>5</v>
      </c>
      <c r="L66">
        <v>28000</v>
      </c>
      <c r="M66" s="17">
        <f t="shared" si="17"/>
        <v>5600</v>
      </c>
      <c r="O66" s="17">
        <f t="shared" si="15"/>
        <v>7280</v>
      </c>
      <c r="P66" s="17">
        <v>0</v>
      </c>
      <c r="Q66" s="18">
        <v>0.22</v>
      </c>
      <c r="R66" s="17">
        <v>0</v>
      </c>
      <c r="S66" s="19">
        <v>0</v>
      </c>
      <c r="T66" s="17">
        <v>0</v>
      </c>
      <c r="U66" s="18">
        <v>0.33</v>
      </c>
      <c r="V66" s="17">
        <v>0</v>
      </c>
      <c r="W66" s="18">
        <v>0</v>
      </c>
      <c r="X66" s="17">
        <f t="shared" si="18"/>
        <v>5600</v>
      </c>
      <c r="Y66" s="18">
        <v>0.27</v>
      </c>
      <c r="Z66" s="17">
        <f t="shared" si="19"/>
        <v>7112</v>
      </c>
      <c r="AA66" s="18">
        <f t="shared" si="16"/>
        <v>0.2125984251968504</v>
      </c>
      <c r="AB66" s="18">
        <v>0.1</v>
      </c>
    </row>
    <row r="67" spans="1:28">
      <c r="A67">
        <v>2026</v>
      </c>
      <c r="B67" t="s">
        <v>145</v>
      </c>
      <c r="C67" t="s">
        <v>149</v>
      </c>
      <c r="D67" t="s">
        <v>150</v>
      </c>
      <c r="E67">
        <v>360101</v>
      </c>
      <c r="G67" t="s">
        <v>148</v>
      </c>
      <c r="H67" t="s">
        <v>148</v>
      </c>
      <c r="I67" t="s">
        <v>50</v>
      </c>
      <c r="J67" t="s">
        <v>29</v>
      </c>
      <c r="K67">
        <v>5</v>
      </c>
      <c r="L67">
        <v>36700</v>
      </c>
      <c r="M67" s="17">
        <f t="shared" si="17"/>
        <v>7340</v>
      </c>
      <c r="O67" s="17">
        <f t="shared" si="15"/>
        <v>9542</v>
      </c>
      <c r="P67" s="17">
        <v>0</v>
      </c>
      <c r="Q67" s="18">
        <v>0.12</v>
      </c>
      <c r="R67" s="17">
        <v>0</v>
      </c>
      <c r="S67" s="19">
        <v>0</v>
      </c>
      <c r="T67" s="17">
        <v>0</v>
      </c>
      <c r="U67" s="18">
        <v>0.31</v>
      </c>
      <c r="V67" s="17">
        <v>0</v>
      </c>
      <c r="W67" s="18">
        <v>0</v>
      </c>
      <c r="X67" s="17">
        <f t="shared" si="18"/>
        <v>7340</v>
      </c>
      <c r="Y67" s="18">
        <v>0.17</v>
      </c>
      <c r="Z67" s="17">
        <f t="shared" si="19"/>
        <v>8587.7999999999993</v>
      </c>
      <c r="AA67" s="18">
        <f t="shared" si="16"/>
        <v>0.14529914529914523</v>
      </c>
      <c r="AB67" s="18">
        <v>0.1</v>
      </c>
    </row>
    <row r="68" spans="1:28">
      <c r="A68">
        <v>2026</v>
      </c>
      <c r="B68" t="s">
        <v>145</v>
      </c>
      <c r="C68" t="s">
        <v>149</v>
      </c>
      <c r="D68" t="s">
        <v>150</v>
      </c>
      <c r="E68">
        <v>360103</v>
      </c>
      <c r="G68" t="s">
        <v>148</v>
      </c>
      <c r="H68" t="s">
        <v>148</v>
      </c>
      <c r="I68" t="s">
        <v>59</v>
      </c>
      <c r="J68" t="s">
        <v>29</v>
      </c>
      <c r="K68">
        <v>5</v>
      </c>
      <c r="L68">
        <v>21900</v>
      </c>
      <c r="M68" s="17">
        <f t="shared" si="17"/>
        <v>4380</v>
      </c>
      <c r="O68" s="17">
        <f t="shared" si="15"/>
        <v>5694</v>
      </c>
      <c r="P68" s="17">
        <v>0</v>
      </c>
      <c r="Q68" s="18">
        <v>0.15</v>
      </c>
      <c r="R68" s="17">
        <v>0</v>
      </c>
      <c r="S68" s="19">
        <v>0</v>
      </c>
      <c r="T68" s="17">
        <v>0</v>
      </c>
      <c r="U68" s="18">
        <v>0.3</v>
      </c>
      <c r="V68" s="17">
        <v>0</v>
      </c>
      <c r="W68" s="18">
        <v>0</v>
      </c>
      <c r="X68" s="17">
        <f t="shared" si="18"/>
        <v>4380</v>
      </c>
      <c r="Y68" s="18">
        <v>0.22</v>
      </c>
      <c r="Z68" s="17">
        <f t="shared" si="19"/>
        <v>5343.6</v>
      </c>
      <c r="AA68" s="18">
        <f t="shared" si="16"/>
        <v>0.18032786885245908</v>
      </c>
      <c r="AB68" s="18">
        <v>0.1</v>
      </c>
    </row>
    <row r="69" spans="1:28">
      <c r="A69">
        <v>2026</v>
      </c>
      <c r="B69" t="s">
        <v>145</v>
      </c>
      <c r="C69" t="s">
        <v>149</v>
      </c>
      <c r="D69" t="s">
        <v>150</v>
      </c>
      <c r="E69">
        <v>709900</v>
      </c>
      <c r="G69" t="s">
        <v>148</v>
      </c>
      <c r="H69" t="s">
        <v>148</v>
      </c>
      <c r="I69" t="s">
        <v>67</v>
      </c>
      <c r="J69" t="s">
        <v>29</v>
      </c>
      <c r="K69">
        <v>5</v>
      </c>
      <c r="L69">
        <v>114900</v>
      </c>
      <c r="M69" s="17">
        <f t="shared" si="17"/>
        <v>22980</v>
      </c>
      <c r="O69" s="17">
        <f t="shared" si="15"/>
        <v>29874</v>
      </c>
      <c r="P69" s="17">
        <v>0</v>
      </c>
      <c r="Q69" s="18">
        <v>0.18</v>
      </c>
      <c r="R69" s="17">
        <v>0</v>
      </c>
      <c r="S69" s="19">
        <v>0</v>
      </c>
      <c r="T69" s="17">
        <v>0</v>
      </c>
      <c r="U69" s="18">
        <v>0.28000000000000003</v>
      </c>
      <c r="V69" s="17">
        <v>0</v>
      </c>
      <c r="W69" s="18">
        <v>0</v>
      </c>
      <c r="X69" s="17">
        <f t="shared" si="18"/>
        <v>22980</v>
      </c>
      <c r="Y69" s="18">
        <v>0.12</v>
      </c>
      <c r="Z69" s="17">
        <f t="shared" si="19"/>
        <v>25737.599999999999</v>
      </c>
      <c r="AA69" s="18">
        <f t="shared" si="16"/>
        <v>0.1071428571428571</v>
      </c>
      <c r="AB69" s="18">
        <v>0.1</v>
      </c>
    </row>
    <row r="70" spans="1:28">
      <c r="A70">
        <v>2026</v>
      </c>
      <c r="B70" t="s">
        <v>145</v>
      </c>
      <c r="C70" t="s">
        <v>149</v>
      </c>
      <c r="D70" t="s">
        <v>150</v>
      </c>
      <c r="E70">
        <v>709902</v>
      </c>
      <c r="G70" t="s">
        <v>148</v>
      </c>
      <c r="H70" t="s">
        <v>148</v>
      </c>
      <c r="I70" t="s">
        <v>160</v>
      </c>
      <c r="J70" t="s">
        <v>29</v>
      </c>
      <c r="K70">
        <v>5</v>
      </c>
      <c r="L70">
        <v>28000</v>
      </c>
      <c r="M70" s="17">
        <f t="shared" si="17"/>
        <v>5600</v>
      </c>
      <c r="O70" s="17">
        <f t="shared" si="15"/>
        <v>7280</v>
      </c>
      <c r="P70" s="17">
        <v>0</v>
      </c>
      <c r="Q70" s="18">
        <v>0.28999999999999998</v>
      </c>
      <c r="R70" s="17">
        <v>0</v>
      </c>
      <c r="S70" s="19">
        <v>0</v>
      </c>
      <c r="T70" s="17">
        <v>0</v>
      </c>
      <c r="U70" s="18">
        <v>0.27</v>
      </c>
      <c r="V70" s="17">
        <v>0</v>
      </c>
      <c r="W70" s="18">
        <v>0</v>
      </c>
      <c r="X70" s="17">
        <f t="shared" si="18"/>
        <v>5600</v>
      </c>
      <c r="Y70" s="18">
        <v>0.15</v>
      </c>
      <c r="Z70" s="17">
        <f t="shared" si="19"/>
        <v>6440</v>
      </c>
      <c r="AA70" s="18">
        <f t="shared" si="16"/>
        <v>0.13043478260869565</v>
      </c>
      <c r="AB70" s="18">
        <v>0.1</v>
      </c>
    </row>
    <row r="71" spans="1:28">
      <c r="A71">
        <v>2026</v>
      </c>
      <c r="B71" t="s">
        <v>145</v>
      </c>
      <c r="C71" t="s">
        <v>149</v>
      </c>
      <c r="D71" t="s">
        <v>150</v>
      </c>
      <c r="E71">
        <v>709903</v>
      </c>
      <c r="G71" t="s">
        <v>148</v>
      </c>
      <c r="H71" t="s">
        <v>148</v>
      </c>
      <c r="I71" t="s">
        <v>161</v>
      </c>
      <c r="J71" t="s">
        <v>29</v>
      </c>
      <c r="K71">
        <v>5</v>
      </c>
      <c r="L71">
        <v>49200</v>
      </c>
      <c r="M71" s="17">
        <f t="shared" si="17"/>
        <v>9840</v>
      </c>
      <c r="O71" s="17">
        <f t="shared" si="15"/>
        <v>12792</v>
      </c>
      <c r="P71" s="17">
        <v>0</v>
      </c>
      <c r="Q71" s="18">
        <v>0.34</v>
      </c>
      <c r="R71" s="17">
        <v>0</v>
      </c>
      <c r="S71" s="19">
        <v>0</v>
      </c>
      <c r="T71" s="17">
        <v>0</v>
      </c>
      <c r="U71" s="18">
        <v>0.17</v>
      </c>
      <c r="V71" s="17">
        <v>0</v>
      </c>
      <c r="W71" s="18">
        <v>0</v>
      </c>
      <c r="X71" s="17">
        <f t="shared" si="18"/>
        <v>9840</v>
      </c>
      <c r="Y71" s="18">
        <v>0.18</v>
      </c>
      <c r="Z71" s="17">
        <f t="shared" si="19"/>
        <v>11611.2</v>
      </c>
      <c r="AA71" s="18">
        <f t="shared" si="16"/>
        <v>0.152542372881356</v>
      </c>
      <c r="AB71" s="18">
        <v>0.1</v>
      </c>
    </row>
    <row r="72" spans="1:28">
      <c r="A72">
        <v>2026</v>
      </c>
      <c r="B72" t="s">
        <v>145</v>
      </c>
      <c r="C72" t="s">
        <v>149</v>
      </c>
      <c r="D72" t="s">
        <v>150</v>
      </c>
      <c r="E72">
        <v>709909</v>
      </c>
      <c r="G72" t="s">
        <v>148</v>
      </c>
      <c r="H72" t="s">
        <v>148</v>
      </c>
      <c r="I72" t="s">
        <v>162</v>
      </c>
      <c r="J72" t="s">
        <v>29</v>
      </c>
      <c r="K72">
        <v>5</v>
      </c>
      <c r="L72">
        <v>141600</v>
      </c>
      <c r="M72" s="17">
        <f t="shared" si="17"/>
        <v>28320</v>
      </c>
      <c r="O72" s="17">
        <f t="shared" si="15"/>
        <v>36816</v>
      </c>
      <c r="P72" s="17">
        <v>0</v>
      </c>
      <c r="Q72" s="18">
        <v>0.25</v>
      </c>
      <c r="R72" s="17">
        <v>0</v>
      </c>
      <c r="S72" s="19">
        <v>0</v>
      </c>
      <c r="T72" s="17">
        <v>0</v>
      </c>
      <c r="U72" s="18">
        <v>0.22</v>
      </c>
      <c r="V72" s="17">
        <v>0</v>
      </c>
      <c r="W72" s="18">
        <v>0</v>
      </c>
      <c r="X72" s="17">
        <f t="shared" si="18"/>
        <v>28320</v>
      </c>
      <c r="Y72" s="18">
        <v>0.28999999999999998</v>
      </c>
      <c r="Z72" s="17">
        <f t="shared" si="19"/>
        <v>36532.800000000003</v>
      </c>
      <c r="AA72" s="18">
        <f t="shared" si="16"/>
        <v>0.22480620155038766</v>
      </c>
      <c r="AB72" s="18">
        <v>0.1</v>
      </c>
    </row>
    <row r="73" spans="1:28">
      <c r="A73">
        <v>2026</v>
      </c>
      <c r="B73" t="s">
        <v>145</v>
      </c>
      <c r="C73" t="s">
        <v>149</v>
      </c>
      <c r="D73" t="s">
        <v>150</v>
      </c>
      <c r="E73">
        <v>709904</v>
      </c>
      <c r="G73" t="s">
        <v>148</v>
      </c>
      <c r="H73" t="s">
        <v>148</v>
      </c>
      <c r="I73" t="s">
        <v>163</v>
      </c>
      <c r="J73" t="s">
        <v>29</v>
      </c>
      <c r="K73">
        <v>5</v>
      </c>
      <c r="L73">
        <v>174700</v>
      </c>
      <c r="M73" s="17">
        <f t="shared" si="17"/>
        <v>34940</v>
      </c>
      <c r="O73" s="17">
        <f t="shared" si="15"/>
        <v>45422</v>
      </c>
      <c r="P73" s="17">
        <v>0</v>
      </c>
      <c r="Q73" s="18">
        <v>0.35</v>
      </c>
      <c r="R73" s="17">
        <v>0</v>
      </c>
      <c r="S73" s="19">
        <v>0</v>
      </c>
      <c r="T73" s="17">
        <v>0</v>
      </c>
      <c r="U73" s="18">
        <v>0.12</v>
      </c>
      <c r="V73" s="17">
        <v>0</v>
      </c>
      <c r="W73" s="18">
        <v>0</v>
      </c>
      <c r="X73" s="17">
        <f t="shared" si="18"/>
        <v>34940</v>
      </c>
      <c r="Y73" s="18">
        <v>0.34</v>
      </c>
      <c r="Z73" s="17">
        <f t="shared" si="19"/>
        <v>46819.6</v>
      </c>
      <c r="AA73" s="18">
        <f t="shared" si="16"/>
        <v>0.25373134328358204</v>
      </c>
      <c r="AB73" s="18">
        <v>0.1</v>
      </c>
    </row>
    <row r="74" spans="1:28">
      <c r="A74">
        <v>2026</v>
      </c>
      <c r="B74" t="s">
        <v>145</v>
      </c>
      <c r="C74" t="s">
        <v>149</v>
      </c>
      <c r="D74" t="s">
        <v>150</v>
      </c>
      <c r="E74">
        <v>603421</v>
      </c>
      <c r="G74" t="s">
        <v>148</v>
      </c>
      <c r="H74" t="s">
        <v>148</v>
      </c>
      <c r="I74" t="s">
        <v>164</v>
      </c>
      <c r="J74" t="s">
        <v>29</v>
      </c>
      <c r="K74">
        <v>5</v>
      </c>
      <c r="L74">
        <v>204000</v>
      </c>
      <c r="M74" s="17">
        <f t="shared" si="17"/>
        <v>40800</v>
      </c>
      <c r="O74" s="17">
        <f t="shared" si="15"/>
        <v>53040</v>
      </c>
      <c r="P74" s="17">
        <v>0</v>
      </c>
      <c r="Q74" s="18">
        <v>0.12</v>
      </c>
      <c r="R74" s="17">
        <v>0</v>
      </c>
      <c r="S74" s="19">
        <v>0</v>
      </c>
      <c r="T74" s="17">
        <v>0</v>
      </c>
      <c r="U74" s="18">
        <v>0.15</v>
      </c>
      <c r="V74" s="17">
        <v>0</v>
      </c>
      <c r="W74" s="18">
        <v>0</v>
      </c>
      <c r="X74" s="17">
        <f t="shared" si="18"/>
        <v>40800</v>
      </c>
      <c r="Y74" s="18">
        <v>0.25</v>
      </c>
      <c r="Z74" s="17">
        <f t="shared" si="19"/>
        <v>51000</v>
      </c>
      <c r="AA74" s="18">
        <f t="shared" si="16"/>
        <v>0.2</v>
      </c>
      <c r="AB74" s="18">
        <v>0.1</v>
      </c>
    </row>
    <row r="75" spans="1:28">
      <c r="A75">
        <v>2026</v>
      </c>
      <c r="B75" t="s">
        <v>145</v>
      </c>
      <c r="C75" t="s">
        <v>149</v>
      </c>
      <c r="D75" t="s">
        <v>150</v>
      </c>
      <c r="E75">
        <v>603422</v>
      </c>
      <c r="G75" t="s">
        <v>148</v>
      </c>
      <c r="H75" t="s">
        <v>148</v>
      </c>
      <c r="I75" t="s">
        <v>74</v>
      </c>
      <c r="J75" t="s">
        <v>29</v>
      </c>
      <c r="K75">
        <v>5</v>
      </c>
      <c r="L75">
        <v>49000</v>
      </c>
      <c r="M75" s="17">
        <f t="shared" si="17"/>
        <v>9800</v>
      </c>
      <c r="O75" s="17">
        <f t="shared" si="15"/>
        <v>12740</v>
      </c>
      <c r="P75" s="17">
        <v>0</v>
      </c>
      <c r="Q75" s="18">
        <v>0.25</v>
      </c>
      <c r="R75" s="17">
        <v>0</v>
      </c>
      <c r="S75" s="19">
        <v>0</v>
      </c>
      <c r="T75" s="17">
        <v>0</v>
      </c>
      <c r="U75" s="18">
        <v>0.18</v>
      </c>
      <c r="V75" s="17">
        <v>0</v>
      </c>
      <c r="W75" s="18">
        <v>0</v>
      </c>
      <c r="X75" s="17">
        <f t="shared" si="18"/>
        <v>9800</v>
      </c>
      <c r="Y75" s="18">
        <v>0.35</v>
      </c>
      <c r="Z75" s="17">
        <f t="shared" si="19"/>
        <v>13230</v>
      </c>
      <c r="AA75" s="18">
        <f t="shared" si="16"/>
        <v>0.25925925925925924</v>
      </c>
      <c r="AB75" s="18">
        <v>0.1</v>
      </c>
    </row>
    <row r="76" spans="1:28">
      <c r="A76">
        <v>2026</v>
      </c>
      <c r="B76" t="s">
        <v>145</v>
      </c>
      <c r="C76" t="s">
        <v>149</v>
      </c>
      <c r="D76" t="s">
        <v>150</v>
      </c>
      <c r="E76">
        <v>603423</v>
      </c>
      <c r="G76" t="s">
        <v>148</v>
      </c>
      <c r="H76" t="s">
        <v>148</v>
      </c>
      <c r="I76" t="s">
        <v>165</v>
      </c>
      <c r="J76" t="s">
        <v>22</v>
      </c>
      <c r="K76">
        <v>10</v>
      </c>
      <c r="L76">
        <v>224100</v>
      </c>
      <c r="M76" s="17">
        <f t="shared" si="17"/>
        <v>22410</v>
      </c>
      <c r="O76" s="17">
        <f t="shared" si="15"/>
        <v>29133</v>
      </c>
      <c r="P76" s="17">
        <v>0</v>
      </c>
      <c r="Q76" s="18">
        <v>0.1</v>
      </c>
      <c r="R76" s="17">
        <v>0</v>
      </c>
      <c r="S76" s="19">
        <v>0</v>
      </c>
      <c r="T76" s="17">
        <v>0</v>
      </c>
      <c r="U76" s="18">
        <v>0.28999999999999998</v>
      </c>
      <c r="V76" s="17">
        <v>0</v>
      </c>
      <c r="W76" s="18">
        <v>0</v>
      </c>
      <c r="X76" s="17">
        <f t="shared" si="18"/>
        <v>22410</v>
      </c>
      <c r="Y76" s="18">
        <v>0.12</v>
      </c>
      <c r="Z76" s="17">
        <f t="shared" si="19"/>
        <v>25099.200000000001</v>
      </c>
      <c r="AA76" s="18">
        <f t="shared" si="16"/>
        <v>0.10714285714285716</v>
      </c>
      <c r="AB76" s="18">
        <v>0.1</v>
      </c>
    </row>
    <row r="77" spans="1:28">
      <c r="A77">
        <v>2026</v>
      </c>
      <c r="B77" t="s">
        <v>145</v>
      </c>
      <c r="C77" t="s">
        <v>149</v>
      </c>
      <c r="D77" t="s">
        <v>150</v>
      </c>
      <c r="E77">
        <v>603420</v>
      </c>
      <c r="G77" t="s">
        <v>148</v>
      </c>
      <c r="H77" t="s">
        <v>148</v>
      </c>
      <c r="I77" t="s">
        <v>81</v>
      </c>
      <c r="J77" t="s">
        <v>22</v>
      </c>
      <c r="K77">
        <v>10</v>
      </c>
      <c r="L77">
        <v>38000</v>
      </c>
      <c r="M77" s="17">
        <f t="shared" si="17"/>
        <v>3800</v>
      </c>
      <c r="O77" s="17">
        <f t="shared" si="15"/>
        <v>4940</v>
      </c>
      <c r="P77" s="17">
        <v>0</v>
      </c>
      <c r="Q77" s="18">
        <v>0.35</v>
      </c>
      <c r="R77" s="17">
        <v>0</v>
      </c>
      <c r="S77" s="19">
        <v>0</v>
      </c>
      <c r="T77" s="17">
        <v>0</v>
      </c>
      <c r="U77" s="18">
        <v>0.34</v>
      </c>
      <c r="V77" s="17">
        <v>0</v>
      </c>
      <c r="W77" s="18">
        <v>0</v>
      </c>
      <c r="X77" s="17">
        <f t="shared" si="18"/>
        <v>3800</v>
      </c>
      <c r="Y77" s="18">
        <v>0.25</v>
      </c>
      <c r="Z77" s="17">
        <f t="shared" si="19"/>
        <v>4750</v>
      </c>
      <c r="AA77" s="18">
        <f t="shared" si="16"/>
        <v>0.2</v>
      </c>
      <c r="AB77" s="18">
        <v>0.1</v>
      </c>
    </row>
    <row r="78" spans="1:28">
      <c r="A78">
        <v>2026</v>
      </c>
      <c r="B78" t="s">
        <v>145</v>
      </c>
      <c r="C78" t="s">
        <v>149</v>
      </c>
      <c r="D78" t="s">
        <v>150</v>
      </c>
      <c r="E78">
        <v>603424</v>
      </c>
      <c r="G78" t="s">
        <v>148</v>
      </c>
      <c r="H78" t="s">
        <v>148</v>
      </c>
      <c r="I78" t="s">
        <v>83</v>
      </c>
      <c r="J78" t="s">
        <v>22</v>
      </c>
      <c r="K78">
        <v>10</v>
      </c>
      <c r="L78">
        <v>39800</v>
      </c>
      <c r="M78" s="17">
        <f t="shared" si="17"/>
        <v>3980</v>
      </c>
      <c r="O78" s="17">
        <f t="shared" si="15"/>
        <v>5174</v>
      </c>
      <c r="P78" s="17">
        <v>0</v>
      </c>
      <c r="Q78" s="18">
        <v>0.33</v>
      </c>
      <c r="R78" s="17">
        <v>0</v>
      </c>
      <c r="S78" s="19">
        <v>0</v>
      </c>
      <c r="T78" s="17">
        <v>0</v>
      </c>
      <c r="U78" s="18">
        <v>0.25</v>
      </c>
      <c r="V78" s="17">
        <v>0</v>
      </c>
      <c r="W78" s="18">
        <v>0</v>
      </c>
      <c r="X78" s="17">
        <f t="shared" si="18"/>
        <v>3980</v>
      </c>
      <c r="Y78" s="18">
        <v>0.1</v>
      </c>
      <c r="Z78" s="17">
        <f t="shared" si="19"/>
        <v>4378</v>
      </c>
      <c r="AA78" s="18">
        <f t="shared" si="16"/>
        <v>9.0909090909090912E-2</v>
      </c>
      <c r="AB78" s="18">
        <v>0.1</v>
      </c>
    </row>
    <row r="79" spans="1:28">
      <c r="A79">
        <v>2026</v>
      </c>
      <c r="B79" t="s">
        <v>145</v>
      </c>
      <c r="C79" t="s">
        <v>149</v>
      </c>
      <c r="D79" t="s">
        <v>150</v>
      </c>
      <c r="E79">
        <v>583300</v>
      </c>
      <c r="G79" t="s">
        <v>148</v>
      </c>
      <c r="H79" t="s">
        <v>148</v>
      </c>
      <c r="I79" t="s">
        <v>97</v>
      </c>
      <c r="J79" t="s">
        <v>12</v>
      </c>
      <c r="K79">
        <v>1</v>
      </c>
      <c r="L79">
        <v>43500</v>
      </c>
      <c r="M79" s="17">
        <f t="shared" si="17"/>
        <v>43500</v>
      </c>
      <c r="O79" s="17">
        <f t="shared" si="15"/>
        <v>56550</v>
      </c>
      <c r="P79" s="17">
        <v>0</v>
      </c>
      <c r="Q79" s="18">
        <v>0.31</v>
      </c>
      <c r="R79" s="17">
        <v>0</v>
      </c>
      <c r="S79" s="19">
        <v>0</v>
      </c>
      <c r="T79" s="17">
        <v>0</v>
      </c>
      <c r="U79" s="18">
        <v>0.35</v>
      </c>
      <c r="V79" s="17">
        <v>0</v>
      </c>
      <c r="W79" s="18">
        <v>0</v>
      </c>
      <c r="X79" s="17">
        <f t="shared" si="18"/>
        <v>43500</v>
      </c>
      <c r="Y79" s="18">
        <v>0.35</v>
      </c>
      <c r="Z79" s="17">
        <f t="shared" si="19"/>
        <v>58725</v>
      </c>
      <c r="AA79" s="18">
        <f t="shared" si="16"/>
        <v>0.25925925925925924</v>
      </c>
      <c r="AB79" s="18">
        <v>0.1</v>
      </c>
    </row>
    <row r="80" spans="1:28">
      <c r="A80">
        <v>2026</v>
      </c>
      <c r="B80" t="s">
        <v>145</v>
      </c>
      <c r="C80" t="s">
        <v>149</v>
      </c>
      <c r="D80" t="s">
        <v>150</v>
      </c>
      <c r="E80">
        <v>583400</v>
      </c>
      <c r="G80" t="s">
        <v>148</v>
      </c>
      <c r="H80" t="s">
        <v>148</v>
      </c>
      <c r="I80" t="s">
        <v>105</v>
      </c>
      <c r="J80" t="s">
        <v>166</v>
      </c>
      <c r="K80">
        <v>2</v>
      </c>
      <c r="L80">
        <v>67900</v>
      </c>
      <c r="M80" s="17">
        <f>(L80/10)*2</f>
        <v>13580</v>
      </c>
      <c r="O80" s="17">
        <f t="shared" si="15"/>
        <v>17654</v>
      </c>
      <c r="P80" s="17">
        <v>0</v>
      </c>
      <c r="Q80" s="18">
        <v>0.3</v>
      </c>
      <c r="R80" s="17">
        <v>0</v>
      </c>
      <c r="S80" s="19">
        <v>0</v>
      </c>
      <c r="T80" s="17">
        <v>0</v>
      </c>
      <c r="U80" s="18">
        <v>0.12</v>
      </c>
      <c r="V80" s="17">
        <v>0</v>
      </c>
      <c r="W80" s="18">
        <v>0</v>
      </c>
      <c r="X80" s="17">
        <f t="shared" si="18"/>
        <v>13580</v>
      </c>
      <c r="Y80" s="18">
        <v>0.33</v>
      </c>
      <c r="Z80" s="17">
        <f t="shared" si="19"/>
        <v>18061.400000000001</v>
      </c>
      <c r="AA80" s="18">
        <f t="shared" si="16"/>
        <v>0.24812030075187977</v>
      </c>
      <c r="AB80" s="18">
        <v>0.1</v>
      </c>
    </row>
    <row r="81" spans="1:28">
      <c r="A81">
        <v>2026</v>
      </c>
      <c r="B81" t="s">
        <v>145</v>
      </c>
      <c r="C81" t="s">
        <v>149</v>
      </c>
      <c r="D81" t="s">
        <v>150</v>
      </c>
      <c r="E81">
        <v>583500</v>
      </c>
      <c r="G81" t="s">
        <v>148</v>
      </c>
      <c r="H81" t="s">
        <v>148</v>
      </c>
      <c r="I81" t="s">
        <v>107</v>
      </c>
      <c r="J81" t="s">
        <v>166</v>
      </c>
      <c r="K81">
        <v>2</v>
      </c>
      <c r="L81">
        <v>50300</v>
      </c>
      <c r="M81" s="17">
        <f>(L81/10)*2</f>
        <v>10060</v>
      </c>
      <c r="O81" s="17">
        <f t="shared" si="15"/>
        <v>13078</v>
      </c>
      <c r="P81" s="17">
        <v>0</v>
      </c>
      <c r="Q81" s="18">
        <v>0.28000000000000003</v>
      </c>
      <c r="R81" s="17">
        <v>0</v>
      </c>
      <c r="S81" s="19">
        <v>0</v>
      </c>
      <c r="T81" s="17">
        <v>0</v>
      </c>
      <c r="U81" s="18">
        <v>0.25</v>
      </c>
      <c r="V81" s="17">
        <v>0</v>
      </c>
      <c r="W81" s="18">
        <v>0</v>
      </c>
      <c r="X81" s="17">
        <f t="shared" si="18"/>
        <v>10060</v>
      </c>
      <c r="Y81" s="18">
        <v>0.31</v>
      </c>
      <c r="Z81" s="17">
        <f t="shared" si="19"/>
        <v>13178.6</v>
      </c>
      <c r="AA81" s="18">
        <f t="shared" si="16"/>
        <v>0.23664122137404583</v>
      </c>
      <c r="AB81" s="18">
        <v>0.1</v>
      </c>
    </row>
    <row r="82" spans="1:28">
      <c r="A82">
        <v>2026</v>
      </c>
      <c r="B82" t="s">
        <v>156</v>
      </c>
      <c r="C82" t="s">
        <v>149</v>
      </c>
      <c r="D82" t="s">
        <v>150</v>
      </c>
      <c r="E82">
        <v>360001</v>
      </c>
      <c r="G82" t="s">
        <v>148</v>
      </c>
      <c r="H82" t="s">
        <v>148</v>
      </c>
      <c r="I82" t="s">
        <v>11</v>
      </c>
      <c r="J82" t="s">
        <v>12</v>
      </c>
      <c r="K82">
        <v>40</v>
      </c>
      <c r="L82">
        <v>893800</v>
      </c>
      <c r="M82" s="17">
        <f>L82/K82</f>
        <v>22345</v>
      </c>
      <c r="O82" s="17">
        <f t="shared" ref="O82:O101" si="20">M82+(M82*30%)</f>
        <v>29048.5</v>
      </c>
      <c r="P82" s="17">
        <v>0</v>
      </c>
      <c r="Q82" s="18">
        <v>0.3</v>
      </c>
      <c r="R82" s="17">
        <v>0</v>
      </c>
      <c r="S82" s="19">
        <v>0</v>
      </c>
      <c r="T82" s="17">
        <v>0</v>
      </c>
      <c r="U82" s="18">
        <v>0.12</v>
      </c>
      <c r="V82" s="17">
        <v>0</v>
      </c>
      <c r="W82" s="18">
        <v>0</v>
      </c>
      <c r="X82" s="17">
        <f>M82</f>
        <v>22345</v>
      </c>
      <c r="Y82" s="18">
        <v>0.33</v>
      </c>
      <c r="Z82" s="17">
        <f>X82+(X82*Y82)</f>
        <v>29718.85</v>
      </c>
      <c r="AA82" s="18">
        <f t="shared" ref="AA82:AA101" si="21">IFERROR(((Z82-X82)/Z82),0)</f>
        <v>0.24812030075187966</v>
      </c>
      <c r="AB82" s="18">
        <v>0.1</v>
      </c>
    </row>
    <row r="83" spans="1:28">
      <c r="A83">
        <v>2026</v>
      </c>
      <c r="B83" t="s">
        <v>156</v>
      </c>
      <c r="C83" t="s">
        <v>149</v>
      </c>
      <c r="D83" t="s">
        <v>150</v>
      </c>
      <c r="E83">
        <v>360102</v>
      </c>
      <c r="G83" t="s">
        <v>148</v>
      </c>
      <c r="H83" t="s">
        <v>148</v>
      </c>
      <c r="I83" t="s">
        <v>18</v>
      </c>
      <c r="J83" t="s">
        <v>12</v>
      </c>
      <c r="K83">
        <v>250</v>
      </c>
      <c r="L83">
        <v>80300</v>
      </c>
      <c r="M83" s="17">
        <f t="shared" ref="M83:M99" si="22">L83/K83</f>
        <v>321.2</v>
      </c>
      <c r="O83" s="17">
        <f t="shared" si="20"/>
        <v>417.56</v>
      </c>
      <c r="P83" s="17">
        <v>0</v>
      </c>
      <c r="Q83" s="18">
        <v>0.28000000000000003</v>
      </c>
      <c r="R83" s="17">
        <v>0</v>
      </c>
      <c r="S83" s="19">
        <v>0</v>
      </c>
      <c r="T83" s="17">
        <v>0</v>
      </c>
      <c r="U83" s="18">
        <v>0.25</v>
      </c>
      <c r="V83" s="17">
        <v>0</v>
      </c>
      <c r="W83" s="18">
        <v>0</v>
      </c>
      <c r="X83" s="17">
        <f t="shared" ref="X83:X101" si="23">M83</f>
        <v>321.2</v>
      </c>
      <c r="Y83" s="18">
        <v>0.31</v>
      </c>
      <c r="Z83" s="17">
        <f t="shared" ref="Z83:Z101" si="24">X83+(X83*Y83)</f>
        <v>420.77199999999999</v>
      </c>
      <c r="AA83" s="18">
        <f t="shared" si="21"/>
        <v>0.23664122137404581</v>
      </c>
      <c r="AB83" s="18">
        <v>0.1</v>
      </c>
    </row>
    <row r="84" spans="1:28">
      <c r="A84">
        <v>2026</v>
      </c>
      <c r="B84" t="s">
        <v>156</v>
      </c>
      <c r="C84" t="s">
        <v>149</v>
      </c>
      <c r="D84" t="s">
        <v>150</v>
      </c>
      <c r="E84">
        <v>360104</v>
      </c>
      <c r="G84" t="s">
        <v>148</v>
      </c>
      <c r="H84" t="s">
        <v>148</v>
      </c>
      <c r="I84" t="s">
        <v>26</v>
      </c>
      <c r="J84" t="s">
        <v>22</v>
      </c>
      <c r="K84">
        <v>10</v>
      </c>
      <c r="L84">
        <v>28800</v>
      </c>
      <c r="M84" s="17">
        <f t="shared" si="22"/>
        <v>2880</v>
      </c>
      <c r="O84" s="17">
        <f t="shared" si="20"/>
        <v>3744</v>
      </c>
      <c r="P84" s="17">
        <v>0</v>
      </c>
      <c r="Q84" s="18">
        <v>0.27</v>
      </c>
      <c r="R84" s="17">
        <v>0</v>
      </c>
      <c r="S84" s="19">
        <v>0</v>
      </c>
      <c r="T84" s="17">
        <v>0</v>
      </c>
      <c r="U84" s="18">
        <v>0.1</v>
      </c>
      <c r="V84" s="17">
        <v>0</v>
      </c>
      <c r="W84" s="18">
        <v>0</v>
      </c>
      <c r="X84" s="17">
        <f t="shared" si="23"/>
        <v>2880</v>
      </c>
      <c r="Y84" s="18">
        <v>0.3</v>
      </c>
      <c r="Z84" s="17">
        <f t="shared" si="24"/>
        <v>3744</v>
      </c>
      <c r="AA84" s="18">
        <f t="shared" si="21"/>
        <v>0.23076923076923078</v>
      </c>
      <c r="AB84" s="18">
        <v>0.1</v>
      </c>
    </row>
    <row r="85" spans="1:28">
      <c r="A85">
        <v>2026</v>
      </c>
      <c r="B85" t="s">
        <v>156</v>
      </c>
      <c r="C85" t="s">
        <v>149</v>
      </c>
      <c r="D85" t="s">
        <v>150</v>
      </c>
      <c r="E85">
        <v>360100</v>
      </c>
      <c r="G85" t="s">
        <v>148</v>
      </c>
      <c r="H85" t="s">
        <v>148</v>
      </c>
      <c r="I85" t="s">
        <v>35</v>
      </c>
      <c r="J85" t="s">
        <v>22</v>
      </c>
      <c r="K85">
        <v>10</v>
      </c>
      <c r="L85">
        <v>36700</v>
      </c>
      <c r="M85" s="17">
        <f t="shared" si="22"/>
        <v>3670</v>
      </c>
      <c r="O85" s="17">
        <f t="shared" si="20"/>
        <v>4771</v>
      </c>
      <c r="P85" s="17">
        <v>0</v>
      </c>
      <c r="Q85" s="18">
        <v>0.17</v>
      </c>
      <c r="R85" s="17">
        <v>0</v>
      </c>
      <c r="S85" s="19">
        <v>0</v>
      </c>
      <c r="T85" s="17">
        <v>0</v>
      </c>
      <c r="U85" s="18">
        <v>0.35</v>
      </c>
      <c r="V85" s="17">
        <v>0</v>
      </c>
      <c r="W85" s="18">
        <v>0</v>
      </c>
      <c r="X85" s="17">
        <f t="shared" si="23"/>
        <v>3670</v>
      </c>
      <c r="Y85" s="18">
        <v>0.28000000000000003</v>
      </c>
      <c r="Z85" s="17">
        <f t="shared" si="24"/>
        <v>4697.6000000000004</v>
      </c>
      <c r="AA85" s="18">
        <f t="shared" si="21"/>
        <v>0.21875000000000006</v>
      </c>
      <c r="AB85" s="18">
        <v>0.1</v>
      </c>
    </row>
    <row r="86" spans="1:28">
      <c r="A86">
        <v>2026</v>
      </c>
      <c r="B86" t="s">
        <v>156</v>
      </c>
      <c r="C86" t="s">
        <v>149</v>
      </c>
      <c r="D86" t="s">
        <v>150</v>
      </c>
      <c r="E86">
        <v>360150</v>
      </c>
      <c r="G86" t="s">
        <v>148</v>
      </c>
      <c r="H86" t="s">
        <v>148</v>
      </c>
      <c r="I86" t="s">
        <v>159</v>
      </c>
      <c r="J86" t="s">
        <v>29</v>
      </c>
      <c r="K86">
        <v>5</v>
      </c>
      <c r="L86">
        <v>28000</v>
      </c>
      <c r="M86" s="17">
        <f t="shared" si="22"/>
        <v>5600</v>
      </c>
      <c r="O86" s="17">
        <f t="shared" si="20"/>
        <v>7280</v>
      </c>
      <c r="P86" s="17">
        <v>0</v>
      </c>
      <c r="Q86" s="18">
        <v>0.22</v>
      </c>
      <c r="R86" s="17">
        <v>0</v>
      </c>
      <c r="S86" s="19">
        <v>0</v>
      </c>
      <c r="T86" s="17">
        <v>0</v>
      </c>
      <c r="U86" s="18">
        <v>0.33</v>
      </c>
      <c r="V86" s="17">
        <v>0</v>
      </c>
      <c r="W86" s="18">
        <v>0</v>
      </c>
      <c r="X86" s="17">
        <f t="shared" si="23"/>
        <v>5600</v>
      </c>
      <c r="Y86" s="18">
        <v>0.27</v>
      </c>
      <c r="Z86" s="17">
        <f t="shared" si="24"/>
        <v>7112</v>
      </c>
      <c r="AA86" s="18">
        <f t="shared" si="21"/>
        <v>0.2125984251968504</v>
      </c>
      <c r="AB86" s="18">
        <v>0.1</v>
      </c>
    </row>
    <row r="87" spans="1:28">
      <c r="A87">
        <v>2026</v>
      </c>
      <c r="B87" t="s">
        <v>156</v>
      </c>
      <c r="C87" t="s">
        <v>149</v>
      </c>
      <c r="D87" t="s">
        <v>150</v>
      </c>
      <c r="E87">
        <v>360101</v>
      </c>
      <c r="G87" t="s">
        <v>148</v>
      </c>
      <c r="H87" t="s">
        <v>148</v>
      </c>
      <c r="I87" t="s">
        <v>50</v>
      </c>
      <c r="J87" t="s">
        <v>29</v>
      </c>
      <c r="K87">
        <v>5</v>
      </c>
      <c r="L87">
        <v>36700</v>
      </c>
      <c r="M87" s="17">
        <f t="shared" si="22"/>
        <v>7340</v>
      </c>
      <c r="O87" s="17">
        <f t="shared" si="20"/>
        <v>9542</v>
      </c>
      <c r="P87" s="17">
        <v>0</v>
      </c>
      <c r="Q87" s="18">
        <v>0.12</v>
      </c>
      <c r="R87" s="17">
        <v>0</v>
      </c>
      <c r="S87" s="19">
        <v>0</v>
      </c>
      <c r="T87" s="17">
        <v>0</v>
      </c>
      <c r="U87" s="18">
        <v>0.31</v>
      </c>
      <c r="V87" s="17">
        <v>0</v>
      </c>
      <c r="W87" s="18">
        <v>0</v>
      </c>
      <c r="X87" s="17">
        <f t="shared" si="23"/>
        <v>7340</v>
      </c>
      <c r="Y87" s="18">
        <v>0.17</v>
      </c>
      <c r="Z87" s="17">
        <f t="shared" si="24"/>
        <v>8587.7999999999993</v>
      </c>
      <c r="AA87" s="18">
        <f t="shared" si="21"/>
        <v>0.14529914529914523</v>
      </c>
      <c r="AB87" s="18">
        <v>0.1</v>
      </c>
    </row>
    <row r="88" spans="1:28">
      <c r="A88">
        <v>2026</v>
      </c>
      <c r="B88" t="s">
        <v>156</v>
      </c>
      <c r="C88" t="s">
        <v>149</v>
      </c>
      <c r="D88" t="s">
        <v>150</v>
      </c>
      <c r="E88">
        <v>360103</v>
      </c>
      <c r="G88" t="s">
        <v>148</v>
      </c>
      <c r="H88" t="s">
        <v>148</v>
      </c>
      <c r="I88" t="s">
        <v>59</v>
      </c>
      <c r="J88" t="s">
        <v>29</v>
      </c>
      <c r="K88">
        <v>5</v>
      </c>
      <c r="L88">
        <v>21900</v>
      </c>
      <c r="M88" s="17">
        <f t="shared" si="22"/>
        <v>4380</v>
      </c>
      <c r="O88" s="17">
        <f t="shared" si="20"/>
        <v>5694</v>
      </c>
      <c r="P88" s="17">
        <v>0</v>
      </c>
      <c r="Q88" s="18">
        <v>0.15</v>
      </c>
      <c r="R88" s="17">
        <v>0</v>
      </c>
      <c r="S88" s="19">
        <v>0</v>
      </c>
      <c r="T88" s="17">
        <v>0</v>
      </c>
      <c r="U88" s="18">
        <v>0.3</v>
      </c>
      <c r="V88" s="17">
        <v>0</v>
      </c>
      <c r="W88" s="18">
        <v>0</v>
      </c>
      <c r="X88" s="17">
        <f t="shared" si="23"/>
        <v>4380</v>
      </c>
      <c r="Y88" s="18">
        <v>0.22</v>
      </c>
      <c r="Z88" s="17">
        <f t="shared" si="24"/>
        <v>5343.6</v>
      </c>
      <c r="AA88" s="18">
        <f t="shared" si="21"/>
        <v>0.18032786885245908</v>
      </c>
      <c r="AB88" s="18">
        <v>0.1</v>
      </c>
    </row>
    <row r="89" spans="1:28">
      <c r="A89">
        <v>2026</v>
      </c>
      <c r="B89" t="s">
        <v>156</v>
      </c>
      <c r="C89" t="s">
        <v>149</v>
      </c>
      <c r="D89" t="s">
        <v>150</v>
      </c>
      <c r="E89">
        <v>709900</v>
      </c>
      <c r="G89" t="s">
        <v>148</v>
      </c>
      <c r="H89" t="s">
        <v>148</v>
      </c>
      <c r="I89" t="s">
        <v>67</v>
      </c>
      <c r="J89" t="s">
        <v>29</v>
      </c>
      <c r="K89">
        <v>5</v>
      </c>
      <c r="L89">
        <v>114900</v>
      </c>
      <c r="M89" s="17">
        <f t="shared" si="22"/>
        <v>22980</v>
      </c>
      <c r="O89" s="17">
        <f t="shared" si="20"/>
        <v>29874</v>
      </c>
      <c r="P89" s="17">
        <v>0</v>
      </c>
      <c r="Q89" s="18">
        <v>0.18</v>
      </c>
      <c r="R89" s="17">
        <v>0</v>
      </c>
      <c r="S89" s="19">
        <v>0</v>
      </c>
      <c r="T89" s="17">
        <v>0</v>
      </c>
      <c r="U89" s="18">
        <v>0.28000000000000003</v>
      </c>
      <c r="V89" s="17">
        <v>0</v>
      </c>
      <c r="W89" s="18">
        <v>0</v>
      </c>
      <c r="X89" s="17">
        <f t="shared" si="23"/>
        <v>22980</v>
      </c>
      <c r="Y89" s="18">
        <v>0.12</v>
      </c>
      <c r="Z89" s="17">
        <f t="shared" si="24"/>
        <v>25737.599999999999</v>
      </c>
      <c r="AA89" s="18">
        <f t="shared" si="21"/>
        <v>0.1071428571428571</v>
      </c>
      <c r="AB89" s="18">
        <v>0.1</v>
      </c>
    </row>
    <row r="90" spans="1:28">
      <c r="A90">
        <v>2026</v>
      </c>
      <c r="B90" t="s">
        <v>156</v>
      </c>
      <c r="C90" t="s">
        <v>149</v>
      </c>
      <c r="D90" t="s">
        <v>150</v>
      </c>
      <c r="E90">
        <v>709902</v>
      </c>
      <c r="G90" t="s">
        <v>148</v>
      </c>
      <c r="H90" t="s">
        <v>148</v>
      </c>
      <c r="I90" t="s">
        <v>160</v>
      </c>
      <c r="J90" t="s">
        <v>29</v>
      </c>
      <c r="K90">
        <v>5</v>
      </c>
      <c r="L90">
        <v>28000</v>
      </c>
      <c r="M90" s="17">
        <f t="shared" si="22"/>
        <v>5600</v>
      </c>
      <c r="O90" s="17">
        <f t="shared" si="20"/>
        <v>7280</v>
      </c>
      <c r="P90" s="17">
        <v>0</v>
      </c>
      <c r="Q90" s="18">
        <v>0.28999999999999998</v>
      </c>
      <c r="R90" s="17">
        <v>0</v>
      </c>
      <c r="S90" s="19">
        <v>0</v>
      </c>
      <c r="T90" s="17">
        <v>0</v>
      </c>
      <c r="U90" s="18">
        <v>0.27</v>
      </c>
      <c r="V90" s="17">
        <v>0</v>
      </c>
      <c r="W90" s="18">
        <v>0</v>
      </c>
      <c r="X90" s="17">
        <f t="shared" si="23"/>
        <v>5600</v>
      </c>
      <c r="Y90" s="18">
        <v>0.15</v>
      </c>
      <c r="Z90" s="17">
        <f t="shared" si="24"/>
        <v>6440</v>
      </c>
      <c r="AA90" s="18">
        <f t="shared" si="21"/>
        <v>0.13043478260869565</v>
      </c>
      <c r="AB90" s="18">
        <v>0.1</v>
      </c>
    </row>
    <row r="91" spans="1:28">
      <c r="A91">
        <v>2026</v>
      </c>
      <c r="B91" t="s">
        <v>156</v>
      </c>
      <c r="C91" t="s">
        <v>149</v>
      </c>
      <c r="D91" t="s">
        <v>150</v>
      </c>
      <c r="E91">
        <v>709903</v>
      </c>
      <c r="G91" t="s">
        <v>148</v>
      </c>
      <c r="H91" t="s">
        <v>148</v>
      </c>
      <c r="I91" t="s">
        <v>161</v>
      </c>
      <c r="J91" t="s">
        <v>29</v>
      </c>
      <c r="K91">
        <v>5</v>
      </c>
      <c r="L91">
        <v>49200</v>
      </c>
      <c r="M91" s="17">
        <f t="shared" si="22"/>
        <v>9840</v>
      </c>
      <c r="O91" s="17">
        <f t="shared" si="20"/>
        <v>12792</v>
      </c>
      <c r="P91" s="17">
        <v>0</v>
      </c>
      <c r="Q91" s="18">
        <v>0.34</v>
      </c>
      <c r="R91" s="17">
        <v>0</v>
      </c>
      <c r="S91" s="19">
        <v>0</v>
      </c>
      <c r="T91" s="17">
        <v>0</v>
      </c>
      <c r="U91" s="18">
        <v>0.17</v>
      </c>
      <c r="V91" s="17">
        <v>0</v>
      </c>
      <c r="W91" s="18">
        <v>0</v>
      </c>
      <c r="X91" s="17">
        <f t="shared" si="23"/>
        <v>9840</v>
      </c>
      <c r="Y91" s="18">
        <v>0.18</v>
      </c>
      <c r="Z91" s="17">
        <f t="shared" si="24"/>
        <v>11611.2</v>
      </c>
      <c r="AA91" s="18">
        <f t="shared" si="21"/>
        <v>0.152542372881356</v>
      </c>
      <c r="AB91" s="18">
        <v>0.1</v>
      </c>
    </row>
    <row r="92" spans="1:28">
      <c r="A92">
        <v>2026</v>
      </c>
      <c r="B92" t="s">
        <v>156</v>
      </c>
      <c r="C92" t="s">
        <v>149</v>
      </c>
      <c r="D92" t="s">
        <v>150</v>
      </c>
      <c r="E92">
        <v>709909</v>
      </c>
      <c r="G92" t="s">
        <v>148</v>
      </c>
      <c r="H92" t="s">
        <v>148</v>
      </c>
      <c r="I92" t="s">
        <v>162</v>
      </c>
      <c r="J92" t="s">
        <v>29</v>
      </c>
      <c r="K92">
        <v>5</v>
      </c>
      <c r="L92">
        <v>141600</v>
      </c>
      <c r="M92" s="17">
        <f t="shared" si="22"/>
        <v>28320</v>
      </c>
      <c r="O92" s="17">
        <f t="shared" si="20"/>
        <v>36816</v>
      </c>
      <c r="P92" s="17">
        <v>0</v>
      </c>
      <c r="Q92" s="18">
        <v>0.25</v>
      </c>
      <c r="R92" s="17">
        <v>0</v>
      </c>
      <c r="S92" s="19">
        <v>0</v>
      </c>
      <c r="T92" s="17">
        <v>0</v>
      </c>
      <c r="U92" s="18">
        <v>0.22</v>
      </c>
      <c r="V92" s="17">
        <v>0</v>
      </c>
      <c r="W92" s="18">
        <v>0</v>
      </c>
      <c r="X92" s="17">
        <f t="shared" si="23"/>
        <v>28320</v>
      </c>
      <c r="Y92" s="18">
        <v>0.28999999999999998</v>
      </c>
      <c r="Z92" s="17">
        <f t="shared" si="24"/>
        <v>36532.800000000003</v>
      </c>
      <c r="AA92" s="18">
        <f t="shared" si="21"/>
        <v>0.22480620155038766</v>
      </c>
      <c r="AB92" s="18">
        <v>0.1</v>
      </c>
    </row>
    <row r="93" spans="1:28">
      <c r="A93">
        <v>2026</v>
      </c>
      <c r="B93" t="s">
        <v>156</v>
      </c>
      <c r="C93" t="s">
        <v>149</v>
      </c>
      <c r="D93" t="s">
        <v>150</v>
      </c>
      <c r="E93">
        <v>709904</v>
      </c>
      <c r="G93" t="s">
        <v>148</v>
      </c>
      <c r="H93" t="s">
        <v>148</v>
      </c>
      <c r="I93" t="s">
        <v>163</v>
      </c>
      <c r="J93" t="s">
        <v>29</v>
      </c>
      <c r="K93">
        <v>5</v>
      </c>
      <c r="L93">
        <v>174700</v>
      </c>
      <c r="M93" s="17">
        <f t="shared" si="22"/>
        <v>34940</v>
      </c>
      <c r="O93" s="17">
        <f t="shared" si="20"/>
        <v>45422</v>
      </c>
      <c r="P93" s="17">
        <v>0</v>
      </c>
      <c r="Q93" s="18">
        <v>0.35</v>
      </c>
      <c r="R93" s="17">
        <v>0</v>
      </c>
      <c r="S93" s="19">
        <v>0</v>
      </c>
      <c r="T93" s="17">
        <v>0</v>
      </c>
      <c r="U93" s="18">
        <v>0.12</v>
      </c>
      <c r="V93" s="17">
        <v>0</v>
      </c>
      <c r="W93" s="18">
        <v>0</v>
      </c>
      <c r="X93" s="17">
        <f t="shared" si="23"/>
        <v>34940</v>
      </c>
      <c r="Y93" s="18">
        <v>0.34</v>
      </c>
      <c r="Z93" s="17">
        <f t="shared" si="24"/>
        <v>46819.6</v>
      </c>
      <c r="AA93" s="18">
        <f t="shared" si="21"/>
        <v>0.25373134328358204</v>
      </c>
      <c r="AB93" s="18">
        <v>0.1</v>
      </c>
    </row>
    <row r="94" spans="1:28">
      <c r="A94">
        <v>2026</v>
      </c>
      <c r="B94" t="s">
        <v>156</v>
      </c>
      <c r="C94" t="s">
        <v>149</v>
      </c>
      <c r="D94" t="s">
        <v>150</v>
      </c>
      <c r="E94">
        <v>603421</v>
      </c>
      <c r="G94" t="s">
        <v>148</v>
      </c>
      <c r="H94" t="s">
        <v>148</v>
      </c>
      <c r="I94" t="s">
        <v>164</v>
      </c>
      <c r="J94" t="s">
        <v>29</v>
      </c>
      <c r="K94">
        <v>5</v>
      </c>
      <c r="L94">
        <v>204000</v>
      </c>
      <c r="M94" s="17">
        <f t="shared" si="22"/>
        <v>40800</v>
      </c>
      <c r="O94" s="17">
        <f t="shared" si="20"/>
        <v>53040</v>
      </c>
      <c r="P94" s="17">
        <v>0</v>
      </c>
      <c r="Q94" s="18">
        <v>0.12</v>
      </c>
      <c r="R94" s="17">
        <v>0</v>
      </c>
      <c r="S94" s="19">
        <v>0</v>
      </c>
      <c r="T94" s="17">
        <v>0</v>
      </c>
      <c r="U94" s="18">
        <v>0.15</v>
      </c>
      <c r="V94" s="17">
        <v>0</v>
      </c>
      <c r="W94" s="18">
        <v>0</v>
      </c>
      <c r="X94" s="17">
        <f t="shared" si="23"/>
        <v>40800</v>
      </c>
      <c r="Y94" s="18">
        <v>0.25</v>
      </c>
      <c r="Z94" s="17">
        <f t="shared" si="24"/>
        <v>51000</v>
      </c>
      <c r="AA94" s="18">
        <f t="shared" si="21"/>
        <v>0.2</v>
      </c>
      <c r="AB94" s="18">
        <v>0.1</v>
      </c>
    </row>
    <row r="95" spans="1:28">
      <c r="A95">
        <v>2026</v>
      </c>
      <c r="B95" t="s">
        <v>156</v>
      </c>
      <c r="C95" t="s">
        <v>149</v>
      </c>
      <c r="D95" t="s">
        <v>150</v>
      </c>
      <c r="E95">
        <v>603422</v>
      </c>
      <c r="G95" t="s">
        <v>148</v>
      </c>
      <c r="H95" t="s">
        <v>148</v>
      </c>
      <c r="I95" t="s">
        <v>74</v>
      </c>
      <c r="J95" t="s">
        <v>29</v>
      </c>
      <c r="K95">
        <v>5</v>
      </c>
      <c r="L95">
        <v>49000</v>
      </c>
      <c r="M95" s="17">
        <f t="shared" si="22"/>
        <v>9800</v>
      </c>
      <c r="O95" s="17">
        <f t="shared" si="20"/>
        <v>12740</v>
      </c>
      <c r="P95" s="17">
        <v>0</v>
      </c>
      <c r="Q95" s="18">
        <v>0.25</v>
      </c>
      <c r="R95" s="17">
        <v>0</v>
      </c>
      <c r="S95" s="19">
        <v>0</v>
      </c>
      <c r="T95" s="17">
        <v>0</v>
      </c>
      <c r="U95" s="18">
        <v>0.18</v>
      </c>
      <c r="V95" s="17">
        <v>0</v>
      </c>
      <c r="W95" s="18">
        <v>0</v>
      </c>
      <c r="X95" s="17">
        <f t="shared" si="23"/>
        <v>9800</v>
      </c>
      <c r="Y95" s="18">
        <v>0.35</v>
      </c>
      <c r="Z95" s="17">
        <f t="shared" si="24"/>
        <v>13230</v>
      </c>
      <c r="AA95" s="18">
        <f t="shared" si="21"/>
        <v>0.25925925925925924</v>
      </c>
      <c r="AB95" s="18">
        <v>0.1</v>
      </c>
    </row>
    <row r="96" spans="1:28">
      <c r="A96">
        <v>2026</v>
      </c>
      <c r="B96" t="s">
        <v>156</v>
      </c>
      <c r="C96" t="s">
        <v>149</v>
      </c>
      <c r="D96" t="s">
        <v>150</v>
      </c>
      <c r="E96">
        <v>603423</v>
      </c>
      <c r="G96" t="s">
        <v>148</v>
      </c>
      <c r="H96" t="s">
        <v>148</v>
      </c>
      <c r="I96" t="s">
        <v>165</v>
      </c>
      <c r="J96" t="s">
        <v>22</v>
      </c>
      <c r="K96">
        <v>10</v>
      </c>
      <c r="L96">
        <v>224100</v>
      </c>
      <c r="M96" s="17">
        <f t="shared" si="22"/>
        <v>22410</v>
      </c>
      <c r="O96" s="17">
        <f t="shared" si="20"/>
        <v>29133</v>
      </c>
      <c r="P96" s="17">
        <v>0</v>
      </c>
      <c r="Q96" s="18">
        <v>0.1</v>
      </c>
      <c r="R96" s="17">
        <v>0</v>
      </c>
      <c r="S96" s="19">
        <v>0</v>
      </c>
      <c r="T96" s="17">
        <v>0</v>
      </c>
      <c r="U96" s="18">
        <v>0.28999999999999998</v>
      </c>
      <c r="V96" s="17">
        <v>0</v>
      </c>
      <c r="W96" s="18">
        <v>0</v>
      </c>
      <c r="X96" s="17">
        <f t="shared" si="23"/>
        <v>22410</v>
      </c>
      <c r="Y96" s="18">
        <v>0.12</v>
      </c>
      <c r="Z96" s="17">
        <f t="shared" si="24"/>
        <v>25099.200000000001</v>
      </c>
      <c r="AA96" s="18">
        <f t="shared" si="21"/>
        <v>0.10714285714285716</v>
      </c>
      <c r="AB96" s="18">
        <v>0.1</v>
      </c>
    </row>
    <row r="97" spans="1:28">
      <c r="A97">
        <v>2026</v>
      </c>
      <c r="B97" t="s">
        <v>156</v>
      </c>
      <c r="C97" t="s">
        <v>149</v>
      </c>
      <c r="D97" t="s">
        <v>150</v>
      </c>
      <c r="E97">
        <v>603420</v>
      </c>
      <c r="G97" t="s">
        <v>148</v>
      </c>
      <c r="H97" t="s">
        <v>148</v>
      </c>
      <c r="I97" t="s">
        <v>81</v>
      </c>
      <c r="J97" t="s">
        <v>22</v>
      </c>
      <c r="K97">
        <v>10</v>
      </c>
      <c r="L97">
        <v>38000</v>
      </c>
      <c r="M97" s="17">
        <f t="shared" si="22"/>
        <v>3800</v>
      </c>
      <c r="O97" s="17">
        <f t="shared" si="20"/>
        <v>4940</v>
      </c>
      <c r="P97" s="17">
        <v>0</v>
      </c>
      <c r="Q97" s="18">
        <v>0.35</v>
      </c>
      <c r="R97" s="17">
        <v>0</v>
      </c>
      <c r="S97" s="19">
        <v>0</v>
      </c>
      <c r="T97" s="17">
        <v>0</v>
      </c>
      <c r="U97" s="18">
        <v>0.34</v>
      </c>
      <c r="V97" s="17">
        <v>0</v>
      </c>
      <c r="W97" s="18">
        <v>0</v>
      </c>
      <c r="X97" s="17">
        <f t="shared" si="23"/>
        <v>3800</v>
      </c>
      <c r="Y97" s="18">
        <v>0.25</v>
      </c>
      <c r="Z97" s="17">
        <f t="shared" si="24"/>
        <v>4750</v>
      </c>
      <c r="AA97" s="18">
        <f t="shared" si="21"/>
        <v>0.2</v>
      </c>
      <c r="AB97" s="18">
        <v>0.1</v>
      </c>
    </row>
    <row r="98" spans="1:28">
      <c r="A98">
        <v>2026</v>
      </c>
      <c r="B98" t="s">
        <v>156</v>
      </c>
      <c r="C98" t="s">
        <v>149</v>
      </c>
      <c r="D98" t="s">
        <v>150</v>
      </c>
      <c r="E98">
        <v>603424</v>
      </c>
      <c r="G98" t="s">
        <v>148</v>
      </c>
      <c r="H98" t="s">
        <v>148</v>
      </c>
      <c r="I98" t="s">
        <v>83</v>
      </c>
      <c r="J98" t="s">
        <v>22</v>
      </c>
      <c r="K98">
        <v>10</v>
      </c>
      <c r="L98">
        <v>39800</v>
      </c>
      <c r="M98" s="17">
        <f t="shared" si="22"/>
        <v>3980</v>
      </c>
      <c r="O98" s="17">
        <f t="shared" si="20"/>
        <v>5174</v>
      </c>
      <c r="P98" s="17">
        <v>0</v>
      </c>
      <c r="Q98" s="18">
        <v>0.33</v>
      </c>
      <c r="R98" s="17">
        <v>0</v>
      </c>
      <c r="S98" s="19">
        <v>0</v>
      </c>
      <c r="T98" s="17">
        <v>0</v>
      </c>
      <c r="U98" s="18">
        <v>0.25</v>
      </c>
      <c r="V98" s="17">
        <v>0</v>
      </c>
      <c r="W98" s="18">
        <v>0</v>
      </c>
      <c r="X98" s="17">
        <f t="shared" si="23"/>
        <v>3980</v>
      </c>
      <c r="Y98" s="18">
        <v>0.1</v>
      </c>
      <c r="Z98" s="17">
        <f t="shared" si="24"/>
        <v>4378</v>
      </c>
      <c r="AA98" s="18">
        <f t="shared" si="21"/>
        <v>9.0909090909090912E-2</v>
      </c>
      <c r="AB98" s="18">
        <v>0.1</v>
      </c>
    </row>
    <row r="99" spans="1:28">
      <c r="A99">
        <v>2026</v>
      </c>
      <c r="B99" t="s">
        <v>156</v>
      </c>
      <c r="C99" t="s">
        <v>149</v>
      </c>
      <c r="D99" t="s">
        <v>150</v>
      </c>
      <c r="E99">
        <v>583300</v>
      </c>
      <c r="G99" t="s">
        <v>148</v>
      </c>
      <c r="H99" t="s">
        <v>148</v>
      </c>
      <c r="I99" t="s">
        <v>97</v>
      </c>
      <c r="J99" t="s">
        <v>12</v>
      </c>
      <c r="K99">
        <v>1</v>
      </c>
      <c r="L99">
        <v>43500</v>
      </c>
      <c r="M99" s="17">
        <f t="shared" si="22"/>
        <v>43500</v>
      </c>
      <c r="O99" s="17">
        <f t="shared" si="20"/>
        <v>56550</v>
      </c>
      <c r="P99" s="17">
        <v>0</v>
      </c>
      <c r="Q99" s="18">
        <v>0.31</v>
      </c>
      <c r="R99" s="17">
        <v>0</v>
      </c>
      <c r="S99" s="19">
        <v>0</v>
      </c>
      <c r="T99" s="17">
        <v>0</v>
      </c>
      <c r="U99" s="18">
        <v>0.35</v>
      </c>
      <c r="V99" s="17">
        <v>0</v>
      </c>
      <c r="W99" s="18">
        <v>0</v>
      </c>
      <c r="X99" s="17">
        <f t="shared" si="23"/>
        <v>43500</v>
      </c>
      <c r="Y99" s="18">
        <v>0.35</v>
      </c>
      <c r="Z99" s="17">
        <f t="shared" si="24"/>
        <v>58725</v>
      </c>
      <c r="AA99" s="18">
        <f t="shared" si="21"/>
        <v>0.25925925925925924</v>
      </c>
      <c r="AB99" s="18">
        <v>0.1</v>
      </c>
    </row>
    <row r="100" spans="1:28">
      <c r="A100">
        <v>2026</v>
      </c>
      <c r="B100" t="s">
        <v>156</v>
      </c>
      <c r="C100" t="s">
        <v>149</v>
      </c>
      <c r="D100" t="s">
        <v>150</v>
      </c>
      <c r="E100">
        <v>583400</v>
      </c>
      <c r="G100" t="s">
        <v>148</v>
      </c>
      <c r="H100" t="s">
        <v>148</v>
      </c>
      <c r="I100" t="s">
        <v>105</v>
      </c>
      <c r="J100" t="s">
        <v>166</v>
      </c>
      <c r="K100">
        <v>2</v>
      </c>
      <c r="L100">
        <v>67900</v>
      </c>
      <c r="M100" s="17">
        <f>(L100/10)*2</f>
        <v>13580</v>
      </c>
      <c r="O100" s="17">
        <f t="shared" si="20"/>
        <v>17654</v>
      </c>
      <c r="P100" s="17">
        <v>0</v>
      </c>
      <c r="Q100" s="18">
        <v>0.3</v>
      </c>
      <c r="R100" s="17">
        <v>0</v>
      </c>
      <c r="S100" s="19">
        <v>0</v>
      </c>
      <c r="T100" s="17">
        <v>0</v>
      </c>
      <c r="U100" s="18">
        <v>0.12</v>
      </c>
      <c r="V100" s="17">
        <v>0</v>
      </c>
      <c r="W100" s="18">
        <v>0</v>
      </c>
      <c r="X100" s="17">
        <f t="shared" si="23"/>
        <v>13580</v>
      </c>
      <c r="Y100" s="18">
        <v>0.33</v>
      </c>
      <c r="Z100" s="17">
        <f t="shared" si="24"/>
        <v>18061.400000000001</v>
      </c>
      <c r="AA100" s="18">
        <f t="shared" si="21"/>
        <v>0.24812030075187977</v>
      </c>
      <c r="AB100" s="18">
        <v>0.1</v>
      </c>
    </row>
    <row r="101" spans="1:28">
      <c r="A101">
        <v>2026</v>
      </c>
      <c r="B101" t="s">
        <v>156</v>
      </c>
      <c r="C101" t="s">
        <v>149</v>
      </c>
      <c r="D101" t="s">
        <v>150</v>
      </c>
      <c r="E101">
        <v>583500</v>
      </c>
      <c r="G101" t="s">
        <v>148</v>
      </c>
      <c r="H101" t="s">
        <v>148</v>
      </c>
      <c r="I101" t="s">
        <v>107</v>
      </c>
      <c r="J101" t="s">
        <v>166</v>
      </c>
      <c r="K101">
        <v>2</v>
      </c>
      <c r="L101">
        <v>50300</v>
      </c>
      <c r="M101" s="17">
        <f>(L101/10)*2</f>
        <v>10060</v>
      </c>
      <c r="O101" s="17">
        <f t="shared" si="20"/>
        <v>13078</v>
      </c>
      <c r="P101" s="17">
        <v>0</v>
      </c>
      <c r="Q101" s="18">
        <v>0.28000000000000003</v>
      </c>
      <c r="R101" s="17">
        <v>0</v>
      </c>
      <c r="S101" s="19">
        <v>0</v>
      </c>
      <c r="T101" s="17">
        <v>0</v>
      </c>
      <c r="U101" s="18">
        <v>0.25</v>
      </c>
      <c r="V101" s="17">
        <v>0</v>
      </c>
      <c r="W101" s="18">
        <v>0</v>
      </c>
      <c r="X101" s="17">
        <f t="shared" si="23"/>
        <v>10060</v>
      </c>
      <c r="Y101" s="18">
        <v>0.31</v>
      </c>
      <c r="Z101" s="17">
        <f t="shared" si="24"/>
        <v>13178.6</v>
      </c>
      <c r="AA101" s="18">
        <f t="shared" si="21"/>
        <v>0.23664122137404583</v>
      </c>
      <c r="AB101" s="18">
        <v>0.1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7BF31-CE24-489B-8A41-776161FD506D}">
  <dimension ref="A1:AB141"/>
  <sheetViews>
    <sheetView tabSelected="1" topLeftCell="Q116" workbookViewId="0">
      <selection activeCell="Z131" sqref="Z131"/>
    </sheetView>
  </sheetViews>
  <sheetFormatPr baseColWidth="10" defaultRowHeight="14.25"/>
  <sheetData>
    <row r="1" spans="1:28" ht="15">
      <c r="A1" s="11" t="s">
        <v>117</v>
      </c>
      <c r="B1" s="11" t="s">
        <v>118</v>
      </c>
      <c r="C1" s="11" t="s">
        <v>119</v>
      </c>
      <c r="D1" s="11" t="s">
        <v>120</v>
      </c>
      <c r="E1" s="11" t="s">
        <v>121</v>
      </c>
      <c r="F1" s="11" t="s">
        <v>122</v>
      </c>
      <c r="G1" s="11" t="s">
        <v>123</v>
      </c>
      <c r="H1" s="11" t="s">
        <v>124</v>
      </c>
      <c r="I1" s="11" t="s">
        <v>125</v>
      </c>
      <c r="J1" s="11" t="s">
        <v>126</v>
      </c>
      <c r="K1" s="11" t="s">
        <v>127</v>
      </c>
      <c r="L1" s="11" t="s">
        <v>128</v>
      </c>
      <c r="M1" s="12" t="s">
        <v>129</v>
      </c>
      <c r="N1" s="11" t="s">
        <v>130</v>
      </c>
      <c r="O1" s="11" t="s">
        <v>131</v>
      </c>
      <c r="P1" s="11" t="s">
        <v>132</v>
      </c>
      <c r="Q1" s="13" t="s">
        <v>133</v>
      </c>
      <c r="R1" s="14" t="s">
        <v>134</v>
      </c>
      <c r="S1" s="15" t="s">
        <v>135</v>
      </c>
      <c r="T1" s="16" t="s">
        <v>136</v>
      </c>
      <c r="U1" s="16" t="s">
        <v>137</v>
      </c>
      <c r="V1" s="16" t="s">
        <v>138</v>
      </c>
      <c r="W1" s="13" t="s">
        <v>139</v>
      </c>
      <c r="X1" s="16" t="s">
        <v>140</v>
      </c>
      <c r="Y1" s="16" t="s">
        <v>141</v>
      </c>
      <c r="Z1" s="16" t="s">
        <v>142</v>
      </c>
      <c r="AA1" s="13" t="s">
        <v>143</v>
      </c>
      <c r="AB1" s="14" t="s">
        <v>144</v>
      </c>
    </row>
    <row r="2" spans="1:28">
      <c r="A2">
        <v>2026</v>
      </c>
      <c r="B2" t="s">
        <v>153</v>
      </c>
      <c r="C2" t="s">
        <v>151</v>
      </c>
      <c r="D2" t="s">
        <v>152</v>
      </c>
      <c r="E2">
        <v>360001</v>
      </c>
      <c r="G2" t="s">
        <v>148</v>
      </c>
      <c r="H2" t="s">
        <v>148</v>
      </c>
      <c r="I2" t="s">
        <v>11</v>
      </c>
      <c r="J2" t="s">
        <v>12</v>
      </c>
      <c r="K2">
        <v>40</v>
      </c>
      <c r="L2">
        <v>893800</v>
      </c>
      <c r="M2" s="17">
        <f>L2/K2</f>
        <v>22345</v>
      </c>
      <c r="O2" s="17">
        <f t="shared" ref="O2:O21" si="0">M2+(M2*30%)</f>
        <v>29048.5</v>
      </c>
      <c r="P2" s="17">
        <v>0</v>
      </c>
      <c r="Q2" s="18">
        <v>0.17</v>
      </c>
      <c r="R2" s="17">
        <v>0</v>
      </c>
      <c r="S2" s="19">
        <v>0</v>
      </c>
      <c r="T2" s="17">
        <f>IF(C2="Mediana Complejidad",M2,0)</f>
        <v>22345</v>
      </c>
      <c r="U2" s="18">
        <v>0.27</v>
      </c>
      <c r="V2" s="17">
        <f t="shared" ref="V2:V21" si="1">T2+(T2*U2)</f>
        <v>28378.15</v>
      </c>
      <c r="W2" s="20">
        <f t="shared" ref="W2:W21" si="2">IFERROR(((V2-T2)/V2),0)</f>
        <v>0.21259842519685043</v>
      </c>
      <c r="X2" s="17">
        <v>0</v>
      </c>
      <c r="Y2" s="18">
        <v>0.28000000000000003</v>
      </c>
      <c r="Z2" s="17">
        <v>0</v>
      </c>
      <c r="AA2" s="18">
        <v>0</v>
      </c>
      <c r="AB2" s="18">
        <v>0.1</v>
      </c>
    </row>
    <row r="3" spans="1:28">
      <c r="A3">
        <v>2026</v>
      </c>
      <c r="B3" t="s">
        <v>153</v>
      </c>
      <c r="C3" t="s">
        <v>151</v>
      </c>
      <c r="D3" t="s">
        <v>152</v>
      </c>
      <c r="E3">
        <v>360102</v>
      </c>
      <c r="G3" t="s">
        <v>148</v>
      </c>
      <c r="H3" t="s">
        <v>148</v>
      </c>
      <c r="I3" t="s">
        <v>18</v>
      </c>
      <c r="J3" t="s">
        <v>12</v>
      </c>
      <c r="K3">
        <v>250</v>
      </c>
      <c r="L3">
        <v>80300</v>
      </c>
      <c r="M3" s="17">
        <f t="shared" ref="M3:M19" si="3">L3/K3</f>
        <v>321.2</v>
      </c>
      <c r="O3" s="17">
        <f t="shared" si="0"/>
        <v>417.56</v>
      </c>
      <c r="P3" s="17">
        <v>0</v>
      </c>
      <c r="Q3" s="18">
        <v>0.22</v>
      </c>
      <c r="R3" s="17">
        <v>0</v>
      </c>
      <c r="S3" s="19">
        <v>0</v>
      </c>
      <c r="T3" s="17">
        <f t="shared" ref="T3:T21" si="4">IF(C3="Mediana Complejidad",M3,0)</f>
        <v>321.2</v>
      </c>
      <c r="U3" s="18">
        <v>0.17</v>
      </c>
      <c r="V3" s="17">
        <f t="shared" si="1"/>
        <v>375.80399999999997</v>
      </c>
      <c r="W3" s="20">
        <f t="shared" si="2"/>
        <v>0.14529914529914528</v>
      </c>
      <c r="X3" s="17">
        <v>0</v>
      </c>
      <c r="Y3" s="18">
        <v>0.27</v>
      </c>
      <c r="Z3" s="17">
        <v>0</v>
      </c>
      <c r="AA3" s="18">
        <v>0</v>
      </c>
      <c r="AB3" s="18">
        <v>0.1</v>
      </c>
    </row>
    <row r="4" spans="1:28">
      <c r="A4">
        <v>2026</v>
      </c>
      <c r="B4" t="s">
        <v>153</v>
      </c>
      <c r="C4" t="s">
        <v>151</v>
      </c>
      <c r="D4" t="s">
        <v>152</v>
      </c>
      <c r="E4">
        <v>360104</v>
      </c>
      <c r="G4" t="s">
        <v>148</v>
      </c>
      <c r="H4" t="s">
        <v>148</v>
      </c>
      <c r="I4" t="s">
        <v>26</v>
      </c>
      <c r="J4" t="s">
        <v>22</v>
      </c>
      <c r="K4">
        <v>10</v>
      </c>
      <c r="L4">
        <v>28800</v>
      </c>
      <c r="M4" s="17">
        <f t="shared" si="3"/>
        <v>2880</v>
      </c>
      <c r="O4" s="17">
        <f t="shared" si="0"/>
        <v>3744</v>
      </c>
      <c r="P4" s="17">
        <v>0</v>
      </c>
      <c r="Q4" s="18">
        <v>0.12</v>
      </c>
      <c r="R4" s="17">
        <v>0</v>
      </c>
      <c r="S4" s="19">
        <v>0</v>
      </c>
      <c r="T4" s="17">
        <f t="shared" si="4"/>
        <v>2880</v>
      </c>
      <c r="U4" s="18">
        <v>0.22</v>
      </c>
      <c r="V4" s="17">
        <f t="shared" si="1"/>
        <v>3513.6</v>
      </c>
      <c r="W4" s="20">
        <f t="shared" si="2"/>
        <v>0.18032786885245899</v>
      </c>
      <c r="X4" s="17">
        <v>0</v>
      </c>
      <c r="Y4" s="18">
        <v>0.17</v>
      </c>
      <c r="Z4" s="17">
        <v>0</v>
      </c>
      <c r="AA4" s="18">
        <v>0</v>
      </c>
      <c r="AB4" s="18">
        <v>0.1</v>
      </c>
    </row>
    <row r="5" spans="1:28">
      <c r="A5">
        <v>2026</v>
      </c>
      <c r="B5" t="s">
        <v>153</v>
      </c>
      <c r="C5" t="s">
        <v>151</v>
      </c>
      <c r="D5" t="s">
        <v>152</v>
      </c>
      <c r="E5">
        <v>360100</v>
      </c>
      <c r="G5" t="s">
        <v>148</v>
      </c>
      <c r="H5" t="s">
        <v>148</v>
      </c>
      <c r="I5" t="s">
        <v>35</v>
      </c>
      <c r="J5" t="s">
        <v>22</v>
      </c>
      <c r="K5">
        <v>10</v>
      </c>
      <c r="L5">
        <v>36700</v>
      </c>
      <c r="M5" s="17">
        <f t="shared" si="3"/>
        <v>3670</v>
      </c>
      <c r="O5" s="17">
        <f t="shared" si="0"/>
        <v>4771</v>
      </c>
      <c r="P5" s="17">
        <v>0</v>
      </c>
      <c r="Q5" s="18">
        <v>0.15</v>
      </c>
      <c r="R5" s="17">
        <v>0</v>
      </c>
      <c r="S5" s="19">
        <v>0</v>
      </c>
      <c r="T5" s="17">
        <f t="shared" si="4"/>
        <v>3670</v>
      </c>
      <c r="U5" s="18">
        <v>0.12</v>
      </c>
      <c r="V5" s="17">
        <f t="shared" si="1"/>
        <v>4110.3999999999996</v>
      </c>
      <c r="W5" s="20">
        <f t="shared" si="2"/>
        <v>0.10714285714285707</v>
      </c>
      <c r="X5" s="17">
        <v>0</v>
      </c>
      <c r="Y5" s="18">
        <v>0.22</v>
      </c>
      <c r="Z5" s="17">
        <v>0</v>
      </c>
      <c r="AA5" s="18">
        <v>0</v>
      </c>
      <c r="AB5" s="18">
        <v>0.1</v>
      </c>
    </row>
    <row r="6" spans="1:28">
      <c r="A6">
        <v>2026</v>
      </c>
      <c r="B6" t="s">
        <v>153</v>
      </c>
      <c r="C6" t="s">
        <v>151</v>
      </c>
      <c r="D6" t="s">
        <v>152</v>
      </c>
      <c r="E6">
        <v>360150</v>
      </c>
      <c r="G6" t="s">
        <v>148</v>
      </c>
      <c r="H6" t="s">
        <v>148</v>
      </c>
      <c r="I6" t="s">
        <v>159</v>
      </c>
      <c r="J6" t="s">
        <v>29</v>
      </c>
      <c r="K6">
        <v>5</v>
      </c>
      <c r="L6">
        <v>28000</v>
      </c>
      <c r="M6" s="17">
        <f t="shared" si="3"/>
        <v>5600</v>
      </c>
      <c r="O6" s="17">
        <f t="shared" si="0"/>
        <v>7280</v>
      </c>
      <c r="P6" s="17">
        <v>0</v>
      </c>
      <c r="Q6" s="18">
        <v>0.18</v>
      </c>
      <c r="R6" s="17">
        <v>0</v>
      </c>
      <c r="S6" s="19">
        <v>0</v>
      </c>
      <c r="T6" s="17">
        <f t="shared" si="4"/>
        <v>5600</v>
      </c>
      <c r="U6" s="18">
        <v>0.15</v>
      </c>
      <c r="V6" s="17">
        <f t="shared" si="1"/>
        <v>6440</v>
      </c>
      <c r="W6" s="20">
        <f t="shared" si="2"/>
        <v>0.13043478260869565</v>
      </c>
      <c r="X6" s="17">
        <v>0</v>
      </c>
      <c r="Y6" s="18">
        <v>0.12</v>
      </c>
      <c r="Z6" s="17">
        <v>0</v>
      </c>
      <c r="AA6" s="18">
        <v>0</v>
      </c>
      <c r="AB6" s="18">
        <v>0.1</v>
      </c>
    </row>
    <row r="7" spans="1:28">
      <c r="A7">
        <v>2026</v>
      </c>
      <c r="B7" t="s">
        <v>153</v>
      </c>
      <c r="C7" t="s">
        <v>151</v>
      </c>
      <c r="D7" t="s">
        <v>152</v>
      </c>
      <c r="E7">
        <v>360101</v>
      </c>
      <c r="G7" t="s">
        <v>148</v>
      </c>
      <c r="H7" t="s">
        <v>148</v>
      </c>
      <c r="I7" t="s">
        <v>50</v>
      </c>
      <c r="J7" t="s">
        <v>29</v>
      </c>
      <c r="K7">
        <v>5</v>
      </c>
      <c r="L7">
        <v>36700</v>
      </c>
      <c r="M7" s="17">
        <f t="shared" si="3"/>
        <v>7340</v>
      </c>
      <c r="O7" s="17">
        <f t="shared" si="0"/>
        <v>9542</v>
      </c>
      <c r="P7" s="17">
        <v>0</v>
      </c>
      <c r="Q7" s="18">
        <v>0.28999999999999998</v>
      </c>
      <c r="R7" s="17">
        <v>0</v>
      </c>
      <c r="S7" s="19">
        <v>0</v>
      </c>
      <c r="T7" s="17">
        <f t="shared" si="4"/>
        <v>7340</v>
      </c>
      <c r="U7" s="18">
        <v>0.18</v>
      </c>
      <c r="V7" s="17">
        <f t="shared" si="1"/>
        <v>8661.2000000000007</v>
      </c>
      <c r="W7" s="20">
        <f t="shared" si="2"/>
        <v>0.152542372881356</v>
      </c>
      <c r="X7" s="17">
        <v>0</v>
      </c>
      <c r="Y7" s="18">
        <v>0.15</v>
      </c>
      <c r="Z7" s="17">
        <v>0</v>
      </c>
      <c r="AA7" s="18">
        <v>0</v>
      </c>
      <c r="AB7" s="18">
        <v>0.1</v>
      </c>
    </row>
    <row r="8" spans="1:28">
      <c r="A8">
        <v>2026</v>
      </c>
      <c r="B8" t="s">
        <v>153</v>
      </c>
      <c r="C8" t="s">
        <v>151</v>
      </c>
      <c r="D8" t="s">
        <v>152</v>
      </c>
      <c r="E8">
        <v>360103</v>
      </c>
      <c r="G8" t="s">
        <v>148</v>
      </c>
      <c r="H8" t="s">
        <v>148</v>
      </c>
      <c r="I8" t="s">
        <v>59</v>
      </c>
      <c r="J8" t="s">
        <v>29</v>
      </c>
      <c r="K8">
        <v>5</v>
      </c>
      <c r="L8">
        <v>21900</v>
      </c>
      <c r="M8" s="17">
        <f t="shared" si="3"/>
        <v>4380</v>
      </c>
      <c r="O8" s="17">
        <f t="shared" si="0"/>
        <v>5694</v>
      </c>
      <c r="P8" s="17">
        <v>0</v>
      </c>
      <c r="Q8" s="18">
        <v>0.34</v>
      </c>
      <c r="R8" s="17">
        <v>0</v>
      </c>
      <c r="S8" s="19">
        <v>0</v>
      </c>
      <c r="T8" s="17">
        <f t="shared" si="4"/>
        <v>4380</v>
      </c>
      <c r="U8" s="18">
        <v>0.28999999999999998</v>
      </c>
      <c r="V8" s="17">
        <f t="shared" si="1"/>
        <v>5650.2</v>
      </c>
      <c r="W8" s="20">
        <f t="shared" si="2"/>
        <v>0.22480620155038758</v>
      </c>
      <c r="X8" s="17">
        <v>0</v>
      </c>
      <c r="Y8" s="18">
        <v>0.18</v>
      </c>
      <c r="Z8" s="17">
        <v>0</v>
      </c>
      <c r="AA8" s="18">
        <v>0</v>
      </c>
      <c r="AB8" s="18">
        <v>0.1</v>
      </c>
    </row>
    <row r="9" spans="1:28">
      <c r="A9">
        <v>2026</v>
      </c>
      <c r="B9" t="s">
        <v>153</v>
      </c>
      <c r="C9" t="s">
        <v>151</v>
      </c>
      <c r="D9" t="s">
        <v>152</v>
      </c>
      <c r="E9">
        <v>709900</v>
      </c>
      <c r="G9" t="s">
        <v>148</v>
      </c>
      <c r="H9" t="s">
        <v>148</v>
      </c>
      <c r="I9" t="s">
        <v>67</v>
      </c>
      <c r="J9" t="s">
        <v>29</v>
      </c>
      <c r="K9">
        <v>5</v>
      </c>
      <c r="L9">
        <v>114900</v>
      </c>
      <c r="M9" s="17">
        <f t="shared" si="3"/>
        <v>22980</v>
      </c>
      <c r="O9" s="17">
        <f t="shared" si="0"/>
        <v>29874</v>
      </c>
      <c r="P9" s="17">
        <v>0</v>
      </c>
      <c r="Q9" s="18">
        <v>0.25</v>
      </c>
      <c r="R9" s="17">
        <v>0</v>
      </c>
      <c r="S9" s="19">
        <v>0</v>
      </c>
      <c r="T9" s="17">
        <f t="shared" si="4"/>
        <v>22980</v>
      </c>
      <c r="U9" s="18">
        <v>0.34</v>
      </c>
      <c r="V9" s="17">
        <f t="shared" si="1"/>
        <v>30793.200000000001</v>
      </c>
      <c r="W9" s="20">
        <f t="shared" si="2"/>
        <v>0.2537313432835821</v>
      </c>
      <c r="X9" s="17">
        <v>0</v>
      </c>
      <c r="Y9" s="18">
        <v>0.28999999999999998</v>
      </c>
      <c r="Z9" s="17">
        <v>0</v>
      </c>
      <c r="AA9" s="18">
        <v>0</v>
      </c>
      <c r="AB9" s="18">
        <v>0.1</v>
      </c>
    </row>
    <row r="10" spans="1:28">
      <c r="A10">
        <v>2026</v>
      </c>
      <c r="B10" t="s">
        <v>153</v>
      </c>
      <c r="C10" t="s">
        <v>151</v>
      </c>
      <c r="D10" t="s">
        <v>152</v>
      </c>
      <c r="E10">
        <v>709902</v>
      </c>
      <c r="G10" t="s">
        <v>148</v>
      </c>
      <c r="H10" t="s">
        <v>148</v>
      </c>
      <c r="I10" t="s">
        <v>160</v>
      </c>
      <c r="J10" t="s">
        <v>29</v>
      </c>
      <c r="K10">
        <v>5</v>
      </c>
      <c r="L10">
        <v>28000</v>
      </c>
      <c r="M10" s="17">
        <f t="shared" si="3"/>
        <v>5600</v>
      </c>
      <c r="O10" s="17">
        <f t="shared" si="0"/>
        <v>7280</v>
      </c>
      <c r="P10" s="17">
        <v>0</v>
      </c>
      <c r="Q10" s="18">
        <v>0.35</v>
      </c>
      <c r="R10" s="17">
        <v>0</v>
      </c>
      <c r="S10" s="19">
        <v>0</v>
      </c>
      <c r="T10" s="17">
        <f t="shared" si="4"/>
        <v>5600</v>
      </c>
      <c r="U10" s="18">
        <v>0.25</v>
      </c>
      <c r="V10" s="17">
        <f t="shared" si="1"/>
        <v>7000</v>
      </c>
      <c r="W10" s="20">
        <f t="shared" si="2"/>
        <v>0.2</v>
      </c>
      <c r="X10" s="17">
        <v>0</v>
      </c>
      <c r="Y10" s="18">
        <v>0.34</v>
      </c>
      <c r="Z10" s="17">
        <v>0</v>
      </c>
      <c r="AA10" s="18">
        <v>0</v>
      </c>
      <c r="AB10" s="18">
        <v>0.1</v>
      </c>
    </row>
    <row r="11" spans="1:28">
      <c r="A11">
        <v>2026</v>
      </c>
      <c r="B11" t="s">
        <v>153</v>
      </c>
      <c r="C11" t="s">
        <v>151</v>
      </c>
      <c r="D11" t="s">
        <v>152</v>
      </c>
      <c r="E11">
        <v>709903</v>
      </c>
      <c r="G11" t="s">
        <v>148</v>
      </c>
      <c r="H11" t="s">
        <v>148</v>
      </c>
      <c r="I11" t="s">
        <v>161</v>
      </c>
      <c r="J11" t="s">
        <v>29</v>
      </c>
      <c r="K11">
        <v>5</v>
      </c>
      <c r="L11">
        <v>49200</v>
      </c>
      <c r="M11" s="17">
        <f t="shared" si="3"/>
        <v>9840</v>
      </c>
      <c r="O11" s="17">
        <f t="shared" si="0"/>
        <v>12792</v>
      </c>
      <c r="P11" s="17">
        <v>0</v>
      </c>
      <c r="Q11" s="18">
        <v>0.12</v>
      </c>
      <c r="R11" s="17">
        <v>0</v>
      </c>
      <c r="S11" s="19">
        <v>0</v>
      </c>
      <c r="T11" s="17">
        <f t="shared" si="4"/>
        <v>9840</v>
      </c>
      <c r="U11" s="18">
        <v>0.35</v>
      </c>
      <c r="V11" s="17">
        <f t="shared" si="1"/>
        <v>13284</v>
      </c>
      <c r="W11" s="20">
        <f t="shared" si="2"/>
        <v>0.25925925925925924</v>
      </c>
      <c r="X11" s="17">
        <v>0</v>
      </c>
      <c r="Y11" s="18">
        <v>0.25</v>
      </c>
      <c r="Z11" s="17">
        <v>0</v>
      </c>
      <c r="AA11" s="18">
        <v>0</v>
      </c>
      <c r="AB11" s="18">
        <v>0.1</v>
      </c>
    </row>
    <row r="12" spans="1:28">
      <c r="A12">
        <v>2026</v>
      </c>
      <c r="B12" t="s">
        <v>153</v>
      </c>
      <c r="C12" t="s">
        <v>151</v>
      </c>
      <c r="D12" t="s">
        <v>152</v>
      </c>
      <c r="E12">
        <v>709909</v>
      </c>
      <c r="G12" t="s">
        <v>148</v>
      </c>
      <c r="H12" t="s">
        <v>148</v>
      </c>
      <c r="I12" t="s">
        <v>162</v>
      </c>
      <c r="J12" t="s">
        <v>29</v>
      </c>
      <c r="K12">
        <v>5</v>
      </c>
      <c r="L12">
        <v>141600</v>
      </c>
      <c r="M12" s="17">
        <f t="shared" si="3"/>
        <v>28320</v>
      </c>
      <c r="O12" s="17">
        <f t="shared" si="0"/>
        <v>36816</v>
      </c>
      <c r="P12" s="17">
        <v>0</v>
      </c>
      <c r="Q12" s="18">
        <v>0.25</v>
      </c>
      <c r="R12" s="17">
        <v>0</v>
      </c>
      <c r="S12" s="19">
        <v>0</v>
      </c>
      <c r="T12" s="17">
        <f t="shared" si="4"/>
        <v>28320</v>
      </c>
      <c r="U12" s="18">
        <v>0.12</v>
      </c>
      <c r="V12" s="17">
        <f t="shared" si="1"/>
        <v>31718.400000000001</v>
      </c>
      <c r="W12" s="20">
        <f t="shared" si="2"/>
        <v>0.10714285714285718</v>
      </c>
      <c r="X12" s="17">
        <v>0</v>
      </c>
      <c r="Y12" s="18">
        <v>0.35</v>
      </c>
      <c r="Z12" s="17">
        <v>0</v>
      </c>
      <c r="AA12" s="18">
        <v>0</v>
      </c>
      <c r="AB12" s="18">
        <v>0.1</v>
      </c>
    </row>
    <row r="13" spans="1:28">
      <c r="A13">
        <v>2026</v>
      </c>
      <c r="B13" t="s">
        <v>153</v>
      </c>
      <c r="C13" t="s">
        <v>151</v>
      </c>
      <c r="D13" t="s">
        <v>152</v>
      </c>
      <c r="E13">
        <v>709904</v>
      </c>
      <c r="G13" t="s">
        <v>148</v>
      </c>
      <c r="H13" t="s">
        <v>148</v>
      </c>
      <c r="I13" t="s">
        <v>163</v>
      </c>
      <c r="J13" t="s">
        <v>29</v>
      </c>
      <c r="K13">
        <v>5</v>
      </c>
      <c r="L13">
        <v>174700</v>
      </c>
      <c r="M13" s="17">
        <f t="shared" si="3"/>
        <v>34940</v>
      </c>
      <c r="O13" s="17">
        <f t="shared" si="0"/>
        <v>45422</v>
      </c>
      <c r="P13" s="17">
        <v>0</v>
      </c>
      <c r="Q13" s="18">
        <v>0.1</v>
      </c>
      <c r="R13" s="17">
        <v>0</v>
      </c>
      <c r="S13" s="19">
        <v>0</v>
      </c>
      <c r="T13" s="17">
        <f t="shared" si="4"/>
        <v>34940</v>
      </c>
      <c r="U13" s="18">
        <v>0.25</v>
      </c>
      <c r="V13" s="17">
        <f t="shared" si="1"/>
        <v>43675</v>
      </c>
      <c r="W13" s="20">
        <f t="shared" si="2"/>
        <v>0.2</v>
      </c>
      <c r="X13" s="17">
        <v>0</v>
      </c>
      <c r="Y13" s="18">
        <v>0.12</v>
      </c>
      <c r="Z13" s="17">
        <v>0</v>
      </c>
      <c r="AA13" s="18">
        <v>0</v>
      </c>
      <c r="AB13" s="18">
        <v>0.1</v>
      </c>
    </row>
    <row r="14" spans="1:28">
      <c r="A14">
        <v>2026</v>
      </c>
      <c r="B14" t="s">
        <v>153</v>
      </c>
      <c r="C14" t="s">
        <v>151</v>
      </c>
      <c r="D14" t="s">
        <v>152</v>
      </c>
      <c r="E14">
        <v>603421</v>
      </c>
      <c r="G14" t="s">
        <v>148</v>
      </c>
      <c r="H14" t="s">
        <v>148</v>
      </c>
      <c r="I14" t="s">
        <v>164</v>
      </c>
      <c r="J14" t="s">
        <v>29</v>
      </c>
      <c r="K14">
        <v>5</v>
      </c>
      <c r="L14">
        <v>204000</v>
      </c>
      <c r="M14" s="17">
        <f t="shared" si="3"/>
        <v>40800</v>
      </c>
      <c r="O14" s="17">
        <f t="shared" si="0"/>
        <v>53040</v>
      </c>
      <c r="P14" s="17">
        <v>0</v>
      </c>
      <c r="Q14" s="18">
        <v>0.35</v>
      </c>
      <c r="R14" s="17">
        <v>0</v>
      </c>
      <c r="S14" s="19">
        <v>0</v>
      </c>
      <c r="T14" s="17">
        <f t="shared" si="4"/>
        <v>40800</v>
      </c>
      <c r="U14" s="18">
        <v>0.1</v>
      </c>
      <c r="V14" s="17">
        <f t="shared" si="1"/>
        <v>44880</v>
      </c>
      <c r="W14" s="20">
        <f t="shared" si="2"/>
        <v>9.0909090909090912E-2</v>
      </c>
      <c r="X14" s="17">
        <v>0</v>
      </c>
      <c r="Y14" s="18">
        <v>0.22</v>
      </c>
      <c r="Z14" s="17">
        <v>0</v>
      </c>
      <c r="AA14" s="18">
        <v>0</v>
      </c>
      <c r="AB14" s="18">
        <v>0.1</v>
      </c>
    </row>
    <row r="15" spans="1:28">
      <c r="A15">
        <v>2026</v>
      </c>
      <c r="B15" t="s">
        <v>153</v>
      </c>
      <c r="C15" t="s">
        <v>151</v>
      </c>
      <c r="D15" t="s">
        <v>152</v>
      </c>
      <c r="E15">
        <v>603422</v>
      </c>
      <c r="G15" t="s">
        <v>148</v>
      </c>
      <c r="H15" t="s">
        <v>148</v>
      </c>
      <c r="I15" t="s">
        <v>74</v>
      </c>
      <c r="J15" t="s">
        <v>29</v>
      </c>
      <c r="K15">
        <v>5</v>
      </c>
      <c r="L15">
        <v>49000</v>
      </c>
      <c r="M15" s="17">
        <f t="shared" si="3"/>
        <v>9800</v>
      </c>
      <c r="O15" s="17">
        <f t="shared" si="0"/>
        <v>12740</v>
      </c>
      <c r="P15" s="17">
        <v>0</v>
      </c>
      <c r="Q15" s="18">
        <v>0.33</v>
      </c>
      <c r="R15" s="17">
        <v>0</v>
      </c>
      <c r="S15" s="19">
        <v>0</v>
      </c>
      <c r="T15" s="17">
        <f t="shared" si="4"/>
        <v>9800</v>
      </c>
      <c r="U15" s="18">
        <v>0.12</v>
      </c>
      <c r="V15" s="17">
        <f t="shared" si="1"/>
        <v>10976</v>
      </c>
      <c r="W15" s="20">
        <f t="shared" si="2"/>
        <v>0.10714285714285714</v>
      </c>
      <c r="X15" s="17">
        <v>0</v>
      </c>
      <c r="Y15" s="18">
        <v>0.12</v>
      </c>
      <c r="Z15" s="17">
        <v>0</v>
      </c>
      <c r="AA15" s="18">
        <v>0</v>
      </c>
      <c r="AB15" s="18">
        <v>0.1</v>
      </c>
    </row>
    <row r="16" spans="1:28">
      <c r="A16">
        <v>2026</v>
      </c>
      <c r="B16" t="s">
        <v>153</v>
      </c>
      <c r="C16" t="s">
        <v>151</v>
      </c>
      <c r="D16" t="s">
        <v>152</v>
      </c>
      <c r="E16">
        <v>603423</v>
      </c>
      <c r="G16" t="s">
        <v>148</v>
      </c>
      <c r="H16" t="s">
        <v>148</v>
      </c>
      <c r="I16" t="s">
        <v>165</v>
      </c>
      <c r="J16" t="s">
        <v>22</v>
      </c>
      <c r="K16">
        <v>10</v>
      </c>
      <c r="L16">
        <v>224100</v>
      </c>
      <c r="M16" s="17">
        <f t="shared" si="3"/>
        <v>22410</v>
      </c>
      <c r="O16" s="17">
        <f t="shared" si="0"/>
        <v>29133</v>
      </c>
      <c r="P16" s="17">
        <v>0</v>
      </c>
      <c r="Q16" s="18">
        <v>0.31</v>
      </c>
      <c r="R16" s="17">
        <v>0</v>
      </c>
      <c r="S16" s="19">
        <v>0</v>
      </c>
      <c r="T16" s="17">
        <f t="shared" si="4"/>
        <v>22410</v>
      </c>
      <c r="U16" s="18">
        <v>0.15</v>
      </c>
      <c r="V16" s="17">
        <f t="shared" si="1"/>
        <v>25771.5</v>
      </c>
      <c r="W16" s="20">
        <f t="shared" si="2"/>
        <v>0.13043478260869565</v>
      </c>
      <c r="X16" s="17">
        <v>0</v>
      </c>
      <c r="Y16" s="18">
        <v>0.15</v>
      </c>
      <c r="Z16" s="17">
        <v>0</v>
      </c>
      <c r="AA16" s="18">
        <v>0</v>
      </c>
      <c r="AB16" s="18">
        <v>0.1</v>
      </c>
    </row>
    <row r="17" spans="1:28">
      <c r="A17">
        <v>2026</v>
      </c>
      <c r="B17" t="s">
        <v>153</v>
      </c>
      <c r="C17" t="s">
        <v>151</v>
      </c>
      <c r="D17" t="s">
        <v>152</v>
      </c>
      <c r="E17">
        <v>603420</v>
      </c>
      <c r="G17" t="s">
        <v>148</v>
      </c>
      <c r="H17" t="s">
        <v>148</v>
      </c>
      <c r="I17" t="s">
        <v>81</v>
      </c>
      <c r="J17" t="s">
        <v>22</v>
      </c>
      <c r="K17">
        <v>10</v>
      </c>
      <c r="L17">
        <v>38000</v>
      </c>
      <c r="M17" s="17">
        <f t="shared" si="3"/>
        <v>3800</v>
      </c>
      <c r="O17" s="17">
        <f t="shared" si="0"/>
        <v>4940</v>
      </c>
      <c r="P17" s="17">
        <v>0</v>
      </c>
      <c r="Q17" s="18">
        <v>0.3</v>
      </c>
      <c r="R17" s="17">
        <v>0</v>
      </c>
      <c r="S17" s="19">
        <v>0</v>
      </c>
      <c r="T17" s="17">
        <f t="shared" si="4"/>
        <v>3800</v>
      </c>
      <c r="U17" s="18">
        <v>0.18</v>
      </c>
      <c r="V17" s="17">
        <f t="shared" si="1"/>
        <v>4484</v>
      </c>
      <c r="W17" s="20">
        <f t="shared" si="2"/>
        <v>0.15254237288135594</v>
      </c>
      <c r="X17" s="17">
        <v>0</v>
      </c>
      <c r="Y17" s="18">
        <v>0.18</v>
      </c>
      <c r="Z17" s="17">
        <v>0</v>
      </c>
      <c r="AA17" s="18">
        <v>0</v>
      </c>
      <c r="AB17" s="18">
        <v>0.1</v>
      </c>
    </row>
    <row r="18" spans="1:28">
      <c r="A18">
        <v>2026</v>
      </c>
      <c r="B18" t="s">
        <v>153</v>
      </c>
      <c r="C18" t="s">
        <v>151</v>
      </c>
      <c r="D18" t="s">
        <v>152</v>
      </c>
      <c r="E18">
        <v>603424</v>
      </c>
      <c r="G18" t="s">
        <v>148</v>
      </c>
      <c r="H18" t="s">
        <v>148</v>
      </c>
      <c r="I18" t="s">
        <v>83</v>
      </c>
      <c r="J18" t="s">
        <v>22</v>
      </c>
      <c r="K18">
        <v>10</v>
      </c>
      <c r="L18">
        <v>39800</v>
      </c>
      <c r="M18" s="17">
        <f t="shared" si="3"/>
        <v>3980</v>
      </c>
      <c r="O18" s="17">
        <f t="shared" si="0"/>
        <v>5174</v>
      </c>
      <c r="P18" s="17">
        <v>0</v>
      </c>
      <c r="Q18" s="18">
        <v>0.28000000000000003</v>
      </c>
      <c r="R18" s="17">
        <v>0</v>
      </c>
      <c r="S18" s="19">
        <v>0</v>
      </c>
      <c r="T18" s="17">
        <f t="shared" si="4"/>
        <v>3980</v>
      </c>
      <c r="U18" s="18">
        <v>0.28999999999999998</v>
      </c>
      <c r="V18" s="17">
        <f t="shared" si="1"/>
        <v>5134.2</v>
      </c>
      <c r="W18" s="20">
        <f t="shared" si="2"/>
        <v>0.22480620155038758</v>
      </c>
      <c r="X18" s="17">
        <v>0</v>
      </c>
      <c r="Y18" s="18">
        <v>0.28999999999999998</v>
      </c>
      <c r="Z18" s="17">
        <v>0</v>
      </c>
      <c r="AA18" s="18">
        <v>0</v>
      </c>
      <c r="AB18" s="18">
        <v>0.1</v>
      </c>
    </row>
    <row r="19" spans="1:28">
      <c r="A19">
        <v>2026</v>
      </c>
      <c r="B19" t="s">
        <v>153</v>
      </c>
      <c r="C19" t="s">
        <v>151</v>
      </c>
      <c r="D19" t="s">
        <v>152</v>
      </c>
      <c r="E19">
        <v>583300</v>
      </c>
      <c r="G19" t="s">
        <v>148</v>
      </c>
      <c r="H19" t="s">
        <v>148</v>
      </c>
      <c r="I19" t="s">
        <v>97</v>
      </c>
      <c r="J19" t="s">
        <v>12</v>
      </c>
      <c r="K19">
        <v>1</v>
      </c>
      <c r="L19">
        <v>43500</v>
      </c>
      <c r="M19" s="17">
        <f t="shared" si="3"/>
        <v>43500</v>
      </c>
      <c r="O19" s="17">
        <f t="shared" si="0"/>
        <v>56550</v>
      </c>
      <c r="P19" s="17">
        <v>0</v>
      </c>
      <c r="Q19" s="18">
        <v>0.27</v>
      </c>
      <c r="R19" s="17">
        <v>0</v>
      </c>
      <c r="S19" s="19">
        <v>0</v>
      </c>
      <c r="T19" s="17">
        <f t="shared" si="4"/>
        <v>43500</v>
      </c>
      <c r="U19" s="18">
        <v>0.34</v>
      </c>
      <c r="V19" s="17">
        <f t="shared" si="1"/>
        <v>58290</v>
      </c>
      <c r="W19" s="20">
        <f t="shared" si="2"/>
        <v>0.2537313432835821</v>
      </c>
      <c r="X19" s="17">
        <v>0</v>
      </c>
      <c r="Y19" s="18">
        <v>0.34</v>
      </c>
      <c r="Z19" s="17">
        <v>0</v>
      </c>
      <c r="AA19" s="18">
        <v>0</v>
      </c>
      <c r="AB19" s="18">
        <v>0.1</v>
      </c>
    </row>
    <row r="20" spans="1:28">
      <c r="A20">
        <v>2026</v>
      </c>
      <c r="B20" t="s">
        <v>153</v>
      </c>
      <c r="C20" t="s">
        <v>151</v>
      </c>
      <c r="D20" t="s">
        <v>152</v>
      </c>
      <c r="E20">
        <v>583400</v>
      </c>
      <c r="G20" t="s">
        <v>148</v>
      </c>
      <c r="H20" t="s">
        <v>148</v>
      </c>
      <c r="I20" t="s">
        <v>105</v>
      </c>
      <c r="J20" t="s">
        <v>166</v>
      </c>
      <c r="K20">
        <v>2</v>
      </c>
      <c r="L20">
        <v>67900</v>
      </c>
      <c r="M20" s="17">
        <f>(L20/10)*2</f>
        <v>13580</v>
      </c>
      <c r="O20" s="17">
        <f t="shared" si="0"/>
        <v>17654</v>
      </c>
      <c r="P20" s="17">
        <v>0</v>
      </c>
      <c r="Q20" s="18">
        <v>0.17</v>
      </c>
      <c r="R20" s="17">
        <v>0</v>
      </c>
      <c r="S20" s="19">
        <v>0</v>
      </c>
      <c r="T20" s="17">
        <f t="shared" si="4"/>
        <v>13580</v>
      </c>
      <c r="U20" s="18">
        <v>0.25</v>
      </c>
      <c r="V20" s="17">
        <f t="shared" si="1"/>
        <v>16975</v>
      </c>
      <c r="W20" s="20">
        <f t="shared" si="2"/>
        <v>0.2</v>
      </c>
      <c r="X20" s="17">
        <v>0</v>
      </c>
      <c r="Y20" s="18">
        <v>0.25</v>
      </c>
      <c r="Z20" s="17">
        <v>0</v>
      </c>
      <c r="AA20" s="18">
        <v>0</v>
      </c>
      <c r="AB20" s="18">
        <v>0.1</v>
      </c>
    </row>
    <row r="21" spans="1:28">
      <c r="A21">
        <v>2026</v>
      </c>
      <c r="B21" t="s">
        <v>153</v>
      </c>
      <c r="C21" t="s">
        <v>151</v>
      </c>
      <c r="D21" t="s">
        <v>152</v>
      </c>
      <c r="E21">
        <v>583500</v>
      </c>
      <c r="G21" t="s">
        <v>148</v>
      </c>
      <c r="H21" t="s">
        <v>148</v>
      </c>
      <c r="I21" t="s">
        <v>107</v>
      </c>
      <c r="J21" t="s">
        <v>166</v>
      </c>
      <c r="K21">
        <v>2</v>
      </c>
      <c r="L21">
        <v>50300</v>
      </c>
      <c r="M21" s="17">
        <f>(L21/10)*2</f>
        <v>10060</v>
      </c>
      <c r="O21" s="17">
        <f t="shared" si="0"/>
        <v>13078</v>
      </c>
      <c r="P21" s="17">
        <v>0</v>
      </c>
      <c r="Q21" s="18">
        <v>0.22</v>
      </c>
      <c r="R21" s="17">
        <v>0</v>
      </c>
      <c r="S21" s="19">
        <v>0</v>
      </c>
      <c r="T21" s="17">
        <f t="shared" si="4"/>
        <v>10060</v>
      </c>
      <c r="U21" s="18">
        <v>0.35</v>
      </c>
      <c r="V21" s="17">
        <f t="shared" si="1"/>
        <v>13581</v>
      </c>
      <c r="W21" s="20">
        <f t="shared" si="2"/>
        <v>0.25925925925925924</v>
      </c>
      <c r="X21" s="17">
        <v>0</v>
      </c>
      <c r="Y21" s="18">
        <v>0.35</v>
      </c>
      <c r="Z21" s="17">
        <v>0</v>
      </c>
      <c r="AA21" s="18">
        <v>0</v>
      </c>
      <c r="AB21" s="18">
        <v>0.1</v>
      </c>
    </row>
    <row r="22" spans="1:28">
      <c r="A22">
        <v>2026</v>
      </c>
      <c r="B22" t="s">
        <v>154</v>
      </c>
      <c r="C22" t="s">
        <v>151</v>
      </c>
      <c r="D22" t="s">
        <v>152</v>
      </c>
      <c r="E22">
        <v>360001</v>
      </c>
      <c r="G22" t="s">
        <v>148</v>
      </c>
      <c r="H22" t="s">
        <v>148</v>
      </c>
      <c r="I22" t="s">
        <v>11</v>
      </c>
      <c r="J22" t="s">
        <v>12</v>
      </c>
      <c r="K22">
        <v>40</v>
      </c>
      <c r="L22">
        <v>893800</v>
      </c>
      <c r="M22" s="17">
        <f>L22/K22</f>
        <v>22345</v>
      </c>
      <c r="O22" s="17">
        <f t="shared" ref="O22:O41" si="5">M22+(M22*30%)</f>
        <v>29048.5</v>
      </c>
      <c r="P22" s="17">
        <v>0</v>
      </c>
      <c r="Q22" s="18">
        <v>0.17</v>
      </c>
      <c r="R22" s="17">
        <v>0</v>
      </c>
      <c r="S22" s="19">
        <v>0</v>
      </c>
      <c r="T22" s="17">
        <f>IF(C22="Mediana Complejidad",M22,0)</f>
        <v>22345</v>
      </c>
      <c r="U22" s="18">
        <v>0.27</v>
      </c>
      <c r="V22" s="17">
        <f t="shared" ref="V22:V41" si="6">T22+(T22*U22)</f>
        <v>28378.15</v>
      </c>
      <c r="W22" s="20">
        <f t="shared" ref="W22:W41" si="7">IFERROR(((V22-T22)/V22),0)</f>
        <v>0.21259842519685043</v>
      </c>
      <c r="X22" s="17">
        <v>0</v>
      </c>
      <c r="Y22" s="18">
        <v>0.28000000000000003</v>
      </c>
      <c r="Z22" s="17">
        <v>0</v>
      </c>
      <c r="AA22" s="18">
        <v>0</v>
      </c>
      <c r="AB22" s="18">
        <v>0.1</v>
      </c>
    </row>
    <row r="23" spans="1:28">
      <c r="A23">
        <v>2026</v>
      </c>
      <c r="B23" t="s">
        <v>154</v>
      </c>
      <c r="C23" t="s">
        <v>151</v>
      </c>
      <c r="D23" t="s">
        <v>152</v>
      </c>
      <c r="E23">
        <v>360102</v>
      </c>
      <c r="G23" t="s">
        <v>148</v>
      </c>
      <c r="H23" t="s">
        <v>148</v>
      </c>
      <c r="I23" t="s">
        <v>18</v>
      </c>
      <c r="J23" t="s">
        <v>12</v>
      </c>
      <c r="K23">
        <v>250</v>
      </c>
      <c r="L23">
        <v>80300</v>
      </c>
      <c r="M23" s="17">
        <f t="shared" ref="M23:M39" si="8">L23/K23</f>
        <v>321.2</v>
      </c>
      <c r="O23" s="17">
        <f t="shared" si="5"/>
        <v>417.56</v>
      </c>
      <c r="P23" s="17">
        <v>0</v>
      </c>
      <c r="Q23" s="18">
        <v>0.22</v>
      </c>
      <c r="R23" s="17">
        <v>0</v>
      </c>
      <c r="S23" s="19">
        <v>0</v>
      </c>
      <c r="T23" s="17">
        <f t="shared" ref="T23:T41" si="9">IF(C23="Mediana Complejidad",M23,0)</f>
        <v>321.2</v>
      </c>
      <c r="U23" s="18">
        <v>0.17</v>
      </c>
      <c r="V23" s="17">
        <f t="shared" si="6"/>
        <v>375.80399999999997</v>
      </c>
      <c r="W23" s="20">
        <f t="shared" si="7"/>
        <v>0.14529914529914528</v>
      </c>
      <c r="X23" s="17">
        <v>0</v>
      </c>
      <c r="Y23" s="18">
        <v>0.27</v>
      </c>
      <c r="Z23" s="17">
        <v>0</v>
      </c>
      <c r="AA23" s="18">
        <v>0</v>
      </c>
      <c r="AB23" s="18">
        <v>0.1</v>
      </c>
    </row>
    <row r="24" spans="1:28">
      <c r="A24">
        <v>2026</v>
      </c>
      <c r="B24" t="s">
        <v>154</v>
      </c>
      <c r="C24" t="s">
        <v>151</v>
      </c>
      <c r="D24" t="s">
        <v>152</v>
      </c>
      <c r="E24">
        <v>360104</v>
      </c>
      <c r="G24" t="s">
        <v>148</v>
      </c>
      <c r="H24" t="s">
        <v>148</v>
      </c>
      <c r="I24" t="s">
        <v>26</v>
      </c>
      <c r="J24" t="s">
        <v>22</v>
      </c>
      <c r="K24">
        <v>10</v>
      </c>
      <c r="L24">
        <v>28800</v>
      </c>
      <c r="M24" s="17">
        <f t="shared" si="8"/>
        <v>2880</v>
      </c>
      <c r="O24" s="17">
        <f t="shared" si="5"/>
        <v>3744</v>
      </c>
      <c r="P24" s="17">
        <v>0</v>
      </c>
      <c r="Q24" s="18">
        <v>0.12</v>
      </c>
      <c r="R24" s="17">
        <v>0</v>
      </c>
      <c r="S24" s="19">
        <v>0</v>
      </c>
      <c r="T24" s="17">
        <f t="shared" si="9"/>
        <v>2880</v>
      </c>
      <c r="U24" s="18">
        <v>0.22</v>
      </c>
      <c r="V24" s="17">
        <f t="shared" si="6"/>
        <v>3513.6</v>
      </c>
      <c r="W24" s="20">
        <f t="shared" si="7"/>
        <v>0.18032786885245899</v>
      </c>
      <c r="X24" s="17">
        <v>0</v>
      </c>
      <c r="Y24" s="18">
        <v>0.17</v>
      </c>
      <c r="Z24" s="17">
        <v>0</v>
      </c>
      <c r="AA24" s="18">
        <v>0</v>
      </c>
      <c r="AB24" s="18">
        <v>0.1</v>
      </c>
    </row>
    <row r="25" spans="1:28">
      <c r="A25">
        <v>2026</v>
      </c>
      <c r="B25" t="s">
        <v>154</v>
      </c>
      <c r="C25" t="s">
        <v>151</v>
      </c>
      <c r="D25" t="s">
        <v>152</v>
      </c>
      <c r="E25">
        <v>360100</v>
      </c>
      <c r="G25" t="s">
        <v>148</v>
      </c>
      <c r="H25" t="s">
        <v>148</v>
      </c>
      <c r="I25" t="s">
        <v>35</v>
      </c>
      <c r="J25" t="s">
        <v>22</v>
      </c>
      <c r="K25">
        <v>10</v>
      </c>
      <c r="L25">
        <v>36700</v>
      </c>
      <c r="M25" s="17">
        <f t="shared" si="8"/>
        <v>3670</v>
      </c>
      <c r="O25" s="17">
        <f t="shared" si="5"/>
        <v>4771</v>
      </c>
      <c r="P25" s="17">
        <v>0</v>
      </c>
      <c r="Q25" s="18">
        <v>0.15</v>
      </c>
      <c r="R25" s="17">
        <v>0</v>
      </c>
      <c r="S25" s="19">
        <v>0</v>
      </c>
      <c r="T25" s="17">
        <f t="shared" si="9"/>
        <v>3670</v>
      </c>
      <c r="U25" s="18">
        <v>0.12</v>
      </c>
      <c r="V25" s="17">
        <f t="shared" si="6"/>
        <v>4110.3999999999996</v>
      </c>
      <c r="W25" s="20">
        <f t="shared" si="7"/>
        <v>0.10714285714285707</v>
      </c>
      <c r="X25" s="17">
        <v>0</v>
      </c>
      <c r="Y25" s="18">
        <v>0.22</v>
      </c>
      <c r="Z25" s="17">
        <v>0</v>
      </c>
      <c r="AA25" s="18">
        <v>0</v>
      </c>
      <c r="AB25" s="18">
        <v>0.1</v>
      </c>
    </row>
    <row r="26" spans="1:28">
      <c r="A26">
        <v>2026</v>
      </c>
      <c r="B26" t="s">
        <v>154</v>
      </c>
      <c r="C26" t="s">
        <v>151</v>
      </c>
      <c r="D26" t="s">
        <v>152</v>
      </c>
      <c r="E26">
        <v>360150</v>
      </c>
      <c r="G26" t="s">
        <v>148</v>
      </c>
      <c r="H26" t="s">
        <v>148</v>
      </c>
      <c r="I26" t="s">
        <v>159</v>
      </c>
      <c r="J26" t="s">
        <v>29</v>
      </c>
      <c r="K26">
        <v>5</v>
      </c>
      <c r="L26">
        <v>28000</v>
      </c>
      <c r="M26" s="17">
        <f t="shared" si="8"/>
        <v>5600</v>
      </c>
      <c r="O26" s="17">
        <f t="shared" si="5"/>
        <v>7280</v>
      </c>
      <c r="P26" s="17">
        <v>0</v>
      </c>
      <c r="Q26" s="18">
        <v>0.18</v>
      </c>
      <c r="R26" s="17">
        <v>0</v>
      </c>
      <c r="S26" s="19">
        <v>0</v>
      </c>
      <c r="T26" s="17">
        <f t="shared" si="9"/>
        <v>5600</v>
      </c>
      <c r="U26" s="18">
        <v>0.15</v>
      </c>
      <c r="V26" s="17">
        <f t="shared" si="6"/>
        <v>6440</v>
      </c>
      <c r="W26" s="20">
        <f t="shared" si="7"/>
        <v>0.13043478260869565</v>
      </c>
      <c r="X26" s="17">
        <v>0</v>
      </c>
      <c r="Y26" s="18">
        <v>0.12</v>
      </c>
      <c r="Z26" s="17">
        <v>0</v>
      </c>
      <c r="AA26" s="18">
        <v>0</v>
      </c>
      <c r="AB26" s="18">
        <v>0.1</v>
      </c>
    </row>
    <row r="27" spans="1:28">
      <c r="A27">
        <v>2026</v>
      </c>
      <c r="B27" t="s">
        <v>154</v>
      </c>
      <c r="C27" t="s">
        <v>151</v>
      </c>
      <c r="D27" t="s">
        <v>152</v>
      </c>
      <c r="E27">
        <v>360101</v>
      </c>
      <c r="G27" t="s">
        <v>148</v>
      </c>
      <c r="H27" t="s">
        <v>148</v>
      </c>
      <c r="I27" t="s">
        <v>50</v>
      </c>
      <c r="J27" t="s">
        <v>29</v>
      </c>
      <c r="K27">
        <v>5</v>
      </c>
      <c r="L27">
        <v>36700</v>
      </c>
      <c r="M27" s="17">
        <f t="shared" si="8"/>
        <v>7340</v>
      </c>
      <c r="O27" s="17">
        <f t="shared" si="5"/>
        <v>9542</v>
      </c>
      <c r="P27" s="17">
        <v>0</v>
      </c>
      <c r="Q27" s="18">
        <v>0.28999999999999998</v>
      </c>
      <c r="R27" s="17">
        <v>0</v>
      </c>
      <c r="S27" s="19">
        <v>0</v>
      </c>
      <c r="T27" s="17">
        <f t="shared" si="9"/>
        <v>7340</v>
      </c>
      <c r="U27" s="18">
        <v>0.18</v>
      </c>
      <c r="V27" s="17">
        <f t="shared" si="6"/>
        <v>8661.2000000000007</v>
      </c>
      <c r="W27" s="20">
        <f t="shared" si="7"/>
        <v>0.152542372881356</v>
      </c>
      <c r="X27" s="17">
        <v>0</v>
      </c>
      <c r="Y27" s="18">
        <v>0.15</v>
      </c>
      <c r="Z27" s="17">
        <v>0</v>
      </c>
      <c r="AA27" s="18">
        <v>0</v>
      </c>
      <c r="AB27" s="18">
        <v>0.1</v>
      </c>
    </row>
    <row r="28" spans="1:28">
      <c r="A28">
        <v>2026</v>
      </c>
      <c r="B28" t="s">
        <v>154</v>
      </c>
      <c r="C28" t="s">
        <v>151</v>
      </c>
      <c r="D28" t="s">
        <v>152</v>
      </c>
      <c r="E28">
        <v>360103</v>
      </c>
      <c r="G28" t="s">
        <v>148</v>
      </c>
      <c r="H28" t="s">
        <v>148</v>
      </c>
      <c r="I28" t="s">
        <v>59</v>
      </c>
      <c r="J28" t="s">
        <v>29</v>
      </c>
      <c r="K28">
        <v>5</v>
      </c>
      <c r="L28">
        <v>21900</v>
      </c>
      <c r="M28" s="17">
        <f t="shared" si="8"/>
        <v>4380</v>
      </c>
      <c r="O28" s="17">
        <f t="shared" si="5"/>
        <v>5694</v>
      </c>
      <c r="P28" s="17">
        <v>0</v>
      </c>
      <c r="Q28" s="18">
        <v>0.34</v>
      </c>
      <c r="R28" s="17">
        <v>0</v>
      </c>
      <c r="S28" s="19">
        <v>0</v>
      </c>
      <c r="T28" s="17">
        <f t="shared" si="9"/>
        <v>4380</v>
      </c>
      <c r="U28" s="18">
        <v>0.28999999999999998</v>
      </c>
      <c r="V28" s="17">
        <f t="shared" si="6"/>
        <v>5650.2</v>
      </c>
      <c r="W28" s="20">
        <f t="shared" si="7"/>
        <v>0.22480620155038758</v>
      </c>
      <c r="X28" s="17">
        <v>0</v>
      </c>
      <c r="Y28" s="18">
        <v>0.18</v>
      </c>
      <c r="Z28" s="17">
        <v>0</v>
      </c>
      <c r="AA28" s="18">
        <v>0</v>
      </c>
      <c r="AB28" s="18">
        <v>0.1</v>
      </c>
    </row>
    <row r="29" spans="1:28">
      <c r="A29">
        <v>2026</v>
      </c>
      <c r="B29" t="s">
        <v>154</v>
      </c>
      <c r="C29" t="s">
        <v>151</v>
      </c>
      <c r="D29" t="s">
        <v>152</v>
      </c>
      <c r="E29">
        <v>709900</v>
      </c>
      <c r="G29" t="s">
        <v>148</v>
      </c>
      <c r="H29" t="s">
        <v>148</v>
      </c>
      <c r="I29" t="s">
        <v>67</v>
      </c>
      <c r="J29" t="s">
        <v>29</v>
      </c>
      <c r="K29">
        <v>5</v>
      </c>
      <c r="L29">
        <v>114900</v>
      </c>
      <c r="M29" s="17">
        <f t="shared" si="8"/>
        <v>22980</v>
      </c>
      <c r="O29" s="17">
        <f t="shared" si="5"/>
        <v>29874</v>
      </c>
      <c r="P29" s="17">
        <v>0</v>
      </c>
      <c r="Q29" s="18">
        <v>0.25</v>
      </c>
      <c r="R29" s="17">
        <v>0</v>
      </c>
      <c r="S29" s="19">
        <v>0</v>
      </c>
      <c r="T29" s="17">
        <f t="shared" si="9"/>
        <v>22980</v>
      </c>
      <c r="U29" s="18">
        <v>0.34</v>
      </c>
      <c r="V29" s="17">
        <f t="shared" si="6"/>
        <v>30793.200000000001</v>
      </c>
      <c r="W29" s="20">
        <f t="shared" si="7"/>
        <v>0.2537313432835821</v>
      </c>
      <c r="X29" s="17">
        <v>0</v>
      </c>
      <c r="Y29" s="18">
        <v>0.28999999999999998</v>
      </c>
      <c r="Z29" s="17">
        <v>0</v>
      </c>
      <c r="AA29" s="18">
        <v>0</v>
      </c>
      <c r="AB29" s="18">
        <v>0.1</v>
      </c>
    </row>
    <row r="30" spans="1:28">
      <c r="A30">
        <v>2026</v>
      </c>
      <c r="B30" t="s">
        <v>154</v>
      </c>
      <c r="C30" t="s">
        <v>151</v>
      </c>
      <c r="D30" t="s">
        <v>152</v>
      </c>
      <c r="E30">
        <v>709902</v>
      </c>
      <c r="G30" t="s">
        <v>148</v>
      </c>
      <c r="H30" t="s">
        <v>148</v>
      </c>
      <c r="I30" t="s">
        <v>160</v>
      </c>
      <c r="J30" t="s">
        <v>29</v>
      </c>
      <c r="K30">
        <v>5</v>
      </c>
      <c r="L30">
        <v>28000</v>
      </c>
      <c r="M30" s="17">
        <f t="shared" si="8"/>
        <v>5600</v>
      </c>
      <c r="O30" s="17">
        <f t="shared" si="5"/>
        <v>7280</v>
      </c>
      <c r="P30" s="17">
        <v>0</v>
      </c>
      <c r="Q30" s="18">
        <v>0.35</v>
      </c>
      <c r="R30" s="17">
        <v>0</v>
      </c>
      <c r="S30" s="19">
        <v>0</v>
      </c>
      <c r="T30" s="17">
        <f t="shared" si="9"/>
        <v>5600</v>
      </c>
      <c r="U30" s="18">
        <v>0.25</v>
      </c>
      <c r="V30" s="17">
        <f t="shared" si="6"/>
        <v>7000</v>
      </c>
      <c r="W30" s="20">
        <f t="shared" si="7"/>
        <v>0.2</v>
      </c>
      <c r="X30" s="17">
        <v>0</v>
      </c>
      <c r="Y30" s="18">
        <v>0.34</v>
      </c>
      <c r="Z30" s="17">
        <v>0</v>
      </c>
      <c r="AA30" s="18">
        <v>0</v>
      </c>
      <c r="AB30" s="18">
        <v>0.1</v>
      </c>
    </row>
    <row r="31" spans="1:28">
      <c r="A31">
        <v>2026</v>
      </c>
      <c r="B31" t="s">
        <v>154</v>
      </c>
      <c r="C31" t="s">
        <v>151</v>
      </c>
      <c r="D31" t="s">
        <v>152</v>
      </c>
      <c r="E31">
        <v>709903</v>
      </c>
      <c r="G31" t="s">
        <v>148</v>
      </c>
      <c r="H31" t="s">
        <v>148</v>
      </c>
      <c r="I31" t="s">
        <v>161</v>
      </c>
      <c r="J31" t="s">
        <v>29</v>
      </c>
      <c r="K31">
        <v>5</v>
      </c>
      <c r="L31">
        <v>49200</v>
      </c>
      <c r="M31" s="17">
        <f t="shared" si="8"/>
        <v>9840</v>
      </c>
      <c r="O31" s="17">
        <f t="shared" si="5"/>
        <v>12792</v>
      </c>
      <c r="P31" s="17">
        <v>0</v>
      </c>
      <c r="Q31" s="18">
        <v>0.12</v>
      </c>
      <c r="R31" s="17">
        <v>0</v>
      </c>
      <c r="S31" s="19">
        <v>0</v>
      </c>
      <c r="T31" s="17">
        <f t="shared" si="9"/>
        <v>9840</v>
      </c>
      <c r="U31" s="18">
        <v>0.35</v>
      </c>
      <c r="V31" s="17">
        <f t="shared" si="6"/>
        <v>13284</v>
      </c>
      <c r="W31" s="20">
        <f t="shared" si="7"/>
        <v>0.25925925925925924</v>
      </c>
      <c r="X31" s="17">
        <v>0</v>
      </c>
      <c r="Y31" s="18">
        <v>0.25</v>
      </c>
      <c r="Z31" s="17">
        <v>0</v>
      </c>
      <c r="AA31" s="18">
        <v>0</v>
      </c>
      <c r="AB31" s="18">
        <v>0.1</v>
      </c>
    </row>
    <row r="32" spans="1:28">
      <c r="A32">
        <v>2026</v>
      </c>
      <c r="B32" t="s">
        <v>154</v>
      </c>
      <c r="C32" t="s">
        <v>151</v>
      </c>
      <c r="D32" t="s">
        <v>152</v>
      </c>
      <c r="E32">
        <v>709909</v>
      </c>
      <c r="G32" t="s">
        <v>148</v>
      </c>
      <c r="H32" t="s">
        <v>148</v>
      </c>
      <c r="I32" t="s">
        <v>162</v>
      </c>
      <c r="J32" t="s">
        <v>29</v>
      </c>
      <c r="K32">
        <v>5</v>
      </c>
      <c r="L32">
        <v>141600</v>
      </c>
      <c r="M32" s="17">
        <f t="shared" si="8"/>
        <v>28320</v>
      </c>
      <c r="O32" s="17">
        <f t="shared" si="5"/>
        <v>36816</v>
      </c>
      <c r="P32" s="17">
        <v>0</v>
      </c>
      <c r="Q32" s="18">
        <v>0.25</v>
      </c>
      <c r="R32" s="17">
        <v>0</v>
      </c>
      <c r="S32" s="19">
        <v>0</v>
      </c>
      <c r="T32" s="17">
        <f t="shared" si="9"/>
        <v>28320</v>
      </c>
      <c r="U32" s="18">
        <v>0.12</v>
      </c>
      <c r="V32" s="17">
        <f t="shared" si="6"/>
        <v>31718.400000000001</v>
      </c>
      <c r="W32" s="20">
        <f t="shared" si="7"/>
        <v>0.10714285714285718</v>
      </c>
      <c r="X32" s="17">
        <v>0</v>
      </c>
      <c r="Y32" s="18">
        <v>0.35</v>
      </c>
      <c r="Z32" s="17">
        <v>0</v>
      </c>
      <c r="AA32" s="18">
        <v>0</v>
      </c>
      <c r="AB32" s="18">
        <v>0.1</v>
      </c>
    </row>
    <row r="33" spans="1:28">
      <c r="A33">
        <v>2026</v>
      </c>
      <c r="B33" t="s">
        <v>154</v>
      </c>
      <c r="C33" t="s">
        <v>151</v>
      </c>
      <c r="D33" t="s">
        <v>152</v>
      </c>
      <c r="E33">
        <v>709904</v>
      </c>
      <c r="G33" t="s">
        <v>148</v>
      </c>
      <c r="H33" t="s">
        <v>148</v>
      </c>
      <c r="I33" t="s">
        <v>163</v>
      </c>
      <c r="J33" t="s">
        <v>29</v>
      </c>
      <c r="K33">
        <v>5</v>
      </c>
      <c r="L33">
        <v>174700</v>
      </c>
      <c r="M33" s="17">
        <f t="shared" si="8"/>
        <v>34940</v>
      </c>
      <c r="O33" s="17">
        <f t="shared" si="5"/>
        <v>45422</v>
      </c>
      <c r="P33" s="17">
        <v>0</v>
      </c>
      <c r="Q33" s="18">
        <v>0.1</v>
      </c>
      <c r="R33" s="17">
        <v>0</v>
      </c>
      <c r="S33" s="19">
        <v>0</v>
      </c>
      <c r="T33" s="17">
        <f t="shared" si="9"/>
        <v>34940</v>
      </c>
      <c r="U33" s="18">
        <v>0.25</v>
      </c>
      <c r="V33" s="17">
        <f t="shared" si="6"/>
        <v>43675</v>
      </c>
      <c r="W33" s="20">
        <f t="shared" si="7"/>
        <v>0.2</v>
      </c>
      <c r="X33" s="17">
        <v>0</v>
      </c>
      <c r="Y33" s="18">
        <v>0.12</v>
      </c>
      <c r="Z33" s="17">
        <v>0</v>
      </c>
      <c r="AA33" s="18">
        <v>0</v>
      </c>
      <c r="AB33" s="18">
        <v>0.1</v>
      </c>
    </row>
    <row r="34" spans="1:28">
      <c r="A34">
        <v>2026</v>
      </c>
      <c r="B34" t="s">
        <v>154</v>
      </c>
      <c r="C34" t="s">
        <v>151</v>
      </c>
      <c r="D34" t="s">
        <v>152</v>
      </c>
      <c r="E34">
        <v>603421</v>
      </c>
      <c r="G34" t="s">
        <v>148</v>
      </c>
      <c r="H34" t="s">
        <v>148</v>
      </c>
      <c r="I34" t="s">
        <v>164</v>
      </c>
      <c r="J34" t="s">
        <v>29</v>
      </c>
      <c r="K34">
        <v>5</v>
      </c>
      <c r="L34">
        <v>204000</v>
      </c>
      <c r="M34" s="17">
        <f t="shared" si="8"/>
        <v>40800</v>
      </c>
      <c r="O34" s="17">
        <f t="shared" si="5"/>
        <v>53040</v>
      </c>
      <c r="P34" s="17">
        <v>0</v>
      </c>
      <c r="Q34" s="18">
        <v>0.35</v>
      </c>
      <c r="R34" s="17">
        <v>0</v>
      </c>
      <c r="S34" s="19">
        <v>0</v>
      </c>
      <c r="T34" s="17">
        <f t="shared" si="9"/>
        <v>40800</v>
      </c>
      <c r="U34" s="18">
        <v>0.1</v>
      </c>
      <c r="V34" s="17">
        <f t="shared" si="6"/>
        <v>44880</v>
      </c>
      <c r="W34" s="20">
        <f t="shared" si="7"/>
        <v>9.0909090909090912E-2</v>
      </c>
      <c r="X34" s="17">
        <v>0</v>
      </c>
      <c r="Y34" s="18">
        <v>0.22</v>
      </c>
      <c r="Z34" s="17">
        <v>0</v>
      </c>
      <c r="AA34" s="18">
        <v>0</v>
      </c>
      <c r="AB34" s="18">
        <v>0.1</v>
      </c>
    </row>
    <row r="35" spans="1:28">
      <c r="A35">
        <v>2026</v>
      </c>
      <c r="B35" t="s">
        <v>154</v>
      </c>
      <c r="C35" t="s">
        <v>151</v>
      </c>
      <c r="D35" t="s">
        <v>152</v>
      </c>
      <c r="E35">
        <v>603422</v>
      </c>
      <c r="G35" t="s">
        <v>148</v>
      </c>
      <c r="H35" t="s">
        <v>148</v>
      </c>
      <c r="I35" t="s">
        <v>74</v>
      </c>
      <c r="J35" t="s">
        <v>29</v>
      </c>
      <c r="K35">
        <v>5</v>
      </c>
      <c r="L35">
        <v>49000</v>
      </c>
      <c r="M35" s="17">
        <f t="shared" si="8"/>
        <v>9800</v>
      </c>
      <c r="O35" s="17">
        <f t="shared" si="5"/>
        <v>12740</v>
      </c>
      <c r="P35" s="17">
        <v>0</v>
      </c>
      <c r="Q35" s="18">
        <v>0.33</v>
      </c>
      <c r="R35" s="17">
        <v>0</v>
      </c>
      <c r="S35" s="19">
        <v>0</v>
      </c>
      <c r="T35" s="17">
        <f t="shared" si="9"/>
        <v>9800</v>
      </c>
      <c r="U35" s="18">
        <v>0.12</v>
      </c>
      <c r="V35" s="17">
        <f t="shared" si="6"/>
        <v>10976</v>
      </c>
      <c r="W35" s="20">
        <f t="shared" si="7"/>
        <v>0.10714285714285714</v>
      </c>
      <c r="X35" s="17">
        <v>0</v>
      </c>
      <c r="Y35" s="18">
        <v>0.12</v>
      </c>
      <c r="Z35" s="17">
        <v>0</v>
      </c>
      <c r="AA35" s="18">
        <v>0</v>
      </c>
      <c r="AB35" s="18">
        <v>0.1</v>
      </c>
    </row>
    <row r="36" spans="1:28">
      <c r="A36">
        <v>2026</v>
      </c>
      <c r="B36" t="s">
        <v>154</v>
      </c>
      <c r="C36" t="s">
        <v>151</v>
      </c>
      <c r="D36" t="s">
        <v>152</v>
      </c>
      <c r="E36">
        <v>603423</v>
      </c>
      <c r="G36" t="s">
        <v>148</v>
      </c>
      <c r="H36" t="s">
        <v>148</v>
      </c>
      <c r="I36" t="s">
        <v>165</v>
      </c>
      <c r="J36" t="s">
        <v>22</v>
      </c>
      <c r="K36">
        <v>10</v>
      </c>
      <c r="L36">
        <v>224100</v>
      </c>
      <c r="M36" s="17">
        <f t="shared" si="8"/>
        <v>22410</v>
      </c>
      <c r="O36" s="17">
        <f t="shared" si="5"/>
        <v>29133</v>
      </c>
      <c r="P36" s="17">
        <v>0</v>
      </c>
      <c r="Q36" s="18">
        <v>0.31</v>
      </c>
      <c r="R36" s="17">
        <v>0</v>
      </c>
      <c r="S36" s="19">
        <v>0</v>
      </c>
      <c r="T36" s="17">
        <f t="shared" si="9"/>
        <v>22410</v>
      </c>
      <c r="U36" s="18">
        <v>0.15</v>
      </c>
      <c r="V36" s="17">
        <f t="shared" si="6"/>
        <v>25771.5</v>
      </c>
      <c r="W36" s="20">
        <f t="shared" si="7"/>
        <v>0.13043478260869565</v>
      </c>
      <c r="X36" s="17">
        <v>0</v>
      </c>
      <c r="Y36" s="18">
        <v>0.15</v>
      </c>
      <c r="Z36" s="17">
        <v>0</v>
      </c>
      <c r="AA36" s="18">
        <v>0</v>
      </c>
      <c r="AB36" s="18">
        <v>0.1</v>
      </c>
    </row>
    <row r="37" spans="1:28">
      <c r="A37">
        <v>2026</v>
      </c>
      <c r="B37" t="s">
        <v>154</v>
      </c>
      <c r="C37" t="s">
        <v>151</v>
      </c>
      <c r="D37" t="s">
        <v>152</v>
      </c>
      <c r="E37">
        <v>603420</v>
      </c>
      <c r="G37" t="s">
        <v>148</v>
      </c>
      <c r="H37" t="s">
        <v>148</v>
      </c>
      <c r="I37" t="s">
        <v>81</v>
      </c>
      <c r="J37" t="s">
        <v>22</v>
      </c>
      <c r="K37">
        <v>10</v>
      </c>
      <c r="L37">
        <v>38000</v>
      </c>
      <c r="M37" s="17">
        <f t="shared" si="8"/>
        <v>3800</v>
      </c>
      <c r="O37" s="17">
        <f t="shared" si="5"/>
        <v>4940</v>
      </c>
      <c r="P37" s="17">
        <v>0</v>
      </c>
      <c r="Q37" s="18">
        <v>0.3</v>
      </c>
      <c r="R37" s="17">
        <v>0</v>
      </c>
      <c r="S37" s="19">
        <v>0</v>
      </c>
      <c r="T37" s="17">
        <f t="shared" si="9"/>
        <v>3800</v>
      </c>
      <c r="U37" s="18">
        <v>0.18</v>
      </c>
      <c r="V37" s="17">
        <f t="shared" si="6"/>
        <v>4484</v>
      </c>
      <c r="W37" s="20">
        <f t="shared" si="7"/>
        <v>0.15254237288135594</v>
      </c>
      <c r="X37" s="17">
        <v>0</v>
      </c>
      <c r="Y37" s="18">
        <v>0.18</v>
      </c>
      <c r="Z37" s="17">
        <v>0</v>
      </c>
      <c r="AA37" s="18">
        <v>0</v>
      </c>
      <c r="AB37" s="18">
        <v>0.1</v>
      </c>
    </row>
    <row r="38" spans="1:28">
      <c r="A38">
        <v>2026</v>
      </c>
      <c r="B38" t="s">
        <v>154</v>
      </c>
      <c r="C38" t="s">
        <v>151</v>
      </c>
      <c r="D38" t="s">
        <v>152</v>
      </c>
      <c r="E38">
        <v>603424</v>
      </c>
      <c r="G38" t="s">
        <v>148</v>
      </c>
      <c r="H38" t="s">
        <v>148</v>
      </c>
      <c r="I38" t="s">
        <v>83</v>
      </c>
      <c r="J38" t="s">
        <v>22</v>
      </c>
      <c r="K38">
        <v>10</v>
      </c>
      <c r="L38">
        <v>39800</v>
      </c>
      <c r="M38" s="17">
        <f t="shared" si="8"/>
        <v>3980</v>
      </c>
      <c r="O38" s="17">
        <f t="shared" si="5"/>
        <v>5174</v>
      </c>
      <c r="P38" s="17">
        <v>0</v>
      </c>
      <c r="Q38" s="18">
        <v>0.28000000000000003</v>
      </c>
      <c r="R38" s="17">
        <v>0</v>
      </c>
      <c r="S38" s="19">
        <v>0</v>
      </c>
      <c r="T38" s="17">
        <f t="shared" si="9"/>
        <v>3980</v>
      </c>
      <c r="U38" s="18">
        <v>0.28999999999999998</v>
      </c>
      <c r="V38" s="17">
        <f t="shared" si="6"/>
        <v>5134.2</v>
      </c>
      <c r="W38" s="20">
        <f t="shared" si="7"/>
        <v>0.22480620155038758</v>
      </c>
      <c r="X38" s="17">
        <v>0</v>
      </c>
      <c r="Y38" s="18">
        <v>0.28999999999999998</v>
      </c>
      <c r="Z38" s="17">
        <v>0</v>
      </c>
      <c r="AA38" s="18">
        <v>0</v>
      </c>
      <c r="AB38" s="18">
        <v>0.1</v>
      </c>
    </row>
    <row r="39" spans="1:28">
      <c r="A39">
        <v>2026</v>
      </c>
      <c r="B39" t="s">
        <v>154</v>
      </c>
      <c r="C39" t="s">
        <v>151</v>
      </c>
      <c r="D39" t="s">
        <v>152</v>
      </c>
      <c r="E39">
        <v>583300</v>
      </c>
      <c r="G39" t="s">
        <v>148</v>
      </c>
      <c r="H39" t="s">
        <v>148</v>
      </c>
      <c r="I39" t="s">
        <v>97</v>
      </c>
      <c r="J39" t="s">
        <v>12</v>
      </c>
      <c r="K39">
        <v>1</v>
      </c>
      <c r="L39">
        <v>43500</v>
      </c>
      <c r="M39" s="17">
        <f t="shared" si="8"/>
        <v>43500</v>
      </c>
      <c r="O39" s="17">
        <f t="shared" si="5"/>
        <v>56550</v>
      </c>
      <c r="P39" s="17">
        <v>0</v>
      </c>
      <c r="Q39" s="18">
        <v>0.27</v>
      </c>
      <c r="R39" s="17">
        <v>0</v>
      </c>
      <c r="S39" s="19">
        <v>0</v>
      </c>
      <c r="T39" s="17">
        <f t="shared" si="9"/>
        <v>43500</v>
      </c>
      <c r="U39" s="18">
        <v>0.34</v>
      </c>
      <c r="V39" s="17">
        <f t="shared" si="6"/>
        <v>58290</v>
      </c>
      <c r="W39" s="20">
        <f t="shared" si="7"/>
        <v>0.2537313432835821</v>
      </c>
      <c r="X39" s="17">
        <v>0</v>
      </c>
      <c r="Y39" s="18">
        <v>0.34</v>
      </c>
      <c r="Z39" s="17">
        <v>0</v>
      </c>
      <c r="AA39" s="18">
        <v>0</v>
      </c>
      <c r="AB39" s="18">
        <v>0.1</v>
      </c>
    </row>
    <row r="40" spans="1:28">
      <c r="A40">
        <v>2026</v>
      </c>
      <c r="B40" t="s">
        <v>154</v>
      </c>
      <c r="C40" t="s">
        <v>151</v>
      </c>
      <c r="D40" t="s">
        <v>152</v>
      </c>
      <c r="E40">
        <v>583400</v>
      </c>
      <c r="G40" t="s">
        <v>148</v>
      </c>
      <c r="H40" t="s">
        <v>148</v>
      </c>
      <c r="I40" t="s">
        <v>105</v>
      </c>
      <c r="J40" t="s">
        <v>166</v>
      </c>
      <c r="K40">
        <v>2</v>
      </c>
      <c r="L40">
        <v>67900</v>
      </c>
      <c r="M40" s="17">
        <f>(L40/10)*2</f>
        <v>13580</v>
      </c>
      <c r="O40" s="17">
        <f t="shared" si="5"/>
        <v>17654</v>
      </c>
      <c r="P40" s="17">
        <v>0</v>
      </c>
      <c r="Q40" s="18">
        <v>0.17</v>
      </c>
      <c r="R40" s="17">
        <v>0</v>
      </c>
      <c r="S40" s="19">
        <v>0</v>
      </c>
      <c r="T40" s="17">
        <f t="shared" si="9"/>
        <v>13580</v>
      </c>
      <c r="U40" s="18">
        <v>0.25</v>
      </c>
      <c r="V40" s="17">
        <f t="shared" si="6"/>
        <v>16975</v>
      </c>
      <c r="W40" s="20">
        <f t="shared" si="7"/>
        <v>0.2</v>
      </c>
      <c r="X40" s="17">
        <v>0</v>
      </c>
      <c r="Y40" s="18">
        <v>0.25</v>
      </c>
      <c r="Z40" s="17">
        <v>0</v>
      </c>
      <c r="AA40" s="18">
        <v>0</v>
      </c>
      <c r="AB40" s="18">
        <v>0.1</v>
      </c>
    </row>
    <row r="41" spans="1:28">
      <c r="A41">
        <v>2026</v>
      </c>
      <c r="B41" t="s">
        <v>154</v>
      </c>
      <c r="C41" t="s">
        <v>151</v>
      </c>
      <c r="D41" t="s">
        <v>152</v>
      </c>
      <c r="E41">
        <v>583500</v>
      </c>
      <c r="G41" t="s">
        <v>148</v>
      </c>
      <c r="H41" t="s">
        <v>148</v>
      </c>
      <c r="I41" t="s">
        <v>107</v>
      </c>
      <c r="J41" t="s">
        <v>166</v>
      </c>
      <c r="K41">
        <v>2</v>
      </c>
      <c r="L41">
        <v>50300</v>
      </c>
      <c r="M41" s="17">
        <f>(L41/10)*2</f>
        <v>10060</v>
      </c>
      <c r="O41" s="17">
        <f t="shared" si="5"/>
        <v>13078</v>
      </c>
      <c r="P41" s="17">
        <v>0</v>
      </c>
      <c r="Q41" s="18">
        <v>0.22</v>
      </c>
      <c r="R41" s="17">
        <v>0</v>
      </c>
      <c r="S41" s="19">
        <v>0</v>
      </c>
      <c r="T41" s="17">
        <f t="shared" si="9"/>
        <v>10060</v>
      </c>
      <c r="U41" s="18">
        <v>0.35</v>
      </c>
      <c r="V41" s="17">
        <f t="shared" si="6"/>
        <v>13581</v>
      </c>
      <c r="W41" s="20">
        <f t="shared" si="7"/>
        <v>0.25925925925925924</v>
      </c>
      <c r="X41" s="17">
        <v>0</v>
      </c>
      <c r="Y41" s="18">
        <v>0.35</v>
      </c>
      <c r="Z41" s="17">
        <v>0</v>
      </c>
      <c r="AA41" s="18">
        <v>0</v>
      </c>
      <c r="AB41" s="18">
        <v>0.1</v>
      </c>
    </row>
    <row r="42" spans="1:28">
      <c r="A42">
        <v>2026</v>
      </c>
      <c r="B42" t="s">
        <v>155</v>
      </c>
      <c r="C42" t="s">
        <v>151</v>
      </c>
      <c r="D42" t="s">
        <v>152</v>
      </c>
      <c r="E42">
        <v>360001</v>
      </c>
      <c r="G42" t="s">
        <v>148</v>
      </c>
      <c r="H42" t="s">
        <v>148</v>
      </c>
      <c r="I42" t="s">
        <v>11</v>
      </c>
      <c r="J42" t="s">
        <v>12</v>
      </c>
      <c r="K42">
        <v>40</v>
      </c>
      <c r="L42">
        <v>893800</v>
      </c>
      <c r="M42" s="17">
        <f>L42/K42</f>
        <v>22345</v>
      </c>
      <c r="O42" s="17">
        <f t="shared" ref="O42:O61" si="10">M42+(M42*30%)</f>
        <v>29048.5</v>
      </c>
      <c r="P42" s="17">
        <v>0</v>
      </c>
      <c r="Q42" s="18">
        <v>0.17</v>
      </c>
      <c r="R42" s="17">
        <v>0</v>
      </c>
      <c r="S42" s="19">
        <v>0</v>
      </c>
      <c r="T42" s="17">
        <f>IF(C42="Mediana Complejidad",M42,0)</f>
        <v>22345</v>
      </c>
      <c r="U42" s="18">
        <v>0.27</v>
      </c>
      <c r="V42" s="17">
        <f t="shared" ref="V42:V61" si="11">T42+(T42*U42)</f>
        <v>28378.15</v>
      </c>
      <c r="W42" s="20">
        <f t="shared" ref="W42:W61" si="12">IFERROR(((V42-T42)/V42),0)</f>
        <v>0.21259842519685043</v>
      </c>
      <c r="X42" s="17">
        <v>0</v>
      </c>
      <c r="Y42" s="18">
        <v>0.28000000000000003</v>
      </c>
      <c r="Z42" s="17">
        <v>0</v>
      </c>
      <c r="AA42" s="18">
        <v>0</v>
      </c>
      <c r="AB42" s="18">
        <v>0.1</v>
      </c>
    </row>
    <row r="43" spans="1:28">
      <c r="A43">
        <v>2026</v>
      </c>
      <c r="B43" t="s">
        <v>155</v>
      </c>
      <c r="C43" t="s">
        <v>151</v>
      </c>
      <c r="D43" t="s">
        <v>152</v>
      </c>
      <c r="E43">
        <v>360102</v>
      </c>
      <c r="G43" t="s">
        <v>148</v>
      </c>
      <c r="H43" t="s">
        <v>148</v>
      </c>
      <c r="I43" t="s">
        <v>18</v>
      </c>
      <c r="J43" t="s">
        <v>12</v>
      </c>
      <c r="K43">
        <v>250</v>
      </c>
      <c r="L43">
        <v>80300</v>
      </c>
      <c r="M43" s="17">
        <f t="shared" ref="M43:M59" si="13">L43/K43</f>
        <v>321.2</v>
      </c>
      <c r="O43" s="17">
        <f t="shared" si="10"/>
        <v>417.56</v>
      </c>
      <c r="P43" s="17">
        <v>0</v>
      </c>
      <c r="Q43" s="18">
        <v>0.22</v>
      </c>
      <c r="R43" s="17">
        <v>0</v>
      </c>
      <c r="S43" s="19">
        <v>0</v>
      </c>
      <c r="T43" s="17">
        <f t="shared" ref="T43:T61" si="14">IF(C43="Mediana Complejidad",M43,0)</f>
        <v>321.2</v>
      </c>
      <c r="U43" s="18">
        <v>0.17</v>
      </c>
      <c r="V43" s="17">
        <f t="shared" si="11"/>
        <v>375.80399999999997</v>
      </c>
      <c r="W43" s="20">
        <f t="shared" si="12"/>
        <v>0.14529914529914528</v>
      </c>
      <c r="X43" s="17">
        <v>0</v>
      </c>
      <c r="Y43" s="18">
        <v>0.27</v>
      </c>
      <c r="Z43" s="17">
        <v>0</v>
      </c>
      <c r="AA43" s="18">
        <v>0</v>
      </c>
      <c r="AB43" s="18">
        <v>0.1</v>
      </c>
    </row>
    <row r="44" spans="1:28">
      <c r="A44">
        <v>2026</v>
      </c>
      <c r="B44" t="s">
        <v>155</v>
      </c>
      <c r="C44" t="s">
        <v>151</v>
      </c>
      <c r="D44" t="s">
        <v>152</v>
      </c>
      <c r="E44">
        <v>360104</v>
      </c>
      <c r="G44" t="s">
        <v>148</v>
      </c>
      <c r="H44" t="s">
        <v>148</v>
      </c>
      <c r="I44" t="s">
        <v>26</v>
      </c>
      <c r="J44" t="s">
        <v>22</v>
      </c>
      <c r="K44">
        <v>10</v>
      </c>
      <c r="L44">
        <v>28800</v>
      </c>
      <c r="M44" s="17">
        <f t="shared" si="13"/>
        <v>2880</v>
      </c>
      <c r="O44" s="17">
        <f t="shared" si="10"/>
        <v>3744</v>
      </c>
      <c r="P44" s="17">
        <v>0</v>
      </c>
      <c r="Q44" s="18">
        <v>0.12</v>
      </c>
      <c r="R44" s="17">
        <v>0</v>
      </c>
      <c r="S44" s="19">
        <v>0</v>
      </c>
      <c r="T44" s="17">
        <f t="shared" si="14"/>
        <v>2880</v>
      </c>
      <c r="U44" s="18">
        <v>0.22</v>
      </c>
      <c r="V44" s="17">
        <f t="shared" si="11"/>
        <v>3513.6</v>
      </c>
      <c r="W44" s="20">
        <f t="shared" si="12"/>
        <v>0.18032786885245899</v>
      </c>
      <c r="X44" s="17">
        <v>0</v>
      </c>
      <c r="Y44" s="18">
        <v>0.17</v>
      </c>
      <c r="Z44" s="17">
        <v>0</v>
      </c>
      <c r="AA44" s="18">
        <v>0</v>
      </c>
      <c r="AB44" s="18">
        <v>0.1</v>
      </c>
    </row>
    <row r="45" spans="1:28">
      <c r="A45">
        <v>2026</v>
      </c>
      <c r="B45" t="s">
        <v>155</v>
      </c>
      <c r="C45" t="s">
        <v>151</v>
      </c>
      <c r="D45" t="s">
        <v>152</v>
      </c>
      <c r="E45">
        <v>360100</v>
      </c>
      <c r="G45" t="s">
        <v>148</v>
      </c>
      <c r="H45" t="s">
        <v>148</v>
      </c>
      <c r="I45" t="s">
        <v>35</v>
      </c>
      <c r="J45" t="s">
        <v>22</v>
      </c>
      <c r="K45">
        <v>10</v>
      </c>
      <c r="L45">
        <v>36700</v>
      </c>
      <c r="M45" s="17">
        <f t="shared" si="13"/>
        <v>3670</v>
      </c>
      <c r="O45" s="17">
        <f t="shared" si="10"/>
        <v>4771</v>
      </c>
      <c r="P45" s="17">
        <v>0</v>
      </c>
      <c r="Q45" s="18">
        <v>0.15</v>
      </c>
      <c r="R45" s="17">
        <v>0</v>
      </c>
      <c r="S45" s="19">
        <v>0</v>
      </c>
      <c r="T45" s="17">
        <f t="shared" si="14"/>
        <v>3670</v>
      </c>
      <c r="U45" s="18">
        <v>0.12</v>
      </c>
      <c r="V45" s="17">
        <f t="shared" si="11"/>
        <v>4110.3999999999996</v>
      </c>
      <c r="W45" s="20">
        <f t="shared" si="12"/>
        <v>0.10714285714285707</v>
      </c>
      <c r="X45" s="17">
        <v>0</v>
      </c>
      <c r="Y45" s="18">
        <v>0.22</v>
      </c>
      <c r="Z45" s="17">
        <v>0</v>
      </c>
      <c r="AA45" s="18">
        <v>0</v>
      </c>
      <c r="AB45" s="18">
        <v>0.1</v>
      </c>
    </row>
    <row r="46" spans="1:28">
      <c r="A46">
        <v>2026</v>
      </c>
      <c r="B46" t="s">
        <v>155</v>
      </c>
      <c r="C46" t="s">
        <v>151</v>
      </c>
      <c r="D46" t="s">
        <v>152</v>
      </c>
      <c r="E46">
        <v>360150</v>
      </c>
      <c r="G46" t="s">
        <v>148</v>
      </c>
      <c r="H46" t="s">
        <v>148</v>
      </c>
      <c r="I46" t="s">
        <v>159</v>
      </c>
      <c r="J46" t="s">
        <v>29</v>
      </c>
      <c r="K46">
        <v>5</v>
      </c>
      <c r="L46">
        <v>28000</v>
      </c>
      <c r="M46" s="17">
        <f t="shared" si="13"/>
        <v>5600</v>
      </c>
      <c r="O46" s="17">
        <f t="shared" si="10"/>
        <v>7280</v>
      </c>
      <c r="P46" s="17">
        <v>0</v>
      </c>
      <c r="Q46" s="18">
        <v>0.18</v>
      </c>
      <c r="R46" s="17">
        <v>0</v>
      </c>
      <c r="S46" s="19">
        <v>0</v>
      </c>
      <c r="T46" s="17">
        <f t="shared" si="14"/>
        <v>5600</v>
      </c>
      <c r="U46" s="18">
        <v>0.15</v>
      </c>
      <c r="V46" s="17">
        <f t="shared" si="11"/>
        <v>6440</v>
      </c>
      <c r="W46" s="20">
        <f t="shared" si="12"/>
        <v>0.13043478260869565</v>
      </c>
      <c r="X46" s="17">
        <v>0</v>
      </c>
      <c r="Y46" s="18">
        <v>0.12</v>
      </c>
      <c r="Z46" s="17">
        <v>0</v>
      </c>
      <c r="AA46" s="18">
        <v>0</v>
      </c>
      <c r="AB46" s="18">
        <v>0.1</v>
      </c>
    </row>
    <row r="47" spans="1:28">
      <c r="A47">
        <v>2026</v>
      </c>
      <c r="B47" t="s">
        <v>155</v>
      </c>
      <c r="C47" t="s">
        <v>151</v>
      </c>
      <c r="D47" t="s">
        <v>152</v>
      </c>
      <c r="E47">
        <v>360101</v>
      </c>
      <c r="G47" t="s">
        <v>148</v>
      </c>
      <c r="H47" t="s">
        <v>148</v>
      </c>
      <c r="I47" t="s">
        <v>50</v>
      </c>
      <c r="J47" t="s">
        <v>29</v>
      </c>
      <c r="K47">
        <v>5</v>
      </c>
      <c r="L47">
        <v>36700</v>
      </c>
      <c r="M47" s="17">
        <f t="shared" si="13"/>
        <v>7340</v>
      </c>
      <c r="O47" s="17">
        <f t="shared" si="10"/>
        <v>9542</v>
      </c>
      <c r="P47" s="17">
        <v>0</v>
      </c>
      <c r="Q47" s="18">
        <v>0.28999999999999998</v>
      </c>
      <c r="R47" s="17">
        <v>0</v>
      </c>
      <c r="S47" s="19">
        <v>0</v>
      </c>
      <c r="T47" s="17">
        <f t="shared" si="14"/>
        <v>7340</v>
      </c>
      <c r="U47" s="18">
        <v>0.18</v>
      </c>
      <c r="V47" s="17">
        <f t="shared" si="11"/>
        <v>8661.2000000000007</v>
      </c>
      <c r="W47" s="20">
        <f t="shared" si="12"/>
        <v>0.152542372881356</v>
      </c>
      <c r="X47" s="17">
        <v>0</v>
      </c>
      <c r="Y47" s="18">
        <v>0.15</v>
      </c>
      <c r="Z47" s="17">
        <v>0</v>
      </c>
      <c r="AA47" s="18">
        <v>0</v>
      </c>
      <c r="AB47" s="18">
        <v>0.1</v>
      </c>
    </row>
    <row r="48" spans="1:28">
      <c r="A48">
        <v>2026</v>
      </c>
      <c r="B48" t="s">
        <v>155</v>
      </c>
      <c r="C48" t="s">
        <v>151</v>
      </c>
      <c r="D48" t="s">
        <v>152</v>
      </c>
      <c r="E48">
        <v>360103</v>
      </c>
      <c r="G48" t="s">
        <v>148</v>
      </c>
      <c r="H48" t="s">
        <v>148</v>
      </c>
      <c r="I48" t="s">
        <v>59</v>
      </c>
      <c r="J48" t="s">
        <v>29</v>
      </c>
      <c r="K48">
        <v>5</v>
      </c>
      <c r="L48">
        <v>21900</v>
      </c>
      <c r="M48" s="17">
        <f t="shared" si="13"/>
        <v>4380</v>
      </c>
      <c r="O48" s="17">
        <f t="shared" si="10"/>
        <v>5694</v>
      </c>
      <c r="P48" s="17">
        <v>0</v>
      </c>
      <c r="Q48" s="18">
        <v>0.34</v>
      </c>
      <c r="R48" s="17">
        <v>0</v>
      </c>
      <c r="S48" s="19">
        <v>0</v>
      </c>
      <c r="T48" s="17">
        <f t="shared" si="14"/>
        <v>4380</v>
      </c>
      <c r="U48" s="18">
        <v>0.28999999999999998</v>
      </c>
      <c r="V48" s="17">
        <f t="shared" si="11"/>
        <v>5650.2</v>
      </c>
      <c r="W48" s="20">
        <f t="shared" si="12"/>
        <v>0.22480620155038758</v>
      </c>
      <c r="X48" s="17">
        <v>0</v>
      </c>
      <c r="Y48" s="18">
        <v>0.18</v>
      </c>
      <c r="Z48" s="17">
        <v>0</v>
      </c>
      <c r="AA48" s="18">
        <v>0</v>
      </c>
      <c r="AB48" s="18">
        <v>0.1</v>
      </c>
    </row>
    <row r="49" spans="1:28">
      <c r="A49">
        <v>2026</v>
      </c>
      <c r="B49" t="s">
        <v>155</v>
      </c>
      <c r="C49" t="s">
        <v>151</v>
      </c>
      <c r="D49" t="s">
        <v>152</v>
      </c>
      <c r="E49">
        <v>709900</v>
      </c>
      <c r="G49" t="s">
        <v>148</v>
      </c>
      <c r="H49" t="s">
        <v>148</v>
      </c>
      <c r="I49" t="s">
        <v>67</v>
      </c>
      <c r="J49" t="s">
        <v>29</v>
      </c>
      <c r="K49">
        <v>5</v>
      </c>
      <c r="L49">
        <v>114900</v>
      </c>
      <c r="M49" s="17">
        <f t="shared" si="13"/>
        <v>22980</v>
      </c>
      <c r="O49" s="17">
        <f t="shared" si="10"/>
        <v>29874</v>
      </c>
      <c r="P49" s="17">
        <v>0</v>
      </c>
      <c r="Q49" s="18">
        <v>0.25</v>
      </c>
      <c r="R49" s="17">
        <v>0</v>
      </c>
      <c r="S49" s="19">
        <v>0</v>
      </c>
      <c r="T49" s="17">
        <f t="shared" si="14"/>
        <v>22980</v>
      </c>
      <c r="U49" s="18">
        <v>0.34</v>
      </c>
      <c r="V49" s="17">
        <f t="shared" si="11"/>
        <v>30793.200000000001</v>
      </c>
      <c r="W49" s="20">
        <f t="shared" si="12"/>
        <v>0.2537313432835821</v>
      </c>
      <c r="X49" s="17">
        <v>0</v>
      </c>
      <c r="Y49" s="18">
        <v>0.28999999999999998</v>
      </c>
      <c r="Z49" s="17">
        <v>0</v>
      </c>
      <c r="AA49" s="18">
        <v>0</v>
      </c>
      <c r="AB49" s="18">
        <v>0.1</v>
      </c>
    </row>
    <row r="50" spans="1:28">
      <c r="A50">
        <v>2026</v>
      </c>
      <c r="B50" t="s">
        <v>155</v>
      </c>
      <c r="C50" t="s">
        <v>151</v>
      </c>
      <c r="D50" t="s">
        <v>152</v>
      </c>
      <c r="E50">
        <v>709902</v>
      </c>
      <c r="G50" t="s">
        <v>148</v>
      </c>
      <c r="H50" t="s">
        <v>148</v>
      </c>
      <c r="I50" t="s">
        <v>160</v>
      </c>
      <c r="J50" t="s">
        <v>29</v>
      </c>
      <c r="K50">
        <v>5</v>
      </c>
      <c r="L50">
        <v>28000</v>
      </c>
      <c r="M50" s="17">
        <f t="shared" si="13"/>
        <v>5600</v>
      </c>
      <c r="O50" s="17">
        <f t="shared" si="10"/>
        <v>7280</v>
      </c>
      <c r="P50" s="17">
        <v>0</v>
      </c>
      <c r="Q50" s="18">
        <v>0.35</v>
      </c>
      <c r="R50" s="17">
        <v>0</v>
      </c>
      <c r="S50" s="19">
        <v>0</v>
      </c>
      <c r="T50" s="17">
        <f t="shared" si="14"/>
        <v>5600</v>
      </c>
      <c r="U50" s="18">
        <v>0.25</v>
      </c>
      <c r="V50" s="17">
        <f t="shared" si="11"/>
        <v>7000</v>
      </c>
      <c r="W50" s="20">
        <f t="shared" si="12"/>
        <v>0.2</v>
      </c>
      <c r="X50" s="17">
        <v>0</v>
      </c>
      <c r="Y50" s="18">
        <v>0.34</v>
      </c>
      <c r="Z50" s="17">
        <v>0</v>
      </c>
      <c r="AA50" s="18">
        <v>0</v>
      </c>
      <c r="AB50" s="18">
        <v>0.1</v>
      </c>
    </row>
    <row r="51" spans="1:28">
      <c r="A51">
        <v>2026</v>
      </c>
      <c r="B51" t="s">
        <v>155</v>
      </c>
      <c r="C51" t="s">
        <v>151</v>
      </c>
      <c r="D51" t="s">
        <v>152</v>
      </c>
      <c r="E51">
        <v>709903</v>
      </c>
      <c r="G51" t="s">
        <v>148</v>
      </c>
      <c r="H51" t="s">
        <v>148</v>
      </c>
      <c r="I51" t="s">
        <v>161</v>
      </c>
      <c r="J51" t="s">
        <v>29</v>
      </c>
      <c r="K51">
        <v>5</v>
      </c>
      <c r="L51">
        <v>49200</v>
      </c>
      <c r="M51" s="17">
        <f t="shared" si="13"/>
        <v>9840</v>
      </c>
      <c r="O51" s="17">
        <f t="shared" si="10"/>
        <v>12792</v>
      </c>
      <c r="P51" s="17">
        <v>0</v>
      </c>
      <c r="Q51" s="18">
        <v>0.12</v>
      </c>
      <c r="R51" s="17">
        <v>0</v>
      </c>
      <c r="S51" s="19">
        <v>0</v>
      </c>
      <c r="T51" s="17">
        <f t="shared" si="14"/>
        <v>9840</v>
      </c>
      <c r="U51" s="18">
        <v>0.35</v>
      </c>
      <c r="V51" s="17">
        <f t="shared" si="11"/>
        <v>13284</v>
      </c>
      <c r="W51" s="20">
        <f t="shared" si="12"/>
        <v>0.25925925925925924</v>
      </c>
      <c r="X51" s="17">
        <v>0</v>
      </c>
      <c r="Y51" s="18">
        <v>0.25</v>
      </c>
      <c r="Z51" s="17">
        <v>0</v>
      </c>
      <c r="AA51" s="18">
        <v>0</v>
      </c>
      <c r="AB51" s="18">
        <v>0.1</v>
      </c>
    </row>
    <row r="52" spans="1:28">
      <c r="A52">
        <v>2026</v>
      </c>
      <c r="B52" t="s">
        <v>155</v>
      </c>
      <c r="C52" t="s">
        <v>151</v>
      </c>
      <c r="D52" t="s">
        <v>152</v>
      </c>
      <c r="E52">
        <v>709909</v>
      </c>
      <c r="G52" t="s">
        <v>148</v>
      </c>
      <c r="H52" t="s">
        <v>148</v>
      </c>
      <c r="I52" t="s">
        <v>162</v>
      </c>
      <c r="J52" t="s">
        <v>29</v>
      </c>
      <c r="K52">
        <v>5</v>
      </c>
      <c r="L52">
        <v>141600</v>
      </c>
      <c r="M52" s="17">
        <f t="shared" si="13"/>
        <v>28320</v>
      </c>
      <c r="O52" s="17">
        <f t="shared" si="10"/>
        <v>36816</v>
      </c>
      <c r="P52" s="17">
        <v>0</v>
      </c>
      <c r="Q52" s="18">
        <v>0.25</v>
      </c>
      <c r="R52" s="17">
        <v>0</v>
      </c>
      <c r="S52" s="19">
        <v>0</v>
      </c>
      <c r="T52" s="17">
        <f t="shared" si="14"/>
        <v>28320</v>
      </c>
      <c r="U52" s="18">
        <v>0.12</v>
      </c>
      <c r="V52" s="17">
        <f t="shared" si="11"/>
        <v>31718.400000000001</v>
      </c>
      <c r="W52" s="20">
        <f t="shared" si="12"/>
        <v>0.10714285714285718</v>
      </c>
      <c r="X52" s="17">
        <v>0</v>
      </c>
      <c r="Y52" s="18">
        <v>0.35</v>
      </c>
      <c r="Z52" s="17">
        <v>0</v>
      </c>
      <c r="AA52" s="18">
        <v>0</v>
      </c>
      <c r="AB52" s="18">
        <v>0.1</v>
      </c>
    </row>
    <row r="53" spans="1:28">
      <c r="A53">
        <v>2026</v>
      </c>
      <c r="B53" t="s">
        <v>155</v>
      </c>
      <c r="C53" t="s">
        <v>151</v>
      </c>
      <c r="D53" t="s">
        <v>152</v>
      </c>
      <c r="E53">
        <v>709904</v>
      </c>
      <c r="G53" t="s">
        <v>148</v>
      </c>
      <c r="H53" t="s">
        <v>148</v>
      </c>
      <c r="I53" t="s">
        <v>163</v>
      </c>
      <c r="J53" t="s">
        <v>29</v>
      </c>
      <c r="K53">
        <v>5</v>
      </c>
      <c r="L53">
        <v>174700</v>
      </c>
      <c r="M53" s="17">
        <f t="shared" si="13"/>
        <v>34940</v>
      </c>
      <c r="O53" s="17">
        <f t="shared" si="10"/>
        <v>45422</v>
      </c>
      <c r="P53" s="17">
        <v>0</v>
      </c>
      <c r="Q53" s="18">
        <v>0.1</v>
      </c>
      <c r="R53" s="17">
        <v>0</v>
      </c>
      <c r="S53" s="19">
        <v>0</v>
      </c>
      <c r="T53" s="17">
        <f t="shared" si="14"/>
        <v>34940</v>
      </c>
      <c r="U53" s="18">
        <v>0.25</v>
      </c>
      <c r="V53" s="17">
        <f t="shared" si="11"/>
        <v>43675</v>
      </c>
      <c r="W53" s="20">
        <f t="shared" si="12"/>
        <v>0.2</v>
      </c>
      <c r="X53" s="17">
        <v>0</v>
      </c>
      <c r="Y53" s="18">
        <v>0.12</v>
      </c>
      <c r="Z53" s="17">
        <v>0</v>
      </c>
      <c r="AA53" s="18">
        <v>0</v>
      </c>
      <c r="AB53" s="18">
        <v>0.1</v>
      </c>
    </row>
    <row r="54" spans="1:28">
      <c r="A54">
        <v>2026</v>
      </c>
      <c r="B54" t="s">
        <v>155</v>
      </c>
      <c r="C54" t="s">
        <v>151</v>
      </c>
      <c r="D54" t="s">
        <v>152</v>
      </c>
      <c r="E54">
        <v>603421</v>
      </c>
      <c r="G54" t="s">
        <v>148</v>
      </c>
      <c r="H54" t="s">
        <v>148</v>
      </c>
      <c r="I54" t="s">
        <v>164</v>
      </c>
      <c r="J54" t="s">
        <v>29</v>
      </c>
      <c r="K54">
        <v>5</v>
      </c>
      <c r="L54">
        <v>204000</v>
      </c>
      <c r="M54" s="17">
        <f t="shared" si="13"/>
        <v>40800</v>
      </c>
      <c r="O54" s="17">
        <f t="shared" si="10"/>
        <v>53040</v>
      </c>
      <c r="P54" s="17">
        <v>0</v>
      </c>
      <c r="Q54" s="18">
        <v>0.35</v>
      </c>
      <c r="R54" s="17">
        <v>0</v>
      </c>
      <c r="S54" s="19">
        <v>0</v>
      </c>
      <c r="T54" s="17">
        <f t="shared" si="14"/>
        <v>40800</v>
      </c>
      <c r="U54" s="18">
        <v>0.1</v>
      </c>
      <c r="V54" s="17">
        <f t="shared" si="11"/>
        <v>44880</v>
      </c>
      <c r="W54" s="20">
        <f t="shared" si="12"/>
        <v>9.0909090909090912E-2</v>
      </c>
      <c r="X54" s="17">
        <v>0</v>
      </c>
      <c r="Y54" s="18">
        <v>0.22</v>
      </c>
      <c r="Z54" s="17">
        <v>0</v>
      </c>
      <c r="AA54" s="18">
        <v>0</v>
      </c>
      <c r="AB54" s="18">
        <v>0.1</v>
      </c>
    </row>
    <row r="55" spans="1:28">
      <c r="A55">
        <v>2026</v>
      </c>
      <c r="B55" t="s">
        <v>155</v>
      </c>
      <c r="C55" t="s">
        <v>151</v>
      </c>
      <c r="D55" t="s">
        <v>152</v>
      </c>
      <c r="E55">
        <v>603422</v>
      </c>
      <c r="G55" t="s">
        <v>148</v>
      </c>
      <c r="H55" t="s">
        <v>148</v>
      </c>
      <c r="I55" t="s">
        <v>74</v>
      </c>
      <c r="J55" t="s">
        <v>29</v>
      </c>
      <c r="K55">
        <v>5</v>
      </c>
      <c r="L55">
        <v>49000</v>
      </c>
      <c r="M55" s="17">
        <f t="shared" si="13"/>
        <v>9800</v>
      </c>
      <c r="O55" s="17">
        <f t="shared" si="10"/>
        <v>12740</v>
      </c>
      <c r="P55" s="17">
        <v>0</v>
      </c>
      <c r="Q55" s="18">
        <v>0.33</v>
      </c>
      <c r="R55" s="17">
        <v>0</v>
      </c>
      <c r="S55" s="19">
        <v>0</v>
      </c>
      <c r="T55" s="17">
        <f t="shared" si="14"/>
        <v>9800</v>
      </c>
      <c r="U55" s="18">
        <v>0.12</v>
      </c>
      <c r="V55" s="17">
        <f t="shared" si="11"/>
        <v>10976</v>
      </c>
      <c r="W55" s="20">
        <f t="shared" si="12"/>
        <v>0.10714285714285714</v>
      </c>
      <c r="X55" s="17">
        <v>0</v>
      </c>
      <c r="Y55" s="18">
        <v>0.12</v>
      </c>
      <c r="Z55" s="17">
        <v>0</v>
      </c>
      <c r="AA55" s="18">
        <v>0</v>
      </c>
      <c r="AB55" s="18">
        <v>0.1</v>
      </c>
    </row>
    <row r="56" spans="1:28">
      <c r="A56">
        <v>2026</v>
      </c>
      <c r="B56" t="s">
        <v>155</v>
      </c>
      <c r="C56" t="s">
        <v>151</v>
      </c>
      <c r="D56" t="s">
        <v>152</v>
      </c>
      <c r="E56">
        <v>603423</v>
      </c>
      <c r="G56" t="s">
        <v>148</v>
      </c>
      <c r="H56" t="s">
        <v>148</v>
      </c>
      <c r="I56" t="s">
        <v>165</v>
      </c>
      <c r="J56" t="s">
        <v>22</v>
      </c>
      <c r="K56">
        <v>10</v>
      </c>
      <c r="L56">
        <v>224100</v>
      </c>
      <c r="M56" s="17">
        <f t="shared" si="13"/>
        <v>22410</v>
      </c>
      <c r="O56" s="17">
        <f t="shared" si="10"/>
        <v>29133</v>
      </c>
      <c r="P56" s="17">
        <v>0</v>
      </c>
      <c r="Q56" s="18">
        <v>0.31</v>
      </c>
      <c r="R56" s="17">
        <v>0</v>
      </c>
      <c r="S56" s="19">
        <v>0</v>
      </c>
      <c r="T56" s="17">
        <f t="shared" si="14"/>
        <v>22410</v>
      </c>
      <c r="U56" s="18">
        <v>0.15</v>
      </c>
      <c r="V56" s="17">
        <f t="shared" si="11"/>
        <v>25771.5</v>
      </c>
      <c r="W56" s="20">
        <f t="shared" si="12"/>
        <v>0.13043478260869565</v>
      </c>
      <c r="X56" s="17">
        <v>0</v>
      </c>
      <c r="Y56" s="18">
        <v>0.15</v>
      </c>
      <c r="Z56" s="17">
        <v>0</v>
      </c>
      <c r="AA56" s="18">
        <v>0</v>
      </c>
      <c r="AB56" s="18">
        <v>0.1</v>
      </c>
    </row>
    <row r="57" spans="1:28">
      <c r="A57">
        <v>2026</v>
      </c>
      <c r="B57" t="s">
        <v>155</v>
      </c>
      <c r="C57" t="s">
        <v>151</v>
      </c>
      <c r="D57" t="s">
        <v>152</v>
      </c>
      <c r="E57">
        <v>603420</v>
      </c>
      <c r="G57" t="s">
        <v>148</v>
      </c>
      <c r="H57" t="s">
        <v>148</v>
      </c>
      <c r="I57" t="s">
        <v>81</v>
      </c>
      <c r="J57" t="s">
        <v>22</v>
      </c>
      <c r="K57">
        <v>10</v>
      </c>
      <c r="L57">
        <v>38000</v>
      </c>
      <c r="M57" s="17">
        <f t="shared" si="13"/>
        <v>3800</v>
      </c>
      <c r="O57" s="17">
        <f t="shared" si="10"/>
        <v>4940</v>
      </c>
      <c r="P57" s="17">
        <v>0</v>
      </c>
      <c r="Q57" s="18">
        <v>0.3</v>
      </c>
      <c r="R57" s="17">
        <v>0</v>
      </c>
      <c r="S57" s="19">
        <v>0</v>
      </c>
      <c r="T57" s="17">
        <f t="shared" si="14"/>
        <v>3800</v>
      </c>
      <c r="U57" s="18">
        <v>0.18</v>
      </c>
      <c r="V57" s="17">
        <f t="shared" si="11"/>
        <v>4484</v>
      </c>
      <c r="W57" s="20">
        <f t="shared" si="12"/>
        <v>0.15254237288135594</v>
      </c>
      <c r="X57" s="17">
        <v>0</v>
      </c>
      <c r="Y57" s="18">
        <v>0.18</v>
      </c>
      <c r="Z57" s="17">
        <v>0</v>
      </c>
      <c r="AA57" s="18">
        <v>0</v>
      </c>
      <c r="AB57" s="18">
        <v>0.1</v>
      </c>
    </row>
    <row r="58" spans="1:28">
      <c r="A58">
        <v>2026</v>
      </c>
      <c r="B58" t="s">
        <v>155</v>
      </c>
      <c r="C58" t="s">
        <v>151</v>
      </c>
      <c r="D58" t="s">
        <v>152</v>
      </c>
      <c r="E58">
        <v>603424</v>
      </c>
      <c r="G58" t="s">
        <v>148</v>
      </c>
      <c r="H58" t="s">
        <v>148</v>
      </c>
      <c r="I58" t="s">
        <v>83</v>
      </c>
      <c r="J58" t="s">
        <v>22</v>
      </c>
      <c r="K58">
        <v>10</v>
      </c>
      <c r="L58">
        <v>39800</v>
      </c>
      <c r="M58" s="17">
        <f t="shared" si="13"/>
        <v>3980</v>
      </c>
      <c r="O58" s="17">
        <f t="shared" si="10"/>
        <v>5174</v>
      </c>
      <c r="P58" s="17">
        <v>0</v>
      </c>
      <c r="Q58" s="18">
        <v>0.28000000000000003</v>
      </c>
      <c r="R58" s="17">
        <v>0</v>
      </c>
      <c r="S58" s="19">
        <v>0</v>
      </c>
      <c r="T58" s="17">
        <f t="shared" si="14"/>
        <v>3980</v>
      </c>
      <c r="U58" s="18">
        <v>0.28999999999999998</v>
      </c>
      <c r="V58" s="17">
        <f t="shared" si="11"/>
        <v>5134.2</v>
      </c>
      <c r="W58" s="20">
        <f t="shared" si="12"/>
        <v>0.22480620155038758</v>
      </c>
      <c r="X58" s="17">
        <v>0</v>
      </c>
      <c r="Y58" s="18">
        <v>0.28999999999999998</v>
      </c>
      <c r="Z58" s="17">
        <v>0</v>
      </c>
      <c r="AA58" s="18">
        <v>0</v>
      </c>
      <c r="AB58" s="18">
        <v>0.1</v>
      </c>
    </row>
    <row r="59" spans="1:28">
      <c r="A59">
        <v>2026</v>
      </c>
      <c r="B59" t="s">
        <v>155</v>
      </c>
      <c r="C59" t="s">
        <v>151</v>
      </c>
      <c r="D59" t="s">
        <v>152</v>
      </c>
      <c r="E59">
        <v>583300</v>
      </c>
      <c r="G59" t="s">
        <v>148</v>
      </c>
      <c r="H59" t="s">
        <v>148</v>
      </c>
      <c r="I59" t="s">
        <v>97</v>
      </c>
      <c r="J59" t="s">
        <v>12</v>
      </c>
      <c r="K59">
        <v>1</v>
      </c>
      <c r="L59">
        <v>43500</v>
      </c>
      <c r="M59" s="17">
        <f t="shared" si="13"/>
        <v>43500</v>
      </c>
      <c r="O59" s="17">
        <f t="shared" si="10"/>
        <v>56550</v>
      </c>
      <c r="P59" s="17">
        <v>0</v>
      </c>
      <c r="Q59" s="18">
        <v>0.27</v>
      </c>
      <c r="R59" s="17">
        <v>0</v>
      </c>
      <c r="S59" s="19">
        <v>0</v>
      </c>
      <c r="T59" s="17">
        <f t="shared" si="14"/>
        <v>43500</v>
      </c>
      <c r="U59" s="18">
        <v>0.34</v>
      </c>
      <c r="V59" s="17">
        <f t="shared" si="11"/>
        <v>58290</v>
      </c>
      <c r="W59" s="20">
        <f t="shared" si="12"/>
        <v>0.2537313432835821</v>
      </c>
      <c r="X59" s="17">
        <v>0</v>
      </c>
      <c r="Y59" s="18">
        <v>0.34</v>
      </c>
      <c r="Z59" s="17">
        <v>0</v>
      </c>
      <c r="AA59" s="18">
        <v>0</v>
      </c>
      <c r="AB59" s="18">
        <v>0.1</v>
      </c>
    </row>
    <row r="60" spans="1:28">
      <c r="A60">
        <v>2026</v>
      </c>
      <c r="B60" t="s">
        <v>155</v>
      </c>
      <c r="C60" t="s">
        <v>151</v>
      </c>
      <c r="D60" t="s">
        <v>152</v>
      </c>
      <c r="E60">
        <v>583400</v>
      </c>
      <c r="G60" t="s">
        <v>148</v>
      </c>
      <c r="H60" t="s">
        <v>148</v>
      </c>
      <c r="I60" t="s">
        <v>105</v>
      </c>
      <c r="J60" t="s">
        <v>166</v>
      </c>
      <c r="K60">
        <v>2</v>
      </c>
      <c r="L60">
        <v>67900</v>
      </c>
      <c r="M60" s="17">
        <f>(L60/10)*2</f>
        <v>13580</v>
      </c>
      <c r="O60" s="17">
        <f t="shared" si="10"/>
        <v>17654</v>
      </c>
      <c r="P60" s="17">
        <v>0</v>
      </c>
      <c r="Q60" s="18">
        <v>0.17</v>
      </c>
      <c r="R60" s="17">
        <v>0</v>
      </c>
      <c r="S60" s="19">
        <v>0</v>
      </c>
      <c r="T60" s="17">
        <f t="shared" si="14"/>
        <v>13580</v>
      </c>
      <c r="U60" s="18">
        <v>0.25</v>
      </c>
      <c r="V60" s="17">
        <f t="shared" si="11"/>
        <v>16975</v>
      </c>
      <c r="W60" s="20">
        <f t="shared" si="12"/>
        <v>0.2</v>
      </c>
      <c r="X60" s="17">
        <v>0</v>
      </c>
      <c r="Y60" s="18">
        <v>0.25</v>
      </c>
      <c r="Z60" s="17">
        <v>0</v>
      </c>
      <c r="AA60" s="18">
        <v>0</v>
      </c>
      <c r="AB60" s="18">
        <v>0.1</v>
      </c>
    </row>
    <row r="61" spans="1:28">
      <c r="A61">
        <v>2026</v>
      </c>
      <c r="B61" t="s">
        <v>155</v>
      </c>
      <c r="C61" t="s">
        <v>151</v>
      </c>
      <c r="D61" t="s">
        <v>152</v>
      </c>
      <c r="E61">
        <v>583500</v>
      </c>
      <c r="G61" t="s">
        <v>148</v>
      </c>
      <c r="H61" t="s">
        <v>148</v>
      </c>
      <c r="I61" t="s">
        <v>107</v>
      </c>
      <c r="J61" t="s">
        <v>166</v>
      </c>
      <c r="K61">
        <v>2</v>
      </c>
      <c r="L61">
        <v>50300</v>
      </c>
      <c r="M61" s="17">
        <f>(L61/10)*2</f>
        <v>10060</v>
      </c>
      <c r="O61" s="17">
        <f t="shared" si="10"/>
        <v>13078</v>
      </c>
      <c r="P61" s="17">
        <v>0</v>
      </c>
      <c r="Q61" s="18">
        <v>0.22</v>
      </c>
      <c r="R61" s="17">
        <v>0</v>
      </c>
      <c r="S61" s="19">
        <v>0</v>
      </c>
      <c r="T61" s="17">
        <f t="shared" si="14"/>
        <v>10060</v>
      </c>
      <c r="U61" s="18">
        <v>0.35</v>
      </c>
      <c r="V61" s="17">
        <f t="shared" si="11"/>
        <v>13581</v>
      </c>
      <c r="W61" s="20">
        <f t="shared" si="12"/>
        <v>0.25925925925925924</v>
      </c>
      <c r="X61" s="17">
        <v>0</v>
      </c>
      <c r="Y61" s="18">
        <v>0.35</v>
      </c>
      <c r="Z61" s="17">
        <v>0</v>
      </c>
      <c r="AA61" s="18">
        <v>0</v>
      </c>
      <c r="AB61" s="18">
        <v>0.1</v>
      </c>
    </row>
    <row r="62" spans="1:28">
      <c r="A62">
        <v>2026</v>
      </c>
      <c r="B62" t="s">
        <v>145</v>
      </c>
      <c r="C62" t="s">
        <v>151</v>
      </c>
      <c r="D62" t="s">
        <v>152</v>
      </c>
      <c r="E62">
        <v>360001</v>
      </c>
      <c r="G62" t="s">
        <v>148</v>
      </c>
      <c r="H62" t="s">
        <v>148</v>
      </c>
      <c r="I62" t="s">
        <v>11</v>
      </c>
      <c r="J62" t="s">
        <v>12</v>
      </c>
      <c r="K62">
        <v>40</v>
      </c>
      <c r="L62">
        <v>893800</v>
      </c>
      <c r="M62" s="17">
        <f>L62/K62</f>
        <v>22345</v>
      </c>
      <c r="O62" s="17">
        <f t="shared" ref="O62:O81" si="15">M62+(M62*30%)</f>
        <v>29048.5</v>
      </c>
      <c r="P62" s="17">
        <v>0</v>
      </c>
      <c r="Q62" s="18">
        <v>0.17</v>
      </c>
      <c r="R62" s="17">
        <v>0</v>
      </c>
      <c r="S62" s="19">
        <v>0</v>
      </c>
      <c r="T62" s="17">
        <f>IF(C62="Mediana Complejidad",M62,0)</f>
        <v>22345</v>
      </c>
      <c r="U62" s="18">
        <v>0.27</v>
      </c>
      <c r="V62" s="17">
        <f t="shared" ref="V62:V81" si="16">T62+(T62*U62)</f>
        <v>28378.15</v>
      </c>
      <c r="W62" s="20">
        <f t="shared" ref="W62:W81" si="17">IFERROR(((V62-T62)/V62),0)</f>
        <v>0.21259842519685043</v>
      </c>
      <c r="X62" s="17">
        <v>0</v>
      </c>
      <c r="Y62" s="18">
        <v>0.28000000000000003</v>
      </c>
      <c r="Z62" s="17">
        <v>0</v>
      </c>
      <c r="AA62" s="18">
        <v>0</v>
      </c>
      <c r="AB62" s="18">
        <v>0.1</v>
      </c>
    </row>
    <row r="63" spans="1:28">
      <c r="A63">
        <v>2026</v>
      </c>
      <c r="B63" t="s">
        <v>145</v>
      </c>
      <c r="C63" t="s">
        <v>151</v>
      </c>
      <c r="D63" t="s">
        <v>152</v>
      </c>
      <c r="E63">
        <v>360102</v>
      </c>
      <c r="G63" t="s">
        <v>148</v>
      </c>
      <c r="H63" t="s">
        <v>148</v>
      </c>
      <c r="I63" t="s">
        <v>18</v>
      </c>
      <c r="J63" t="s">
        <v>12</v>
      </c>
      <c r="K63">
        <v>250</v>
      </c>
      <c r="L63">
        <v>80300</v>
      </c>
      <c r="M63" s="17">
        <f t="shared" ref="M63:M79" si="18">L63/K63</f>
        <v>321.2</v>
      </c>
      <c r="O63" s="17">
        <f t="shared" si="15"/>
        <v>417.56</v>
      </c>
      <c r="P63" s="17">
        <v>0</v>
      </c>
      <c r="Q63" s="18">
        <v>0.22</v>
      </c>
      <c r="R63" s="17">
        <v>0</v>
      </c>
      <c r="S63" s="19">
        <v>0</v>
      </c>
      <c r="T63" s="17">
        <f t="shared" ref="T63:T81" si="19">IF(C63="Mediana Complejidad",M63,0)</f>
        <v>321.2</v>
      </c>
      <c r="U63" s="18">
        <v>0.17</v>
      </c>
      <c r="V63" s="17">
        <f t="shared" si="16"/>
        <v>375.80399999999997</v>
      </c>
      <c r="W63" s="20">
        <f t="shared" si="17"/>
        <v>0.14529914529914528</v>
      </c>
      <c r="X63" s="17">
        <v>0</v>
      </c>
      <c r="Y63" s="18">
        <v>0.27</v>
      </c>
      <c r="Z63" s="17">
        <v>0</v>
      </c>
      <c r="AA63" s="18">
        <v>0</v>
      </c>
      <c r="AB63" s="18">
        <v>0.1</v>
      </c>
    </row>
    <row r="64" spans="1:28">
      <c r="A64">
        <v>2026</v>
      </c>
      <c r="B64" t="s">
        <v>145</v>
      </c>
      <c r="C64" t="s">
        <v>151</v>
      </c>
      <c r="D64" t="s">
        <v>152</v>
      </c>
      <c r="E64">
        <v>360104</v>
      </c>
      <c r="G64" t="s">
        <v>148</v>
      </c>
      <c r="H64" t="s">
        <v>148</v>
      </c>
      <c r="I64" t="s">
        <v>26</v>
      </c>
      <c r="J64" t="s">
        <v>22</v>
      </c>
      <c r="K64">
        <v>10</v>
      </c>
      <c r="L64">
        <v>28800</v>
      </c>
      <c r="M64" s="17">
        <f t="shared" si="18"/>
        <v>2880</v>
      </c>
      <c r="O64" s="17">
        <f t="shared" si="15"/>
        <v>3744</v>
      </c>
      <c r="P64" s="17">
        <v>0</v>
      </c>
      <c r="Q64" s="18">
        <v>0.12</v>
      </c>
      <c r="R64" s="17">
        <v>0</v>
      </c>
      <c r="S64" s="19">
        <v>0</v>
      </c>
      <c r="T64" s="17">
        <f t="shared" si="19"/>
        <v>2880</v>
      </c>
      <c r="U64" s="18">
        <v>0.22</v>
      </c>
      <c r="V64" s="17">
        <f t="shared" si="16"/>
        <v>3513.6</v>
      </c>
      <c r="W64" s="20">
        <f t="shared" si="17"/>
        <v>0.18032786885245899</v>
      </c>
      <c r="X64" s="17">
        <v>0</v>
      </c>
      <c r="Y64" s="18">
        <v>0.17</v>
      </c>
      <c r="Z64" s="17">
        <v>0</v>
      </c>
      <c r="AA64" s="18">
        <v>0</v>
      </c>
      <c r="AB64" s="18">
        <v>0.1</v>
      </c>
    </row>
    <row r="65" spans="1:28">
      <c r="A65">
        <v>2026</v>
      </c>
      <c r="B65" t="s">
        <v>145</v>
      </c>
      <c r="C65" t="s">
        <v>151</v>
      </c>
      <c r="D65" t="s">
        <v>152</v>
      </c>
      <c r="E65">
        <v>360100</v>
      </c>
      <c r="G65" t="s">
        <v>148</v>
      </c>
      <c r="H65" t="s">
        <v>148</v>
      </c>
      <c r="I65" t="s">
        <v>35</v>
      </c>
      <c r="J65" t="s">
        <v>22</v>
      </c>
      <c r="K65">
        <v>10</v>
      </c>
      <c r="L65">
        <v>36700</v>
      </c>
      <c r="M65" s="17">
        <f t="shared" si="18"/>
        <v>3670</v>
      </c>
      <c r="O65" s="17">
        <f t="shared" si="15"/>
        <v>4771</v>
      </c>
      <c r="P65" s="17">
        <v>0</v>
      </c>
      <c r="Q65" s="18">
        <v>0.15</v>
      </c>
      <c r="R65" s="17">
        <v>0</v>
      </c>
      <c r="S65" s="19">
        <v>0</v>
      </c>
      <c r="T65" s="17">
        <f t="shared" si="19"/>
        <v>3670</v>
      </c>
      <c r="U65" s="18">
        <v>0.12</v>
      </c>
      <c r="V65" s="17">
        <f t="shared" si="16"/>
        <v>4110.3999999999996</v>
      </c>
      <c r="W65" s="20">
        <f t="shared" si="17"/>
        <v>0.10714285714285707</v>
      </c>
      <c r="X65" s="17">
        <v>0</v>
      </c>
      <c r="Y65" s="18">
        <v>0.22</v>
      </c>
      <c r="Z65" s="17">
        <v>0</v>
      </c>
      <c r="AA65" s="18">
        <v>0</v>
      </c>
      <c r="AB65" s="18">
        <v>0.1</v>
      </c>
    </row>
    <row r="66" spans="1:28">
      <c r="A66">
        <v>2026</v>
      </c>
      <c r="B66" t="s">
        <v>145</v>
      </c>
      <c r="C66" t="s">
        <v>151</v>
      </c>
      <c r="D66" t="s">
        <v>152</v>
      </c>
      <c r="E66">
        <v>360150</v>
      </c>
      <c r="G66" t="s">
        <v>148</v>
      </c>
      <c r="H66" t="s">
        <v>148</v>
      </c>
      <c r="I66" t="s">
        <v>159</v>
      </c>
      <c r="J66" t="s">
        <v>29</v>
      </c>
      <c r="K66">
        <v>5</v>
      </c>
      <c r="L66">
        <v>28000</v>
      </c>
      <c r="M66" s="17">
        <f t="shared" si="18"/>
        <v>5600</v>
      </c>
      <c r="O66" s="17">
        <f t="shared" si="15"/>
        <v>7280</v>
      </c>
      <c r="P66" s="17">
        <v>0</v>
      </c>
      <c r="Q66" s="18">
        <v>0.18</v>
      </c>
      <c r="R66" s="17">
        <v>0</v>
      </c>
      <c r="S66" s="19">
        <v>0</v>
      </c>
      <c r="T66" s="17">
        <f t="shared" si="19"/>
        <v>5600</v>
      </c>
      <c r="U66" s="18">
        <v>0.15</v>
      </c>
      <c r="V66" s="17">
        <f t="shared" si="16"/>
        <v>6440</v>
      </c>
      <c r="W66" s="20">
        <f t="shared" si="17"/>
        <v>0.13043478260869565</v>
      </c>
      <c r="X66" s="17">
        <v>0</v>
      </c>
      <c r="Y66" s="18">
        <v>0.12</v>
      </c>
      <c r="Z66" s="17">
        <v>0</v>
      </c>
      <c r="AA66" s="18">
        <v>0</v>
      </c>
      <c r="AB66" s="18">
        <v>0.1</v>
      </c>
    </row>
    <row r="67" spans="1:28">
      <c r="A67">
        <v>2026</v>
      </c>
      <c r="B67" t="s">
        <v>145</v>
      </c>
      <c r="C67" t="s">
        <v>151</v>
      </c>
      <c r="D67" t="s">
        <v>152</v>
      </c>
      <c r="E67">
        <v>360101</v>
      </c>
      <c r="G67" t="s">
        <v>148</v>
      </c>
      <c r="H67" t="s">
        <v>148</v>
      </c>
      <c r="I67" t="s">
        <v>50</v>
      </c>
      <c r="J67" t="s">
        <v>29</v>
      </c>
      <c r="K67">
        <v>5</v>
      </c>
      <c r="L67">
        <v>36700</v>
      </c>
      <c r="M67" s="17">
        <f t="shared" si="18"/>
        <v>7340</v>
      </c>
      <c r="O67" s="17">
        <f t="shared" si="15"/>
        <v>9542</v>
      </c>
      <c r="P67" s="17">
        <v>0</v>
      </c>
      <c r="Q67" s="18">
        <v>0.28999999999999998</v>
      </c>
      <c r="R67" s="17">
        <v>0</v>
      </c>
      <c r="S67" s="19">
        <v>0</v>
      </c>
      <c r="T67" s="17">
        <f t="shared" si="19"/>
        <v>7340</v>
      </c>
      <c r="U67" s="18">
        <v>0.18</v>
      </c>
      <c r="V67" s="17">
        <f t="shared" si="16"/>
        <v>8661.2000000000007</v>
      </c>
      <c r="W67" s="20">
        <f t="shared" si="17"/>
        <v>0.152542372881356</v>
      </c>
      <c r="X67" s="17">
        <v>0</v>
      </c>
      <c r="Y67" s="18">
        <v>0.15</v>
      </c>
      <c r="Z67" s="17">
        <v>0</v>
      </c>
      <c r="AA67" s="18">
        <v>0</v>
      </c>
      <c r="AB67" s="18">
        <v>0.1</v>
      </c>
    </row>
    <row r="68" spans="1:28">
      <c r="A68">
        <v>2026</v>
      </c>
      <c r="B68" t="s">
        <v>145</v>
      </c>
      <c r="C68" t="s">
        <v>151</v>
      </c>
      <c r="D68" t="s">
        <v>152</v>
      </c>
      <c r="E68">
        <v>360103</v>
      </c>
      <c r="G68" t="s">
        <v>148</v>
      </c>
      <c r="H68" t="s">
        <v>148</v>
      </c>
      <c r="I68" t="s">
        <v>59</v>
      </c>
      <c r="J68" t="s">
        <v>29</v>
      </c>
      <c r="K68">
        <v>5</v>
      </c>
      <c r="L68">
        <v>21900</v>
      </c>
      <c r="M68" s="17">
        <f t="shared" si="18"/>
        <v>4380</v>
      </c>
      <c r="O68" s="17">
        <f t="shared" si="15"/>
        <v>5694</v>
      </c>
      <c r="P68" s="17">
        <v>0</v>
      </c>
      <c r="Q68" s="18">
        <v>0.34</v>
      </c>
      <c r="R68" s="17">
        <v>0</v>
      </c>
      <c r="S68" s="19">
        <v>0</v>
      </c>
      <c r="T68" s="17">
        <f t="shared" si="19"/>
        <v>4380</v>
      </c>
      <c r="U68" s="18">
        <v>0.28999999999999998</v>
      </c>
      <c r="V68" s="17">
        <f t="shared" si="16"/>
        <v>5650.2</v>
      </c>
      <c r="W68" s="20">
        <f t="shared" si="17"/>
        <v>0.22480620155038758</v>
      </c>
      <c r="X68" s="17">
        <v>0</v>
      </c>
      <c r="Y68" s="18">
        <v>0.18</v>
      </c>
      <c r="Z68" s="17">
        <v>0</v>
      </c>
      <c r="AA68" s="18">
        <v>0</v>
      </c>
      <c r="AB68" s="18">
        <v>0.1</v>
      </c>
    </row>
    <row r="69" spans="1:28">
      <c r="A69">
        <v>2026</v>
      </c>
      <c r="B69" t="s">
        <v>145</v>
      </c>
      <c r="C69" t="s">
        <v>151</v>
      </c>
      <c r="D69" t="s">
        <v>152</v>
      </c>
      <c r="E69">
        <v>709900</v>
      </c>
      <c r="G69" t="s">
        <v>148</v>
      </c>
      <c r="H69" t="s">
        <v>148</v>
      </c>
      <c r="I69" t="s">
        <v>67</v>
      </c>
      <c r="J69" t="s">
        <v>29</v>
      </c>
      <c r="K69">
        <v>5</v>
      </c>
      <c r="L69">
        <v>114900</v>
      </c>
      <c r="M69" s="17">
        <f t="shared" si="18"/>
        <v>22980</v>
      </c>
      <c r="O69" s="17">
        <f t="shared" si="15"/>
        <v>29874</v>
      </c>
      <c r="P69" s="17">
        <v>0</v>
      </c>
      <c r="Q69" s="18">
        <v>0.25</v>
      </c>
      <c r="R69" s="17">
        <v>0</v>
      </c>
      <c r="S69" s="19">
        <v>0</v>
      </c>
      <c r="T69" s="17">
        <f t="shared" si="19"/>
        <v>22980</v>
      </c>
      <c r="U69" s="18">
        <v>0.34</v>
      </c>
      <c r="V69" s="17">
        <f t="shared" si="16"/>
        <v>30793.200000000001</v>
      </c>
      <c r="W69" s="20">
        <f t="shared" si="17"/>
        <v>0.2537313432835821</v>
      </c>
      <c r="X69" s="17">
        <v>0</v>
      </c>
      <c r="Y69" s="18">
        <v>0.28999999999999998</v>
      </c>
      <c r="Z69" s="17">
        <v>0</v>
      </c>
      <c r="AA69" s="18">
        <v>0</v>
      </c>
      <c r="AB69" s="18">
        <v>0.1</v>
      </c>
    </row>
    <row r="70" spans="1:28">
      <c r="A70">
        <v>2026</v>
      </c>
      <c r="B70" t="s">
        <v>145</v>
      </c>
      <c r="C70" t="s">
        <v>151</v>
      </c>
      <c r="D70" t="s">
        <v>152</v>
      </c>
      <c r="E70">
        <v>709902</v>
      </c>
      <c r="G70" t="s">
        <v>148</v>
      </c>
      <c r="H70" t="s">
        <v>148</v>
      </c>
      <c r="I70" t="s">
        <v>160</v>
      </c>
      <c r="J70" t="s">
        <v>29</v>
      </c>
      <c r="K70">
        <v>5</v>
      </c>
      <c r="L70">
        <v>28000</v>
      </c>
      <c r="M70" s="17">
        <f t="shared" si="18"/>
        <v>5600</v>
      </c>
      <c r="O70" s="17">
        <f t="shared" si="15"/>
        <v>7280</v>
      </c>
      <c r="P70" s="17">
        <v>0</v>
      </c>
      <c r="Q70" s="18">
        <v>0.35</v>
      </c>
      <c r="R70" s="17">
        <v>0</v>
      </c>
      <c r="S70" s="19">
        <v>0</v>
      </c>
      <c r="T70" s="17">
        <f t="shared" si="19"/>
        <v>5600</v>
      </c>
      <c r="U70" s="18">
        <v>0.25</v>
      </c>
      <c r="V70" s="17">
        <f t="shared" si="16"/>
        <v>7000</v>
      </c>
      <c r="W70" s="20">
        <f t="shared" si="17"/>
        <v>0.2</v>
      </c>
      <c r="X70" s="17">
        <v>0</v>
      </c>
      <c r="Y70" s="18">
        <v>0.34</v>
      </c>
      <c r="Z70" s="17">
        <v>0</v>
      </c>
      <c r="AA70" s="18">
        <v>0</v>
      </c>
      <c r="AB70" s="18">
        <v>0.1</v>
      </c>
    </row>
    <row r="71" spans="1:28">
      <c r="A71">
        <v>2026</v>
      </c>
      <c r="B71" t="s">
        <v>145</v>
      </c>
      <c r="C71" t="s">
        <v>151</v>
      </c>
      <c r="D71" t="s">
        <v>152</v>
      </c>
      <c r="E71">
        <v>709903</v>
      </c>
      <c r="G71" t="s">
        <v>148</v>
      </c>
      <c r="H71" t="s">
        <v>148</v>
      </c>
      <c r="I71" t="s">
        <v>161</v>
      </c>
      <c r="J71" t="s">
        <v>29</v>
      </c>
      <c r="K71">
        <v>5</v>
      </c>
      <c r="L71">
        <v>49200</v>
      </c>
      <c r="M71" s="17">
        <f t="shared" si="18"/>
        <v>9840</v>
      </c>
      <c r="O71" s="17">
        <f t="shared" si="15"/>
        <v>12792</v>
      </c>
      <c r="P71" s="17">
        <v>0</v>
      </c>
      <c r="Q71" s="18">
        <v>0.12</v>
      </c>
      <c r="R71" s="17">
        <v>0</v>
      </c>
      <c r="S71" s="19">
        <v>0</v>
      </c>
      <c r="T71" s="17">
        <f t="shared" si="19"/>
        <v>9840</v>
      </c>
      <c r="U71" s="18">
        <v>0.35</v>
      </c>
      <c r="V71" s="17">
        <f t="shared" si="16"/>
        <v>13284</v>
      </c>
      <c r="W71" s="20">
        <f t="shared" si="17"/>
        <v>0.25925925925925924</v>
      </c>
      <c r="X71" s="17">
        <v>0</v>
      </c>
      <c r="Y71" s="18">
        <v>0.25</v>
      </c>
      <c r="Z71" s="17">
        <v>0</v>
      </c>
      <c r="AA71" s="18">
        <v>0</v>
      </c>
      <c r="AB71" s="18">
        <v>0.1</v>
      </c>
    </row>
    <row r="72" spans="1:28">
      <c r="A72">
        <v>2026</v>
      </c>
      <c r="B72" t="s">
        <v>145</v>
      </c>
      <c r="C72" t="s">
        <v>151</v>
      </c>
      <c r="D72" t="s">
        <v>152</v>
      </c>
      <c r="E72">
        <v>709909</v>
      </c>
      <c r="G72" t="s">
        <v>148</v>
      </c>
      <c r="H72" t="s">
        <v>148</v>
      </c>
      <c r="I72" t="s">
        <v>162</v>
      </c>
      <c r="J72" t="s">
        <v>29</v>
      </c>
      <c r="K72">
        <v>5</v>
      </c>
      <c r="L72">
        <v>141600</v>
      </c>
      <c r="M72" s="17">
        <f t="shared" si="18"/>
        <v>28320</v>
      </c>
      <c r="O72" s="17">
        <f t="shared" si="15"/>
        <v>36816</v>
      </c>
      <c r="P72" s="17">
        <v>0</v>
      </c>
      <c r="Q72" s="18">
        <v>0.25</v>
      </c>
      <c r="R72" s="17">
        <v>0</v>
      </c>
      <c r="S72" s="19">
        <v>0</v>
      </c>
      <c r="T72" s="17">
        <f t="shared" si="19"/>
        <v>28320</v>
      </c>
      <c r="U72" s="18">
        <v>0.12</v>
      </c>
      <c r="V72" s="17">
        <f t="shared" si="16"/>
        <v>31718.400000000001</v>
      </c>
      <c r="W72" s="20">
        <f t="shared" si="17"/>
        <v>0.10714285714285718</v>
      </c>
      <c r="X72" s="17">
        <v>0</v>
      </c>
      <c r="Y72" s="18">
        <v>0.35</v>
      </c>
      <c r="Z72" s="17">
        <v>0</v>
      </c>
      <c r="AA72" s="18">
        <v>0</v>
      </c>
      <c r="AB72" s="18">
        <v>0.1</v>
      </c>
    </row>
    <row r="73" spans="1:28">
      <c r="A73">
        <v>2026</v>
      </c>
      <c r="B73" t="s">
        <v>145</v>
      </c>
      <c r="C73" t="s">
        <v>151</v>
      </c>
      <c r="D73" t="s">
        <v>152</v>
      </c>
      <c r="E73">
        <v>709904</v>
      </c>
      <c r="G73" t="s">
        <v>148</v>
      </c>
      <c r="H73" t="s">
        <v>148</v>
      </c>
      <c r="I73" t="s">
        <v>163</v>
      </c>
      <c r="J73" t="s">
        <v>29</v>
      </c>
      <c r="K73">
        <v>5</v>
      </c>
      <c r="L73">
        <v>174700</v>
      </c>
      <c r="M73" s="17">
        <f t="shared" si="18"/>
        <v>34940</v>
      </c>
      <c r="O73" s="17">
        <f t="shared" si="15"/>
        <v>45422</v>
      </c>
      <c r="P73" s="17">
        <v>0</v>
      </c>
      <c r="Q73" s="18">
        <v>0.1</v>
      </c>
      <c r="R73" s="17">
        <v>0</v>
      </c>
      <c r="S73" s="19">
        <v>0</v>
      </c>
      <c r="T73" s="17">
        <f t="shared" si="19"/>
        <v>34940</v>
      </c>
      <c r="U73" s="18">
        <v>0.25</v>
      </c>
      <c r="V73" s="17">
        <f t="shared" si="16"/>
        <v>43675</v>
      </c>
      <c r="W73" s="20">
        <f t="shared" si="17"/>
        <v>0.2</v>
      </c>
      <c r="X73" s="17">
        <v>0</v>
      </c>
      <c r="Y73" s="18">
        <v>0.12</v>
      </c>
      <c r="Z73" s="17">
        <v>0</v>
      </c>
      <c r="AA73" s="18">
        <v>0</v>
      </c>
      <c r="AB73" s="18">
        <v>0.1</v>
      </c>
    </row>
    <row r="74" spans="1:28">
      <c r="A74">
        <v>2026</v>
      </c>
      <c r="B74" t="s">
        <v>145</v>
      </c>
      <c r="C74" t="s">
        <v>151</v>
      </c>
      <c r="D74" t="s">
        <v>152</v>
      </c>
      <c r="E74">
        <v>603421</v>
      </c>
      <c r="G74" t="s">
        <v>148</v>
      </c>
      <c r="H74" t="s">
        <v>148</v>
      </c>
      <c r="I74" t="s">
        <v>164</v>
      </c>
      <c r="J74" t="s">
        <v>29</v>
      </c>
      <c r="K74">
        <v>5</v>
      </c>
      <c r="L74">
        <v>204000</v>
      </c>
      <c r="M74" s="17">
        <f t="shared" si="18"/>
        <v>40800</v>
      </c>
      <c r="O74" s="17">
        <f t="shared" si="15"/>
        <v>53040</v>
      </c>
      <c r="P74" s="17">
        <v>0</v>
      </c>
      <c r="Q74" s="18">
        <v>0.35</v>
      </c>
      <c r="R74" s="17">
        <v>0</v>
      </c>
      <c r="S74" s="19">
        <v>0</v>
      </c>
      <c r="T74" s="17">
        <f t="shared" si="19"/>
        <v>40800</v>
      </c>
      <c r="U74" s="18">
        <v>0.1</v>
      </c>
      <c r="V74" s="17">
        <f t="shared" si="16"/>
        <v>44880</v>
      </c>
      <c r="W74" s="20">
        <f t="shared" si="17"/>
        <v>9.0909090909090912E-2</v>
      </c>
      <c r="X74" s="17">
        <v>0</v>
      </c>
      <c r="Y74" s="18">
        <v>0.22</v>
      </c>
      <c r="Z74" s="17">
        <v>0</v>
      </c>
      <c r="AA74" s="18">
        <v>0</v>
      </c>
      <c r="AB74" s="18">
        <v>0.1</v>
      </c>
    </row>
    <row r="75" spans="1:28">
      <c r="A75">
        <v>2026</v>
      </c>
      <c r="B75" t="s">
        <v>145</v>
      </c>
      <c r="C75" t="s">
        <v>151</v>
      </c>
      <c r="D75" t="s">
        <v>152</v>
      </c>
      <c r="E75">
        <v>603422</v>
      </c>
      <c r="G75" t="s">
        <v>148</v>
      </c>
      <c r="H75" t="s">
        <v>148</v>
      </c>
      <c r="I75" t="s">
        <v>74</v>
      </c>
      <c r="J75" t="s">
        <v>29</v>
      </c>
      <c r="K75">
        <v>5</v>
      </c>
      <c r="L75">
        <v>49000</v>
      </c>
      <c r="M75" s="17">
        <f t="shared" si="18"/>
        <v>9800</v>
      </c>
      <c r="O75" s="17">
        <f t="shared" si="15"/>
        <v>12740</v>
      </c>
      <c r="P75" s="17">
        <v>0</v>
      </c>
      <c r="Q75" s="18">
        <v>0.33</v>
      </c>
      <c r="R75" s="17">
        <v>0</v>
      </c>
      <c r="S75" s="19">
        <v>0</v>
      </c>
      <c r="T75" s="17">
        <f t="shared" si="19"/>
        <v>9800</v>
      </c>
      <c r="U75" s="18">
        <v>0.12</v>
      </c>
      <c r="V75" s="17">
        <f t="shared" si="16"/>
        <v>10976</v>
      </c>
      <c r="W75" s="20">
        <f t="shared" si="17"/>
        <v>0.10714285714285714</v>
      </c>
      <c r="X75" s="17">
        <v>0</v>
      </c>
      <c r="Y75" s="18">
        <v>0.12</v>
      </c>
      <c r="Z75" s="17">
        <v>0</v>
      </c>
      <c r="AA75" s="18">
        <v>0</v>
      </c>
      <c r="AB75" s="18">
        <v>0.1</v>
      </c>
    </row>
    <row r="76" spans="1:28">
      <c r="A76">
        <v>2026</v>
      </c>
      <c r="B76" t="s">
        <v>145</v>
      </c>
      <c r="C76" t="s">
        <v>151</v>
      </c>
      <c r="D76" t="s">
        <v>152</v>
      </c>
      <c r="E76">
        <v>603423</v>
      </c>
      <c r="G76" t="s">
        <v>148</v>
      </c>
      <c r="H76" t="s">
        <v>148</v>
      </c>
      <c r="I76" t="s">
        <v>165</v>
      </c>
      <c r="J76" t="s">
        <v>22</v>
      </c>
      <c r="K76">
        <v>10</v>
      </c>
      <c r="L76">
        <v>224100</v>
      </c>
      <c r="M76" s="17">
        <f t="shared" si="18"/>
        <v>22410</v>
      </c>
      <c r="O76" s="17">
        <f t="shared" si="15"/>
        <v>29133</v>
      </c>
      <c r="P76" s="17">
        <v>0</v>
      </c>
      <c r="Q76" s="18">
        <v>0.31</v>
      </c>
      <c r="R76" s="17">
        <v>0</v>
      </c>
      <c r="S76" s="19">
        <v>0</v>
      </c>
      <c r="T76" s="17">
        <f t="shared" si="19"/>
        <v>22410</v>
      </c>
      <c r="U76" s="18">
        <v>0.15</v>
      </c>
      <c r="V76" s="17">
        <f t="shared" si="16"/>
        <v>25771.5</v>
      </c>
      <c r="W76" s="20">
        <f t="shared" si="17"/>
        <v>0.13043478260869565</v>
      </c>
      <c r="X76" s="17">
        <v>0</v>
      </c>
      <c r="Y76" s="18">
        <v>0.15</v>
      </c>
      <c r="Z76" s="17">
        <v>0</v>
      </c>
      <c r="AA76" s="18">
        <v>0</v>
      </c>
      <c r="AB76" s="18">
        <v>0.1</v>
      </c>
    </row>
    <row r="77" spans="1:28">
      <c r="A77">
        <v>2026</v>
      </c>
      <c r="B77" t="s">
        <v>145</v>
      </c>
      <c r="C77" t="s">
        <v>151</v>
      </c>
      <c r="D77" t="s">
        <v>152</v>
      </c>
      <c r="E77">
        <v>603420</v>
      </c>
      <c r="G77" t="s">
        <v>148</v>
      </c>
      <c r="H77" t="s">
        <v>148</v>
      </c>
      <c r="I77" t="s">
        <v>81</v>
      </c>
      <c r="J77" t="s">
        <v>22</v>
      </c>
      <c r="K77">
        <v>10</v>
      </c>
      <c r="L77">
        <v>38000</v>
      </c>
      <c r="M77" s="17">
        <f t="shared" si="18"/>
        <v>3800</v>
      </c>
      <c r="O77" s="17">
        <f t="shared" si="15"/>
        <v>4940</v>
      </c>
      <c r="P77" s="17">
        <v>0</v>
      </c>
      <c r="Q77" s="18">
        <v>0.3</v>
      </c>
      <c r="R77" s="17">
        <v>0</v>
      </c>
      <c r="S77" s="19">
        <v>0</v>
      </c>
      <c r="T77" s="17">
        <f t="shared" si="19"/>
        <v>3800</v>
      </c>
      <c r="U77" s="18">
        <v>0.18</v>
      </c>
      <c r="V77" s="17">
        <f t="shared" si="16"/>
        <v>4484</v>
      </c>
      <c r="W77" s="20">
        <f t="shared" si="17"/>
        <v>0.15254237288135594</v>
      </c>
      <c r="X77" s="17">
        <v>0</v>
      </c>
      <c r="Y77" s="18">
        <v>0.18</v>
      </c>
      <c r="Z77" s="17">
        <v>0</v>
      </c>
      <c r="AA77" s="18">
        <v>0</v>
      </c>
      <c r="AB77" s="18">
        <v>0.1</v>
      </c>
    </row>
    <row r="78" spans="1:28">
      <c r="A78">
        <v>2026</v>
      </c>
      <c r="B78" t="s">
        <v>145</v>
      </c>
      <c r="C78" t="s">
        <v>151</v>
      </c>
      <c r="D78" t="s">
        <v>152</v>
      </c>
      <c r="E78">
        <v>603424</v>
      </c>
      <c r="G78" t="s">
        <v>148</v>
      </c>
      <c r="H78" t="s">
        <v>148</v>
      </c>
      <c r="I78" t="s">
        <v>83</v>
      </c>
      <c r="J78" t="s">
        <v>22</v>
      </c>
      <c r="K78">
        <v>10</v>
      </c>
      <c r="L78">
        <v>39800</v>
      </c>
      <c r="M78" s="17">
        <f t="shared" si="18"/>
        <v>3980</v>
      </c>
      <c r="O78" s="17">
        <f t="shared" si="15"/>
        <v>5174</v>
      </c>
      <c r="P78" s="17">
        <v>0</v>
      </c>
      <c r="Q78" s="18">
        <v>0.28000000000000003</v>
      </c>
      <c r="R78" s="17">
        <v>0</v>
      </c>
      <c r="S78" s="19">
        <v>0</v>
      </c>
      <c r="T78" s="17">
        <f t="shared" si="19"/>
        <v>3980</v>
      </c>
      <c r="U78" s="18">
        <v>0.28999999999999998</v>
      </c>
      <c r="V78" s="17">
        <f t="shared" si="16"/>
        <v>5134.2</v>
      </c>
      <c r="W78" s="20">
        <f t="shared" si="17"/>
        <v>0.22480620155038758</v>
      </c>
      <c r="X78" s="17">
        <v>0</v>
      </c>
      <c r="Y78" s="18">
        <v>0.28999999999999998</v>
      </c>
      <c r="Z78" s="17">
        <v>0</v>
      </c>
      <c r="AA78" s="18">
        <v>0</v>
      </c>
      <c r="AB78" s="18">
        <v>0.1</v>
      </c>
    </row>
    <row r="79" spans="1:28">
      <c r="A79">
        <v>2026</v>
      </c>
      <c r="B79" t="s">
        <v>145</v>
      </c>
      <c r="C79" t="s">
        <v>151</v>
      </c>
      <c r="D79" t="s">
        <v>152</v>
      </c>
      <c r="E79">
        <v>583300</v>
      </c>
      <c r="G79" t="s">
        <v>148</v>
      </c>
      <c r="H79" t="s">
        <v>148</v>
      </c>
      <c r="I79" t="s">
        <v>97</v>
      </c>
      <c r="J79" t="s">
        <v>12</v>
      </c>
      <c r="K79">
        <v>1</v>
      </c>
      <c r="L79">
        <v>43500</v>
      </c>
      <c r="M79" s="17">
        <f t="shared" si="18"/>
        <v>43500</v>
      </c>
      <c r="O79" s="17">
        <f t="shared" si="15"/>
        <v>56550</v>
      </c>
      <c r="P79" s="17">
        <v>0</v>
      </c>
      <c r="Q79" s="18">
        <v>0.27</v>
      </c>
      <c r="R79" s="17">
        <v>0</v>
      </c>
      <c r="S79" s="19">
        <v>0</v>
      </c>
      <c r="T79" s="17">
        <f t="shared" si="19"/>
        <v>43500</v>
      </c>
      <c r="U79" s="18">
        <v>0.34</v>
      </c>
      <c r="V79" s="17">
        <f t="shared" si="16"/>
        <v>58290</v>
      </c>
      <c r="W79" s="20">
        <f t="shared" si="17"/>
        <v>0.2537313432835821</v>
      </c>
      <c r="X79" s="17">
        <v>0</v>
      </c>
      <c r="Y79" s="18">
        <v>0.34</v>
      </c>
      <c r="Z79" s="17">
        <v>0</v>
      </c>
      <c r="AA79" s="18">
        <v>0</v>
      </c>
      <c r="AB79" s="18">
        <v>0.1</v>
      </c>
    </row>
    <row r="80" spans="1:28">
      <c r="A80">
        <v>2026</v>
      </c>
      <c r="B80" t="s">
        <v>145</v>
      </c>
      <c r="C80" t="s">
        <v>151</v>
      </c>
      <c r="D80" t="s">
        <v>152</v>
      </c>
      <c r="E80">
        <v>583400</v>
      </c>
      <c r="G80" t="s">
        <v>148</v>
      </c>
      <c r="H80" t="s">
        <v>148</v>
      </c>
      <c r="I80" t="s">
        <v>105</v>
      </c>
      <c r="J80" t="s">
        <v>166</v>
      </c>
      <c r="K80">
        <v>2</v>
      </c>
      <c r="L80">
        <v>67900</v>
      </c>
      <c r="M80" s="17">
        <f>(L80/10)*2</f>
        <v>13580</v>
      </c>
      <c r="O80" s="17">
        <f t="shared" si="15"/>
        <v>17654</v>
      </c>
      <c r="P80" s="17">
        <v>0</v>
      </c>
      <c r="Q80" s="18">
        <v>0.17</v>
      </c>
      <c r="R80" s="17">
        <v>0</v>
      </c>
      <c r="S80" s="19">
        <v>0</v>
      </c>
      <c r="T80" s="17">
        <f t="shared" si="19"/>
        <v>13580</v>
      </c>
      <c r="U80" s="18">
        <v>0.25</v>
      </c>
      <c r="V80" s="17">
        <f t="shared" si="16"/>
        <v>16975</v>
      </c>
      <c r="W80" s="20">
        <f t="shared" si="17"/>
        <v>0.2</v>
      </c>
      <c r="X80" s="17">
        <v>0</v>
      </c>
      <c r="Y80" s="18">
        <v>0.25</v>
      </c>
      <c r="Z80" s="17">
        <v>0</v>
      </c>
      <c r="AA80" s="18">
        <v>0</v>
      </c>
      <c r="AB80" s="18">
        <v>0.1</v>
      </c>
    </row>
    <row r="81" spans="1:28">
      <c r="A81">
        <v>2026</v>
      </c>
      <c r="B81" t="s">
        <v>145</v>
      </c>
      <c r="C81" t="s">
        <v>151</v>
      </c>
      <c r="D81" t="s">
        <v>152</v>
      </c>
      <c r="E81">
        <v>583500</v>
      </c>
      <c r="G81" t="s">
        <v>148</v>
      </c>
      <c r="H81" t="s">
        <v>148</v>
      </c>
      <c r="I81" t="s">
        <v>107</v>
      </c>
      <c r="J81" t="s">
        <v>166</v>
      </c>
      <c r="K81">
        <v>2</v>
      </c>
      <c r="L81">
        <v>50300</v>
      </c>
      <c r="M81" s="17">
        <f>(L81/10)*2</f>
        <v>10060</v>
      </c>
      <c r="O81" s="17">
        <f t="shared" si="15"/>
        <v>13078</v>
      </c>
      <c r="P81" s="17">
        <v>0</v>
      </c>
      <c r="Q81" s="18">
        <v>0.22</v>
      </c>
      <c r="R81" s="17">
        <v>0</v>
      </c>
      <c r="S81" s="19">
        <v>0</v>
      </c>
      <c r="T81" s="17">
        <f t="shared" si="19"/>
        <v>10060</v>
      </c>
      <c r="U81" s="18">
        <v>0.35</v>
      </c>
      <c r="V81" s="17">
        <f t="shared" si="16"/>
        <v>13581</v>
      </c>
      <c r="W81" s="20">
        <f t="shared" si="17"/>
        <v>0.25925925925925924</v>
      </c>
      <c r="X81" s="17">
        <v>0</v>
      </c>
      <c r="Y81" s="18">
        <v>0.35</v>
      </c>
      <c r="Z81" s="17">
        <v>0</v>
      </c>
      <c r="AA81" s="18">
        <v>0</v>
      </c>
      <c r="AB81" s="18">
        <v>0.1</v>
      </c>
    </row>
    <row r="82" spans="1:28">
      <c r="A82">
        <v>2026</v>
      </c>
      <c r="B82" t="s">
        <v>156</v>
      </c>
      <c r="C82" t="s">
        <v>151</v>
      </c>
      <c r="D82" t="s">
        <v>152</v>
      </c>
      <c r="E82">
        <v>360001</v>
      </c>
      <c r="G82" t="s">
        <v>148</v>
      </c>
      <c r="H82" t="s">
        <v>148</v>
      </c>
      <c r="I82" t="s">
        <v>11</v>
      </c>
      <c r="J82" t="s">
        <v>12</v>
      </c>
      <c r="K82">
        <v>40</v>
      </c>
      <c r="L82">
        <v>893800</v>
      </c>
      <c r="M82" s="17">
        <f>L82/K82</f>
        <v>22345</v>
      </c>
      <c r="O82" s="17">
        <f t="shared" ref="O82:O101" si="20">M82+(M82*30%)</f>
        <v>29048.5</v>
      </c>
      <c r="P82" s="17">
        <v>0</v>
      </c>
      <c r="Q82" s="18">
        <v>0.17</v>
      </c>
      <c r="R82" s="17">
        <v>0</v>
      </c>
      <c r="S82" s="19">
        <v>0</v>
      </c>
      <c r="T82" s="17">
        <f>IF(C82="Mediana Complejidad",M82,0)</f>
        <v>22345</v>
      </c>
      <c r="U82" s="18">
        <v>0.27</v>
      </c>
      <c r="V82" s="17">
        <f t="shared" ref="V82:V101" si="21">T82+(T82*U82)</f>
        <v>28378.15</v>
      </c>
      <c r="W82" s="20">
        <f t="shared" ref="W82:W101" si="22">IFERROR(((V82-T82)/V82),0)</f>
        <v>0.21259842519685043</v>
      </c>
      <c r="X82" s="17">
        <v>0</v>
      </c>
      <c r="Y82" s="18">
        <v>0.28000000000000003</v>
      </c>
      <c r="Z82" s="17">
        <v>0</v>
      </c>
      <c r="AA82" s="18">
        <v>0</v>
      </c>
      <c r="AB82" s="18">
        <v>0.1</v>
      </c>
    </row>
    <row r="83" spans="1:28">
      <c r="A83">
        <v>2026</v>
      </c>
      <c r="B83" t="s">
        <v>156</v>
      </c>
      <c r="C83" t="s">
        <v>151</v>
      </c>
      <c r="D83" t="s">
        <v>152</v>
      </c>
      <c r="E83">
        <v>360102</v>
      </c>
      <c r="G83" t="s">
        <v>148</v>
      </c>
      <c r="H83" t="s">
        <v>148</v>
      </c>
      <c r="I83" t="s">
        <v>18</v>
      </c>
      <c r="J83" t="s">
        <v>12</v>
      </c>
      <c r="K83">
        <v>250</v>
      </c>
      <c r="L83">
        <v>80300</v>
      </c>
      <c r="M83" s="17">
        <f t="shared" ref="M83:M99" si="23">L83/K83</f>
        <v>321.2</v>
      </c>
      <c r="O83" s="17">
        <f t="shared" si="20"/>
        <v>417.56</v>
      </c>
      <c r="P83" s="17">
        <v>0</v>
      </c>
      <c r="Q83" s="18">
        <v>0.22</v>
      </c>
      <c r="R83" s="17">
        <v>0</v>
      </c>
      <c r="S83" s="19">
        <v>0</v>
      </c>
      <c r="T83" s="17">
        <f t="shared" ref="T83:T101" si="24">IF(C83="Mediana Complejidad",M83,0)</f>
        <v>321.2</v>
      </c>
      <c r="U83" s="18">
        <v>0.17</v>
      </c>
      <c r="V83" s="17">
        <f t="shared" si="21"/>
        <v>375.80399999999997</v>
      </c>
      <c r="W83" s="20">
        <f t="shared" si="22"/>
        <v>0.14529914529914528</v>
      </c>
      <c r="X83" s="17">
        <v>0</v>
      </c>
      <c r="Y83" s="18">
        <v>0.27</v>
      </c>
      <c r="Z83" s="17">
        <v>0</v>
      </c>
      <c r="AA83" s="18">
        <v>0</v>
      </c>
      <c r="AB83" s="18">
        <v>0.1</v>
      </c>
    </row>
    <row r="84" spans="1:28">
      <c r="A84">
        <v>2026</v>
      </c>
      <c r="B84" t="s">
        <v>156</v>
      </c>
      <c r="C84" t="s">
        <v>151</v>
      </c>
      <c r="D84" t="s">
        <v>152</v>
      </c>
      <c r="E84">
        <v>360104</v>
      </c>
      <c r="G84" t="s">
        <v>148</v>
      </c>
      <c r="H84" t="s">
        <v>148</v>
      </c>
      <c r="I84" t="s">
        <v>26</v>
      </c>
      <c r="J84" t="s">
        <v>22</v>
      </c>
      <c r="K84">
        <v>10</v>
      </c>
      <c r="L84">
        <v>28800</v>
      </c>
      <c r="M84" s="17">
        <f t="shared" si="23"/>
        <v>2880</v>
      </c>
      <c r="O84" s="17">
        <f t="shared" si="20"/>
        <v>3744</v>
      </c>
      <c r="P84" s="17">
        <v>0</v>
      </c>
      <c r="Q84" s="18">
        <v>0.12</v>
      </c>
      <c r="R84" s="17">
        <v>0</v>
      </c>
      <c r="S84" s="19">
        <v>0</v>
      </c>
      <c r="T84" s="17">
        <f t="shared" si="24"/>
        <v>2880</v>
      </c>
      <c r="U84" s="18">
        <v>0.22</v>
      </c>
      <c r="V84" s="17">
        <f t="shared" si="21"/>
        <v>3513.6</v>
      </c>
      <c r="W84" s="20">
        <f t="shared" si="22"/>
        <v>0.18032786885245899</v>
      </c>
      <c r="X84" s="17">
        <v>0</v>
      </c>
      <c r="Y84" s="18">
        <v>0.17</v>
      </c>
      <c r="Z84" s="17">
        <v>0</v>
      </c>
      <c r="AA84" s="18">
        <v>0</v>
      </c>
      <c r="AB84" s="18">
        <v>0.1</v>
      </c>
    </row>
    <row r="85" spans="1:28">
      <c r="A85">
        <v>2026</v>
      </c>
      <c r="B85" t="s">
        <v>156</v>
      </c>
      <c r="C85" t="s">
        <v>151</v>
      </c>
      <c r="D85" t="s">
        <v>152</v>
      </c>
      <c r="E85">
        <v>360100</v>
      </c>
      <c r="G85" t="s">
        <v>148</v>
      </c>
      <c r="H85" t="s">
        <v>148</v>
      </c>
      <c r="I85" t="s">
        <v>35</v>
      </c>
      <c r="J85" t="s">
        <v>22</v>
      </c>
      <c r="K85">
        <v>10</v>
      </c>
      <c r="L85">
        <v>36700</v>
      </c>
      <c r="M85" s="17">
        <f t="shared" si="23"/>
        <v>3670</v>
      </c>
      <c r="O85" s="17">
        <f t="shared" si="20"/>
        <v>4771</v>
      </c>
      <c r="P85" s="17">
        <v>0</v>
      </c>
      <c r="Q85" s="18">
        <v>0.15</v>
      </c>
      <c r="R85" s="17">
        <v>0</v>
      </c>
      <c r="S85" s="19">
        <v>0</v>
      </c>
      <c r="T85" s="17">
        <f t="shared" si="24"/>
        <v>3670</v>
      </c>
      <c r="U85" s="18">
        <v>0.12</v>
      </c>
      <c r="V85" s="17">
        <f t="shared" si="21"/>
        <v>4110.3999999999996</v>
      </c>
      <c r="W85" s="20">
        <f t="shared" si="22"/>
        <v>0.10714285714285707</v>
      </c>
      <c r="X85" s="17">
        <v>0</v>
      </c>
      <c r="Y85" s="18">
        <v>0.22</v>
      </c>
      <c r="Z85" s="17">
        <v>0</v>
      </c>
      <c r="AA85" s="18">
        <v>0</v>
      </c>
      <c r="AB85" s="18">
        <v>0.1</v>
      </c>
    </row>
    <row r="86" spans="1:28">
      <c r="A86">
        <v>2026</v>
      </c>
      <c r="B86" t="s">
        <v>156</v>
      </c>
      <c r="C86" t="s">
        <v>151</v>
      </c>
      <c r="D86" t="s">
        <v>152</v>
      </c>
      <c r="E86">
        <v>360150</v>
      </c>
      <c r="G86" t="s">
        <v>148</v>
      </c>
      <c r="H86" t="s">
        <v>148</v>
      </c>
      <c r="I86" t="s">
        <v>159</v>
      </c>
      <c r="J86" t="s">
        <v>29</v>
      </c>
      <c r="K86">
        <v>5</v>
      </c>
      <c r="L86">
        <v>28000</v>
      </c>
      <c r="M86" s="17">
        <f t="shared" si="23"/>
        <v>5600</v>
      </c>
      <c r="O86" s="17">
        <f t="shared" si="20"/>
        <v>7280</v>
      </c>
      <c r="P86" s="17">
        <v>0</v>
      </c>
      <c r="Q86" s="18">
        <v>0.18</v>
      </c>
      <c r="R86" s="17">
        <v>0</v>
      </c>
      <c r="S86" s="19">
        <v>0</v>
      </c>
      <c r="T86" s="17">
        <f t="shared" si="24"/>
        <v>5600</v>
      </c>
      <c r="U86" s="18">
        <v>0.15</v>
      </c>
      <c r="V86" s="17">
        <f t="shared" si="21"/>
        <v>6440</v>
      </c>
      <c r="W86" s="20">
        <f t="shared" si="22"/>
        <v>0.13043478260869565</v>
      </c>
      <c r="X86" s="17">
        <v>0</v>
      </c>
      <c r="Y86" s="18">
        <v>0.12</v>
      </c>
      <c r="Z86" s="17">
        <v>0</v>
      </c>
      <c r="AA86" s="18">
        <v>0</v>
      </c>
      <c r="AB86" s="18">
        <v>0.1</v>
      </c>
    </row>
    <row r="87" spans="1:28">
      <c r="A87">
        <v>2026</v>
      </c>
      <c r="B87" t="s">
        <v>156</v>
      </c>
      <c r="C87" t="s">
        <v>151</v>
      </c>
      <c r="D87" t="s">
        <v>152</v>
      </c>
      <c r="E87">
        <v>360101</v>
      </c>
      <c r="G87" t="s">
        <v>148</v>
      </c>
      <c r="H87" t="s">
        <v>148</v>
      </c>
      <c r="I87" t="s">
        <v>50</v>
      </c>
      <c r="J87" t="s">
        <v>29</v>
      </c>
      <c r="K87">
        <v>5</v>
      </c>
      <c r="L87">
        <v>36700</v>
      </c>
      <c r="M87" s="17">
        <f t="shared" si="23"/>
        <v>7340</v>
      </c>
      <c r="O87" s="17">
        <f t="shared" si="20"/>
        <v>9542</v>
      </c>
      <c r="P87" s="17">
        <v>0</v>
      </c>
      <c r="Q87" s="18">
        <v>0.28999999999999998</v>
      </c>
      <c r="R87" s="17">
        <v>0</v>
      </c>
      <c r="S87" s="19">
        <v>0</v>
      </c>
      <c r="T87" s="17">
        <f t="shared" si="24"/>
        <v>7340</v>
      </c>
      <c r="U87" s="18">
        <v>0.18</v>
      </c>
      <c r="V87" s="17">
        <f t="shared" si="21"/>
        <v>8661.2000000000007</v>
      </c>
      <c r="W87" s="20">
        <f t="shared" si="22"/>
        <v>0.152542372881356</v>
      </c>
      <c r="X87" s="17">
        <v>0</v>
      </c>
      <c r="Y87" s="18">
        <v>0.15</v>
      </c>
      <c r="Z87" s="17">
        <v>0</v>
      </c>
      <c r="AA87" s="18">
        <v>0</v>
      </c>
      <c r="AB87" s="18">
        <v>0.1</v>
      </c>
    </row>
    <row r="88" spans="1:28">
      <c r="A88">
        <v>2026</v>
      </c>
      <c r="B88" t="s">
        <v>156</v>
      </c>
      <c r="C88" t="s">
        <v>151</v>
      </c>
      <c r="D88" t="s">
        <v>152</v>
      </c>
      <c r="E88">
        <v>360103</v>
      </c>
      <c r="G88" t="s">
        <v>148</v>
      </c>
      <c r="H88" t="s">
        <v>148</v>
      </c>
      <c r="I88" t="s">
        <v>59</v>
      </c>
      <c r="J88" t="s">
        <v>29</v>
      </c>
      <c r="K88">
        <v>5</v>
      </c>
      <c r="L88">
        <v>21900</v>
      </c>
      <c r="M88" s="17">
        <f t="shared" si="23"/>
        <v>4380</v>
      </c>
      <c r="O88" s="17">
        <f t="shared" si="20"/>
        <v>5694</v>
      </c>
      <c r="P88" s="17">
        <v>0</v>
      </c>
      <c r="Q88" s="18">
        <v>0.34</v>
      </c>
      <c r="R88" s="17">
        <v>0</v>
      </c>
      <c r="S88" s="19">
        <v>0</v>
      </c>
      <c r="T88" s="17">
        <f t="shared" si="24"/>
        <v>4380</v>
      </c>
      <c r="U88" s="18">
        <v>0.28999999999999998</v>
      </c>
      <c r="V88" s="17">
        <f t="shared" si="21"/>
        <v>5650.2</v>
      </c>
      <c r="W88" s="20">
        <f t="shared" si="22"/>
        <v>0.22480620155038758</v>
      </c>
      <c r="X88" s="17">
        <v>0</v>
      </c>
      <c r="Y88" s="18">
        <v>0.18</v>
      </c>
      <c r="Z88" s="17">
        <v>0</v>
      </c>
      <c r="AA88" s="18">
        <v>0</v>
      </c>
      <c r="AB88" s="18">
        <v>0.1</v>
      </c>
    </row>
    <row r="89" spans="1:28">
      <c r="A89">
        <v>2026</v>
      </c>
      <c r="B89" t="s">
        <v>156</v>
      </c>
      <c r="C89" t="s">
        <v>151</v>
      </c>
      <c r="D89" t="s">
        <v>152</v>
      </c>
      <c r="E89">
        <v>709900</v>
      </c>
      <c r="G89" t="s">
        <v>148</v>
      </c>
      <c r="H89" t="s">
        <v>148</v>
      </c>
      <c r="I89" t="s">
        <v>67</v>
      </c>
      <c r="J89" t="s">
        <v>29</v>
      </c>
      <c r="K89">
        <v>5</v>
      </c>
      <c r="L89">
        <v>114900</v>
      </c>
      <c r="M89" s="17">
        <f t="shared" si="23"/>
        <v>22980</v>
      </c>
      <c r="O89" s="17">
        <f t="shared" si="20"/>
        <v>29874</v>
      </c>
      <c r="P89" s="17">
        <v>0</v>
      </c>
      <c r="Q89" s="18">
        <v>0.25</v>
      </c>
      <c r="R89" s="17">
        <v>0</v>
      </c>
      <c r="S89" s="19">
        <v>0</v>
      </c>
      <c r="T89" s="17">
        <f t="shared" si="24"/>
        <v>22980</v>
      </c>
      <c r="U89" s="18">
        <v>0.34</v>
      </c>
      <c r="V89" s="17">
        <f t="shared" si="21"/>
        <v>30793.200000000001</v>
      </c>
      <c r="W89" s="20">
        <f t="shared" si="22"/>
        <v>0.2537313432835821</v>
      </c>
      <c r="X89" s="17">
        <v>0</v>
      </c>
      <c r="Y89" s="18">
        <v>0.28999999999999998</v>
      </c>
      <c r="Z89" s="17">
        <v>0</v>
      </c>
      <c r="AA89" s="18">
        <v>0</v>
      </c>
      <c r="AB89" s="18">
        <v>0.1</v>
      </c>
    </row>
    <row r="90" spans="1:28">
      <c r="A90">
        <v>2026</v>
      </c>
      <c r="B90" t="s">
        <v>156</v>
      </c>
      <c r="C90" t="s">
        <v>151</v>
      </c>
      <c r="D90" t="s">
        <v>152</v>
      </c>
      <c r="E90">
        <v>709902</v>
      </c>
      <c r="G90" t="s">
        <v>148</v>
      </c>
      <c r="H90" t="s">
        <v>148</v>
      </c>
      <c r="I90" t="s">
        <v>160</v>
      </c>
      <c r="J90" t="s">
        <v>29</v>
      </c>
      <c r="K90">
        <v>5</v>
      </c>
      <c r="L90">
        <v>28000</v>
      </c>
      <c r="M90" s="17">
        <f t="shared" si="23"/>
        <v>5600</v>
      </c>
      <c r="O90" s="17">
        <f t="shared" si="20"/>
        <v>7280</v>
      </c>
      <c r="P90" s="17">
        <v>0</v>
      </c>
      <c r="Q90" s="18">
        <v>0.35</v>
      </c>
      <c r="R90" s="17">
        <v>0</v>
      </c>
      <c r="S90" s="19">
        <v>0</v>
      </c>
      <c r="T90" s="17">
        <f t="shared" si="24"/>
        <v>5600</v>
      </c>
      <c r="U90" s="18">
        <v>0.25</v>
      </c>
      <c r="V90" s="17">
        <f t="shared" si="21"/>
        <v>7000</v>
      </c>
      <c r="W90" s="20">
        <f t="shared" si="22"/>
        <v>0.2</v>
      </c>
      <c r="X90" s="17">
        <v>0</v>
      </c>
      <c r="Y90" s="18">
        <v>0.34</v>
      </c>
      <c r="Z90" s="17">
        <v>0</v>
      </c>
      <c r="AA90" s="18">
        <v>0</v>
      </c>
      <c r="AB90" s="18">
        <v>0.1</v>
      </c>
    </row>
    <row r="91" spans="1:28">
      <c r="A91">
        <v>2026</v>
      </c>
      <c r="B91" t="s">
        <v>156</v>
      </c>
      <c r="C91" t="s">
        <v>151</v>
      </c>
      <c r="D91" t="s">
        <v>152</v>
      </c>
      <c r="E91">
        <v>709903</v>
      </c>
      <c r="G91" t="s">
        <v>148</v>
      </c>
      <c r="H91" t="s">
        <v>148</v>
      </c>
      <c r="I91" t="s">
        <v>161</v>
      </c>
      <c r="J91" t="s">
        <v>29</v>
      </c>
      <c r="K91">
        <v>5</v>
      </c>
      <c r="L91">
        <v>49200</v>
      </c>
      <c r="M91" s="17">
        <f t="shared" si="23"/>
        <v>9840</v>
      </c>
      <c r="O91" s="17">
        <f t="shared" si="20"/>
        <v>12792</v>
      </c>
      <c r="P91" s="17">
        <v>0</v>
      </c>
      <c r="Q91" s="18">
        <v>0.12</v>
      </c>
      <c r="R91" s="17">
        <v>0</v>
      </c>
      <c r="S91" s="19">
        <v>0</v>
      </c>
      <c r="T91" s="17">
        <f t="shared" si="24"/>
        <v>9840</v>
      </c>
      <c r="U91" s="18">
        <v>0.35</v>
      </c>
      <c r="V91" s="17">
        <f t="shared" si="21"/>
        <v>13284</v>
      </c>
      <c r="W91" s="20">
        <f t="shared" si="22"/>
        <v>0.25925925925925924</v>
      </c>
      <c r="X91" s="17">
        <v>0</v>
      </c>
      <c r="Y91" s="18">
        <v>0.25</v>
      </c>
      <c r="Z91" s="17">
        <v>0</v>
      </c>
      <c r="AA91" s="18">
        <v>0</v>
      </c>
      <c r="AB91" s="18">
        <v>0.1</v>
      </c>
    </row>
    <row r="92" spans="1:28">
      <c r="A92">
        <v>2026</v>
      </c>
      <c r="B92" t="s">
        <v>156</v>
      </c>
      <c r="C92" t="s">
        <v>151</v>
      </c>
      <c r="D92" t="s">
        <v>152</v>
      </c>
      <c r="E92">
        <v>709909</v>
      </c>
      <c r="G92" t="s">
        <v>148</v>
      </c>
      <c r="H92" t="s">
        <v>148</v>
      </c>
      <c r="I92" t="s">
        <v>162</v>
      </c>
      <c r="J92" t="s">
        <v>29</v>
      </c>
      <c r="K92">
        <v>5</v>
      </c>
      <c r="L92">
        <v>141600</v>
      </c>
      <c r="M92" s="17">
        <f t="shared" si="23"/>
        <v>28320</v>
      </c>
      <c r="O92" s="17">
        <f t="shared" si="20"/>
        <v>36816</v>
      </c>
      <c r="P92" s="17">
        <v>0</v>
      </c>
      <c r="Q92" s="18">
        <v>0.25</v>
      </c>
      <c r="R92" s="17">
        <v>0</v>
      </c>
      <c r="S92" s="19">
        <v>0</v>
      </c>
      <c r="T92" s="17">
        <f t="shared" si="24"/>
        <v>28320</v>
      </c>
      <c r="U92" s="18">
        <v>0.12</v>
      </c>
      <c r="V92" s="17">
        <f t="shared" si="21"/>
        <v>31718.400000000001</v>
      </c>
      <c r="W92" s="20">
        <f t="shared" si="22"/>
        <v>0.10714285714285718</v>
      </c>
      <c r="X92" s="17">
        <v>0</v>
      </c>
      <c r="Y92" s="18">
        <v>0.35</v>
      </c>
      <c r="Z92" s="17">
        <v>0</v>
      </c>
      <c r="AA92" s="18">
        <v>0</v>
      </c>
      <c r="AB92" s="18">
        <v>0.1</v>
      </c>
    </row>
    <row r="93" spans="1:28">
      <c r="A93">
        <v>2026</v>
      </c>
      <c r="B93" t="s">
        <v>156</v>
      </c>
      <c r="C93" t="s">
        <v>151</v>
      </c>
      <c r="D93" t="s">
        <v>152</v>
      </c>
      <c r="E93">
        <v>709904</v>
      </c>
      <c r="G93" t="s">
        <v>148</v>
      </c>
      <c r="H93" t="s">
        <v>148</v>
      </c>
      <c r="I93" t="s">
        <v>163</v>
      </c>
      <c r="J93" t="s">
        <v>29</v>
      </c>
      <c r="K93">
        <v>5</v>
      </c>
      <c r="L93">
        <v>174700</v>
      </c>
      <c r="M93" s="17">
        <f t="shared" si="23"/>
        <v>34940</v>
      </c>
      <c r="O93" s="17">
        <f t="shared" si="20"/>
        <v>45422</v>
      </c>
      <c r="P93" s="17">
        <v>0</v>
      </c>
      <c r="Q93" s="18">
        <v>0.1</v>
      </c>
      <c r="R93" s="17">
        <v>0</v>
      </c>
      <c r="S93" s="19">
        <v>0</v>
      </c>
      <c r="T93" s="17">
        <f t="shared" si="24"/>
        <v>34940</v>
      </c>
      <c r="U93" s="18">
        <v>0.25</v>
      </c>
      <c r="V93" s="17">
        <f t="shared" si="21"/>
        <v>43675</v>
      </c>
      <c r="W93" s="20">
        <f t="shared" si="22"/>
        <v>0.2</v>
      </c>
      <c r="X93" s="17">
        <v>0</v>
      </c>
      <c r="Y93" s="18">
        <v>0.12</v>
      </c>
      <c r="Z93" s="17">
        <v>0</v>
      </c>
      <c r="AA93" s="18">
        <v>0</v>
      </c>
      <c r="AB93" s="18">
        <v>0.1</v>
      </c>
    </row>
    <row r="94" spans="1:28">
      <c r="A94">
        <v>2026</v>
      </c>
      <c r="B94" t="s">
        <v>156</v>
      </c>
      <c r="C94" t="s">
        <v>151</v>
      </c>
      <c r="D94" t="s">
        <v>152</v>
      </c>
      <c r="E94">
        <v>603421</v>
      </c>
      <c r="G94" t="s">
        <v>148</v>
      </c>
      <c r="H94" t="s">
        <v>148</v>
      </c>
      <c r="I94" t="s">
        <v>164</v>
      </c>
      <c r="J94" t="s">
        <v>29</v>
      </c>
      <c r="K94">
        <v>5</v>
      </c>
      <c r="L94">
        <v>204000</v>
      </c>
      <c r="M94" s="17">
        <f t="shared" si="23"/>
        <v>40800</v>
      </c>
      <c r="O94" s="17">
        <f t="shared" si="20"/>
        <v>53040</v>
      </c>
      <c r="P94" s="17">
        <v>0</v>
      </c>
      <c r="Q94" s="18">
        <v>0.35</v>
      </c>
      <c r="R94" s="17">
        <v>0</v>
      </c>
      <c r="S94" s="19">
        <v>0</v>
      </c>
      <c r="T94" s="17">
        <f t="shared" si="24"/>
        <v>40800</v>
      </c>
      <c r="U94" s="18">
        <v>0.1</v>
      </c>
      <c r="V94" s="17">
        <f t="shared" si="21"/>
        <v>44880</v>
      </c>
      <c r="W94" s="20">
        <f t="shared" si="22"/>
        <v>9.0909090909090912E-2</v>
      </c>
      <c r="X94" s="17">
        <v>0</v>
      </c>
      <c r="Y94" s="18">
        <v>0.22</v>
      </c>
      <c r="Z94" s="17">
        <v>0</v>
      </c>
      <c r="AA94" s="18">
        <v>0</v>
      </c>
      <c r="AB94" s="18">
        <v>0.1</v>
      </c>
    </row>
    <row r="95" spans="1:28">
      <c r="A95">
        <v>2026</v>
      </c>
      <c r="B95" t="s">
        <v>156</v>
      </c>
      <c r="C95" t="s">
        <v>151</v>
      </c>
      <c r="D95" t="s">
        <v>152</v>
      </c>
      <c r="E95">
        <v>603422</v>
      </c>
      <c r="G95" t="s">
        <v>148</v>
      </c>
      <c r="H95" t="s">
        <v>148</v>
      </c>
      <c r="I95" t="s">
        <v>74</v>
      </c>
      <c r="J95" t="s">
        <v>29</v>
      </c>
      <c r="K95">
        <v>5</v>
      </c>
      <c r="L95">
        <v>49000</v>
      </c>
      <c r="M95" s="17">
        <f t="shared" si="23"/>
        <v>9800</v>
      </c>
      <c r="O95" s="17">
        <f t="shared" si="20"/>
        <v>12740</v>
      </c>
      <c r="P95" s="17">
        <v>0</v>
      </c>
      <c r="Q95" s="18">
        <v>0.33</v>
      </c>
      <c r="R95" s="17">
        <v>0</v>
      </c>
      <c r="S95" s="19">
        <v>0</v>
      </c>
      <c r="T95" s="17">
        <f t="shared" si="24"/>
        <v>9800</v>
      </c>
      <c r="U95" s="18">
        <v>0.12</v>
      </c>
      <c r="V95" s="17">
        <f t="shared" si="21"/>
        <v>10976</v>
      </c>
      <c r="W95" s="20">
        <f t="shared" si="22"/>
        <v>0.10714285714285714</v>
      </c>
      <c r="X95" s="17">
        <v>0</v>
      </c>
      <c r="Y95" s="18">
        <v>0.12</v>
      </c>
      <c r="Z95" s="17">
        <v>0</v>
      </c>
      <c r="AA95" s="18">
        <v>0</v>
      </c>
      <c r="AB95" s="18">
        <v>0.1</v>
      </c>
    </row>
    <row r="96" spans="1:28">
      <c r="A96">
        <v>2026</v>
      </c>
      <c r="B96" t="s">
        <v>156</v>
      </c>
      <c r="C96" t="s">
        <v>151</v>
      </c>
      <c r="D96" t="s">
        <v>152</v>
      </c>
      <c r="E96">
        <v>603423</v>
      </c>
      <c r="G96" t="s">
        <v>148</v>
      </c>
      <c r="H96" t="s">
        <v>148</v>
      </c>
      <c r="I96" t="s">
        <v>165</v>
      </c>
      <c r="J96" t="s">
        <v>22</v>
      </c>
      <c r="K96">
        <v>10</v>
      </c>
      <c r="L96">
        <v>224100</v>
      </c>
      <c r="M96" s="17">
        <f t="shared" si="23"/>
        <v>22410</v>
      </c>
      <c r="O96" s="17">
        <f t="shared" si="20"/>
        <v>29133</v>
      </c>
      <c r="P96" s="17">
        <v>0</v>
      </c>
      <c r="Q96" s="18">
        <v>0.31</v>
      </c>
      <c r="R96" s="17">
        <v>0</v>
      </c>
      <c r="S96" s="19">
        <v>0</v>
      </c>
      <c r="T96" s="17">
        <f t="shared" si="24"/>
        <v>22410</v>
      </c>
      <c r="U96" s="18">
        <v>0.15</v>
      </c>
      <c r="V96" s="17">
        <f t="shared" si="21"/>
        <v>25771.5</v>
      </c>
      <c r="W96" s="20">
        <f t="shared" si="22"/>
        <v>0.13043478260869565</v>
      </c>
      <c r="X96" s="17">
        <v>0</v>
      </c>
      <c r="Y96" s="18">
        <v>0.15</v>
      </c>
      <c r="Z96" s="17">
        <v>0</v>
      </c>
      <c r="AA96" s="18">
        <v>0</v>
      </c>
      <c r="AB96" s="18">
        <v>0.1</v>
      </c>
    </row>
    <row r="97" spans="1:28">
      <c r="A97">
        <v>2026</v>
      </c>
      <c r="B97" t="s">
        <v>156</v>
      </c>
      <c r="C97" t="s">
        <v>151</v>
      </c>
      <c r="D97" t="s">
        <v>152</v>
      </c>
      <c r="E97">
        <v>603420</v>
      </c>
      <c r="G97" t="s">
        <v>148</v>
      </c>
      <c r="H97" t="s">
        <v>148</v>
      </c>
      <c r="I97" t="s">
        <v>81</v>
      </c>
      <c r="J97" t="s">
        <v>22</v>
      </c>
      <c r="K97">
        <v>10</v>
      </c>
      <c r="L97">
        <v>38000</v>
      </c>
      <c r="M97" s="17">
        <f t="shared" si="23"/>
        <v>3800</v>
      </c>
      <c r="O97" s="17">
        <f t="shared" si="20"/>
        <v>4940</v>
      </c>
      <c r="P97" s="17">
        <v>0</v>
      </c>
      <c r="Q97" s="18">
        <v>0.3</v>
      </c>
      <c r="R97" s="17">
        <v>0</v>
      </c>
      <c r="S97" s="19">
        <v>0</v>
      </c>
      <c r="T97" s="17">
        <f t="shared" si="24"/>
        <v>3800</v>
      </c>
      <c r="U97" s="18">
        <v>0.18</v>
      </c>
      <c r="V97" s="17">
        <f t="shared" si="21"/>
        <v>4484</v>
      </c>
      <c r="W97" s="20">
        <f t="shared" si="22"/>
        <v>0.15254237288135594</v>
      </c>
      <c r="X97" s="17">
        <v>0</v>
      </c>
      <c r="Y97" s="18">
        <v>0.18</v>
      </c>
      <c r="Z97" s="17">
        <v>0</v>
      </c>
      <c r="AA97" s="18">
        <v>0</v>
      </c>
      <c r="AB97" s="18">
        <v>0.1</v>
      </c>
    </row>
    <row r="98" spans="1:28">
      <c r="A98">
        <v>2026</v>
      </c>
      <c r="B98" t="s">
        <v>156</v>
      </c>
      <c r="C98" t="s">
        <v>151</v>
      </c>
      <c r="D98" t="s">
        <v>152</v>
      </c>
      <c r="E98">
        <v>603424</v>
      </c>
      <c r="G98" t="s">
        <v>148</v>
      </c>
      <c r="H98" t="s">
        <v>148</v>
      </c>
      <c r="I98" t="s">
        <v>83</v>
      </c>
      <c r="J98" t="s">
        <v>22</v>
      </c>
      <c r="K98">
        <v>10</v>
      </c>
      <c r="L98">
        <v>39800</v>
      </c>
      <c r="M98" s="17">
        <f t="shared" si="23"/>
        <v>3980</v>
      </c>
      <c r="O98" s="17">
        <f t="shared" si="20"/>
        <v>5174</v>
      </c>
      <c r="P98" s="17">
        <v>0</v>
      </c>
      <c r="Q98" s="18">
        <v>0.28000000000000003</v>
      </c>
      <c r="R98" s="17">
        <v>0</v>
      </c>
      <c r="S98" s="19">
        <v>0</v>
      </c>
      <c r="T98" s="17">
        <f t="shared" si="24"/>
        <v>3980</v>
      </c>
      <c r="U98" s="18">
        <v>0.28999999999999998</v>
      </c>
      <c r="V98" s="17">
        <f t="shared" si="21"/>
        <v>5134.2</v>
      </c>
      <c r="W98" s="20">
        <f t="shared" si="22"/>
        <v>0.22480620155038758</v>
      </c>
      <c r="X98" s="17">
        <v>0</v>
      </c>
      <c r="Y98" s="18">
        <v>0.28999999999999998</v>
      </c>
      <c r="Z98" s="17">
        <v>0</v>
      </c>
      <c r="AA98" s="18">
        <v>0</v>
      </c>
      <c r="AB98" s="18">
        <v>0.1</v>
      </c>
    </row>
    <row r="99" spans="1:28">
      <c r="A99">
        <v>2026</v>
      </c>
      <c r="B99" t="s">
        <v>156</v>
      </c>
      <c r="C99" t="s">
        <v>151</v>
      </c>
      <c r="D99" t="s">
        <v>152</v>
      </c>
      <c r="E99">
        <v>583300</v>
      </c>
      <c r="G99" t="s">
        <v>148</v>
      </c>
      <c r="H99" t="s">
        <v>148</v>
      </c>
      <c r="I99" t="s">
        <v>97</v>
      </c>
      <c r="J99" t="s">
        <v>12</v>
      </c>
      <c r="K99">
        <v>1</v>
      </c>
      <c r="L99">
        <v>43500</v>
      </c>
      <c r="M99" s="17">
        <f t="shared" si="23"/>
        <v>43500</v>
      </c>
      <c r="O99" s="17">
        <f t="shared" si="20"/>
        <v>56550</v>
      </c>
      <c r="P99" s="17">
        <v>0</v>
      </c>
      <c r="Q99" s="18">
        <v>0.27</v>
      </c>
      <c r="R99" s="17">
        <v>0</v>
      </c>
      <c r="S99" s="19">
        <v>0</v>
      </c>
      <c r="T99" s="17">
        <f t="shared" si="24"/>
        <v>43500</v>
      </c>
      <c r="U99" s="18">
        <v>0.34</v>
      </c>
      <c r="V99" s="17">
        <f t="shared" si="21"/>
        <v>58290</v>
      </c>
      <c r="W99" s="20">
        <f t="shared" si="22"/>
        <v>0.2537313432835821</v>
      </c>
      <c r="X99" s="17">
        <v>0</v>
      </c>
      <c r="Y99" s="18">
        <v>0.34</v>
      </c>
      <c r="Z99" s="17">
        <v>0</v>
      </c>
      <c r="AA99" s="18">
        <v>0</v>
      </c>
      <c r="AB99" s="18">
        <v>0.1</v>
      </c>
    </row>
    <row r="100" spans="1:28">
      <c r="A100">
        <v>2026</v>
      </c>
      <c r="B100" t="s">
        <v>156</v>
      </c>
      <c r="C100" t="s">
        <v>151</v>
      </c>
      <c r="D100" t="s">
        <v>152</v>
      </c>
      <c r="E100">
        <v>583400</v>
      </c>
      <c r="G100" t="s">
        <v>148</v>
      </c>
      <c r="H100" t="s">
        <v>148</v>
      </c>
      <c r="I100" t="s">
        <v>105</v>
      </c>
      <c r="J100" t="s">
        <v>166</v>
      </c>
      <c r="K100">
        <v>2</v>
      </c>
      <c r="L100">
        <v>67900</v>
      </c>
      <c r="M100" s="17">
        <f>(L100/10)*2</f>
        <v>13580</v>
      </c>
      <c r="O100" s="17">
        <f t="shared" si="20"/>
        <v>17654</v>
      </c>
      <c r="P100" s="17">
        <v>0</v>
      </c>
      <c r="Q100" s="18">
        <v>0.17</v>
      </c>
      <c r="R100" s="17">
        <v>0</v>
      </c>
      <c r="S100" s="19">
        <v>0</v>
      </c>
      <c r="T100" s="17">
        <f t="shared" si="24"/>
        <v>13580</v>
      </c>
      <c r="U100" s="18">
        <v>0.25</v>
      </c>
      <c r="V100" s="17">
        <f t="shared" si="21"/>
        <v>16975</v>
      </c>
      <c r="W100" s="20">
        <f t="shared" si="22"/>
        <v>0.2</v>
      </c>
      <c r="X100" s="17">
        <v>0</v>
      </c>
      <c r="Y100" s="18">
        <v>0.25</v>
      </c>
      <c r="Z100" s="17">
        <v>0</v>
      </c>
      <c r="AA100" s="18">
        <v>0</v>
      </c>
      <c r="AB100" s="18">
        <v>0.1</v>
      </c>
    </row>
    <row r="101" spans="1:28">
      <c r="A101">
        <v>2026</v>
      </c>
      <c r="B101" t="s">
        <v>156</v>
      </c>
      <c r="C101" t="s">
        <v>151</v>
      </c>
      <c r="D101" t="s">
        <v>152</v>
      </c>
      <c r="E101">
        <v>583500</v>
      </c>
      <c r="G101" t="s">
        <v>148</v>
      </c>
      <c r="H101" t="s">
        <v>148</v>
      </c>
      <c r="I101" t="s">
        <v>107</v>
      </c>
      <c r="J101" t="s">
        <v>166</v>
      </c>
      <c r="K101">
        <v>2</v>
      </c>
      <c r="L101">
        <v>50300</v>
      </c>
      <c r="M101" s="17">
        <f>(L101/10)*2</f>
        <v>10060</v>
      </c>
      <c r="O101" s="17">
        <f t="shared" si="20"/>
        <v>13078</v>
      </c>
      <c r="P101" s="17">
        <v>0</v>
      </c>
      <c r="Q101" s="18">
        <v>0.22</v>
      </c>
      <c r="R101" s="17">
        <v>0</v>
      </c>
      <c r="S101" s="19">
        <v>0</v>
      </c>
      <c r="T101" s="17">
        <f t="shared" si="24"/>
        <v>10060</v>
      </c>
      <c r="U101" s="18">
        <v>0.35</v>
      </c>
      <c r="V101" s="17">
        <f t="shared" si="21"/>
        <v>13581</v>
      </c>
      <c r="W101" s="20">
        <f t="shared" si="22"/>
        <v>0.25925925925925924</v>
      </c>
      <c r="X101" s="17">
        <v>0</v>
      </c>
      <c r="Y101" s="18">
        <v>0.35</v>
      </c>
      <c r="Z101" s="17">
        <v>0</v>
      </c>
      <c r="AA101" s="18">
        <v>0</v>
      </c>
      <c r="AB101" s="18">
        <v>0.1</v>
      </c>
    </row>
    <row r="102" spans="1:28">
      <c r="A102">
        <v>2026</v>
      </c>
      <c r="B102" t="s">
        <v>157</v>
      </c>
      <c r="C102" t="s">
        <v>151</v>
      </c>
      <c r="D102" t="s">
        <v>152</v>
      </c>
      <c r="E102">
        <v>360001</v>
      </c>
      <c r="G102" t="s">
        <v>148</v>
      </c>
      <c r="H102" t="s">
        <v>148</v>
      </c>
      <c r="I102" t="s">
        <v>11</v>
      </c>
      <c r="J102" t="s">
        <v>12</v>
      </c>
      <c r="K102">
        <v>40</v>
      </c>
      <c r="L102">
        <v>893800</v>
      </c>
      <c r="M102" s="17">
        <f>L102/K102</f>
        <v>22345</v>
      </c>
      <c r="O102" s="17">
        <f t="shared" ref="O102:O121" si="25">M102+(M102*30%)</f>
        <v>29048.5</v>
      </c>
      <c r="P102" s="17">
        <v>0</v>
      </c>
      <c r="Q102" s="18">
        <v>0.17</v>
      </c>
      <c r="R102" s="17">
        <v>0</v>
      </c>
      <c r="S102" s="19">
        <v>0</v>
      </c>
      <c r="T102" s="17">
        <f>IF(C102="Mediana Complejidad",M102,0)</f>
        <v>22345</v>
      </c>
      <c r="U102" s="18">
        <v>0.27</v>
      </c>
      <c r="V102" s="17">
        <f t="shared" ref="V102:V121" si="26">T102+(T102*U102)</f>
        <v>28378.15</v>
      </c>
      <c r="W102" s="20">
        <f t="shared" ref="W102:W121" si="27">IFERROR(((V102-T102)/V102),0)</f>
        <v>0.21259842519685043</v>
      </c>
      <c r="X102" s="17">
        <v>0</v>
      </c>
      <c r="Y102" s="18">
        <v>0.28000000000000003</v>
      </c>
      <c r="Z102" s="17">
        <v>0</v>
      </c>
      <c r="AA102" s="18">
        <v>0</v>
      </c>
      <c r="AB102" s="18">
        <v>0.1</v>
      </c>
    </row>
    <row r="103" spans="1:28">
      <c r="A103">
        <v>2026</v>
      </c>
      <c r="B103" t="s">
        <v>157</v>
      </c>
      <c r="C103" t="s">
        <v>151</v>
      </c>
      <c r="D103" t="s">
        <v>152</v>
      </c>
      <c r="E103">
        <v>360102</v>
      </c>
      <c r="G103" t="s">
        <v>148</v>
      </c>
      <c r="H103" t="s">
        <v>148</v>
      </c>
      <c r="I103" t="s">
        <v>18</v>
      </c>
      <c r="J103" t="s">
        <v>12</v>
      </c>
      <c r="K103">
        <v>250</v>
      </c>
      <c r="L103">
        <v>80300</v>
      </c>
      <c r="M103" s="17">
        <f t="shared" ref="M103:M119" si="28">L103/K103</f>
        <v>321.2</v>
      </c>
      <c r="O103" s="17">
        <f t="shared" si="25"/>
        <v>417.56</v>
      </c>
      <c r="P103" s="17">
        <v>0</v>
      </c>
      <c r="Q103" s="18">
        <v>0.22</v>
      </c>
      <c r="R103" s="17">
        <v>0</v>
      </c>
      <c r="S103" s="19">
        <v>0</v>
      </c>
      <c r="T103" s="17">
        <f t="shared" ref="T103:T121" si="29">IF(C103="Mediana Complejidad",M103,0)</f>
        <v>321.2</v>
      </c>
      <c r="U103" s="18">
        <v>0.17</v>
      </c>
      <c r="V103" s="17">
        <f t="shared" si="26"/>
        <v>375.80399999999997</v>
      </c>
      <c r="W103" s="20">
        <f t="shared" si="27"/>
        <v>0.14529914529914528</v>
      </c>
      <c r="X103" s="17">
        <v>0</v>
      </c>
      <c r="Y103" s="18">
        <v>0.27</v>
      </c>
      <c r="Z103" s="17">
        <v>0</v>
      </c>
      <c r="AA103" s="18">
        <v>0</v>
      </c>
      <c r="AB103" s="18">
        <v>0.1</v>
      </c>
    </row>
    <row r="104" spans="1:28">
      <c r="A104">
        <v>2026</v>
      </c>
      <c r="B104" t="s">
        <v>157</v>
      </c>
      <c r="C104" t="s">
        <v>151</v>
      </c>
      <c r="D104" t="s">
        <v>152</v>
      </c>
      <c r="E104">
        <v>360104</v>
      </c>
      <c r="G104" t="s">
        <v>148</v>
      </c>
      <c r="H104" t="s">
        <v>148</v>
      </c>
      <c r="I104" t="s">
        <v>26</v>
      </c>
      <c r="J104" t="s">
        <v>22</v>
      </c>
      <c r="K104">
        <v>10</v>
      </c>
      <c r="L104">
        <v>28800</v>
      </c>
      <c r="M104" s="17">
        <f t="shared" si="28"/>
        <v>2880</v>
      </c>
      <c r="O104" s="17">
        <f t="shared" si="25"/>
        <v>3744</v>
      </c>
      <c r="P104" s="17">
        <v>0</v>
      </c>
      <c r="Q104" s="18">
        <v>0.12</v>
      </c>
      <c r="R104" s="17">
        <v>0</v>
      </c>
      <c r="S104" s="19">
        <v>0</v>
      </c>
      <c r="T104" s="17">
        <f t="shared" si="29"/>
        <v>2880</v>
      </c>
      <c r="U104" s="18">
        <v>0.22</v>
      </c>
      <c r="V104" s="17">
        <f t="shared" si="26"/>
        <v>3513.6</v>
      </c>
      <c r="W104" s="20">
        <f t="shared" si="27"/>
        <v>0.18032786885245899</v>
      </c>
      <c r="X104" s="17">
        <v>0</v>
      </c>
      <c r="Y104" s="18">
        <v>0.17</v>
      </c>
      <c r="Z104" s="17">
        <v>0</v>
      </c>
      <c r="AA104" s="18">
        <v>0</v>
      </c>
      <c r="AB104" s="18">
        <v>0.1</v>
      </c>
    </row>
    <row r="105" spans="1:28">
      <c r="A105">
        <v>2026</v>
      </c>
      <c r="B105" t="s">
        <v>157</v>
      </c>
      <c r="C105" t="s">
        <v>151</v>
      </c>
      <c r="D105" t="s">
        <v>152</v>
      </c>
      <c r="E105">
        <v>360100</v>
      </c>
      <c r="G105" t="s">
        <v>148</v>
      </c>
      <c r="H105" t="s">
        <v>148</v>
      </c>
      <c r="I105" t="s">
        <v>35</v>
      </c>
      <c r="J105" t="s">
        <v>22</v>
      </c>
      <c r="K105">
        <v>10</v>
      </c>
      <c r="L105">
        <v>36700</v>
      </c>
      <c r="M105" s="17">
        <f t="shared" si="28"/>
        <v>3670</v>
      </c>
      <c r="O105" s="17">
        <f t="shared" si="25"/>
        <v>4771</v>
      </c>
      <c r="P105" s="17">
        <v>0</v>
      </c>
      <c r="Q105" s="18">
        <v>0.15</v>
      </c>
      <c r="R105" s="17">
        <v>0</v>
      </c>
      <c r="S105" s="19">
        <v>0</v>
      </c>
      <c r="T105" s="17">
        <f t="shared" si="29"/>
        <v>3670</v>
      </c>
      <c r="U105" s="18">
        <v>0.12</v>
      </c>
      <c r="V105" s="17">
        <f t="shared" si="26"/>
        <v>4110.3999999999996</v>
      </c>
      <c r="W105" s="20">
        <f t="shared" si="27"/>
        <v>0.10714285714285707</v>
      </c>
      <c r="X105" s="17">
        <v>0</v>
      </c>
      <c r="Y105" s="18">
        <v>0.22</v>
      </c>
      <c r="Z105" s="17">
        <v>0</v>
      </c>
      <c r="AA105" s="18">
        <v>0</v>
      </c>
      <c r="AB105" s="18">
        <v>0.1</v>
      </c>
    </row>
    <row r="106" spans="1:28">
      <c r="A106">
        <v>2026</v>
      </c>
      <c r="B106" t="s">
        <v>157</v>
      </c>
      <c r="C106" t="s">
        <v>151</v>
      </c>
      <c r="D106" t="s">
        <v>152</v>
      </c>
      <c r="E106">
        <v>360150</v>
      </c>
      <c r="G106" t="s">
        <v>148</v>
      </c>
      <c r="H106" t="s">
        <v>148</v>
      </c>
      <c r="I106" t="s">
        <v>159</v>
      </c>
      <c r="J106" t="s">
        <v>29</v>
      </c>
      <c r="K106">
        <v>5</v>
      </c>
      <c r="L106">
        <v>28000</v>
      </c>
      <c r="M106" s="17">
        <f t="shared" si="28"/>
        <v>5600</v>
      </c>
      <c r="O106" s="17">
        <f t="shared" si="25"/>
        <v>7280</v>
      </c>
      <c r="P106" s="17">
        <v>0</v>
      </c>
      <c r="Q106" s="18">
        <v>0.18</v>
      </c>
      <c r="R106" s="17">
        <v>0</v>
      </c>
      <c r="S106" s="19">
        <v>0</v>
      </c>
      <c r="T106" s="17">
        <f t="shared" si="29"/>
        <v>5600</v>
      </c>
      <c r="U106" s="18">
        <v>0.15</v>
      </c>
      <c r="V106" s="17">
        <f t="shared" si="26"/>
        <v>6440</v>
      </c>
      <c r="W106" s="20">
        <f t="shared" si="27"/>
        <v>0.13043478260869565</v>
      </c>
      <c r="X106" s="17">
        <v>0</v>
      </c>
      <c r="Y106" s="18">
        <v>0.12</v>
      </c>
      <c r="Z106" s="17">
        <v>0</v>
      </c>
      <c r="AA106" s="18">
        <v>0</v>
      </c>
      <c r="AB106" s="18">
        <v>0.1</v>
      </c>
    </row>
    <row r="107" spans="1:28">
      <c r="A107">
        <v>2026</v>
      </c>
      <c r="B107" t="s">
        <v>157</v>
      </c>
      <c r="C107" t="s">
        <v>151</v>
      </c>
      <c r="D107" t="s">
        <v>152</v>
      </c>
      <c r="E107">
        <v>360101</v>
      </c>
      <c r="G107" t="s">
        <v>148</v>
      </c>
      <c r="H107" t="s">
        <v>148</v>
      </c>
      <c r="I107" t="s">
        <v>50</v>
      </c>
      <c r="J107" t="s">
        <v>29</v>
      </c>
      <c r="K107">
        <v>5</v>
      </c>
      <c r="L107">
        <v>36700</v>
      </c>
      <c r="M107" s="17">
        <f t="shared" si="28"/>
        <v>7340</v>
      </c>
      <c r="O107" s="17">
        <f t="shared" si="25"/>
        <v>9542</v>
      </c>
      <c r="P107" s="17">
        <v>0</v>
      </c>
      <c r="Q107" s="18">
        <v>0.28999999999999998</v>
      </c>
      <c r="R107" s="17">
        <v>0</v>
      </c>
      <c r="S107" s="19">
        <v>0</v>
      </c>
      <c r="T107" s="17">
        <f t="shared" si="29"/>
        <v>7340</v>
      </c>
      <c r="U107" s="18">
        <v>0.18</v>
      </c>
      <c r="V107" s="17">
        <f t="shared" si="26"/>
        <v>8661.2000000000007</v>
      </c>
      <c r="W107" s="20">
        <f t="shared" si="27"/>
        <v>0.152542372881356</v>
      </c>
      <c r="X107" s="17">
        <v>0</v>
      </c>
      <c r="Y107" s="18">
        <v>0.15</v>
      </c>
      <c r="Z107" s="17">
        <v>0</v>
      </c>
      <c r="AA107" s="18">
        <v>0</v>
      </c>
      <c r="AB107" s="18">
        <v>0.1</v>
      </c>
    </row>
    <row r="108" spans="1:28">
      <c r="A108">
        <v>2026</v>
      </c>
      <c r="B108" t="s">
        <v>157</v>
      </c>
      <c r="C108" t="s">
        <v>151</v>
      </c>
      <c r="D108" t="s">
        <v>152</v>
      </c>
      <c r="E108">
        <v>360103</v>
      </c>
      <c r="G108" t="s">
        <v>148</v>
      </c>
      <c r="H108" t="s">
        <v>148</v>
      </c>
      <c r="I108" t="s">
        <v>59</v>
      </c>
      <c r="J108" t="s">
        <v>29</v>
      </c>
      <c r="K108">
        <v>5</v>
      </c>
      <c r="L108">
        <v>21900</v>
      </c>
      <c r="M108" s="17">
        <f t="shared" si="28"/>
        <v>4380</v>
      </c>
      <c r="O108" s="17">
        <f t="shared" si="25"/>
        <v>5694</v>
      </c>
      <c r="P108" s="17">
        <v>0</v>
      </c>
      <c r="Q108" s="18">
        <v>0.34</v>
      </c>
      <c r="R108" s="17">
        <v>0</v>
      </c>
      <c r="S108" s="19">
        <v>0</v>
      </c>
      <c r="T108" s="17">
        <f t="shared" si="29"/>
        <v>4380</v>
      </c>
      <c r="U108" s="18">
        <v>0.28999999999999998</v>
      </c>
      <c r="V108" s="17">
        <f t="shared" si="26"/>
        <v>5650.2</v>
      </c>
      <c r="W108" s="20">
        <f t="shared" si="27"/>
        <v>0.22480620155038758</v>
      </c>
      <c r="X108" s="17">
        <v>0</v>
      </c>
      <c r="Y108" s="18">
        <v>0.18</v>
      </c>
      <c r="Z108" s="17">
        <v>0</v>
      </c>
      <c r="AA108" s="18">
        <v>0</v>
      </c>
      <c r="AB108" s="18">
        <v>0.1</v>
      </c>
    </row>
    <row r="109" spans="1:28">
      <c r="A109">
        <v>2026</v>
      </c>
      <c r="B109" t="s">
        <v>157</v>
      </c>
      <c r="C109" t="s">
        <v>151</v>
      </c>
      <c r="D109" t="s">
        <v>152</v>
      </c>
      <c r="E109">
        <v>709900</v>
      </c>
      <c r="G109" t="s">
        <v>148</v>
      </c>
      <c r="H109" t="s">
        <v>148</v>
      </c>
      <c r="I109" t="s">
        <v>67</v>
      </c>
      <c r="J109" t="s">
        <v>29</v>
      </c>
      <c r="K109">
        <v>5</v>
      </c>
      <c r="L109">
        <v>114900</v>
      </c>
      <c r="M109" s="17">
        <f t="shared" si="28"/>
        <v>22980</v>
      </c>
      <c r="O109" s="17">
        <f t="shared" si="25"/>
        <v>29874</v>
      </c>
      <c r="P109" s="17">
        <v>0</v>
      </c>
      <c r="Q109" s="18">
        <v>0.25</v>
      </c>
      <c r="R109" s="17">
        <v>0</v>
      </c>
      <c r="S109" s="19">
        <v>0</v>
      </c>
      <c r="T109" s="17">
        <f t="shared" si="29"/>
        <v>22980</v>
      </c>
      <c r="U109" s="18">
        <v>0.34</v>
      </c>
      <c r="V109" s="17">
        <f t="shared" si="26"/>
        <v>30793.200000000001</v>
      </c>
      <c r="W109" s="20">
        <f t="shared" si="27"/>
        <v>0.2537313432835821</v>
      </c>
      <c r="X109" s="17">
        <v>0</v>
      </c>
      <c r="Y109" s="18">
        <v>0.28999999999999998</v>
      </c>
      <c r="Z109" s="17">
        <v>0</v>
      </c>
      <c r="AA109" s="18">
        <v>0</v>
      </c>
      <c r="AB109" s="18">
        <v>0.1</v>
      </c>
    </row>
    <row r="110" spans="1:28">
      <c r="A110">
        <v>2026</v>
      </c>
      <c r="B110" t="s">
        <v>157</v>
      </c>
      <c r="C110" t="s">
        <v>151</v>
      </c>
      <c r="D110" t="s">
        <v>152</v>
      </c>
      <c r="E110">
        <v>709902</v>
      </c>
      <c r="G110" t="s">
        <v>148</v>
      </c>
      <c r="H110" t="s">
        <v>148</v>
      </c>
      <c r="I110" t="s">
        <v>160</v>
      </c>
      <c r="J110" t="s">
        <v>29</v>
      </c>
      <c r="K110">
        <v>5</v>
      </c>
      <c r="L110">
        <v>28000</v>
      </c>
      <c r="M110" s="17">
        <f t="shared" si="28"/>
        <v>5600</v>
      </c>
      <c r="O110" s="17">
        <f t="shared" si="25"/>
        <v>7280</v>
      </c>
      <c r="P110" s="17">
        <v>0</v>
      </c>
      <c r="Q110" s="18">
        <v>0.35</v>
      </c>
      <c r="R110" s="17">
        <v>0</v>
      </c>
      <c r="S110" s="19">
        <v>0</v>
      </c>
      <c r="T110" s="17">
        <f t="shared" si="29"/>
        <v>5600</v>
      </c>
      <c r="U110" s="18">
        <v>0.25</v>
      </c>
      <c r="V110" s="17">
        <f t="shared" si="26"/>
        <v>7000</v>
      </c>
      <c r="W110" s="20">
        <f t="shared" si="27"/>
        <v>0.2</v>
      </c>
      <c r="X110" s="17">
        <v>0</v>
      </c>
      <c r="Y110" s="18">
        <v>0.34</v>
      </c>
      <c r="Z110" s="17">
        <v>0</v>
      </c>
      <c r="AA110" s="18">
        <v>0</v>
      </c>
      <c r="AB110" s="18">
        <v>0.1</v>
      </c>
    </row>
    <row r="111" spans="1:28">
      <c r="A111">
        <v>2026</v>
      </c>
      <c r="B111" t="s">
        <v>157</v>
      </c>
      <c r="C111" t="s">
        <v>151</v>
      </c>
      <c r="D111" t="s">
        <v>152</v>
      </c>
      <c r="E111">
        <v>709903</v>
      </c>
      <c r="G111" t="s">
        <v>148</v>
      </c>
      <c r="H111" t="s">
        <v>148</v>
      </c>
      <c r="I111" t="s">
        <v>161</v>
      </c>
      <c r="J111" t="s">
        <v>29</v>
      </c>
      <c r="K111">
        <v>5</v>
      </c>
      <c r="L111">
        <v>49200</v>
      </c>
      <c r="M111" s="17">
        <f t="shared" si="28"/>
        <v>9840</v>
      </c>
      <c r="O111" s="17">
        <f t="shared" si="25"/>
        <v>12792</v>
      </c>
      <c r="P111" s="17">
        <v>0</v>
      </c>
      <c r="Q111" s="18">
        <v>0.12</v>
      </c>
      <c r="R111" s="17">
        <v>0</v>
      </c>
      <c r="S111" s="19">
        <v>0</v>
      </c>
      <c r="T111" s="17">
        <f t="shared" si="29"/>
        <v>9840</v>
      </c>
      <c r="U111" s="18">
        <v>0.35</v>
      </c>
      <c r="V111" s="17">
        <f t="shared" si="26"/>
        <v>13284</v>
      </c>
      <c r="W111" s="20">
        <f t="shared" si="27"/>
        <v>0.25925925925925924</v>
      </c>
      <c r="X111" s="17">
        <v>0</v>
      </c>
      <c r="Y111" s="18">
        <v>0.25</v>
      </c>
      <c r="Z111" s="17">
        <v>0</v>
      </c>
      <c r="AA111" s="18">
        <v>0</v>
      </c>
      <c r="AB111" s="18">
        <v>0.1</v>
      </c>
    </row>
    <row r="112" spans="1:28">
      <c r="A112">
        <v>2026</v>
      </c>
      <c r="B112" t="s">
        <v>157</v>
      </c>
      <c r="C112" t="s">
        <v>151</v>
      </c>
      <c r="D112" t="s">
        <v>152</v>
      </c>
      <c r="E112">
        <v>709909</v>
      </c>
      <c r="G112" t="s">
        <v>148</v>
      </c>
      <c r="H112" t="s">
        <v>148</v>
      </c>
      <c r="I112" t="s">
        <v>162</v>
      </c>
      <c r="J112" t="s">
        <v>29</v>
      </c>
      <c r="K112">
        <v>5</v>
      </c>
      <c r="L112">
        <v>141600</v>
      </c>
      <c r="M112" s="17">
        <f t="shared" si="28"/>
        <v>28320</v>
      </c>
      <c r="O112" s="17">
        <f t="shared" si="25"/>
        <v>36816</v>
      </c>
      <c r="P112" s="17">
        <v>0</v>
      </c>
      <c r="Q112" s="18">
        <v>0.25</v>
      </c>
      <c r="R112" s="17">
        <v>0</v>
      </c>
      <c r="S112" s="19">
        <v>0</v>
      </c>
      <c r="T112" s="17">
        <f t="shared" si="29"/>
        <v>28320</v>
      </c>
      <c r="U112" s="18">
        <v>0.12</v>
      </c>
      <c r="V112" s="17">
        <f t="shared" si="26"/>
        <v>31718.400000000001</v>
      </c>
      <c r="W112" s="20">
        <f t="shared" si="27"/>
        <v>0.10714285714285718</v>
      </c>
      <c r="X112" s="17">
        <v>0</v>
      </c>
      <c r="Y112" s="18">
        <v>0.35</v>
      </c>
      <c r="Z112" s="17">
        <v>0</v>
      </c>
      <c r="AA112" s="18">
        <v>0</v>
      </c>
      <c r="AB112" s="18">
        <v>0.1</v>
      </c>
    </row>
    <row r="113" spans="1:28">
      <c r="A113">
        <v>2026</v>
      </c>
      <c r="B113" t="s">
        <v>157</v>
      </c>
      <c r="C113" t="s">
        <v>151</v>
      </c>
      <c r="D113" t="s">
        <v>152</v>
      </c>
      <c r="E113">
        <v>709904</v>
      </c>
      <c r="G113" t="s">
        <v>148</v>
      </c>
      <c r="H113" t="s">
        <v>148</v>
      </c>
      <c r="I113" t="s">
        <v>163</v>
      </c>
      <c r="J113" t="s">
        <v>29</v>
      </c>
      <c r="K113">
        <v>5</v>
      </c>
      <c r="L113">
        <v>174700</v>
      </c>
      <c r="M113" s="17">
        <f t="shared" si="28"/>
        <v>34940</v>
      </c>
      <c r="O113" s="17">
        <f t="shared" si="25"/>
        <v>45422</v>
      </c>
      <c r="P113" s="17">
        <v>0</v>
      </c>
      <c r="Q113" s="18">
        <v>0.1</v>
      </c>
      <c r="R113" s="17">
        <v>0</v>
      </c>
      <c r="S113" s="19">
        <v>0</v>
      </c>
      <c r="T113" s="17">
        <f t="shared" si="29"/>
        <v>34940</v>
      </c>
      <c r="U113" s="18">
        <v>0.25</v>
      </c>
      <c r="V113" s="17">
        <f t="shared" si="26"/>
        <v>43675</v>
      </c>
      <c r="W113" s="20">
        <f t="shared" si="27"/>
        <v>0.2</v>
      </c>
      <c r="X113" s="17">
        <v>0</v>
      </c>
      <c r="Y113" s="18">
        <v>0.12</v>
      </c>
      <c r="Z113" s="17">
        <v>0</v>
      </c>
      <c r="AA113" s="18">
        <v>0</v>
      </c>
      <c r="AB113" s="18">
        <v>0.1</v>
      </c>
    </row>
    <row r="114" spans="1:28">
      <c r="A114">
        <v>2026</v>
      </c>
      <c r="B114" t="s">
        <v>157</v>
      </c>
      <c r="C114" t="s">
        <v>151</v>
      </c>
      <c r="D114" t="s">
        <v>152</v>
      </c>
      <c r="E114">
        <v>603421</v>
      </c>
      <c r="G114" t="s">
        <v>148</v>
      </c>
      <c r="H114" t="s">
        <v>148</v>
      </c>
      <c r="I114" t="s">
        <v>164</v>
      </c>
      <c r="J114" t="s">
        <v>29</v>
      </c>
      <c r="K114">
        <v>5</v>
      </c>
      <c r="L114">
        <v>204000</v>
      </c>
      <c r="M114" s="17">
        <f t="shared" si="28"/>
        <v>40800</v>
      </c>
      <c r="O114" s="17">
        <f t="shared" si="25"/>
        <v>53040</v>
      </c>
      <c r="P114" s="17">
        <v>0</v>
      </c>
      <c r="Q114" s="18">
        <v>0.35</v>
      </c>
      <c r="R114" s="17">
        <v>0</v>
      </c>
      <c r="S114" s="19">
        <v>0</v>
      </c>
      <c r="T114" s="17">
        <f t="shared" si="29"/>
        <v>40800</v>
      </c>
      <c r="U114" s="18">
        <v>0.1</v>
      </c>
      <c r="V114" s="17">
        <f t="shared" si="26"/>
        <v>44880</v>
      </c>
      <c r="W114" s="20">
        <f t="shared" si="27"/>
        <v>9.0909090909090912E-2</v>
      </c>
      <c r="X114" s="17">
        <v>0</v>
      </c>
      <c r="Y114" s="18">
        <v>0.22</v>
      </c>
      <c r="Z114" s="17">
        <v>0</v>
      </c>
      <c r="AA114" s="18">
        <v>0</v>
      </c>
      <c r="AB114" s="18">
        <v>0.1</v>
      </c>
    </row>
    <row r="115" spans="1:28">
      <c r="A115">
        <v>2026</v>
      </c>
      <c r="B115" t="s">
        <v>157</v>
      </c>
      <c r="C115" t="s">
        <v>151</v>
      </c>
      <c r="D115" t="s">
        <v>152</v>
      </c>
      <c r="E115">
        <v>603422</v>
      </c>
      <c r="G115" t="s">
        <v>148</v>
      </c>
      <c r="H115" t="s">
        <v>148</v>
      </c>
      <c r="I115" t="s">
        <v>74</v>
      </c>
      <c r="J115" t="s">
        <v>29</v>
      </c>
      <c r="K115">
        <v>5</v>
      </c>
      <c r="L115">
        <v>49000</v>
      </c>
      <c r="M115" s="17">
        <f t="shared" si="28"/>
        <v>9800</v>
      </c>
      <c r="O115" s="17">
        <f t="shared" si="25"/>
        <v>12740</v>
      </c>
      <c r="P115" s="17">
        <v>0</v>
      </c>
      <c r="Q115" s="18">
        <v>0.33</v>
      </c>
      <c r="R115" s="17">
        <v>0</v>
      </c>
      <c r="S115" s="19">
        <v>0</v>
      </c>
      <c r="T115" s="17">
        <f t="shared" si="29"/>
        <v>9800</v>
      </c>
      <c r="U115" s="18">
        <v>0.12</v>
      </c>
      <c r="V115" s="17">
        <f t="shared" si="26"/>
        <v>10976</v>
      </c>
      <c r="W115" s="20">
        <f t="shared" si="27"/>
        <v>0.10714285714285714</v>
      </c>
      <c r="X115" s="17">
        <v>0</v>
      </c>
      <c r="Y115" s="18">
        <v>0.12</v>
      </c>
      <c r="Z115" s="17">
        <v>0</v>
      </c>
      <c r="AA115" s="18">
        <v>0</v>
      </c>
      <c r="AB115" s="18">
        <v>0.1</v>
      </c>
    </row>
    <row r="116" spans="1:28">
      <c r="A116">
        <v>2026</v>
      </c>
      <c r="B116" t="s">
        <v>157</v>
      </c>
      <c r="C116" t="s">
        <v>151</v>
      </c>
      <c r="D116" t="s">
        <v>152</v>
      </c>
      <c r="E116">
        <v>603423</v>
      </c>
      <c r="G116" t="s">
        <v>148</v>
      </c>
      <c r="H116" t="s">
        <v>148</v>
      </c>
      <c r="I116" t="s">
        <v>165</v>
      </c>
      <c r="J116" t="s">
        <v>22</v>
      </c>
      <c r="K116">
        <v>10</v>
      </c>
      <c r="L116">
        <v>224100</v>
      </c>
      <c r="M116" s="17">
        <f t="shared" si="28"/>
        <v>22410</v>
      </c>
      <c r="O116" s="17">
        <f t="shared" si="25"/>
        <v>29133</v>
      </c>
      <c r="P116" s="17">
        <v>0</v>
      </c>
      <c r="Q116" s="18">
        <v>0.31</v>
      </c>
      <c r="R116" s="17">
        <v>0</v>
      </c>
      <c r="S116" s="19">
        <v>0</v>
      </c>
      <c r="T116" s="17">
        <f t="shared" si="29"/>
        <v>22410</v>
      </c>
      <c r="U116" s="18">
        <v>0.15</v>
      </c>
      <c r="V116" s="17">
        <f t="shared" si="26"/>
        <v>25771.5</v>
      </c>
      <c r="W116" s="20">
        <f t="shared" si="27"/>
        <v>0.13043478260869565</v>
      </c>
      <c r="X116" s="17">
        <v>0</v>
      </c>
      <c r="Y116" s="18">
        <v>0.15</v>
      </c>
      <c r="Z116" s="17">
        <v>0</v>
      </c>
      <c r="AA116" s="18">
        <v>0</v>
      </c>
      <c r="AB116" s="18">
        <v>0.1</v>
      </c>
    </row>
    <row r="117" spans="1:28">
      <c r="A117">
        <v>2026</v>
      </c>
      <c r="B117" t="s">
        <v>157</v>
      </c>
      <c r="C117" t="s">
        <v>151</v>
      </c>
      <c r="D117" t="s">
        <v>152</v>
      </c>
      <c r="E117">
        <v>603420</v>
      </c>
      <c r="G117" t="s">
        <v>148</v>
      </c>
      <c r="H117" t="s">
        <v>148</v>
      </c>
      <c r="I117" t="s">
        <v>81</v>
      </c>
      <c r="J117" t="s">
        <v>22</v>
      </c>
      <c r="K117">
        <v>10</v>
      </c>
      <c r="L117">
        <v>38000</v>
      </c>
      <c r="M117" s="17">
        <f t="shared" si="28"/>
        <v>3800</v>
      </c>
      <c r="O117" s="17">
        <f t="shared" si="25"/>
        <v>4940</v>
      </c>
      <c r="P117" s="17">
        <v>0</v>
      </c>
      <c r="Q117" s="18">
        <v>0.3</v>
      </c>
      <c r="R117" s="17">
        <v>0</v>
      </c>
      <c r="S117" s="19">
        <v>0</v>
      </c>
      <c r="T117" s="17">
        <f t="shared" si="29"/>
        <v>3800</v>
      </c>
      <c r="U117" s="18">
        <v>0.18</v>
      </c>
      <c r="V117" s="17">
        <f t="shared" si="26"/>
        <v>4484</v>
      </c>
      <c r="W117" s="20">
        <f t="shared" si="27"/>
        <v>0.15254237288135594</v>
      </c>
      <c r="X117" s="17">
        <v>0</v>
      </c>
      <c r="Y117" s="18">
        <v>0.18</v>
      </c>
      <c r="Z117" s="17">
        <v>0</v>
      </c>
      <c r="AA117" s="18">
        <v>0</v>
      </c>
      <c r="AB117" s="18">
        <v>0.1</v>
      </c>
    </row>
    <row r="118" spans="1:28">
      <c r="A118">
        <v>2026</v>
      </c>
      <c r="B118" t="s">
        <v>157</v>
      </c>
      <c r="C118" t="s">
        <v>151</v>
      </c>
      <c r="D118" t="s">
        <v>152</v>
      </c>
      <c r="E118">
        <v>603424</v>
      </c>
      <c r="G118" t="s">
        <v>148</v>
      </c>
      <c r="H118" t="s">
        <v>148</v>
      </c>
      <c r="I118" t="s">
        <v>83</v>
      </c>
      <c r="J118" t="s">
        <v>22</v>
      </c>
      <c r="K118">
        <v>10</v>
      </c>
      <c r="L118">
        <v>39800</v>
      </c>
      <c r="M118" s="17">
        <f t="shared" si="28"/>
        <v>3980</v>
      </c>
      <c r="O118" s="17">
        <f t="shared" si="25"/>
        <v>5174</v>
      </c>
      <c r="P118" s="17">
        <v>0</v>
      </c>
      <c r="Q118" s="18">
        <v>0.28000000000000003</v>
      </c>
      <c r="R118" s="17">
        <v>0</v>
      </c>
      <c r="S118" s="19">
        <v>0</v>
      </c>
      <c r="T118" s="17">
        <f t="shared" si="29"/>
        <v>3980</v>
      </c>
      <c r="U118" s="18">
        <v>0.28999999999999998</v>
      </c>
      <c r="V118" s="17">
        <f t="shared" si="26"/>
        <v>5134.2</v>
      </c>
      <c r="W118" s="20">
        <f t="shared" si="27"/>
        <v>0.22480620155038758</v>
      </c>
      <c r="X118" s="17">
        <v>0</v>
      </c>
      <c r="Y118" s="18">
        <v>0.28999999999999998</v>
      </c>
      <c r="Z118" s="17">
        <v>0</v>
      </c>
      <c r="AA118" s="18">
        <v>0</v>
      </c>
      <c r="AB118" s="18">
        <v>0.1</v>
      </c>
    </row>
    <row r="119" spans="1:28">
      <c r="A119">
        <v>2026</v>
      </c>
      <c r="B119" t="s">
        <v>157</v>
      </c>
      <c r="C119" t="s">
        <v>151</v>
      </c>
      <c r="D119" t="s">
        <v>152</v>
      </c>
      <c r="E119">
        <v>583300</v>
      </c>
      <c r="G119" t="s">
        <v>148</v>
      </c>
      <c r="H119" t="s">
        <v>148</v>
      </c>
      <c r="I119" t="s">
        <v>97</v>
      </c>
      <c r="J119" t="s">
        <v>12</v>
      </c>
      <c r="K119">
        <v>1</v>
      </c>
      <c r="L119">
        <v>43500</v>
      </c>
      <c r="M119" s="17">
        <f t="shared" si="28"/>
        <v>43500</v>
      </c>
      <c r="O119" s="17">
        <f t="shared" si="25"/>
        <v>56550</v>
      </c>
      <c r="P119" s="17">
        <v>0</v>
      </c>
      <c r="Q119" s="18">
        <v>0.27</v>
      </c>
      <c r="R119" s="17">
        <v>0</v>
      </c>
      <c r="S119" s="19">
        <v>0</v>
      </c>
      <c r="T119" s="17">
        <f t="shared" si="29"/>
        <v>43500</v>
      </c>
      <c r="U119" s="18">
        <v>0.34</v>
      </c>
      <c r="V119" s="17">
        <f t="shared" si="26"/>
        <v>58290</v>
      </c>
      <c r="W119" s="20">
        <f t="shared" si="27"/>
        <v>0.2537313432835821</v>
      </c>
      <c r="X119" s="17">
        <v>0</v>
      </c>
      <c r="Y119" s="18">
        <v>0.34</v>
      </c>
      <c r="Z119" s="17">
        <v>0</v>
      </c>
      <c r="AA119" s="18">
        <v>0</v>
      </c>
      <c r="AB119" s="18">
        <v>0.1</v>
      </c>
    </row>
    <row r="120" spans="1:28">
      <c r="A120">
        <v>2026</v>
      </c>
      <c r="B120" t="s">
        <v>157</v>
      </c>
      <c r="C120" t="s">
        <v>151</v>
      </c>
      <c r="D120" t="s">
        <v>152</v>
      </c>
      <c r="E120">
        <v>583400</v>
      </c>
      <c r="G120" t="s">
        <v>148</v>
      </c>
      <c r="H120" t="s">
        <v>148</v>
      </c>
      <c r="I120" t="s">
        <v>105</v>
      </c>
      <c r="J120" t="s">
        <v>166</v>
      </c>
      <c r="K120">
        <v>2</v>
      </c>
      <c r="L120">
        <v>67900</v>
      </c>
      <c r="M120" s="17">
        <f>(L120/10)*2</f>
        <v>13580</v>
      </c>
      <c r="O120" s="17">
        <f t="shared" si="25"/>
        <v>17654</v>
      </c>
      <c r="P120" s="17">
        <v>0</v>
      </c>
      <c r="Q120" s="18">
        <v>0.17</v>
      </c>
      <c r="R120" s="17">
        <v>0</v>
      </c>
      <c r="S120" s="19">
        <v>0</v>
      </c>
      <c r="T120" s="17">
        <f t="shared" si="29"/>
        <v>13580</v>
      </c>
      <c r="U120" s="18">
        <v>0.25</v>
      </c>
      <c r="V120" s="17">
        <f t="shared" si="26"/>
        <v>16975</v>
      </c>
      <c r="W120" s="20">
        <f t="shared" si="27"/>
        <v>0.2</v>
      </c>
      <c r="X120" s="17">
        <v>0</v>
      </c>
      <c r="Y120" s="18">
        <v>0.25</v>
      </c>
      <c r="Z120" s="17">
        <v>0</v>
      </c>
      <c r="AA120" s="18">
        <v>0</v>
      </c>
      <c r="AB120" s="18">
        <v>0.1</v>
      </c>
    </row>
    <row r="121" spans="1:28">
      <c r="A121">
        <v>2026</v>
      </c>
      <c r="B121" t="s">
        <v>157</v>
      </c>
      <c r="C121" t="s">
        <v>151</v>
      </c>
      <c r="D121" t="s">
        <v>152</v>
      </c>
      <c r="E121">
        <v>583500</v>
      </c>
      <c r="G121" t="s">
        <v>148</v>
      </c>
      <c r="H121" t="s">
        <v>148</v>
      </c>
      <c r="I121" t="s">
        <v>107</v>
      </c>
      <c r="J121" t="s">
        <v>166</v>
      </c>
      <c r="K121">
        <v>2</v>
      </c>
      <c r="L121">
        <v>50300</v>
      </c>
      <c r="M121" s="17">
        <f>(L121/10)*2</f>
        <v>10060</v>
      </c>
      <c r="O121" s="17">
        <f t="shared" si="25"/>
        <v>13078</v>
      </c>
      <c r="P121" s="17">
        <v>0</v>
      </c>
      <c r="Q121" s="18">
        <v>0.22</v>
      </c>
      <c r="R121" s="17">
        <v>0</v>
      </c>
      <c r="S121" s="19">
        <v>0</v>
      </c>
      <c r="T121" s="17">
        <f t="shared" si="29"/>
        <v>10060</v>
      </c>
      <c r="U121" s="18">
        <v>0.35</v>
      </c>
      <c r="V121" s="17">
        <f t="shared" si="26"/>
        <v>13581</v>
      </c>
      <c r="W121" s="20">
        <f t="shared" si="27"/>
        <v>0.25925925925925924</v>
      </c>
      <c r="X121" s="17">
        <v>0</v>
      </c>
      <c r="Y121" s="18">
        <v>0.35</v>
      </c>
      <c r="Z121" s="17">
        <v>0</v>
      </c>
      <c r="AA121" s="18">
        <v>0</v>
      </c>
      <c r="AB121" s="18">
        <v>0.1</v>
      </c>
    </row>
    <row r="122" spans="1:28">
      <c r="A122">
        <v>2026</v>
      </c>
      <c r="B122" t="s">
        <v>158</v>
      </c>
      <c r="C122" t="s">
        <v>151</v>
      </c>
      <c r="D122" t="s">
        <v>152</v>
      </c>
      <c r="E122">
        <v>360001</v>
      </c>
      <c r="G122" t="s">
        <v>148</v>
      </c>
      <c r="H122" t="s">
        <v>148</v>
      </c>
      <c r="I122" t="s">
        <v>11</v>
      </c>
      <c r="J122" t="s">
        <v>12</v>
      </c>
      <c r="K122">
        <v>40</v>
      </c>
      <c r="L122">
        <v>893800</v>
      </c>
      <c r="M122" s="17">
        <f>L122/K122</f>
        <v>22345</v>
      </c>
      <c r="O122" s="17">
        <f t="shared" ref="O122:O141" si="30">M122+(M122*30%)</f>
        <v>29048.5</v>
      </c>
      <c r="P122" s="17">
        <v>0</v>
      </c>
      <c r="Q122" s="18">
        <v>0.17</v>
      </c>
      <c r="R122" s="17">
        <v>0</v>
      </c>
      <c r="S122" s="19">
        <v>0</v>
      </c>
      <c r="T122" s="17">
        <f>IF(C122="Mediana Complejidad",M122,0)</f>
        <v>22345</v>
      </c>
      <c r="U122" s="18">
        <v>0.27</v>
      </c>
      <c r="V122" s="17">
        <f t="shared" ref="V122:V141" si="31">T122+(T122*U122)</f>
        <v>28378.15</v>
      </c>
      <c r="W122" s="20">
        <f t="shared" ref="W122:W141" si="32">IFERROR(((V122-T122)/V122),0)</f>
        <v>0.21259842519685043</v>
      </c>
      <c r="X122" s="17">
        <v>0</v>
      </c>
      <c r="Y122" s="18">
        <v>0.28000000000000003</v>
      </c>
      <c r="Z122" s="17">
        <v>0</v>
      </c>
      <c r="AA122" s="18">
        <v>0</v>
      </c>
      <c r="AB122" s="18">
        <v>0.1</v>
      </c>
    </row>
    <row r="123" spans="1:28">
      <c r="A123">
        <v>2026</v>
      </c>
      <c r="B123" t="s">
        <v>158</v>
      </c>
      <c r="C123" t="s">
        <v>151</v>
      </c>
      <c r="D123" t="s">
        <v>152</v>
      </c>
      <c r="E123">
        <v>360102</v>
      </c>
      <c r="G123" t="s">
        <v>148</v>
      </c>
      <c r="H123" t="s">
        <v>148</v>
      </c>
      <c r="I123" t="s">
        <v>18</v>
      </c>
      <c r="J123" t="s">
        <v>12</v>
      </c>
      <c r="K123">
        <v>250</v>
      </c>
      <c r="L123">
        <v>80300</v>
      </c>
      <c r="M123" s="17">
        <f t="shared" ref="M123:M139" si="33">L123/K123</f>
        <v>321.2</v>
      </c>
      <c r="O123" s="17">
        <f t="shared" si="30"/>
        <v>417.56</v>
      </c>
      <c r="P123" s="17">
        <v>0</v>
      </c>
      <c r="Q123" s="18">
        <v>0.22</v>
      </c>
      <c r="R123" s="17">
        <v>0</v>
      </c>
      <c r="S123" s="19">
        <v>0</v>
      </c>
      <c r="T123" s="17">
        <f t="shared" ref="T123:T141" si="34">IF(C123="Mediana Complejidad",M123,0)</f>
        <v>321.2</v>
      </c>
      <c r="U123" s="18">
        <v>0.17</v>
      </c>
      <c r="V123" s="17">
        <f t="shared" si="31"/>
        <v>375.80399999999997</v>
      </c>
      <c r="W123" s="20">
        <f t="shared" si="32"/>
        <v>0.14529914529914528</v>
      </c>
      <c r="X123" s="17">
        <v>0</v>
      </c>
      <c r="Y123" s="18">
        <v>0.27</v>
      </c>
      <c r="Z123" s="17">
        <v>0</v>
      </c>
      <c r="AA123" s="18">
        <v>0</v>
      </c>
      <c r="AB123" s="18">
        <v>0.1</v>
      </c>
    </row>
    <row r="124" spans="1:28">
      <c r="A124">
        <v>2026</v>
      </c>
      <c r="B124" t="s">
        <v>158</v>
      </c>
      <c r="C124" t="s">
        <v>151</v>
      </c>
      <c r="D124" t="s">
        <v>152</v>
      </c>
      <c r="E124">
        <v>360104</v>
      </c>
      <c r="G124" t="s">
        <v>148</v>
      </c>
      <c r="H124" t="s">
        <v>148</v>
      </c>
      <c r="I124" t="s">
        <v>26</v>
      </c>
      <c r="J124" t="s">
        <v>22</v>
      </c>
      <c r="K124">
        <v>10</v>
      </c>
      <c r="L124">
        <v>28800</v>
      </c>
      <c r="M124" s="17">
        <f t="shared" si="33"/>
        <v>2880</v>
      </c>
      <c r="O124" s="17">
        <f t="shared" si="30"/>
        <v>3744</v>
      </c>
      <c r="P124" s="17">
        <v>0</v>
      </c>
      <c r="Q124" s="18">
        <v>0.12</v>
      </c>
      <c r="R124" s="17">
        <v>0</v>
      </c>
      <c r="S124" s="19">
        <v>0</v>
      </c>
      <c r="T124" s="17">
        <f t="shared" si="34"/>
        <v>2880</v>
      </c>
      <c r="U124" s="18">
        <v>0.22</v>
      </c>
      <c r="V124" s="17">
        <f t="shared" si="31"/>
        <v>3513.6</v>
      </c>
      <c r="W124" s="20">
        <f t="shared" si="32"/>
        <v>0.18032786885245899</v>
      </c>
      <c r="X124" s="17">
        <v>0</v>
      </c>
      <c r="Y124" s="18">
        <v>0.17</v>
      </c>
      <c r="Z124" s="17">
        <v>0</v>
      </c>
      <c r="AA124" s="18">
        <v>0</v>
      </c>
      <c r="AB124" s="18">
        <v>0.1</v>
      </c>
    </row>
    <row r="125" spans="1:28">
      <c r="A125">
        <v>2026</v>
      </c>
      <c r="B125" t="s">
        <v>158</v>
      </c>
      <c r="C125" t="s">
        <v>151</v>
      </c>
      <c r="D125" t="s">
        <v>152</v>
      </c>
      <c r="E125">
        <v>360100</v>
      </c>
      <c r="G125" t="s">
        <v>148</v>
      </c>
      <c r="H125" t="s">
        <v>148</v>
      </c>
      <c r="I125" t="s">
        <v>35</v>
      </c>
      <c r="J125" t="s">
        <v>22</v>
      </c>
      <c r="K125">
        <v>10</v>
      </c>
      <c r="L125">
        <v>36700</v>
      </c>
      <c r="M125" s="17">
        <f t="shared" si="33"/>
        <v>3670</v>
      </c>
      <c r="O125" s="17">
        <f t="shared" si="30"/>
        <v>4771</v>
      </c>
      <c r="P125" s="17">
        <v>0</v>
      </c>
      <c r="Q125" s="18">
        <v>0.15</v>
      </c>
      <c r="R125" s="17">
        <v>0</v>
      </c>
      <c r="S125" s="19">
        <v>0</v>
      </c>
      <c r="T125" s="17">
        <f t="shared" si="34"/>
        <v>3670</v>
      </c>
      <c r="U125" s="18">
        <v>0.12</v>
      </c>
      <c r="V125" s="17">
        <f t="shared" si="31"/>
        <v>4110.3999999999996</v>
      </c>
      <c r="W125" s="20">
        <f t="shared" si="32"/>
        <v>0.10714285714285707</v>
      </c>
      <c r="X125" s="17">
        <v>0</v>
      </c>
      <c r="Y125" s="18">
        <v>0.22</v>
      </c>
      <c r="Z125" s="17">
        <v>0</v>
      </c>
      <c r="AA125" s="18">
        <v>0</v>
      </c>
      <c r="AB125" s="18">
        <v>0.1</v>
      </c>
    </row>
    <row r="126" spans="1:28">
      <c r="A126">
        <v>2026</v>
      </c>
      <c r="B126" t="s">
        <v>158</v>
      </c>
      <c r="C126" t="s">
        <v>151</v>
      </c>
      <c r="D126" t="s">
        <v>152</v>
      </c>
      <c r="E126">
        <v>360150</v>
      </c>
      <c r="G126" t="s">
        <v>148</v>
      </c>
      <c r="H126" t="s">
        <v>148</v>
      </c>
      <c r="I126" t="s">
        <v>159</v>
      </c>
      <c r="J126" t="s">
        <v>29</v>
      </c>
      <c r="K126">
        <v>5</v>
      </c>
      <c r="L126">
        <v>28000</v>
      </c>
      <c r="M126" s="17">
        <f t="shared" si="33"/>
        <v>5600</v>
      </c>
      <c r="O126" s="17">
        <f t="shared" si="30"/>
        <v>7280</v>
      </c>
      <c r="P126" s="17">
        <v>0</v>
      </c>
      <c r="Q126" s="18">
        <v>0.18</v>
      </c>
      <c r="R126" s="17">
        <v>0</v>
      </c>
      <c r="S126" s="19">
        <v>0</v>
      </c>
      <c r="T126" s="17">
        <f t="shared" si="34"/>
        <v>5600</v>
      </c>
      <c r="U126" s="18">
        <v>0.15</v>
      </c>
      <c r="V126" s="17">
        <f t="shared" si="31"/>
        <v>6440</v>
      </c>
      <c r="W126" s="20">
        <f t="shared" si="32"/>
        <v>0.13043478260869565</v>
      </c>
      <c r="X126" s="17">
        <v>0</v>
      </c>
      <c r="Y126" s="18">
        <v>0.12</v>
      </c>
      <c r="Z126" s="17">
        <v>0</v>
      </c>
      <c r="AA126" s="18">
        <v>0</v>
      </c>
      <c r="AB126" s="18">
        <v>0.1</v>
      </c>
    </row>
    <row r="127" spans="1:28">
      <c r="A127">
        <v>2026</v>
      </c>
      <c r="B127" t="s">
        <v>158</v>
      </c>
      <c r="C127" t="s">
        <v>151</v>
      </c>
      <c r="D127" t="s">
        <v>152</v>
      </c>
      <c r="E127">
        <v>360101</v>
      </c>
      <c r="G127" t="s">
        <v>148</v>
      </c>
      <c r="H127" t="s">
        <v>148</v>
      </c>
      <c r="I127" t="s">
        <v>50</v>
      </c>
      <c r="J127" t="s">
        <v>29</v>
      </c>
      <c r="K127">
        <v>5</v>
      </c>
      <c r="L127">
        <v>36700</v>
      </c>
      <c r="M127" s="17">
        <f t="shared" si="33"/>
        <v>7340</v>
      </c>
      <c r="O127" s="17">
        <f t="shared" si="30"/>
        <v>9542</v>
      </c>
      <c r="P127" s="17">
        <v>0</v>
      </c>
      <c r="Q127" s="18">
        <v>0.28999999999999998</v>
      </c>
      <c r="R127" s="17">
        <v>0</v>
      </c>
      <c r="S127" s="19">
        <v>0</v>
      </c>
      <c r="T127" s="17">
        <f t="shared" si="34"/>
        <v>7340</v>
      </c>
      <c r="U127" s="18">
        <v>0.18</v>
      </c>
      <c r="V127" s="17">
        <f t="shared" si="31"/>
        <v>8661.2000000000007</v>
      </c>
      <c r="W127" s="20">
        <f t="shared" si="32"/>
        <v>0.152542372881356</v>
      </c>
      <c r="X127" s="17">
        <v>0</v>
      </c>
      <c r="Y127" s="18">
        <v>0.15</v>
      </c>
      <c r="Z127" s="17">
        <v>0</v>
      </c>
      <c r="AA127" s="18">
        <v>0</v>
      </c>
      <c r="AB127" s="18">
        <v>0.1</v>
      </c>
    </row>
    <row r="128" spans="1:28">
      <c r="A128">
        <v>2026</v>
      </c>
      <c r="B128" t="s">
        <v>158</v>
      </c>
      <c r="C128" t="s">
        <v>151</v>
      </c>
      <c r="D128" t="s">
        <v>152</v>
      </c>
      <c r="E128">
        <v>360103</v>
      </c>
      <c r="G128" t="s">
        <v>148</v>
      </c>
      <c r="H128" t="s">
        <v>148</v>
      </c>
      <c r="I128" t="s">
        <v>59</v>
      </c>
      <c r="J128" t="s">
        <v>29</v>
      </c>
      <c r="K128">
        <v>5</v>
      </c>
      <c r="L128">
        <v>21900</v>
      </c>
      <c r="M128" s="17">
        <f t="shared" si="33"/>
        <v>4380</v>
      </c>
      <c r="O128" s="17">
        <f t="shared" si="30"/>
        <v>5694</v>
      </c>
      <c r="P128" s="17">
        <v>0</v>
      </c>
      <c r="Q128" s="18">
        <v>0.34</v>
      </c>
      <c r="R128" s="17">
        <v>0</v>
      </c>
      <c r="S128" s="19">
        <v>0</v>
      </c>
      <c r="T128" s="17">
        <f t="shared" si="34"/>
        <v>4380</v>
      </c>
      <c r="U128" s="18">
        <v>0.28999999999999998</v>
      </c>
      <c r="V128" s="17">
        <f t="shared" si="31"/>
        <v>5650.2</v>
      </c>
      <c r="W128" s="20">
        <f t="shared" si="32"/>
        <v>0.22480620155038758</v>
      </c>
      <c r="X128" s="17">
        <v>0</v>
      </c>
      <c r="Y128" s="18">
        <v>0.18</v>
      </c>
      <c r="Z128" s="17">
        <v>0</v>
      </c>
      <c r="AA128" s="18">
        <v>0</v>
      </c>
      <c r="AB128" s="18">
        <v>0.1</v>
      </c>
    </row>
    <row r="129" spans="1:28">
      <c r="A129">
        <v>2026</v>
      </c>
      <c r="B129" t="s">
        <v>158</v>
      </c>
      <c r="C129" t="s">
        <v>151</v>
      </c>
      <c r="D129" t="s">
        <v>152</v>
      </c>
      <c r="E129">
        <v>709900</v>
      </c>
      <c r="G129" t="s">
        <v>148</v>
      </c>
      <c r="H129" t="s">
        <v>148</v>
      </c>
      <c r="I129" t="s">
        <v>67</v>
      </c>
      <c r="J129" t="s">
        <v>29</v>
      </c>
      <c r="K129">
        <v>5</v>
      </c>
      <c r="L129">
        <v>114900</v>
      </c>
      <c r="M129" s="17">
        <f t="shared" si="33"/>
        <v>22980</v>
      </c>
      <c r="O129" s="17">
        <f t="shared" si="30"/>
        <v>29874</v>
      </c>
      <c r="P129" s="17">
        <v>0</v>
      </c>
      <c r="Q129" s="18">
        <v>0.25</v>
      </c>
      <c r="R129" s="17">
        <v>0</v>
      </c>
      <c r="S129" s="19">
        <v>0</v>
      </c>
      <c r="T129" s="17">
        <f t="shared" si="34"/>
        <v>22980</v>
      </c>
      <c r="U129" s="18">
        <v>0.34</v>
      </c>
      <c r="V129" s="17">
        <f t="shared" si="31"/>
        <v>30793.200000000001</v>
      </c>
      <c r="W129" s="20">
        <f t="shared" si="32"/>
        <v>0.2537313432835821</v>
      </c>
      <c r="X129" s="17">
        <v>0</v>
      </c>
      <c r="Y129" s="18">
        <v>0.28999999999999998</v>
      </c>
      <c r="Z129" s="17">
        <v>0</v>
      </c>
      <c r="AA129" s="18">
        <v>0</v>
      </c>
      <c r="AB129" s="18">
        <v>0.1</v>
      </c>
    </row>
    <row r="130" spans="1:28">
      <c r="A130">
        <v>2026</v>
      </c>
      <c r="B130" t="s">
        <v>158</v>
      </c>
      <c r="C130" t="s">
        <v>151</v>
      </c>
      <c r="D130" t="s">
        <v>152</v>
      </c>
      <c r="E130">
        <v>709902</v>
      </c>
      <c r="G130" t="s">
        <v>148</v>
      </c>
      <c r="H130" t="s">
        <v>148</v>
      </c>
      <c r="I130" t="s">
        <v>160</v>
      </c>
      <c r="J130" t="s">
        <v>29</v>
      </c>
      <c r="K130">
        <v>5</v>
      </c>
      <c r="L130">
        <v>28000</v>
      </c>
      <c r="M130" s="17">
        <f t="shared" si="33"/>
        <v>5600</v>
      </c>
      <c r="O130" s="17">
        <f t="shared" si="30"/>
        <v>7280</v>
      </c>
      <c r="P130" s="17">
        <v>0</v>
      </c>
      <c r="Q130" s="18">
        <v>0.35</v>
      </c>
      <c r="R130" s="17">
        <v>0</v>
      </c>
      <c r="S130" s="19">
        <v>0</v>
      </c>
      <c r="T130" s="17">
        <f t="shared" si="34"/>
        <v>5600</v>
      </c>
      <c r="U130" s="18">
        <v>0.25</v>
      </c>
      <c r="V130" s="17">
        <f t="shared" si="31"/>
        <v>7000</v>
      </c>
      <c r="W130" s="20">
        <f t="shared" si="32"/>
        <v>0.2</v>
      </c>
      <c r="X130" s="17">
        <v>0</v>
      </c>
      <c r="Y130" s="18">
        <v>0.34</v>
      </c>
      <c r="Z130" s="17">
        <v>0</v>
      </c>
      <c r="AA130" s="18">
        <v>0</v>
      </c>
      <c r="AB130" s="18">
        <v>0.1</v>
      </c>
    </row>
    <row r="131" spans="1:28">
      <c r="A131">
        <v>2026</v>
      </c>
      <c r="B131" t="s">
        <v>158</v>
      </c>
      <c r="C131" t="s">
        <v>151</v>
      </c>
      <c r="D131" t="s">
        <v>152</v>
      </c>
      <c r="E131">
        <v>709903</v>
      </c>
      <c r="G131" t="s">
        <v>148</v>
      </c>
      <c r="H131" t="s">
        <v>148</v>
      </c>
      <c r="I131" t="s">
        <v>161</v>
      </c>
      <c r="J131" t="s">
        <v>29</v>
      </c>
      <c r="K131">
        <v>5</v>
      </c>
      <c r="L131">
        <v>49200</v>
      </c>
      <c r="M131" s="17">
        <f t="shared" si="33"/>
        <v>9840</v>
      </c>
      <c r="O131" s="17">
        <f t="shared" si="30"/>
        <v>12792</v>
      </c>
      <c r="P131" s="17">
        <v>0</v>
      </c>
      <c r="Q131" s="18">
        <v>0.12</v>
      </c>
      <c r="R131" s="17">
        <v>0</v>
      </c>
      <c r="S131" s="19">
        <v>0</v>
      </c>
      <c r="T131" s="17">
        <f t="shared" si="34"/>
        <v>9840</v>
      </c>
      <c r="U131" s="18">
        <v>0.35</v>
      </c>
      <c r="V131" s="17">
        <f t="shared" si="31"/>
        <v>13284</v>
      </c>
      <c r="W131" s="20">
        <f t="shared" si="32"/>
        <v>0.25925925925925924</v>
      </c>
      <c r="X131" s="17">
        <v>0</v>
      </c>
      <c r="Y131" s="18">
        <v>0.25</v>
      </c>
      <c r="Z131" s="17">
        <v>0</v>
      </c>
      <c r="AA131" s="18">
        <v>0</v>
      </c>
      <c r="AB131" s="18">
        <v>0.1</v>
      </c>
    </row>
    <row r="132" spans="1:28">
      <c r="A132">
        <v>2026</v>
      </c>
      <c r="B132" t="s">
        <v>158</v>
      </c>
      <c r="C132" t="s">
        <v>151</v>
      </c>
      <c r="D132" t="s">
        <v>152</v>
      </c>
      <c r="E132">
        <v>709909</v>
      </c>
      <c r="G132" t="s">
        <v>148</v>
      </c>
      <c r="H132" t="s">
        <v>148</v>
      </c>
      <c r="I132" t="s">
        <v>162</v>
      </c>
      <c r="J132" t="s">
        <v>29</v>
      </c>
      <c r="K132">
        <v>5</v>
      </c>
      <c r="L132">
        <v>141600</v>
      </c>
      <c r="M132" s="17">
        <f t="shared" si="33"/>
        <v>28320</v>
      </c>
      <c r="O132" s="17">
        <f t="shared" si="30"/>
        <v>36816</v>
      </c>
      <c r="P132" s="17">
        <v>0</v>
      </c>
      <c r="Q132" s="18">
        <v>0.25</v>
      </c>
      <c r="R132" s="17">
        <v>0</v>
      </c>
      <c r="S132" s="19">
        <v>0</v>
      </c>
      <c r="T132" s="17">
        <f t="shared" si="34"/>
        <v>28320</v>
      </c>
      <c r="U132" s="18">
        <v>0.12</v>
      </c>
      <c r="V132" s="17">
        <f t="shared" si="31"/>
        <v>31718.400000000001</v>
      </c>
      <c r="W132" s="20">
        <f t="shared" si="32"/>
        <v>0.10714285714285718</v>
      </c>
      <c r="X132" s="17">
        <v>0</v>
      </c>
      <c r="Y132" s="18">
        <v>0.35</v>
      </c>
      <c r="Z132" s="17">
        <v>0</v>
      </c>
      <c r="AA132" s="18">
        <v>0</v>
      </c>
      <c r="AB132" s="18">
        <v>0.1</v>
      </c>
    </row>
    <row r="133" spans="1:28">
      <c r="A133">
        <v>2026</v>
      </c>
      <c r="B133" t="s">
        <v>158</v>
      </c>
      <c r="C133" t="s">
        <v>151</v>
      </c>
      <c r="D133" t="s">
        <v>152</v>
      </c>
      <c r="E133">
        <v>709904</v>
      </c>
      <c r="G133" t="s">
        <v>148</v>
      </c>
      <c r="H133" t="s">
        <v>148</v>
      </c>
      <c r="I133" t="s">
        <v>163</v>
      </c>
      <c r="J133" t="s">
        <v>29</v>
      </c>
      <c r="K133">
        <v>5</v>
      </c>
      <c r="L133">
        <v>174700</v>
      </c>
      <c r="M133" s="17">
        <f t="shared" si="33"/>
        <v>34940</v>
      </c>
      <c r="O133" s="17">
        <f t="shared" si="30"/>
        <v>45422</v>
      </c>
      <c r="P133" s="17">
        <v>0</v>
      </c>
      <c r="Q133" s="18">
        <v>0.1</v>
      </c>
      <c r="R133" s="17">
        <v>0</v>
      </c>
      <c r="S133" s="19">
        <v>0</v>
      </c>
      <c r="T133" s="17">
        <f t="shared" si="34"/>
        <v>34940</v>
      </c>
      <c r="U133" s="18">
        <v>0.25</v>
      </c>
      <c r="V133" s="17">
        <f t="shared" si="31"/>
        <v>43675</v>
      </c>
      <c r="W133" s="20">
        <f t="shared" si="32"/>
        <v>0.2</v>
      </c>
      <c r="X133" s="17">
        <v>0</v>
      </c>
      <c r="Y133" s="18">
        <v>0.12</v>
      </c>
      <c r="Z133" s="17">
        <v>0</v>
      </c>
      <c r="AA133" s="18">
        <v>0</v>
      </c>
      <c r="AB133" s="18">
        <v>0.1</v>
      </c>
    </row>
    <row r="134" spans="1:28">
      <c r="A134">
        <v>2026</v>
      </c>
      <c r="B134" t="s">
        <v>158</v>
      </c>
      <c r="C134" t="s">
        <v>151</v>
      </c>
      <c r="D134" t="s">
        <v>152</v>
      </c>
      <c r="E134">
        <v>603421</v>
      </c>
      <c r="G134" t="s">
        <v>148</v>
      </c>
      <c r="H134" t="s">
        <v>148</v>
      </c>
      <c r="I134" t="s">
        <v>164</v>
      </c>
      <c r="J134" t="s">
        <v>29</v>
      </c>
      <c r="K134">
        <v>5</v>
      </c>
      <c r="L134">
        <v>204000</v>
      </c>
      <c r="M134" s="17">
        <f t="shared" si="33"/>
        <v>40800</v>
      </c>
      <c r="O134" s="17">
        <f t="shared" si="30"/>
        <v>53040</v>
      </c>
      <c r="P134" s="17">
        <v>0</v>
      </c>
      <c r="Q134" s="18">
        <v>0.35</v>
      </c>
      <c r="R134" s="17">
        <v>0</v>
      </c>
      <c r="S134" s="19">
        <v>0</v>
      </c>
      <c r="T134" s="17">
        <f t="shared" si="34"/>
        <v>40800</v>
      </c>
      <c r="U134" s="18">
        <v>0.1</v>
      </c>
      <c r="V134" s="17">
        <f t="shared" si="31"/>
        <v>44880</v>
      </c>
      <c r="W134" s="20">
        <f t="shared" si="32"/>
        <v>9.0909090909090912E-2</v>
      </c>
      <c r="X134" s="17">
        <v>0</v>
      </c>
      <c r="Y134" s="18">
        <v>0.22</v>
      </c>
      <c r="Z134" s="17">
        <v>0</v>
      </c>
      <c r="AA134" s="18">
        <v>0</v>
      </c>
      <c r="AB134" s="18">
        <v>0.1</v>
      </c>
    </row>
    <row r="135" spans="1:28">
      <c r="A135">
        <v>2026</v>
      </c>
      <c r="B135" t="s">
        <v>158</v>
      </c>
      <c r="C135" t="s">
        <v>151</v>
      </c>
      <c r="D135" t="s">
        <v>152</v>
      </c>
      <c r="E135">
        <v>603422</v>
      </c>
      <c r="G135" t="s">
        <v>148</v>
      </c>
      <c r="H135" t="s">
        <v>148</v>
      </c>
      <c r="I135" t="s">
        <v>74</v>
      </c>
      <c r="J135" t="s">
        <v>29</v>
      </c>
      <c r="K135">
        <v>5</v>
      </c>
      <c r="L135">
        <v>49000</v>
      </c>
      <c r="M135" s="17">
        <f t="shared" si="33"/>
        <v>9800</v>
      </c>
      <c r="O135" s="17">
        <f t="shared" si="30"/>
        <v>12740</v>
      </c>
      <c r="P135" s="17">
        <v>0</v>
      </c>
      <c r="Q135" s="18">
        <v>0.33</v>
      </c>
      <c r="R135" s="17">
        <v>0</v>
      </c>
      <c r="S135" s="19">
        <v>0</v>
      </c>
      <c r="T135" s="17">
        <f t="shared" si="34"/>
        <v>9800</v>
      </c>
      <c r="U135" s="18">
        <v>0.12</v>
      </c>
      <c r="V135" s="17">
        <f t="shared" si="31"/>
        <v>10976</v>
      </c>
      <c r="W135" s="20">
        <f t="shared" si="32"/>
        <v>0.10714285714285714</v>
      </c>
      <c r="X135" s="17">
        <v>0</v>
      </c>
      <c r="Y135" s="18">
        <v>0.12</v>
      </c>
      <c r="Z135" s="17">
        <v>0</v>
      </c>
      <c r="AA135" s="18">
        <v>0</v>
      </c>
      <c r="AB135" s="18">
        <v>0.1</v>
      </c>
    </row>
    <row r="136" spans="1:28">
      <c r="A136">
        <v>2026</v>
      </c>
      <c r="B136" t="s">
        <v>158</v>
      </c>
      <c r="C136" t="s">
        <v>151</v>
      </c>
      <c r="D136" t="s">
        <v>152</v>
      </c>
      <c r="E136">
        <v>603423</v>
      </c>
      <c r="G136" t="s">
        <v>148</v>
      </c>
      <c r="H136" t="s">
        <v>148</v>
      </c>
      <c r="I136" t="s">
        <v>165</v>
      </c>
      <c r="J136" t="s">
        <v>22</v>
      </c>
      <c r="K136">
        <v>10</v>
      </c>
      <c r="L136">
        <v>224100</v>
      </c>
      <c r="M136" s="17">
        <f t="shared" si="33"/>
        <v>22410</v>
      </c>
      <c r="O136" s="17">
        <f t="shared" si="30"/>
        <v>29133</v>
      </c>
      <c r="P136" s="17">
        <v>0</v>
      </c>
      <c r="Q136" s="18">
        <v>0.31</v>
      </c>
      <c r="R136" s="17">
        <v>0</v>
      </c>
      <c r="S136" s="19">
        <v>0</v>
      </c>
      <c r="T136" s="17">
        <f t="shared" si="34"/>
        <v>22410</v>
      </c>
      <c r="U136" s="18">
        <v>0.15</v>
      </c>
      <c r="V136" s="17">
        <f t="shared" si="31"/>
        <v>25771.5</v>
      </c>
      <c r="W136" s="20">
        <f t="shared" si="32"/>
        <v>0.13043478260869565</v>
      </c>
      <c r="X136" s="17">
        <v>0</v>
      </c>
      <c r="Y136" s="18">
        <v>0.15</v>
      </c>
      <c r="Z136" s="17">
        <v>0</v>
      </c>
      <c r="AA136" s="18">
        <v>0</v>
      </c>
      <c r="AB136" s="18">
        <v>0.1</v>
      </c>
    </row>
    <row r="137" spans="1:28">
      <c r="A137">
        <v>2026</v>
      </c>
      <c r="B137" t="s">
        <v>158</v>
      </c>
      <c r="C137" t="s">
        <v>151</v>
      </c>
      <c r="D137" t="s">
        <v>152</v>
      </c>
      <c r="E137">
        <v>603420</v>
      </c>
      <c r="G137" t="s">
        <v>148</v>
      </c>
      <c r="H137" t="s">
        <v>148</v>
      </c>
      <c r="I137" t="s">
        <v>81</v>
      </c>
      <c r="J137" t="s">
        <v>22</v>
      </c>
      <c r="K137">
        <v>10</v>
      </c>
      <c r="L137">
        <v>38000</v>
      </c>
      <c r="M137" s="17">
        <f t="shared" si="33"/>
        <v>3800</v>
      </c>
      <c r="O137" s="17">
        <f t="shared" si="30"/>
        <v>4940</v>
      </c>
      <c r="P137" s="17">
        <v>0</v>
      </c>
      <c r="Q137" s="18">
        <v>0.3</v>
      </c>
      <c r="R137" s="17">
        <v>0</v>
      </c>
      <c r="S137" s="19">
        <v>0</v>
      </c>
      <c r="T137" s="17">
        <f t="shared" si="34"/>
        <v>3800</v>
      </c>
      <c r="U137" s="18">
        <v>0.18</v>
      </c>
      <c r="V137" s="17">
        <f t="shared" si="31"/>
        <v>4484</v>
      </c>
      <c r="W137" s="20">
        <f t="shared" si="32"/>
        <v>0.15254237288135594</v>
      </c>
      <c r="X137" s="17">
        <v>0</v>
      </c>
      <c r="Y137" s="18">
        <v>0.18</v>
      </c>
      <c r="Z137" s="17">
        <v>0</v>
      </c>
      <c r="AA137" s="18">
        <v>0</v>
      </c>
      <c r="AB137" s="18">
        <v>0.1</v>
      </c>
    </row>
    <row r="138" spans="1:28">
      <c r="A138">
        <v>2026</v>
      </c>
      <c r="B138" t="s">
        <v>158</v>
      </c>
      <c r="C138" t="s">
        <v>151</v>
      </c>
      <c r="D138" t="s">
        <v>152</v>
      </c>
      <c r="E138">
        <v>603424</v>
      </c>
      <c r="G138" t="s">
        <v>148</v>
      </c>
      <c r="H138" t="s">
        <v>148</v>
      </c>
      <c r="I138" t="s">
        <v>83</v>
      </c>
      <c r="J138" t="s">
        <v>22</v>
      </c>
      <c r="K138">
        <v>10</v>
      </c>
      <c r="L138">
        <v>39800</v>
      </c>
      <c r="M138" s="17">
        <f t="shared" si="33"/>
        <v>3980</v>
      </c>
      <c r="O138" s="17">
        <f t="shared" si="30"/>
        <v>5174</v>
      </c>
      <c r="P138" s="17">
        <v>0</v>
      </c>
      <c r="Q138" s="18">
        <v>0.28000000000000003</v>
      </c>
      <c r="R138" s="17">
        <v>0</v>
      </c>
      <c r="S138" s="19">
        <v>0</v>
      </c>
      <c r="T138" s="17">
        <f t="shared" si="34"/>
        <v>3980</v>
      </c>
      <c r="U138" s="18">
        <v>0.28999999999999998</v>
      </c>
      <c r="V138" s="17">
        <f t="shared" si="31"/>
        <v>5134.2</v>
      </c>
      <c r="W138" s="20">
        <f t="shared" si="32"/>
        <v>0.22480620155038758</v>
      </c>
      <c r="X138" s="17">
        <v>0</v>
      </c>
      <c r="Y138" s="18">
        <v>0.28999999999999998</v>
      </c>
      <c r="Z138" s="17">
        <v>0</v>
      </c>
      <c r="AA138" s="18">
        <v>0</v>
      </c>
      <c r="AB138" s="18">
        <v>0.1</v>
      </c>
    </row>
    <row r="139" spans="1:28">
      <c r="A139">
        <v>2026</v>
      </c>
      <c r="B139" t="s">
        <v>158</v>
      </c>
      <c r="C139" t="s">
        <v>151</v>
      </c>
      <c r="D139" t="s">
        <v>152</v>
      </c>
      <c r="E139">
        <v>583300</v>
      </c>
      <c r="G139" t="s">
        <v>148</v>
      </c>
      <c r="H139" t="s">
        <v>148</v>
      </c>
      <c r="I139" t="s">
        <v>97</v>
      </c>
      <c r="J139" t="s">
        <v>12</v>
      </c>
      <c r="K139">
        <v>1</v>
      </c>
      <c r="L139">
        <v>43500</v>
      </c>
      <c r="M139" s="17">
        <f t="shared" si="33"/>
        <v>43500</v>
      </c>
      <c r="O139" s="17">
        <f t="shared" si="30"/>
        <v>56550</v>
      </c>
      <c r="P139" s="17">
        <v>0</v>
      </c>
      <c r="Q139" s="18">
        <v>0.27</v>
      </c>
      <c r="R139" s="17">
        <v>0</v>
      </c>
      <c r="S139" s="19">
        <v>0</v>
      </c>
      <c r="T139" s="17">
        <f t="shared" si="34"/>
        <v>43500</v>
      </c>
      <c r="U139" s="18">
        <v>0.34</v>
      </c>
      <c r="V139" s="17">
        <f t="shared" si="31"/>
        <v>58290</v>
      </c>
      <c r="W139" s="20">
        <f t="shared" si="32"/>
        <v>0.2537313432835821</v>
      </c>
      <c r="X139" s="17">
        <v>0</v>
      </c>
      <c r="Y139" s="18">
        <v>0.34</v>
      </c>
      <c r="Z139" s="17">
        <v>0</v>
      </c>
      <c r="AA139" s="18">
        <v>0</v>
      </c>
      <c r="AB139" s="18">
        <v>0.1</v>
      </c>
    </row>
    <row r="140" spans="1:28">
      <c r="A140">
        <v>2026</v>
      </c>
      <c r="B140" t="s">
        <v>158</v>
      </c>
      <c r="C140" t="s">
        <v>151</v>
      </c>
      <c r="D140" t="s">
        <v>152</v>
      </c>
      <c r="E140">
        <v>583400</v>
      </c>
      <c r="G140" t="s">
        <v>148</v>
      </c>
      <c r="H140" t="s">
        <v>148</v>
      </c>
      <c r="I140" t="s">
        <v>105</v>
      </c>
      <c r="J140" t="s">
        <v>166</v>
      </c>
      <c r="K140">
        <v>2</v>
      </c>
      <c r="L140">
        <v>67900</v>
      </c>
      <c r="M140" s="17">
        <f>(L140/10)*2</f>
        <v>13580</v>
      </c>
      <c r="O140" s="17">
        <f t="shared" si="30"/>
        <v>17654</v>
      </c>
      <c r="P140" s="17">
        <v>0</v>
      </c>
      <c r="Q140" s="18">
        <v>0.17</v>
      </c>
      <c r="R140" s="17">
        <v>0</v>
      </c>
      <c r="S140" s="19">
        <v>0</v>
      </c>
      <c r="T140" s="17">
        <f t="shared" si="34"/>
        <v>13580</v>
      </c>
      <c r="U140" s="18">
        <v>0.25</v>
      </c>
      <c r="V140" s="17">
        <f t="shared" si="31"/>
        <v>16975</v>
      </c>
      <c r="W140" s="20">
        <f t="shared" si="32"/>
        <v>0.2</v>
      </c>
      <c r="X140" s="17">
        <v>0</v>
      </c>
      <c r="Y140" s="18">
        <v>0.25</v>
      </c>
      <c r="Z140" s="17">
        <v>0</v>
      </c>
      <c r="AA140" s="18">
        <v>0</v>
      </c>
      <c r="AB140" s="18">
        <v>0.1</v>
      </c>
    </row>
    <row r="141" spans="1:28">
      <c r="A141">
        <v>2026</v>
      </c>
      <c r="B141" t="s">
        <v>158</v>
      </c>
      <c r="C141" t="s">
        <v>151</v>
      </c>
      <c r="D141" t="s">
        <v>152</v>
      </c>
      <c r="E141">
        <v>583500</v>
      </c>
      <c r="G141" t="s">
        <v>148</v>
      </c>
      <c r="H141" t="s">
        <v>148</v>
      </c>
      <c r="I141" t="s">
        <v>107</v>
      </c>
      <c r="J141" t="s">
        <v>166</v>
      </c>
      <c r="K141">
        <v>2</v>
      </c>
      <c r="L141">
        <v>50300</v>
      </c>
      <c r="M141" s="17">
        <f>(L141/10)*2</f>
        <v>10060</v>
      </c>
      <c r="O141" s="17">
        <f t="shared" si="30"/>
        <v>13078</v>
      </c>
      <c r="P141" s="17">
        <v>0</v>
      </c>
      <c r="Q141" s="18">
        <v>0.22</v>
      </c>
      <c r="R141" s="17">
        <v>0</v>
      </c>
      <c r="S141" s="19">
        <v>0</v>
      </c>
      <c r="T141" s="17">
        <f t="shared" si="34"/>
        <v>10060</v>
      </c>
      <c r="U141" s="18">
        <v>0.35</v>
      </c>
      <c r="V141" s="17">
        <f t="shared" si="31"/>
        <v>13581</v>
      </c>
      <c r="W141" s="20">
        <f t="shared" si="32"/>
        <v>0.25925925925925924</v>
      </c>
      <c r="X141" s="17">
        <v>0</v>
      </c>
      <c r="Y141" s="18">
        <v>0.35</v>
      </c>
      <c r="Z141" s="17">
        <v>0</v>
      </c>
      <c r="AA141" s="18">
        <v>0</v>
      </c>
      <c r="AB141" s="18">
        <v>0.1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4"/>
  <sheetViews>
    <sheetView topLeftCell="A3" zoomScaleNormal="150" zoomScaleSheetLayoutView="100" workbookViewId="0">
      <selection activeCell="D14" sqref="D14"/>
    </sheetView>
  </sheetViews>
  <sheetFormatPr baseColWidth="10" defaultColWidth="9" defaultRowHeight="14.25"/>
  <cols>
    <col min="1" max="1" width="55" customWidth="1"/>
    <col min="2" max="2" width="20" customWidth="1"/>
    <col min="3" max="3" width="22" customWidth="1"/>
    <col min="4" max="5" width="20" customWidth="1"/>
  </cols>
  <sheetData>
    <row r="1" spans="1:5" ht="15">
      <c r="A1" s="1" t="s">
        <v>110</v>
      </c>
      <c r="B1" s="1" t="s">
        <v>111</v>
      </c>
      <c r="C1" s="1"/>
      <c r="D1" s="1"/>
    </row>
    <row r="2" spans="1:5">
      <c r="A2" s="3" t="s">
        <v>112</v>
      </c>
      <c r="B2" s="3">
        <v>95</v>
      </c>
      <c r="C2" s="3"/>
      <c r="D2" s="3"/>
    </row>
    <row r="3" spans="1:5">
      <c r="A3" s="3" t="s">
        <v>113</v>
      </c>
      <c r="B3" s="9">
        <f>MIN('Referencias digitalizadas'!I2:I29)</f>
        <v>13500</v>
      </c>
      <c r="C3" s="3"/>
      <c r="D3" s="3"/>
    </row>
    <row r="4" spans="1:5">
      <c r="A4" s="3" t="s">
        <v>114</v>
      </c>
      <c r="B4" s="9">
        <f>MAX('Referencias digitalizadas'!I2:I29)</f>
        <v>893800</v>
      </c>
      <c r="C4" s="3"/>
      <c r="D4" s="3"/>
    </row>
    <row r="5" spans="1:5">
      <c r="A5" s="3" t="s">
        <v>115</v>
      </c>
      <c r="B5" s="9">
        <f>AVERAGE('Referencias digitalizadas'!I2:I29)</f>
        <v>94692.857142857145</v>
      </c>
      <c r="C5" s="3"/>
      <c r="D5" s="3"/>
    </row>
    <row r="8" spans="1:5" ht="15">
      <c r="A8" s="10" t="s">
        <v>1</v>
      </c>
      <c r="B8" s="10" t="s">
        <v>116</v>
      </c>
      <c r="D8" s="10" t="s">
        <v>7</v>
      </c>
      <c r="E8" s="10" t="s">
        <v>116</v>
      </c>
    </row>
    <row r="9" spans="1:5">
      <c r="A9" t="s">
        <v>78</v>
      </c>
      <c r="B9">
        <v>6</v>
      </c>
      <c r="D9" t="s">
        <v>99</v>
      </c>
      <c r="E9">
        <v>6</v>
      </c>
    </row>
    <row r="10" spans="1:5">
      <c r="A10" t="s">
        <v>72</v>
      </c>
      <c r="B10">
        <v>2</v>
      </c>
      <c r="D10" t="s">
        <v>14</v>
      </c>
      <c r="E10">
        <v>34</v>
      </c>
    </row>
    <row r="11" spans="1:5">
      <c r="A11" t="s">
        <v>75</v>
      </c>
      <c r="B11">
        <v>3</v>
      </c>
      <c r="D11" t="s">
        <v>89</v>
      </c>
      <c r="E11">
        <v>17</v>
      </c>
    </row>
    <row r="12" spans="1:5">
      <c r="A12" t="s">
        <v>44</v>
      </c>
      <c r="B12">
        <v>5</v>
      </c>
      <c r="D12" t="s">
        <v>24</v>
      </c>
      <c r="E12">
        <v>38</v>
      </c>
    </row>
    <row r="13" spans="1:5">
      <c r="A13" t="s">
        <v>55</v>
      </c>
      <c r="B13">
        <v>4</v>
      </c>
    </row>
    <row r="14" spans="1:5">
      <c r="A14" t="s">
        <v>60</v>
      </c>
      <c r="B14">
        <v>5</v>
      </c>
    </row>
    <row r="15" spans="1:5">
      <c r="A15" t="s">
        <v>54</v>
      </c>
      <c r="B15">
        <v>1</v>
      </c>
    </row>
    <row r="16" spans="1:5">
      <c r="A16" t="s">
        <v>41</v>
      </c>
      <c r="B16">
        <v>5</v>
      </c>
    </row>
    <row r="17" spans="1:2">
      <c r="A17" t="s">
        <v>38</v>
      </c>
      <c r="B17">
        <v>3</v>
      </c>
    </row>
    <row r="18" spans="1:2">
      <c r="A18" t="s">
        <v>43</v>
      </c>
      <c r="B18">
        <v>2</v>
      </c>
    </row>
    <row r="19" spans="1:2">
      <c r="A19" t="s">
        <v>42</v>
      </c>
      <c r="B19">
        <v>1</v>
      </c>
    </row>
    <row r="20" spans="1:2">
      <c r="A20" t="s">
        <v>40</v>
      </c>
      <c r="B20">
        <v>4</v>
      </c>
    </row>
    <row r="21" spans="1:2">
      <c r="A21" t="s">
        <v>70</v>
      </c>
      <c r="B21">
        <v>7</v>
      </c>
    </row>
    <row r="22" spans="1:2">
      <c r="A22" t="s">
        <v>71</v>
      </c>
      <c r="B22">
        <v>2</v>
      </c>
    </row>
    <row r="23" spans="1:2">
      <c r="A23" t="s">
        <v>93</v>
      </c>
      <c r="B23">
        <v>5</v>
      </c>
    </row>
    <row r="24" spans="1:2">
      <c r="A24" t="s">
        <v>94</v>
      </c>
      <c r="B24">
        <v>5</v>
      </c>
    </row>
    <row r="25" spans="1:2">
      <c r="A25" t="s">
        <v>19</v>
      </c>
      <c r="B25">
        <v>5</v>
      </c>
    </row>
    <row r="26" spans="1:2">
      <c r="A26" t="s">
        <v>30</v>
      </c>
      <c r="B26">
        <v>5</v>
      </c>
    </row>
    <row r="27" spans="1:2">
      <c r="A27" t="s">
        <v>90</v>
      </c>
      <c r="B27">
        <v>2</v>
      </c>
    </row>
    <row r="28" spans="1:2">
      <c r="A28" t="s">
        <v>9</v>
      </c>
      <c r="B28">
        <v>1</v>
      </c>
    </row>
    <row r="29" spans="1:2">
      <c r="A29" t="s">
        <v>88</v>
      </c>
      <c r="B29">
        <v>2</v>
      </c>
    </row>
    <row r="30" spans="1:2">
      <c r="A30" t="s">
        <v>91</v>
      </c>
      <c r="B30">
        <v>4</v>
      </c>
    </row>
    <row r="31" spans="1:2">
      <c r="A31" t="s">
        <v>92</v>
      </c>
      <c r="B31">
        <v>4</v>
      </c>
    </row>
    <row r="32" spans="1:2">
      <c r="A32" t="s">
        <v>15</v>
      </c>
      <c r="B32">
        <v>6</v>
      </c>
    </row>
    <row r="33" spans="1:2">
      <c r="A33" t="s">
        <v>100</v>
      </c>
      <c r="B33">
        <v>5</v>
      </c>
    </row>
    <row r="34" spans="1:2">
      <c r="A34" t="s">
        <v>95</v>
      </c>
      <c r="B34">
        <v>1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Referencias digitalizadas</vt:lpstr>
      <vt:lpstr>Alta complejidad</vt:lpstr>
      <vt:lpstr>Baja complejidad</vt:lpstr>
      <vt:lpstr>Meidiana complejidad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Lorin Acero Quimbayo</dc:creator>
  <cp:lastModifiedBy>DANIEL EDUARDO GONZALEZ BUITRAGO</cp:lastModifiedBy>
  <dcterms:created xsi:type="dcterms:W3CDTF">2026-05-30T10:23:28Z</dcterms:created>
  <dcterms:modified xsi:type="dcterms:W3CDTF">2026-06-01T23:06:50Z</dcterms:modified>
</cp:coreProperties>
</file>