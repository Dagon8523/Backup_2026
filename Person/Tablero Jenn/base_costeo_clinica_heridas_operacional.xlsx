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blero Jenn\"/>
    </mc:Choice>
  </mc:AlternateContent>
  <xr:revisionPtr revIDLastSave="0" documentId="13_ncr:1_{3364FD02-BB8C-45F5-8928-6FAF4179F490}" xr6:coauthVersionLast="47" xr6:coauthVersionMax="47" xr10:uidLastSave="{00000000-0000-0000-0000-000000000000}"/>
  <bookViews>
    <workbookView xWindow="21090" yWindow="0" windowWidth="26985" windowHeight="14160" firstSheet="1" activeTab="1" xr2:uid="{00000000-000D-0000-FFFF-FFFF00000000}"/>
  </bookViews>
  <sheets>
    <sheet name="BASE_COSTEO (2)" sheetId="3" state="hidden" r:id="rId1"/>
    <sheet name="DashBoard" sheetId="2" r:id="rId2"/>
    <sheet name="BASE_COSTEO" sheetId="1" r:id="rId3"/>
    <sheet name="formulas" sheetId="4" r:id="rId4"/>
  </sheets>
  <definedNames>
    <definedName name="_xlnm._FilterDatabase" localSheetId="2" hidden="1">BASE_COSTEO!$A$1:$AB$680</definedName>
    <definedName name="_xlnm._FilterDatabase" localSheetId="0" hidden="1">'BASE_COSTEO (2)'!$C$1:$N$457</definedName>
  </definedNames>
  <calcPr calcId="191029"/>
  <pivotCaches>
    <pivotCache cacheId="2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E10" i="2"/>
  <c r="K10" i="2"/>
  <c r="M10" i="2"/>
  <c r="T680" i="1"/>
  <c r="V680" i="1" s="1"/>
  <c r="T679" i="1"/>
  <c r="V679" i="1" s="1"/>
  <c r="W679" i="1" s="1"/>
  <c r="T678" i="1"/>
  <c r="V678" i="1" s="1"/>
  <c r="T677" i="1"/>
  <c r="V677" i="1" s="1"/>
  <c r="T676" i="1"/>
  <c r="V676" i="1" s="1"/>
  <c r="T675" i="1"/>
  <c r="V675" i="1" s="1"/>
  <c r="W675" i="1" s="1"/>
  <c r="T674" i="1"/>
  <c r="V674" i="1" s="1"/>
  <c r="T673" i="1"/>
  <c r="V673" i="1" s="1"/>
  <c r="T672" i="1"/>
  <c r="V672" i="1" s="1"/>
  <c r="T671" i="1"/>
  <c r="V671" i="1" s="1"/>
  <c r="W671" i="1" s="1"/>
  <c r="T670" i="1"/>
  <c r="V670" i="1" s="1"/>
  <c r="T669" i="1"/>
  <c r="V669" i="1" s="1"/>
  <c r="T668" i="1"/>
  <c r="V668" i="1" s="1"/>
  <c r="T667" i="1"/>
  <c r="V667" i="1" s="1"/>
  <c r="W667" i="1" s="1"/>
  <c r="T666" i="1"/>
  <c r="V666" i="1" s="1"/>
  <c r="V665" i="1"/>
  <c r="W665" i="1" s="1"/>
  <c r="T665" i="1"/>
  <c r="T664" i="1"/>
  <c r="V664" i="1" s="1"/>
  <c r="T663" i="1"/>
  <c r="V663" i="1" s="1"/>
  <c r="W663" i="1" s="1"/>
  <c r="T662" i="1"/>
  <c r="V662" i="1" s="1"/>
  <c r="T661" i="1"/>
  <c r="V661" i="1" s="1"/>
  <c r="T660" i="1"/>
  <c r="V660" i="1" s="1"/>
  <c r="T659" i="1"/>
  <c r="V659" i="1" s="1"/>
  <c r="W659" i="1" s="1"/>
  <c r="T658" i="1"/>
  <c r="V658" i="1" s="1"/>
  <c r="T657" i="1"/>
  <c r="V657" i="1" s="1"/>
  <c r="W657" i="1" s="1"/>
  <c r="T656" i="1"/>
  <c r="V656" i="1" s="1"/>
  <c r="T655" i="1"/>
  <c r="V655" i="1" s="1"/>
  <c r="W655" i="1" s="1"/>
  <c r="T654" i="1"/>
  <c r="V654" i="1" s="1"/>
  <c r="T653" i="1"/>
  <c r="V653" i="1" s="1"/>
  <c r="T652" i="1"/>
  <c r="V652" i="1" s="1"/>
  <c r="T651" i="1"/>
  <c r="V651" i="1" s="1"/>
  <c r="W651" i="1" s="1"/>
  <c r="T650" i="1"/>
  <c r="V650" i="1" s="1"/>
  <c r="T649" i="1"/>
  <c r="V649" i="1" s="1"/>
  <c r="T648" i="1"/>
  <c r="V648" i="1" s="1"/>
  <c r="T647" i="1"/>
  <c r="V647" i="1" s="1"/>
  <c r="W647" i="1" s="1"/>
  <c r="T646" i="1"/>
  <c r="V646" i="1" s="1"/>
  <c r="T645" i="1"/>
  <c r="V645" i="1" s="1"/>
  <c r="T644" i="1"/>
  <c r="V644" i="1" s="1"/>
  <c r="T643" i="1"/>
  <c r="V643" i="1" s="1"/>
  <c r="W643" i="1" s="1"/>
  <c r="T642" i="1"/>
  <c r="V642" i="1" s="1"/>
  <c r="T641" i="1"/>
  <c r="V641" i="1" s="1"/>
  <c r="T640" i="1"/>
  <c r="V640" i="1" s="1"/>
  <c r="T639" i="1"/>
  <c r="V639" i="1" s="1"/>
  <c r="W639" i="1" s="1"/>
  <c r="T638" i="1"/>
  <c r="V638" i="1" s="1"/>
  <c r="T637" i="1"/>
  <c r="V637" i="1" s="1"/>
  <c r="T636" i="1"/>
  <c r="V636" i="1" s="1"/>
  <c r="T635" i="1"/>
  <c r="V635" i="1" s="1"/>
  <c r="W635" i="1" s="1"/>
  <c r="T634" i="1"/>
  <c r="V634" i="1" s="1"/>
  <c r="T633" i="1"/>
  <c r="V633" i="1" s="1"/>
  <c r="T632" i="1"/>
  <c r="V632" i="1" s="1"/>
  <c r="T631" i="1"/>
  <c r="V631" i="1" s="1"/>
  <c r="W631" i="1" s="1"/>
  <c r="T630" i="1"/>
  <c r="V630" i="1" s="1"/>
  <c r="T629" i="1"/>
  <c r="V629" i="1" s="1"/>
  <c r="T628" i="1"/>
  <c r="V628" i="1" s="1"/>
  <c r="T627" i="1"/>
  <c r="V627" i="1" s="1"/>
  <c r="W627" i="1" s="1"/>
  <c r="T626" i="1"/>
  <c r="V626" i="1" s="1"/>
  <c r="T625" i="1"/>
  <c r="V625" i="1" s="1"/>
  <c r="T624" i="1"/>
  <c r="V624" i="1" s="1"/>
  <c r="T623" i="1"/>
  <c r="V623" i="1" s="1"/>
  <c r="W623" i="1" s="1"/>
  <c r="T622" i="1"/>
  <c r="V622" i="1" s="1"/>
  <c r="T621" i="1"/>
  <c r="V621" i="1" s="1"/>
  <c r="T620" i="1"/>
  <c r="V620" i="1" s="1"/>
  <c r="T619" i="1"/>
  <c r="V619" i="1" s="1"/>
  <c r="W619" i="1" s="1"/>
  <c r="T618" i="1"/>
  <c r="V618" i="1" s="1"/>
  <c r="T617" i="1"/>
  <c r="V617" i="1" s="1"/>
  <c r="T616" i="1"/>
  <c r="V616" i="1" s="1"/>
  <c r="T615" i="1"/>
  <c r="V615" i="1" s="1"/>
  <c r="W615" i="1" s="1"/>
  <c r="T614" i="1"/>
  <c r="V614" i="1" s="1"/>
  <c r="T613" i="1"/>
  <c r="V613" i="1" s="1"/>
  <c r="T612" i="1"/>
  <c r="V612" i="1" s="1"/>
  <c r="T611" i="1"/>
  <c r="V611" i="1" s="1"/>
  <c r="W611" i="1" s="1"/>
  <c r="T610" i="1"/>
  <c r="V610" i="1" s="1"/>
  <c r="T609" i="1"/>
  <c r="V609" i="1" s="1"/>
  <c r="T608" i="1"/>
  <c r="V608" i="1" s="1"/>
  <c r="T607" i="1"/>
  <c r="V607" i="1" s="1"/>
  <c r="W607" i="1" s="1"/>
  <c r="T606" i="1"/>
  <c r="V606" i="1" s="1"/>
  <c r="T605" i="1"/>
  <c r="V605" i="1" s="1"/>
  <c r="T604" i="1"/>
  <c r="V604" i="1" s="1"/>
  <c r="T603" i="1"/>
  <c r="V603" i="1" s="1"/>
  <c r="W603" i="1" s="1"/>
  <c r="T602" i="1"/>
  <c r="V602" i="1" s="1"/>
  <c r="T601" i="1"/>
  <c r="V601" i="1" s="1"/>
  <c r="O601" i="1" s="1"/>
  <c r="T600" i="1"/>
  <c r="V600" i="1" s="1"/>
  <c r="T599" i="1"/>
  <c r="V599" i="1" s="1"/>
  <c r="T598" i="1"/>
  <c r="V598" i="1" s="1"/>
  <c r="T597" i="1"/>
  <c r="V597" i="1" s="1"/>
  <c r="T596" i="1"/>
  <c r="V596" i="1" s="1"/>
  <c r="T595" i="1"/>
  <c r="V595" i="1" s="1"/>
  <c r="T594" i="1"/>
  <c r="V594" i="1" s="1"/>
  <c r="T593" i="1"/>
  <c r="V593" i="1" s="1"/>
  <c r="T592" i="1"/>
  <c r="V592" i="1" s="1"/>
  <c r="T591" i="1"/>
  <c r="V591" i="1" s="1"/>
  <c r="T590" i="1"/>
  <c r="V590" i="1" s="1"/>
  <c r="T589" i="1"/>
  <c r="V589" i="1" s="1"/>
  <c r="T588" i="1"/>
  <c r="V588" i="1" s="1"/>
  <c r="T587" i="1"/>
  <c r="V587" i="1" s="1"/>
  <c r="T586" i="1"/>
  <c r="V586" i="1" s="1"/>
  <c r="T585" i="1"/>
  <c r="V585" i="1" s="1"/>
  <c r="T584" i="1"/>
  <c r="V584" i="1" s="1"/>
  <c r="T583" i="1"/>
  <c r="V583" i="1" s="1"/>
  <c r="T582" i="1"/>
  <c r="V582" i="1" s="1"/>
  <c r="T581" i="1"/>
  <c r="V581" i="1" s="1"/>
  <c r="T580" i="1"/>
  <c r="V580" i="1" s="1"/>
  <c r="T579" i="1"/>
  <c r="V579" i="1" s="1"/>
  <c r="T578" i="1"/>
  <c r="V578" i="1" s="1"/>
  <c r="T577" i="1"/>
  <c r="V577" i="1" s="1"/>
  <c r="T576" i="1"/>
  <c r="V576" i="1" s="1"/>
  <c r="X575" i="1"/>
  <c r="Z575" i="1" s="1"/>
  <c r="AA575" i="1" s="1"/>
  <c r="X574" i="1"/>
  <c r="Z574" i="1" s="1"/>
  <c r="AA574" i="1" s="1"/>
  <c r="X573" i="1"/>
  <c r="Z573" i="1" s="1"/>
  <c r="AA573" i="1" s="1"/>
  <c r="X572" i="1"/>
  <c r="Z572" i="1" s="1"/>
  <c r="AA572" i="1" s="1"/>
  <c r="X571" i="1"/>
  <c r="Z571" i="1" s="1"/>
  <c r="AA571" i="1" s="1"/>
  <c r="X570" i="1"/>
  <c r="Z570" i="1" s="1"/>
  <c r="AA570" i="1" s="1"/>
  <c r="X569" i="1"/>
  <c r="Z569" i="1" s="1"/>
  <c r="AA569" i="1" s="1"/>
  <c r="X568" i="1"/>
  <c r="Z568" i="1" s="1"/>
  <c r="AA568" i="1" s="1"/>
  <c r="X567" i="1"/>
  <c r="Z567" i="1" s="1"/>
  <c r="AA567" i="1" s="1"/>
  <c r="X566" i="1"/>
  <c r="Z566" i="1" s="1"/>
  <c r="AA566" i="1" s="1"/>
  <c r="X565" i="1"/>
  <c r="Z565" i="1" s="1"/>
  <c r="AA565" i="1" s="1"/>
  <c r="X564" i="1"/>
  <c r="Z564" i="1" s="1"/>
  <c r="AA564" i="1" s="1"/>
  <c r="X563" i="1"/>
  <c r="Z563" i="1" s="1"/>
  <c r="AA563" i="1" s="1"/>
  <c r="X562" i="1"/>
  <c r="Z562" i="1" s="1"/>
  <c r="AA562" i="1" s="1"/>
  <c r="X561" i="1"/>
  <c r="Z561" i="1" s="1"/>
  <c r="AA561" i="1" s="1"/>
  <c r="X560" i="1"/>
  <c r="Z560" i="1" s="1"/>
  <c r="AA560" i="1" s="1"/>
  <c r="X559" i="1"/>
  <c r="Z559" i="1" s="1"/>
  <c r="AA559" i="1" s="1"/>
  <c r="X558" i="1"/>
  <c r="Z558" i="1" s="1"/>
  <c r="AA558" i="1" s="1"/>
  <c r="X557" i="1"/>
  <c r="Z557" i="1" s="1"/>
  <c r="AA557" i="1" s="1"/>
  <c r="X556" i="1"/>
  <c r="Z556" i="1" s="1"/>
  <c r="AA556" i="1" s="1"/>
  <c r="X555" i="1"/>
  <c r="Z555" i="1" s="1"/>
  <c r="AA555" i="1" s="1"/>
  <c r="X554" i="1"/>
  <c r="Z554" i="1" s="1"/>
  <c r="AA554" i="1" s="1"/>
  <c r="X553" i="1"/>
  <c r="Z553" i="1" s="1"/>
  <c r="AA553" i="1" s="1"/>
  <c r="X552" i="1"/>
  <c r="Z552" i="1" s="1"/>
  <c r="AA552" i="1" s="1"/>
  <c r="X551" i="1"/>
  <c r="Z551" i="1" s="1"/>
  <c r="AA551" i="1" s="1"/>
  <c r="X550" i="1"/>
  <c r="Z550" i="1" s="1"/>
  <c r="AA550" i="1" s="1"/>
  <c r="X549" i="1"/>
  <c r="Z549" i="1" s="1"/>
  <c r="AA549" i="1" s="1"/>
  <c r="X548" i="1"/>
  <c r="Z548" i="1" s="1"/>
  <c r="AA548" i="1" s="1"/>
  <c r="X547" i="1"/>
  <c r="Z547" i="1" s="1"/>
  <c r="AA547" i="1" s="1"/>
  <c r="X546" i="1"/>
  <c r="Z546" i="1" s="1"/>
  <c r="AA546" i="1" s="1"/>
  <c r="X545" i="1"/>
  <c r="Z545" i="1" s="1"/>
  <c r="AA545" i="1" s="1"/>
  <c r="X544" i="1"/>
  <c r="Z544" i="1" s="1"/>
  <c r="AA544" i="1" s="1"/>
  <c r="X543" i="1"/>
  <c r="Z543" i="1" s="1"/>
  <c r="AA543" i="1" s="1"/>
  <c r="X542" i="1"/>
  <c r="Z542" i="1" s="1"/>
  <c r="AA542" i="1" s="1"/>
  <c r="X541" i="1"/>
  <c r="Z541" i="1" s="1"/>
  <c r="AA541" i="1" s="1"/>
  <c r="X540" i="1"/>
  <c r="Z540" i="1" s="1"/>
  <c r="AA540" i="1" s="1"/>
  <c r="X539" i="1"/>
  <c r="Z539" i="1" s="1"/>
  <c r="AA539" i="1" s="1"/>
  <c r="X538" i="1"/>
  <c r="Z538" i="1" s="1"/>
  <c r="AA538" i="1" s="1"/>
  <c r="X537" i="1"/>
  <c r="Z537" i="1" s="1"/>
  <c r="AA537" i="1" s="1"/>
  <c r="X536" i="1"/>
  <c r="Z536" i="1" s="1"/>
  <c r="AA536" i="1" s="1"/>
  <c r="X535" i="1"/>
  <c r="Z535" i="1" s="1"/>
  <c r="AA535" i="1" s="1"/>
  <c r="X534" i="1"/>
  <c r="Z534" i="1" s="1"/>
  <c r="AA534" i="1" s="1"/>
  <c r="X533" i="1"/>
  <c r="Z533" i="1" s="1"/>
  <c r="AA533" i="1" s="1"/>
  <c r="X532" i="1"/>
  <c r="Z532" i="1" s="1"/>
  <c r="AA532" i="1" s="1"/>
  <c r="X531" i="1"/>
  <c r="Z531" i="1" s="1"/>
  <c r="AA531" i="1" s="1"/>
  <c r="X530" i="1"/>
  <c r="Z530" i="1" s="1"/>
  <c r="AA530" i="1" s="1"/>
  <c r="X529" i="1"/>
  <c r="Z529" i="1" s="1"/>
  <c r="AA529" i="1" s="1"/>
  <c r="X528" i="1"/>
  <c r="Z528" i="1" s="1"/>
  <c r="AA528" i="1" s="1"/>
  <c r="X527" i="1"/>
  <c r="Z527" i="1" s="1"/>
  <c r="AA527" i="1" s="1"/>
  <c r="X526" i="1"/>
  <c r="Z526" i="1" s="1"/>
  <c r="AA526" i="1" s="1"/>
  <c r="X525" i="1"/>
  <c r="Z525" i="1" s="1"/>
  <c r="AA525" i="1" s="1"/>
  <c r="X524" i="1"/>
  <c r="Z524" i="1" s="1"/>
  <c r="AA524" i="1" s="1"/>
  <c r="X523" i="1"/>
  <c r="Z523" i="1" s="1"/>
  <c r="AA523" i="1" s="1"/>
  <c r="X522" i="1"/>
  <c r="Z522" i="1" s="1"/>
  <c r="AA522" i="1" s="1"/>
  <c r="X521" i="1"/>
  <c r="Z521" i="1" s="1"/>
  <c r="AA521" i="1" s="1"/>
  <c r="X520" i="1"/>
  <c r="Z520" i="1" s="1"/>
  <c r="AA520" i="1" s="1"/>
  <c r="X519" i="1"/>
  <c r="Z519" i="1" s="1"/>
  <c r="AA519" i="1" s="1"/>
  <c r="X518" i="1"/>
  <c r="Z518" i="1" s="1"/>
  <c r="AA518" i="1" s="1"/>
  <c r="X517" i="1"/>
  <c r="Z517" i="1" s="1"/>
  <c r="AA517" i="1" s="1"/>
  <c r="X516" i="1"/>
  <c r="Z516" i="1" s="1"/>
  <c r="AA516" i="1" s="1"/>
  <c r="X515" i="1"/>
  <c r="Z515" i="1" s="1"/>
  <c r="AA515" i="1" s="1"/>
  <c r="X514" i="1"/>
  <c r="Z514" i="1" s="1"/>
  <c r="AA514" i="1" s="1"/>
  <c r="X513" i="1"/>
  <c r="Z513" i="1" s="1"/>
  <c r="AA513" i="1" s="1"/>
  <c r="X512" i="1"/>
  <c r="Z512" i="1" s="1"/>
  <c r="AA512" i="1" s="1"/>
  <c r="X511" i="1"/>
  <c r="Z511" i="1" s="1"/>
  <c r="AA511" i="1" s="1"/>
  <c r="X510" i="1"/>
  <c r="Z510" i="1" s="1"/>
  <c r="AA510" i="1" s="1"/>
  <c r="X509" i="1"/>
  <c r="Z509" i="1" s="1"/>
  <c r="AA509" i="1" s="1"/>
  <c r="X508" i="1"/>
  <c r="Z508" i="1" s="1"/>
  <c r="AA508" i="1" s="1"/>
  <c r="X507" i="1"/>
  <c r="Z507" i="1" s="1"/>
  <c r="AA507" i="1" s="1"/>
  <c r="X506" i="1"/>
  <c r="Z506" i="1" s="1"/>
  <c r="AA506" i="1" s="1"/>
  <c r="X505" i="1"/>
  <c r="Z505" i="1" s="1"/>
  <c r="AA505" i="1" s="1"/>
  <c r="X504" i="1"/>
  <c r="Z504" i="1" s="1"/>
  <c r="AA504" i="1" s="1"/>
  <c r="X503" i="1"/>
  <c r="Z503" i="1" s="1"/>
  <c r="AA503" i="1" s="1"/>
  <c r="X502" i="1"/>
  <c r="Z502" i="1" s="1"/>
  <c r="AA502" i="1" s="1"/>
  <c r="X501" i="1"/>
  <c r="Z501" i="1" s="1"/>
  <c r="AA501" i="1" s="1"/>
  <c r="X500" i="1"/>
  <c r="Z500" i="1" s="1"/>
  <c r="AA500" i="1" s="1"/>
  <c r="X499" i="1"/>
  <c r="Z499" i="1" s="1"/>
  <c r="AA499" i="1" s="1"/>
  <c r="X498" i="1"/>
  <c r="Z498" i="1" s="1"/>
  <c r="AA498" i="1" s="1"/>
  <c r="X497" i="1"/>
  <c r="Z497" i="1" s="1"/>
  <c r="AA497" i="1" s="1"/>
  <c r="X496" i="1"/>
  <c r="Z496" i="1" s="1"/>
  <c r="AA496" i="1" s="1"/>
  <c r="X495" i="1"/>
  <c r="Z495" i="1" s="1"/>
  <c r="AA495" i="1" s="1"/>
  <c r="X494" i="1"/>
  <c r="Z494" i="1" s="1"/>
  <c r="AA494" i="1" s="1"/>
  <c r="X493" i="1"/>
  <c r="Z493" i="1" s="1"/>
  <c r="AA493" i="1" s="1"/>
  <c r="X492" i="1"/>
  <c r="Z492" i="1" s="1"/>
  <c r="AA492" i="1" s="1"/>
  <c r="X491" i="1"/>
  <c r="Z491" i="1" s="1"/>
  <c r="AA491" i="1" s="1"/>
  <c r="X490" i="1"/>
  <c r="Z490" i="1" s="1"/>
  <c r="AA490" i="1" s="1"/>
  <c r="X489" i="1"/>
  <c r="Z489" i="1" s="1"/>
  <c r="AA489" i="1" s="1"/>
  <c r="X488" i="1"/>
  <c r="Z488" i="1" s="1"/>
  <c r="AA488" i="1" s="1"/>
  <c r="X487" i="1"/>
  <c r="Z487" i="1" s="1"/>
  <c r="AA487" i="1" s="1"/>
  <c r="X486" i="1"/>
  <c r="Z486" i="1" s="1"/>
  <c r="AA486" i="1" s="1"/>
  <c r="X485" i="1"/>
  <c r="Z485" i="1" s="1"/>
  <c r="AA485" i="1" s="1"/>
  <c r="X484" i="1"/>
  <c r="Z484" i="1" s="1"/>
  <c r="AA484" i="1" s="1"/>
  <c r="X483" i="1"/>
  <c r="Z483" i="1" s="1"/>
  <c r="AA483" i="1" s="1"/>
  <c r="X482" i="1"/>
  <c r="Z482" i="1" s="1"/>
  <c r="AA482" i="1" s="1"/>
  <c r="X481" i="1"/>
  <c r="Z481" i="1" s="1"/>
  <c r="AA481" i="1" s="1"/>
  <c r="X480" i="1"/>
  <c r="Z480" i="1" s="1"/>
  <c r="AA480" i="1" s="1"/>
  <c r="X479" i="1"/>
  <c r="Z479" i="1" s="1"/>
  <c r="AA479" i="1" s="1"/>
  <c r="X478" i="1"/>
  <c r="Z478" i="1" s="1"/>
  <c r="AA478" i="1" s="1"/>
  <c r="X477" i="1"/>
  <c r="Z477" i="1" s="1"/>
  <c r="AA477" i="1" s="1"/>
  <c r="X476" i="1"/>
  <c r="Z476" i="1" s="1"/>
  <c r="AA476" i="1" s="1"/>
  <c r="X475" i="1"/>
  <c r="Z475" i="1" s="1"/>
  <c r="AA475" i="1" s="1"/>
  <c r="X474" i="1"/>
  <c r="Z474" i="1" s="1"/>
  <c r="AA474" i="1" s="1"/>
  <c r="X473" i="1"/>
  <c r="Z473" i="1" s="1"/>
  <c r="AA473" i="1" s="1"/>
  <c r="X472" i="1"/>
  <c r="Z472" i="1" s="1"/>
  <c r="AA472" i="1" s="1"/>
  <c r="X471" i="1"/>
  <c r="Z471" i="1" s="1"/>
  <c r="AA471" i="1" s="1"/>
  <c r="X470" i="1"/>
  <c r="Z470" i="1" s="1"/>
  <c r="AA470" i="1" s="1"/>
  <c r="V470" i="1"/>
  <c r="W470" i="1" s="1"/>
  <c r="P470" i="1"/>
  <c r="R470" i="1" s="1"/>
  <c r="X469" i="1"/>
  <c r="Z469" i="1" s="1"/>
  <c r="AA469" i="1" s="1"/>
  <c r="V469" i="1"/>
  <c r="W469" i="1" s="1"/>
  <c r="P469" i="1"/>
  <c r="R469" i="1" s="1"/>
  <c r="X468" i="1"/>
  <c r="Z468" i="1" s="1"/>
  <c r="AA468" i="1" s="1"/>
  <c r="V468" i="1"/>
  <c r="W468" i="1" s="1"/>
  <c r="P468" i="1"/>
  <c r="R468" i="1" s="1"/>
  <c r="S468" i="1" s="1"/>
  <c r="X467" i="1"/>
  <c r="Z467" i="1" s="1"/>
  <c r="AA467" i="1" s="1"/>
  <c r="V467" i="1"/>
  <c r="W467" i="1" s="1"/>
  <c r="P467" i="1"/>
  <c r="R467" i="1" s="1"/>
  <c r="X466" i="1"/>
  <c r="Z466" i="1" s="1"/>
  <c r="AA466" i="1" s="1"/>
  <c r="V466" i="1"/>
  <c r="W466" i="1" s="1"/>
  <c r="P466" i="1"/>
  <c r="R466" i="1" s="1"/>
  <c r="X465" i="1"/>
  <c r="Z465" i="1" s="1"/>
  <c r="AA465" i="1" s="1"/>
  <c r="V465" i="1"/>
  <c r="W465" i="1" s="1"/>
  <c r="P465" i="1"/>
  <c r="R465" i="1" s="1"/>
  <c r="S465" i="1" s="1"/>
  <c r="X464" i="1"/>
  <c r="Z464" i="1" s="1"/>
  <c r="AA464" i="1" s="1"/>
  <c r="V464" i="1"/>
  <c r="W464" i="1" s="1"/>
  <c r="P464" i="1"/>
  <c r="R464" i="1" s="1"/>
  <c r="X463" i="1"/>
  <c r="Z463" i="1" s="1"/>
  <c r="AA463" i="1" s="1"/>
  <c r="V463" i="1"/>
  <c r="W463" i="1" s="1"/>
  <c r="P463" i="1"/>
  <c r="R463" i="1" s="1"/>
  <c r="X462" i="1"/>
  <c r="Z462" i="1" s="1"/>
  <c r="AA462" i="1" s="1"/>
  <c r="V462" i="1"/>
  <c r="W462" i="1" s="1"/>
  <c r="P462" i="1"/>
  <c r="R462" i="1" s="1"/>
  <c r="S462" i="1" s="1"/>
  <c r="X461" i="1"/>
  <c r="Z461" i="1" s="1"/>
  <c r="AA461" i="1" s="1"/>
  <c r="V461" i="1"/>
  <c r="W461" i="1" s="1"/>
  <c r="P461" i="1"/>
  <c r="R461" i="1" s="1"/>
  <c r="X460" i="1"/>
  <c r="Z460" i="1" s="1"/>
  <c r="AA460" i="1" s="1"/>
  <c r="V460" i="1"/>
  <c r="W460" i="1" s="1"/>
  <c r="P460" i="1"/>
  <c r="R460" i="1" s="1"/>
  <c r="O460" i="1" s="1"/>
  <c r="X459" i="1"/>
  <c r="Z459" i="1" s="1"/>
  <c r="AA459" i="1" s="1"/>
  <c r="V459" i="1"/>
  <c r="W459" i="1" s="1"/>
  <c r="P459" i="1"/>
  <c r="R459" i="1" s="1"/>
  <c r="X458" i="1"/>
  <c r="Z458" i="1" s="1"/>
  <c r="AA458" i="1" s="1"/>
  <c r="V458" i="1"/>
  <c r="W458" i="1" s="1"/>
  <c r="P458" i="1"/>
  <c r="R458" i="1" s="1"/>
  <c r="X457" i="1"/>
  <c r="Z457" i="1" s="1"/>
  <c r="AA457" i="1" s="1"/>
  <c r="V457" i="1"/>
  <c r="W457" i="1" s="1"/>
  <c r="P457" i="1"/>
  <c r="R457" i="1" s="1"/>
  <c r="X456" i="1"/>
  <c r="Z456" i="1" s="1"/>
  <c r="AA456" i="1" s="1"/>
  <c r="V456" i="1"/>
  <c r="W456" i="1" s="1"/>
  <c r="P456" i="1"/>
  <c r="R456" i="1" s="1"/>
  <c r="O456" i="1" s="1"/>
  <c r="X455" i="1"/>
  <c r="Z455" i="1" s="1"/>
  <c r="AA455" i="1" s="1"/>
  <c r="V455" i="1"/>
  <c r="W455" i="1" s="1"/>
  <c r="P455" i="1"/>
  <c r="R455" i="1" s="1"/>
  <c r="S455" i="1" s="1"/>
  <c r="X454" i="1"/>
  <c r="Z454" i="1" s="1"/>
  <c r="AA454" i="1" s="1"/>
  <c r="V454" i="1"/>
  <c r="W454" i="1" s="1"/>
  <c r="P454" i="1"/>
  <c r="R454" i="1" s="1"/>
  <c r="X453" i="1"/>
  <c r="Z453" i="1" s="1"/>
  <c r="AA453" i="1" s="1"/>
  <c r="V453" i="1"/>
  <c r="W453" i="1" s="1"/>
  <c r="P453" i="1"/>
  <c r="R453" i="1" s="1"/>
  <c r="X452" i="1"/>
  <c r="Z452" i="1" s="1"/>
  <c r="AA452" i="1" s="1"/>
  <c r="V452" i="1"/>
  <c r="W452" i="1" s="1"/>
  <c r="P452" i="1"/>
  <c r="R452" i="1" s="1"/>
  <c r="S452" i="1" s="1"/>
  <c r="X451" i="1"/>
  <c r="Z451" i="1" s="1"/>
  <c r="AA451" i="1" s="1"/>
  <c r="V451" i="1"/>
  <c r="W451" i="1" s="1"/>
  <c r="P451" i="1"/>
  <c r="R451" i="1" s="1"/>
  <c r="X450" i="1"/>
  <c r="Z450" i="1" s="1"/>
  <c r="AA450" i="1" s="1"/>
  <c r="V450" i="1"/>
  <c r="W450" i="1" s="1"/>
  <c r="P450" i="1"/>
  <c r="R450" i="1" s="1"/>
  <c r="X449" i="1"/>
  <c r="Z449" i="1" s="1"/>
  <c r="AA449" i="1" s="1"/>
  <c r="V449" i="1"/>
  <c r="W449" i="1" s="1"/>
  <c r="P449" i="1"/>
  <c r="R449" i="1" s="1"/>
  <c r="S449" i="1" s="1"/>
  <c r="X448" i="1"/>
  <c r="Z448" i="1" s="1"/>
  <c r="AA448" i="1" s="1"/>
  <c r="V448" i="1"/>
  <c r="W448" i="1" s="1"/>
  <c r="P448" i="1"/>
  <c r="R448" i="1" s="1"/>
  <c r="X447" i="1"/>
  <c r="Z447" i="1" s="1"/>
  <c r="AA447" i="1" s="1"/>
  <c r="V447" i="1"/>
  <c r="W447" i="1" s="1"/>
  <c r="P447" i="1"/>
  <c r="R447" i="1" s="1"/>
  <c r="X446" i="1"/>
  <c r="Z446" i="1" s="1"/>
  <c r="AA446" i="1" s="1"/>
  <c r="V446" i="1"/>
  <c r="W446" i="1" s="1"/>
  <c r="P446" i="1"/>
  <c r="R446" i="1" s="1"/>
  <c r="X445" i="1"/>
  <c r="Z445" i="1" s="1"/>
  <c r="AA445" i="1" s="1"/>
  <c r="V445" i="1"/>
  <c r="W445" i="1" s="1"/>
  <c r="P445" i="1"/>
  <c r="R445" i="1" s="1"/>
  <c r="X444" i="1"/>
  <c r="Z444" i="1" s="1"/>
  <c r="AA444" i="1" s="1"/>
  <c r="V444" i="1"/>
  <c r="W444" i="1" s="1"/>
  <c r="P444" i="1"/>
  <c r="R444" i="1" s="1"/>
  <c r="O444" i="1" s="1"/>
  <c r="X443" i="1"/>
  <c r="Z443" i="1" s="1"/>
  <c r="AA443" i="1" s="1"/>
  <c r="V443" i="1"/>
  <c r="W443" i="1" s="1"/>
  <c r="P443" i="1"/>
  <c r="R443" i="1" s="1"/>
  <c r="O443" i="1" s="1"/>
  <c r="X442" i="1"/>
  <c r="Z442" i="1" s="1"/>
  <c r="AA442" i="1" s="1"/>
  <c r="V442" i="1"/>
  <c r="W442" i="1" s="1"/>
  <c r="P442" i="1"/>
  <c r="R442" i="1" s="1"/>
  <c r="X441" i="1"/>
  <c r="Z441" i="1" s="1"/>
  <c r="AA441" i="1" s="1"/>
  <c r="V441" i="1"/>
  <c r="W441" i="1" s="1"/>
  <c r="P441" i="1"/>
  <c r="R441" i="1" s="1"/>
  <c r="X440" i="1"/>
  <c r="Z440" i="1" s="1"/>
  <c r="AA440" i="1" s="1"/>
  <c r="V440" i="1"/>
  <c r="W440" i="1" s="1"/>
  <c r="P440" i="1"/>
  <c r="R440" i="1" s="1"/>
  <c r="X439" i="1"/>
  <c r="Z439" i="1" s="1"/>
  <c r="AA439" i="1" s="1"/>
  <c r="V439" i="1"/>
  <c r="W439" i="1" s="1"/>
  <c r="P439" i="1"/>
  <c r="R439" i="1" s="1"/>
  <c r="S439" i="1" s="1"/>
  <c r="X438" i="1"/>
  <c r="Z438" i="1" s="1"/>
  <c r="AA438" i="1" s="1"/>
  <c r="V438" i="1"/>
  <c r="W438" i="1" s="1"/>
  <c r="P438" i="1"/>
  <c r="R438" i="1" s="1"/>
  <c r="S438" i="1" s="1"/>
  <c r="X437" i="1"/>
  <c r="Z437" i="1" s="1"/>
  <c r="AA437" i="1" s="1"/>
  <c r="V437" i="1"/>
  <c r="W437" i="1" s="1"/>
  <c r="P437" i="1"/>
  <c r="R437" i="1" s="1"/>
  <c r="X436" i="1"/>
  <c r="Z436" i="1" s="1"/>
  <c r="AA436" i="1" s="1"/>
  <c r="V436" i="1"/>
  <c r="W436" i="1" s="1"/>
  <c r="P436" i="1"/>
  <c r="R436" i="1" s="1"/>
  <c r="S436" i="1" s="1"/>
  <c r="X435" i="1"/>
  <c r="Z435" i="1" s="1"/>
  <c r="AA435" i="1" s="1"/>
  <c r="V435" i="1"/>
  <c r="W435" i="1" s="1"/>
  <c r="P435" i="1"/>
  <c r="R435" i="1" s="1"/>
  <c r="X434" i="1"/>
  <c r="Z434" i="1" s="1"/>
  <c r="AA434" i="1" s="1"/>
  <c r="V434" i="1"/>
  <c r="W434" i="1" s="1"/>
  <c r="P434" i="1"/>
  <c r="R434" i="1" s="1"/>
  <c r="X433" i="1"/>
  <c r="Z433" i="1" s="1"/>
  <c r="AA433" i="1" s="1"/>
  <c r="V433" i="1"/>
  <c r="W433" i="1" s="1"/>
  <c r="P433" i="1"/>
  <c r="R433" i="1" s="1"/>
  <c r="S433" i="1" s="1"/>
  <c r="X432" i="1"/>
  <c r="Z432" i="1" s="1"/>
  <c r="AA432" i="1" s="1"/>
  <c r="V432" i="1"/>
  <c r="W432" i="1" s="1"/>
  <c r="P432" i="1"/>
  <c r="R432" i="1" s="1"/>
  <c r="X431" i="1"/>
  <c r="Z431" i="1" s="1"/>
  <c r="AA431" i="1" s="1"/>
  <c r="V431" i="1"/>
  <c r="W431" i="1" s="1"/>
  <c r="P431" i="1"/>
  <c r="R431" i="1" s="1"/>
  <c r="X430" i="1"/>
  <c r="Z430" i="1" s="1"/>
  <c r="AA430" i="1" s="1"/>
  <c r="V430" i="1"/>
  <c r="W430" i="1" s="1"/>
  <c r="P430" i="1"/>
  <c r="R430" i="1" s="1"/>
  <c r="S430" i="1" s="1"/>
  <c r="X429" i="1"/>
  <c r="Z429" i="1" s="1"/>
  <c r="AA429" i="1" s="1"/>
  <c r="V429" i="1"/>
  <c r="W429" i="1" s="1"/>
  <c r="P429" i="1"/>
  <c r="R429" i="1" s="1"/>
  <c r="X428" i="1"/>
  <c r="Z428" i="1" s="1"/>
  <c r="AA428" i="1" s="1"/>
  <c r="V428" i="1"/>
  <c r="W428" i="1" s="1"/>
  <c r="P428" i="1"/>
  <c r="R428" i="1" s="1"/>
  <c r="O428" i="1" s="1"/>
  <c r="X427" i="1"/>
  <c r="Z427" i="1" s="1"/>
  <c r="AA427" i="1" s="1"/>
  <c r="V427" i="1"/>
  <c r="W427" i="1" s="1"/>
  <c r="P427" i="1"/>
  <c r="R427" i="1" s="1"/>
  <c r="X426" i="1"/>
  <c r="Z426" i="1" s="1"/>
  <c r="AA426" i="1" s="1"/>
  <c r="V426" i="1"/>
  <c r="W426" i="1" s="1"/>
  <c r="P426" i="1"/>
  <c r="R426" i="1" s="1"/>
  <c r="X425" i="1"/>
  <c r="Z425" i="1" s="1"/>
  <c r="AA425" i="1" s="1"/>
  <c r="V425" i="1"/>
  <c r="W425" i="1" s="1"/>
  <c r="P425" i="1"/>
  <c r="R425" i="1" s="1"/>
  <c r="X424" i="1"/>
  <c r="Z424" i="1" s="1"/>
  <c r="AA424" i="1" s="1"/>
  <c r="V424" i="1"/>
  <c r="W424" i="1" s="1"/>
  <c r="P424" i="1"/>
  <c r="R424" i="1" s="1"/>
  <c r="X423" i="1"/>
  <c r="Z423" i="1" s="1"/>
  <c r="AA423" i="1" s="1"/>
  <c r="V423" i="1"/>
  <c r="W423" i="1" s="1"/>
  <c r="P423" i="1"/>
  <c r="R423" i="1" s="1"/>
  <c r="S423" i="1" s="1"/>
  <c r="X422" i="1"/>
  <c r="Z422" i="1" s="1"/>
  <c r="AA422" i="1" s="1"/>
  <c r="V422" i="1"/>
  <c r="W422" i="1" s="1"/>
  <c r="P422" i="1"/>
  <c r="R422" i="1" s="1"/>
  <c r="X421" i="1"/>
  <c r="Z421" i="1" s="1"/>
  <c r="AA421" i="1" s="1"/>
  <c r="V421" i="1"/>
  <c r="W421" i="1" s="1"/>
  <c r="P421" i="1"/>
  <c r="R421" i="1" s="1"/>
  <c r="X420" i="1"/>
  <c r="Z420" i="1" s="1"/>
  <c r="AA420" i="1" s="1"/>
  <c r="V420" i="1"/>
  <c r="W420" i="1" s="1"/>
  <c r="P420" i="1"/>
  <c r="R420" i="1" s="1"/>
  <c r="S420" i="1" s="1"/>
  <c r="X419" i="1"/>
  <c r="Z419" i="1" s="1"/>
  <c r="AA419" i="1" s="1"/>
  <c r="V419" i="1"/>
  <c r="W419" i="1" s="1"/>
  <c r="P419" i="1"/>
  <c r="R419" i="1" s="1"/>
  <c r="S419" i="1" s="1"/>
  <c r="X418" i="1"/>
  <c r="Z418" i="1" s="1"/>
  <c r="AA418" i="1" s="1"/>
  <c r="V418" i="1"/>
  <c r="W418" i="1" s="1"/>
  <c r="P418" i="1"/>
  <c r="R418" i="1" s="1"/>
  <c r="X417" i="1"/>
  <c r="Z417" i="1" s="1"/>
  <c r="AA417" i="1" s="1"/>
  <c r="V417" i="1"/>
  <c r="W417" i="1" s="1"/>
  <c r="P417" i="1"/>
  <c r="R417" i="1" s="1"/>
  <c r="S417" i="1" s="1"/>
  <c r="X416" i="1"/>
  <c r="Z416" i="1" s="1"/>
  <c r="AA416" i="1" s="1"/>
  <c r="V416" i="1"/>
  <c r="W416" i="1" s="1"/>
  <c r="P416" i="1"/>
  <c r="R416" i="1" s="1"/>
  <c r="X415" i="1"/>
  <c r="Z415" i="1" s="1"/>
  <c r="AA415" i="1" s="1"/>
  <c r="V415" i="1"/>
  <c r="W415" i="1" s="1"/>
  <c r="P415" i="1"/>
  <c r="R415" i="1" s="1"/>
  <c r="X414" i="1"/>
  <c r="Z414" i="1" s="1"/>
  <c r="AA414" i="1" s="1"/>
  <c r="V414" i="1"/>
  <c r="W414" i="1" s="1"/>
  <c r="P414" i="1"/>
  <c r="R414" i="1" s="1"/>
  <c r="X413" i="1"/>
  <c r="Z413" i="1" s="1"/>
  <c r="AA413" i="1" s="1"/>
  <c r="V413" i="1"/>
  <c r="W413" i="1" s="1"/>
  <c r="P413" i="1"/>
  <c r="R413" i="1" s="1"/>
  <c r="X412" i="1"/>
  <c r="Z412" i="1" s="1"/>
  <c r="AA412" i="1" s="1"/>
  <c r="V412" i="1"/>
  <c r="W412" i="1" s="1"/>
  <c r="P412" i="1"/>
  <c r="R412" i="1" s="1"/>
  <c r="O412" i="1" s="1"/>
  <c r="X411" i="1"/>
  <c r="Z411" i="1" s="1"/>
  <c r="AA411" i="1" s="1"/>
  <c r="V411" i="1"/>
  <c r="W411" i="1" s="1"/>
  <c r="P411" i="1"/>
  <c r="R411" i="1" s="1"/>
  <c r="O411" i="1" s="1"/>
  <c r="X410" i="1"/>
  <c r="Z410" i="1" s="1"/>
  <c r="AA410" i="1" s="1"/>
  <c r="V410" i="1"/>
  <c r="W410" i="1" s="1"/>
  <c r="P410" i="1"/>
  <c r="R410" i="1" s="1"/>
  <c r="X409" i="1"/>
  <c r="Z409" i="1" s="1"/>
  <c r="AA409" i="1" s="1"/>
  <c r="V409" i="1"/>
  <c r="W409" i="1" s="1"/>
  <c r="P409" i="1"/>
  <c r="R409" i="1" s="1"/>
  <c r="S409" i="1" s="1"/>
  <c r="X408" i="1"/>
  <c r="Z408" i="1" s="1"/>
  <c r="AA408" i="1" s="1"/>
  <c r="V408" i="1"/>
  <c r="W408" i="1" s="1"/>
  <c r="P408" i="1"/>
  <c r="R408" i="1" s="1"/>
  <c r="X407" i="1"/>
  <c r="Z407" i="1" s="1"/>
  <c r="AA407" i="1" s="1"/>
  <c r="V407" i="1"/>
  <c r="W407" i="1" s="1"/>
  <c r="P407" i="1"/>
  <c r="R407" i="1" s="1"/>
  <c r="S407" i="1" s="1"/>
  <c r="X406" i="1"/>
  <c r="Z406" i="1" s="1"/>
  <c r="AA406" i="1" s="1"/>
  <c r="V406" i="1"/>
  <c r="W406" i="1" s="1"/>
  <c r="P406" i="1"/>
  <c r="R406" i="1" s="1"/>
  <c r="X405" i="1"/>
  <c r="Z405" i="1" s="1"/>
  <c r="AA405" i="1" s="1"/>
  <c r="V405" i="1"/>
  <c r="W405" i="1" s="1"/>
  <c r="P405" i="1"/>
  <c r="R405" i="1" s="1"/>
  <c r="X404" i="1"/>
  <c r="Z404" i="1" s="1"/>
  <c r="AA404" i="1" s="1"/>
  <c r="V404" i="1"/>
  <c r="W404" i="1" s="1"/>
  <c r="P404" i="1"/>
  <c r="R404" i="1" s="1"/>
  <c r="S404" i="1" s="1"/>
  <c r="X403" i="1"/>
  <c r="Z403" i="1" s="1"/>
  <c r="AA403" i="1" s="1"/>
  <c r="V403" i="1"/>
  <c r="W403" i="1" s="1"/>
  <c r="P403" i="1"/>
  <c r="R403" i="1" s="1"/>
  <c r="X402" i="1"/>
  <c r="Z402" i="1" s="1"/>
  <c r="AA402" i="1" s="1"/>
  <c r="V402" i="1"/>
  <c r="W402" i="1" s="1"/>
  <c r="P402" i="1"/>
  <c r="R402" i="1" s="1"/>
  <c r="X401" i="1"/>
  <c r="Z401" i="1" s="1"/>
  <c r="AA401" i="1" s="1"/>
  <c r="V401" i="1"/>
  <c r="W401" i="1" s="1"/>
  <c r="P401" i="1"/>
  <c r="R401" i="1" s="1"/>
  <c r="S401" i="1" s="1"/>
  <c r="X400" i="1"/>
  <c r="Z400" i="1" s="1"/>
  <c r="AA400" i="1" s="1"/>
  <c r="V400" i="1"/>
  <c r="W400" i="1" s="1"/>
  <c r="P400" i="1"/>
  <c r="R400" i="1" s="1"/>
  <c r="X399" i="1"/>
  <c r="Z399" i="1" s="1"/>
  <c r="AA399" i="1" s="1"/>
  <c r="V399" i="1"/>
  <c r="W399" i="1" s="1"/>
  <c r="P399" i="1"/>
  <c r="R399" i="1" s="1"/>
  <c r="X398" i="1"/>
  <c r="Z398" i="1" s="1"/>
  <c r="AA398" i="1" s="1"/>
  <c r="V398" i="1"/>
  <c r="W398" i="1" s="1"/>
  <c r="P398" i="1"/>
  <c r="R398" i="1" s="1"/>
  <c r="O398" i="1" s="1"/>
  <c r="X397" i="1"/>
  <c r="Z397" i="1" s="1"/>
  <c r="AA397" i="1" s="1"/>
  <c r="V397" i="1"/>
  <c r="W397" i="1" s="1"/>
  <c r="P397" i="1"/>
  <c r="R397" i="1" s="1"/>
  <c r="X396" i="1"/>
  <c r="Z396" i="1" s="1"/>
  <c r="AA396" i="1" s="1"/>
  <c r="V396" i="1"/>
  <c r="W396" i="1" s="1"/>
  <c r="P396" i="1"/>
  <c r="R396" i="1" s="1"/>
  <c r="O396" i="1" s="1"/>
  <c r="X395" i="1"/>
  <c r="Z395" i="1" s="1"/>
  <c r="AA395" i="1" s="1"/>
  <c r="V395" i="1"/>
  <c r="W395" i="1" s="1"/>
  <c r="P395" i="1"/>
  <c r="R395" i="1" s="1"/>
  <c r="X394" i="1"/>
  <c r="Z394" i="1" s="1"/>
  <c r="AA394" i="1" s="1"/>
  <c r="V394" i="1"/>
  <c r="W394" i="1" s="1"/>
  <c r="P394" i="1"/>
  <c r="R394" i="1" s="1"/>
  <c r="X393" i="1"/>
  <c r="Z393" i="1" s="1"/>
  <c r="AA393" i="1" s="1"/>
  <c r="V393" i="1"/>
  <c r="W393" i="1" s="1"/>
  <c r="P393" i="1"/>
  <c r="R393" i="1" s="1"/>
  <c r="S393" i="1" s="1"/>
  <c r="X392" i="1"/>
  <c r="Z392" i="1" s="1"/>
  <c r="AA392" i="1" s="1"/>
  <c r="V392" i="1"/>
  <c r="W392" i="1" s="1"/>
  <c r="P392" i="1"/>
  <c r="R392" i="1" s="1"/>
  <c r="S392" i="1" s="1"/>
  <c r="X391" i="1"/>
  <c r="Z391" i="1" s="1"/>
  <c r="AA391" i="1" s="1"/>
  <c r="V391" i="1"/>
  <c r="W391" i="1" s="1"/>
  <c r="P391" i="1"/>
  <c r="R391" i="1" s="1"/>
  <c r="S391" i="1" s="1"/>
  <c r="X390" i="1"/>
  <c r="Z390" i="1" s="1"/>
  <c r="AA390" i="1" s="1"/>
  <c r="V390" i="1"/>
  <c r="W390" i="1" s="1"/>
  <c r="P390" i="1"/>
  <c r="R390" i="1" s="1"/>
  <c r="X389" i="1"/>
  <c r="Z389" i="1" s="1"/>
  <c r="AA389" i="1" s="1"/>
  <c r="V389" i="1"/>
  <c r="W389" i="1" s="1"/>
  <c r="P389" i="1"/>
  <c r="R389" i="1" s="1"/>
  <c r="X388" i="1"/>
  <c r="Z388" i="1" s="1"/>
  <c r="AA388" i="1" s="1"/>
  <c r="V388" i="1"/>
  <c r="W388" i="1" s="1"/>
  <c r="P388" i="1"/>
  <c r="R388" i="1" s="1"/>
  <c r="S388" i="1" s="1"/>
  <c r="X387" i="1"/>
  <c r="Z387" i="1" s="1"/>
  <c r="AA387" i="1" s="1"/>
  <c r="V387" i="1"/>
  <c r="W387" i="1" s="1"/>
  <c r="P387" i="1"/>
  <c r="R387" i="1" s="1"/>
  <c r="X386" i="1"/>
  <c r="Z386" i="1" s="1"/>
  <c r="AA386" i="1" s="1"/>
  <c r="V386" i="1"/>
  <c r="W386" i="1" s="1"/>
  <c r="P386" i="1"/>
  <c r="R386" i="1" s="1"/>
  <c r="X385" i="1"/>
  <c r="Z385" i="1" s="1"/>
  <c r="AA385" i="1" s="1"/>
  <c r="V385" i="1"/>
  <c r="W385" i="1" s="1"/>
  <c r="P385" i="1"/>
  <c r="R385" i="1" s="1"/>
  <c r="S385" i="1" s="1"/>
  <c r="X384" i="1"/>
  <c r="Z384" i="1" s="1"/>
  <c r="AA384" i="1" s="1"/>
  <c r="V384" i="1"/>
  <c r="W384" i="1" s="1"/>
  <c r="P384" i="1"/>
  <c r="R384" i="1" s="1"/>
  <c r="X383" i="1"/>
  <c r="Z383" i="1" s="1"/>
  <c r="AA383" i="1" s="1"/>
  <c r="V383" i="1"/>
  <c r="W383" i="1" s="1"/>
  <c r="P383" i="1"/>
  <c r="R383" i="1" s="1"/>
  <c r="X382" i="1"/>
  <c r="Z382" i="1" s="1"/>
  <c r="AA382" i="1" s="1"/>
  <c r="V382" i="1"/>
  <c r="W382" i="1" s="1"/>
  <c r="P382" i="1"/>
  <c r="R382" i="1" s="1"/>
  <c r="X381" i="1"/>
  <c r="Z381" i="1" s="1"/>
  <c r="AA381" i="1" s="1"/>
  <c r="V381" i="1"/>
  <c r="W381" i="1" s="1"/>
  <c r="P381" i="1"/>
  <c r="R381" i="1" s="1"/>
  <c r="X380" i="1"/>
  <c r="Z380" i="1" s="1"/>
  <c r="AA380" i="1" s="1"/>
  <c r="V380" i="1"/>
  <c r="W380" i="1" s="1"/>
  <c r="P380" i="1"/>
  <c r="R380" i="1" s="1"/>
  <c r="O380" i="1" s="1"/>
  <c r="X379" i="1"/>
  <c r="Z379" i="1" s="1"/>
  <c r="AA379" i="1" s="1"/>
  <c r="V379" i="1"/>
  <c r="W379" i="1" s="1"/>
  <c r="P379" i="1"/>
  <c r="R379" i="1" s="1"/>
  <c r="X378" i="1"/>
  <c r="Z378" i="1" s="1"/>
  <c r="AA378" i="1" s="1"/>
  <c r="V378" i="1"/>
  <c r="W378" i="1" s="1"/>
  <c r="P378" i="1"/>
  <c r="R378" i="1" s="1"/>
  <c r="X377" i="1"/>
  <c r="Z377" i="1" s="1"/>
  <c r="AA377" i="1" s="1"/>
  <c r="V377" i="1"/>
  <c r="W377" i="1" s="1"/>
  <c r="P377" i="1"/>
  <c r="R377" i="1" s="1"/>
  <c r="X376" i="1"/>
  <c r="Z376" i="1" s="1"/>
  <c r="AA376" i="1" s="1"/>
  <c r="V376" i="1"/>
  <c r="W376" i="1" s="1"/>
  <c r="P376" i="1"/>
  <c r="R376" i="1" s="1"/>
  <c r="X375" i="1"/>
  <c r="Z375" i="1" s="1"/>
  <c r="AA375" i="1" s="1"/>
  <c r="V375" i="1"/>
  <c r="W375" i="1" s="1"/>
  <c r="P375" i="1"/>
  <c r="R375" i="1" s="1"/>
  <c r="S375" i="1" s="1"/>
  <c r="X374" i="1"/>
  <c r="Z374" i="1" s="1"/>
  <c r="AA374" i="1" s="1"/>
  <c r="V374" i="1"/>
  <c r="W374" i="1" s="1"/>
  <c r="P374" i="1"/>
  <c r="R374" i="1" s="1"/>
  <c r="X373" i="1"/>
  <c r="Z373" i="1" s="1"/>
  <c r="AA373" i="1" s="1"/>
  <c r="V373" i="1"/>
  <c r="W373" i="1" s="1"/>
  <c r="P373" i="1"/>
  <c r="R373" i="1" s="1"/>
  <c r="X372" i="1"/>
  <c r="Z372" i="1" s="1"/>
  <c r="AA372" i="1" s="1"/>
  <c r="V372" i="1"/>
  <c r="W372" i="1" s="1"/>
  <c r="P372" i="1"/>
  <c r="R372" i="1" s="1"/>
  <c r="S372" i="1" s="1"/>
  <c r="X371" i="1"/>
  <c r="Z371" i="1" s="1"/>
  <c r="AA371" i="1" s="1"/>
  <c r="V371" i="1"/>
  <c r="W371" i="1" s="1"/>
  <c r="P371" i="1"/>
  <c r="R371" i="1" s="1"/>
  <c r="X370" i="1"/>
  <c r="Z370" i="1" s="1"/>
  <c r="AA370" i="1" s="1"/>
  <c r="V370" i="1"/>
  <c r="W370" i="1" s="1"/>
  <c r="P370" i="1"/>
  <c r="R370" i="1" s="1"/>
  <c r="X369" i="1"/>
  <c r="Z369" i="1" s="1"/>
  <c r="AA369" i="1" s="1"/>
  <c r="V369" i="1"/>
  <c r="W369" i="1" s="1"/>
  <c r="P369" i="1"/>
  <c r="R369" i="1" s="1"/>
  <c r="S369" i="1" s="1"/>
  <c r="X368" i="1"/>
  <c r="Z368" i="1" s="1"/>
  <c r="AA368" i="1" s="1"/>
  <c r="V368" i="1"/>
  <c r="W368" i="1" s="1"/>
  <c r="P368" i="1"/>
  <c r="R368" i="1" s="1"/>
  <c r="X367" i="1"/>
  <c r="Z367" i="1" s="1"/>
  <c r="AA367" i="1" s="1"/>
  <c r="V367" i="1"/>
  <c r="W367" i="1" s="1"/>
  <c r="P367" i="1"/>
  <c r="R367" i="1" s="1"/>
  <c r="X366" i="1"/>
  <c r="Z366" i="1" s="1"/>
  <c r="AA366" i="1" s="1"/>
  <c r="V366" i="1"/>
  <c r="W366" i="1" s="1"/>
  <c r="P366" i="1"/>
  <c r="R366" i="1" s="1"/>
  <c r="X365" i="1"/>
  <c r="Z365" i="1" s="1"/>
  <c r="T365" i="1"/>
  <c r="V365" i="1" s="1"/>
  <c r="W365" i="1" s="1"/>
  <c r="P365" i="1"/>
  <c r="R365" i="1" s="1"/>
  <c r="S365" i="1" s="1"/>
  <c r="T364" i="1"/>
  <c r="V364" i="1" s="1"/>
  <c r="W364" i="1" s="1"/>
  <c r="P364" i="1"/>
  <c r="R364" i="1" s="1"/>
  <c r="S364" i="1" s="1"/>
  <c r="M364" i="1"/>
  <c r="X364" i="1" s="1"/>
  <c r="Z364" i="1" s="1"/>
  <c r="O364" i="1" s="1"/>
  <c r="X363" i="1"/>
  <c r="Z363" i="1" s="1"/>
  <c r="T363" i="1"/>
  <c r="V363" i="1" s="1"/>
  <c r="W363" i="1" s="1"/>
  <c r="P363" i="1"/>
  <c r="R363" i="1" s="1"/>
  <c r="S363" i="1" s="1"/>
  <c r="X362" i="1"/>
  <c r="Z362" i="1" s="1"/>
  <c r="T362" i="1"/>
  <c r="V362" i="1" s="1"/>
  <c r="W362" i="1" s="1"/>
  <c r="P362" i="1"/>
  <c r="R362" i="1" s="1"/>
  <c r="S362" i="1" s="1"/>
  <c r="X361" i="1"/>
  <c r="Z361" i="1" s="1"/>
  <c r="T361" i="1"/>
  <c r="V361" i="1" s="1"/>
  <c r="W361" i="1" s="1"/>
  <c r="P361" i="1"/>
  <c r="R361" i="1" s="1"/>
  <c r="S361" i="1" s="1"/>
  <c r="X360" i="1"/>
  <c r="Z360" i="1" s="1"/>
  <c r="T360" i="1"/>
  <c r="V360" i="1" s="1"/>
  <c r="W360" i="1" s="1"/>
  <c r="P360" i="1"/>
  <c r="R360" i="1" s="1"/>
  <c r="S360" i="1" s="1"/>
  <c r="X359" i="1"/>
  <c r="Z359" i="1" s="1"/>
  <c r="T359" i="1"/>
  <c r="V359" i="1" s="1"/>
  <c r="W359" i="1" s="1"/>
  <c r="P359" i="1"/>
  <c r="R359" i="1" s="1"/>
  <c r="S359" i="1" s="1"/>
  <c r="X358" i="1"/>
  <c r="Z358" i="1" s="1"/>
  <c r="T358" i="1"/>
  <c r="V358" i="1" s="1"/>
  <c r="W358" i="1" s="1"/>
  <c r="P358" i="1"/>
  <c r="R358" i="1" s="1"/>
  <c r="S358" i="1" s="1"/>
  <c r="X357" i="1"/>
  <c r="Z357" i="1" s="1"/>
  <c r="T357" i="1"/>
  <c r="V357" i="1" s="1"/>
  <c r="W357" i="1" s="1"/>
  <c r="P357" i="1"/>
  <c r="R357" i="1" s="1"/>
  <c r="S357" i="1" s="1"/>
  <c r="X356" i="1"/>
  <c r="Z356" i="1" s="1"/>
  <c r="T356" i="1"/>
  <c r="V356" i="1" s="1"/>
  <c r="W356" i="1" s="1"/>
  <c r="P356" i="1"/>
  <c r="R356" i="1" s="1"/>
  <c r="S356" i="1" s="1"/>
  <c r="X355" i="1"/>
  <c r="Z355" i="1" s="1"/>
  <c r="T355" i="1"/>
  <c r="V355" i="1" s="1"/>
  <c r="W355" i="1" s="1"/>
  <c r="P355" i="1"/>
  <c r="R355" i="1" s="1"/>
  <c r="S355" i="1" s="1"/>
  <c r="X354" i="1"/>
  <c r="Z354" i="1" s="1"/>
  <c r="T354" i="1"/>
  <c r="V354" i="1" s="1"/>
  <c r="W354" i="1" s="1"/>
  <c r="P354" i="1"/>
  <c r="R354" i="1" s="1"/>
  <c r="S354" i="1" s="1"/>
  <c r="X353" i="1"/>
  <c r="Z353" i="1" s="1"/>
  <c r="T353" i="1"/>
  <c r="V353" i="1" s="1"/>
  <c r="W353" i="1" s="1"/>
  <c r="P353" i="1"/>
  <c r="R353" i="1" s="1"/>
  <c r="S353" i="1" s="1"/>
  <c r="X352" i="1"/>
  <c r="Z352" i="1" s="1"/>
  <c r="T352" i="1"/>
  <c r="V352" i="1" s="1"/>
  <c r="W352" i="1" s="1"/>
  <c r="P352" i="1"/>
  <c r="R352" i="1" s="1"/>
  <c r="S352" i="1" s="1"/>
  <c r="X351" i="1"/>
  <c r="Z351" i="1" s="1"/>
  <c r="T351" i="1"/>
  <c r="V351" i="1" s="1"/>
  <c r="W351" i="1" s="1"/>
  <c r="P351" i="1"/>
  <c r="R351" i="1" s="1"/>
  <c r="S351" i="1" s="1"/>
  <c r="X350" i="1"/>
  <c r="Z350" i="1" s="1"/>
  <c r="O350" i="1" s="1"/>
  <c r="T350" i="1"/>
  <c r="V350" i="1" s="1"/>
  <c r="W350" i="1" s="1"/>
  <c r="P350" i="1"/>
  <c r="R350" i="1" s="1"/>
  <c r="S350" i="1" s="1"/>
  <c r="T349" i="1"/>
  <c r="V349" i="1" s="1"/>
  <c r="W349" i="1" s="1"/>
  <c r="P349" i="1"/>
  <c r="R349" i="1" s="1"/>
  <c r="S349" i="1" s="1"/>
  <c r="M349" i="1"/>
  <c r="X349" i="1" s="1"/>
  <c r="Z349" i="1" s="1"/>
  <c r="X348" i="1"/>
  <c r="Z348" i="1" s="1"/>
  <c r="T348" i="1"/>
  <c r="V348" i="1" s="1"/>
  <c r="W348" i="1" s="1"/>
  <c r="P348" i="1"/>
  <c r="R348" i="1" s="1"/>
  <c r="S348" i="1" s="1"/>
  <c r="X347" i="1"/>
  <c r="Z347" i="1" s="1"/>
  <c r="T347" i="1"/>
  <c r="V347" i="1" s="1"/>
  <c r="W347" i="1" s="1"/>
  <c r="P347" i="1"/>
  <c r="R347" i="1" s="1"/>
  <c r="S347" i="1" s="1"/>
  <c r="X346" i="1"/>
  <c r="Z346" i="1" s="1"/>
  <c r="T346" i="1"/>
  <c r="V346" i="1" s="1"/>
  <c r="W346" i="1" s="1"/>
  <c r="P346" i="1"/>
  <c r="R346" i="1" s="1"/>
  <c r="S346" i="1" s="1"/>
  <c r="X345" i="1"/>
  <c r="Z345" i="1" s="1"/>
  <c r="O345" i="1" s="1"/>
  <c r="T345" i="1"/>
  <c r="V345" i="1" s="1"/>
  <c r="W345" i="1" s="1"/>
  <c r="P345" i="1"/>
  <c r="R345" i="1" s="1"/>
  <c r="S345" i="1" s="1"/>
  <c r="X344" i="1"/>
  <c r="Z344" i="1" s="1"/>
  <c r="AA344" i="1" s="1"/>
  <c r="T344" i="1"/>
  <c r="V344" i="1" s="1"/>
  <c r="W344" i="1" s="1"/>
  <c r="P344" i="1"/>
  <c r="R344" i="1" s="1"/>
  <c r="S344" i="1" s="1"/>
  <c r="X343" i="1"/>
  <c r="Z343" i="1" s="1"/>
  <c r="AA343" i="1" s="1"/>
  <c r="T343" i="1"/>
  <c r="V343" i="1" s="1"/>
  <c r="W343" i="1" s="1"/>
  <c r="P343" i="1"/>
  <c r="R343" i="1" s="1"/>
  <c r="S343" i="1" s="1"/>
  <c r="X342" i="1"/>
  <c r="Z342" i="1" s="1"/>
  <c r="T342" i="1"/>
  <c r="V342" i="1" s="1"/>
  <c r="W342" i="1" s="1"/>
  <c r="P342" i="1"/>
  <c r="R342" i="1" s="1"/>
  <c r="S342" i="1" s="1"/>
  <c r="X341" i="1"/>
  <c r="Z341" i="1" s="1"/>
  <c r="T341" i="1"/>
  <c r="V341" i="1" s="1"/>
  <c r="W341" i="1" s="1"/>
  <c r="P341" i="1"/>
  <c r="R341" i="1" s="1"/>
  <c r="S341" i="1" s="1"/>
  <c r="X340" i="1"/>
  <c r="Z340" i="1" s="1"/>
  <c r="T340" i="1"/>
  <c r="V340" i="1" s="1"/>
  <c r="W340" i="1" s="1"/>
  <c r="P340" i="1"/>
  <c r="R340" i="1" s="1"/>
  <c r="S340" i="1" s="1"/>
  <c r="X339" i="1"/>
  <c r="Z339" i="1" s="1"/>
  <c r="T339" i="1"/>
  <c r="V339" i="1" s="1"/>
  <c r="W339" i="1" s="1"/>
  <c r="P339" i="1"/>
  <c r="R339" i="1" s="1"/>
  <c r="S339" i="1" s="1"/>
  <c r="X338" i="1"/>
  <c r="Z338" i="1" s="1"/>
  <c r="T338" i="1"/>
  <c r="V338" i="1" s="1"/>
  <c r="W338" i="1" s="1"/>
  <c r="P338" i="1"/>
  <c r="R338" i="1" s="1"/>
  <c r="S338" i="1" s="1"/>
  <c r="X337" i="1"/>
  <c r="Z337" i="1" s="1"/>
  <c r="O337" i="1" s="1"/>
  <c r="T337" i="1"/>
  <c r="V337" i="1" s="1"/>
  <c r="W337" i="1" s="1"/>
  <c r="P337" i="1"/>
  <c r="R337" i="1" s="1"/>
  <c r="S337" i="1" s="1"/>
  <c r="X336" i="1"/>
  <c r="Z336" i="1" s="1"/>
  <c r="T336" i="1"/>
  <c r="V336" i="1" s="1"/>
  <c r="W336" i="1" s="1"/>
  <c r="P336" i="1"/>
  <c r="R336" i="1" s="1"/>
  <c r="S336" i="1" s="1"/>
  <c r="X335" i="1"/>
  <c r="Z335" i="1" s="1"/>
  <c r="O335" i="1" s="1"/>
  <c r="T335" i="1"/>
  <c r="V335" i="1" s="1"/>
  <c r="W335" i="1" s="1"/>
  <c r="P335" i="1"/>
  <c r="R335" i="1" s="1"/>
  <c r="S335" i="1" s="1"/>
  <c r="T334" i="1"/>
  <c r="V334" i="1" s="1"/>
  <c r="W334" i="1" s="1"/>
  <c r="P334" i="1"/>
  <c r="R334" i="1" s="1"/>
  <c r="S334" i="1" s="1"/>
  <c r="M334" i="1"/>
  <c r="X334" i="1" s="1"/>
  <c r="Z334" i="1" s="1"/>
  <c r="X333" i="1"/>
  <c r="Z333" i="1" s="1"/>
  <c r="T333" i="1"/>
  <c r="V333" i="1" s="1"/>
  <c r="W333" i="1" s="1"/>
  <c r="P333" i="1"/>
  <c r="R333" i="1" s="1"/>
  <c r="S333" i="1" s="1"/>
  <c r="X332" i="1"/>
  <c r="Z332" i="1" s="1"/>
  <c r="T332" i="1"/>
  <c r="V332" i="1" s="1"/>
  <c r="W332" i="1" s="1"/>
  <c r="P332" i="1"/>
  <c r="R332" i="1" s="1"/>
  <c r="S332" i="1" s="1"/>
  <c r="X331" i="1"/>
  <c r="Z331" i="1" s="1"/>
  <c r="T331" i="1"/>
  <c r="V331" i="1" s="1"/>
  <c r="W331" i="1" s="1"/>
  <c r="P331" i="1"/>
  <c r="R331" i="1" s="1"/>
  <c r="S331" i="1" s="1"/>
  <c r="X330" i="1"/>
  <c r="Z330" i="1" s="1"/>
  <c r="T330" i="1"/>
  <c r="V330" i="1" s="1"/>
  <c r="W330" i="1" s="1"/>
  <c r="P330" i="1"/>
  <c r="R330" i="1" s="1"/>
  <c r="S330" i="1" s="1"/>
  <c r="X329" i="1"/>
  <c r="Z329" i="1" s="1"/>
  <c r="T329" i="1"/>
  <c r="V329" i="1" s="1"/>
  <c r="W329" i="1" s="1"/>
  <c r="P329" i="1"/>
  <c r="R329" i="1" s="1"/>
  <c r="S329" i="1" s="1"/>
  <c r="X328" i="1"/>
  <c r="Z328" i="1" s="1"/>
  <c r="T328" i="1"/>
  <c r="V328" i="1" s="1"/>
  <c r="W328" i="1" s="1"/>
  <c r="P328" i="1"/>
  <c r="R328" i="1" s="1"/>
  <c r="S328" i="1" s="1"/>
  <c r="X327" i="1"/>
  <c r="Z327" i="1" s="1"/>
  <c r="T327" i="1"/>
  <c r="V327" i="1" s="1"/>
  <c r="W327" i="1" s="1"/>
  <c r="P327" i="1"/>
  <c r="R327" i="1" s="1"/>
  <c r="S327" i="1" s="1"/>
  <c r="X326" i="1"/>
  <c r="Z326" i="1" s="1"/>
  <c r="T326" i="1"/>
  <c r="V326" i="1" s="1"/>
  <c r="W326" i="1" s="1"/>
  <c r="P326" i="1"/>
  <c r="R326" i="1" s="1"/>
  <c r="S326" i="1" s="1"/>
  <c r="X325" i="1"/>
  <c r="Z325" i="1" s="1"/>
  <c r="T325" i="1"/>
  <c r="V325" i="1" s="1"/>
  <c r="W325" i="1" s="1"/>
  <c r="P325" i="1"/>
  <c r="R325" i="1" s="1"/>
  <c r="S325" i="1" s="1"/>
  <c r="X324" i="1"/>
  <c r="Z324" i="1" s="1"/>
  <c r="T324" i="1"/>
  <c r="V324" i="1" s="1"/>
  <c r="W324" i="1" s="1"/>
  <c r="P324" i="1"/>
  <c r="R324" i="1" s="1"/>
  <c r="S324" i="1" s="1"/>
  <c r="X323" i="1"/>
  <c r="Z323" i="1" s="1"/>
  <c r="T323" i="1"/>
  <c r="V323" i="1" s="1"/>
  <c r="W323" i="1" s="1"/>
  <c r="P323" i="1"/>
  <c r="R323" i="1" s="1"/>
  <c r="S323" i="1" s="1"/>
  <c r="X322" i="1"/>
  <c r="Z322" i="1" s="1"/>
  <c r="T322" i="1"/>
  <c r="V322" i="1" s="1"/>
  <c r="W322" i="1" s="1"/>
  <c r="P322" i="1"/>
  <c r="R322" i="1" s="1"/>
  <c r="S322" i="1" s="1"/>
  <c r="X321" i="1"/>
  <c r="Z321" i="1" s="1"/>
  <c r="T321" i="1"/>
  <c r="V321" i="1" s="1"/>
  <c r="W321" i="1" s="1"/>
  <c r="P321" i="1"/>
  <c r="R321" i="1" s="1"/>
  <c r="S321" i="1" s="1"/>
  <c r="X320" i="1"/>
  <c r="Z320" i="1" s="1"/>
  <c r="T320" i="1"/>
  <c r="V320" i="1" s="1"/>
  <c r="W320" i="1" s="1"/>
  <c r="P320" i="1"/>
  <c r="R320" i="1" s="1"/>
  <c r="S320" i="1" s="1"/>
  <c r="T319" i="1"/>
  <c r="V319" i="1" s="1"/>
  <c r="W319" i="1" s="1"/>
  <c r="P319" i="1"/>
  <c r="R319" i="1" s="1"/>
  <c r="S319" i="1" s="1"/>
  <c r="M319" i="1"/>
  <c r="X319" i="1" s="1"/>
  <c r="Z319" i="1" s="1"/>
  <c r="X318" i="1"/>
  <c r="Z318" i="1" s="1"/>
  <c r="O318" i="1" s="1"/>
  <c r="T318" i="1"/>
  <c r="V318" i="1" s="1"/>
  <c r="W318" i="1" s="1"/>
  <c r="P318" i="1"/>
  <c r="R318" i="1" s="1"/>
  <c r="S318" i="1" s="1"/>
  <c r="X317" i="1"/>
  <c r="Z317" i="1" s="1"/>
  <c r="T317" i="1"/>
  <c r="V317" i="1" s="1"/>
  <c r="W317" i="1" s="1"/>
  <c r="P317" i="1"/>
  <c r="R317" i="1" s="1"/>
  <c r="S317" i="1" s="1"/>
  <c r="X316" i="1"/>
  <c r="Z316" i="1" s="1"/>
  <c r="AA316" i="1" s="1"/>
  <c r="T316" i="1"/>
  <c r="V316" i="1" s="1"/>
  <c r="W316" i="1" s="1"/>
  <c r="P316" i="1"/>
  <c r="R316" i="1" s="1"/>
  <c r="S316" i="1" s="1"/>
  <c r="X315" i="1"/>
  <c r="Z315" i="1" s="1"/>
  <c r="T315" i="1"/>
  <c r="V315" i="1" s="1"/>
  <c r="W315" i="1" s="1"/>
  <c r="P315" i="1"/>
  <c r="R315" i="1" s="1"/>
  <c r="S315" i="1" s="1"/>
  <c r="X314" i="1"/>
  <c r="Z314" i="1" s="1"/>
  <c r="T314" i="1"/>
  <c r="V314" i="1" s="1"/>
  <c r="W314" i="1" s="1"/>
  <c r="P314" i="1"/>
  <c r="R314" i="1" s="1"/>
  <c r="S314" i="1" s="1"/>
  <c r="X313" i="1"/>
  <c r="Z313" i="1" s="1"/>
  <c r="T313" i="1"/>
  <c r="V313" i="1" s="1"/>
  <c r="W313" i="1" s="1"/>
  <c r="P313" i="1"/>
  <c r="R313" i="1" s="1"/>
  <c r="S313" i="1" s="1"/>
  <c r="X312" i="1"/>
  <c r="Z312" i="1" s="1"/>
  <c r="AA312" i="1" s="1"/>
  <c r="T312" i="1"/>
  <c r="V312" i="1" s="1"/>
  <c r="W312" i="1" s="1"/>
  <c r="P312" i="1"/>
  <c r="R312" i="1" s="1"/>
  <c r="S312" i="1" s="1"/>
  <c r="X311" i="1"/>
  <c r="Z311" i="1" s="1"/>
  <c r="T311" i="1"/>
  <c r="V311" i="1" s="1"/>
  <c r="W311" i="1" s="1"/>
  <c r="P311" i="1"/>
  <c r="R311" i="1" s="1"/>
  <c r="S311" i="1" s="1"/>
  <c r="X310" i="1"/>
  <c r="Z310" i="1" s="1"/>
  <c r="O310" i="1" s="1"/>
  <c r="T310" i="1"/>
  <c r="V310" i="1" s="1"/>
  <c r="W310" i="1" s="1"/>
  <c r="P310" i="1"/>
  <c r="R310" i="1" s="1"/>
  <c r="S310" i="1" s="1"/>
  <c r="X309" i="1"/>
  <c r="Z309" i="1" s="1"/>
  <c r="T309" i="1"/>
  <c r="V309" i="1" s="1"/>
  <c r="W309" i="1" s="1"/>
  <c r="P309" i="1"/>
  <c r="R309" i="1" s="1"/>
  <c r="S309" i="1" s="1"/>
  <c r="X308" i="1"/>
  <c r="Z308" i="1" s="1"/>
  <c r="O308" i="1" s="1"/>
  <c r="T308" i="1"/>
  <c r="V308" i="1" s="1"/>
  <c r="W308" i="1" s="1"/>
  <c r="P308" i="1"/>
  <c r="R308" i="1" s="1"/>
  <c r="S308" i="1" s="1"/>
  <c r="X307" i="1"/>
  <c r="Z307" i="1" s="1"/>
  <c r="T307" i="1"/>
  <c r="V307" i="1" s="1"/>
  <c r="W307" i="1" s="1"/>
  <c r="P307" i="1"/>
  <c r="R307" i="1" s="1"/>
  <c r="S307" i="1" s="1"/>
  <c r="X306" i="1"/>
  <c r="Z306" i="1" s="1"/>
  <c r="T306" i="1"/>
  <c r="V306" i="1" s="1"/>
  <c r="W306" i="1" s="1"/>
  <c r="P306" i="1"/>
  <c r="R306" i="1" s="1"/>
  <c r="S306" i="1" s="1"/>
  <c r="X305" i="1"/>
  <c r="Z305" i="1" s="1"/>
  <c r="T305" i="1"/>
  <c r="V305" i="1" s="1"/>
  <c r="W305" i="1" s="1"/>
  <c r="P305" i="1"/>
  <c r="R305" i="1" s="1"/>
  <c r="S305" i="1" s="1"/>
  <c r="T304" i="1"/>
  <c r="V304" i="1" s="1"/>
  <c r="W304" i="1" s="1"/>
  <c r="P304" i="1"/>
  <c r="R304" i="1" s="1"/>
  <c r="S304" i="1" s="1"/>
  <c r="M304" i="1"/>
  <c r="X304" i="1" s="1"/>
  <c r="Z304" i="1" s="1"/>
  <c r="X303" i="1"/>
  <c r="Z303" i="1" s="1"/>
  <c r="T303" i="1"/>
  <c r="V303" i="1" s="1"/>
  <c r="W303" i="1" s="1"/>
  <c r="P303" i="1"/>
  <c r="R303" i="1" s="1"/>
  <c r="S303" i="1" s="1"/>
  <c r="X302" i="1"/>
  <c r="Z302" i="1" s="1"/>
  <c r="T302" i="1"/>
  <c r="V302" i="1" s="1"/>
  <c r="W302" i="1" s="1"/>
  <c r="P302" i="1"/>
  <c r="R302" i="1" s="1"/>
  <c r="S302" i="1" s="1"/>
  <c r="X301" i="1"/>
  <c r="Z301" i="1" s="1"/>
  <c r="T301" i="1"/>
  <c r="V301" i="1" s="1"/>
  <c r="W301" i="1" s="1"/>
  <c r="P301" i="1"/>
  <c r="R301" i="1" s="1"/>
  <c r="S301" i="1" s="1"/>
  <c r="X300" i="1"/>
  <c r="Z300" i="1" s="1"/>
  <c r="T300" i="1"/>
  <c r="V300" i="1" s="1"/>
  <c r="W300" i="1" s="1"/>
  <c r="P300" i="1"/>
  <c r="R300" i="1" s="1"/>
  <c r="S300" i="1" s="1"/>
  <c r="X299" i="1"/>
  <c r="Z299" i="1" s="1"/>
  <c r="T299" i="1"/>
  <c r="V299" i="1" s="1"/>
  <c r="W299" i="1" s="1"/>
  <c r="P299" i="1"/>
  <c r="R299" i="1" s="1"/>
  <c r="S299" i="1" s="1"/>
  <c r="X298" i="1"/>
  <c r="Z298" i="1" s="1"/>
  <c r="T298" i="1"/>
  <c r="V298" i="1" s="1"/>
  <c r="W298" i="1" s="1"/>
  <c r="P298" i="1"/>
  <c r="R298" i="1" s="1"/>
  <c r="S298" i="1" s="1"/>
  <c r="X297" i="1"/>
  <c r="Z297" i="1" s="1"/>
  <c r="T297" i="1"/>
  <c r="V297" i="1" s="1"/>
  <c r="W297" i="1" s="1"/>
  <c r="P297" i="1"/>
  <c r="R297" i="1" s="1"/>
  <c r="S297" i="1" s="1"/>
  <c r="X296" i="1"/>
  <c r="Z296" i="1" s="1"/>
  <c r="O296" i="1" s="1"/>
  <c r="T296" i="1"/>
  <c r="V296" i="1" s="1"/>
  <c r="W296" i="1" s="1"/>
  <c r="P296" i="1"/>
  <c r="R296" i="1" s="1"/>
  <c r="S296" i="1" s="1"/>
  <c r="X295" i="1"/>
  <c r="Z295" i="1" s="1"/>
  <c r="T295" i="1"/>
  <c r="V295" i="1" s="1"/>
  <c r="W295" i="1" s="1"/>
  <c r="P295" i="1"/>
  <c r="R295" i="1" s="1"/>
  <c r="S295" i="1" s="1"/>
  <c r="X294" i="1"/>
  <c r="Z294" i="1" s="1"/>
  <c r="T294" i="1"/>
  <c r="V294" i="1" s="1"/>
  <c r="W294" i="1" s="1"/>
  <c r="P294" i="1"/>
  <c r="R294" i="1" s="1"/>
  <c r="S294" i="1" s="1"/>
  <c r="X293" i="1"/>
  <c r="Z293" i="1" s="1"/>
  <c r="T293" i="1"/>
  <c r="V293" i="1" s="1"/>
  <c r="W293" i="1" s="1"/>
  <c r="P293" i="1"/>
  <c r="R293" i="1" s="1"/>
  <c r="S293" i="1" s="1"/>
  <c r="X292" i="1"/>
  <c r="Z292" i="1" s="1"/>
  <c r="T292" i="1"/>
  <c r="V292" i="1" s="1"/>
  <c r="W292" i="1" s="1"/>
  <c r="P292" i="1"/>
  <c r="R292" i="1" s="1"/>
  <c r="S292" i="1" s="1"/>
  <c r="X291" i="1"/>
  <c r="Z291" i="1" s="1"/>
  <c r="T291" i="1"/>
  <c r="V291" i="1" s="1"/>
  <c r="W291" i="1" s="1"/>
  <c r="P291" i="1"/>
  <c r="R291" i="1" s="1"/>
  <c r="S291" i="1" s="1"/>
  <c r="X290" i="1"/>
  <c r="Z290" i="1" s="1"/>
  <c r="T290" i="1"/>
  <c r="V290" i="1" s="1"/>
  <c r="W290" i="1" s="1"/>
  <c r="P290" i="1"/>
  <c r="R290" i="1" s="1"/>
  <c r="S290" i="1" s="1"/>
  <c r="T289" i="1"/>
  <c r="V289" i="1" s="1"/>
  <c r="W289" i="1" s="1"/>
  <c r="P289" i="1"/>
  <c r="R289" i="1" s="1"/>
  <c r="S289" i="1" s="1"/>
  <c r="M289" i="1"/>
  <c r="X289" i="1" s="1"/>
  <c r="Z289" i="1" s="1"/>
  <c r="X288" i="1"/>
  <c r="Z288" i="1" s="1"/>
  <c r="AA288" i="1" s="1"/>
  <c r="T288" i="1"/>
  <c r="V288" i="1" s="1"/>
  <c r="W288" i="1" s="1"/>
  <c r="P288" i="1"/>
  <c r="R288" i="1" s="1"/>
  <c r="S288" i="1" s="1"/>
  <c r="X287" i="1"/>
  <c r="Z287" i="1" s="1"/>
  <c r="T287" i="1"/>
  <c r="V287" i="1" s="1"/>
  <c r="W287" i="1" s="1"/>
  <c r="P287" i="1"/>
  <c r="R287" i="1" s="1"/>
  <c r="S287" i="1" s="1"/>
  <c r="X286" i="1"/>
  <c r="Z286" i="1" s="1"/>
  <c r="T286" i="1"/>
  <c r="V286" i="1" s="1"/>
  <c r="W286" i="1" s="1"/>
  <c r="P286" i="1"/>
  <c r="R286" i="1" s="1"/>
  <c r="S286" i="1" s="1"/>
  <c r="X285" i="1"/>
  <c r="Z285" i="1" s="1"/>
  <c r="AA285" i="1" s="1"/>
  <c r="T285" i="1"/>
  <c r="V285" i="1" s="1"/>
  <c r="W285" i="1" s="1"/>
  <c r="P285" i="1"/>
  <c r="R285" i="1" s="1"/>
  <c r="S285" i="1" s="1"/>
  <c r="X284" i="1"/>
  <c r="Z284" i="1" s="1"/>
  <c r="T284" i="1"/>
  <c r="V284" i="1" s="1"/>
  <c r="W284" i="1" s="1"/>
  <c r="P284" i="1"/>
  <c r="R284" i="1" s="1"/>
  <c r="S284" i="1" s="1"/>
  <c r="X283" i="1"/>
  <c r="Z283" i="1" s="1"/>
  <c r="O283" i="1" s="1"/>
  <c r="T283" i="1"/>
  <c r="V283" i="1" s="1"/>
  <c r="W283" i="1" s="1"/>
  <c r="P283" i="1"/>
  <c r="R283" i="1" s="1"/>
  <c r="S283" i="1" s="1"/>
  <c r="X282" i="1"/>
  <c r="Z282" i="1" s="1"/>
  <c r="T282" i="1"/>
  <c r="V282" i="1" s="1"/>
  <c r="W282" i="1" s="1"/>
  <c r="P282" i="1"/>
  <c r="R282" i="1" s="1"/>
  <c r="S282" i="1" s="1"/>
  <c r="X281" i="1"/>
  <c r="Z281" i="1" s="1"/>
  <c r="AA281" i="1" s="1"/>
  <c r="T281" i="1"/>
  <c r="V281" i="1" s="1"/>
  <c r="W281" i="1" s="1"/>
  <c r="P281" i="1"/>
  <c r="R281" i="1" s="1"/>
  <c r="S281" i="1" s="1"/>
  <c r="X280" i="1"/>
  <c r="Z280" i="1" s="1"/>
  <c r="T280" i="1"/>
  <c r="V280" i="1" s="1"/>
  <c r="W280" i="1" s="1"/>
  <c r="P280" i="1"/>
  <c r="R280" i="1" s="1"/>
  <c r="S280" i="1" s="1"/>
  <c r="X279" i="1"/>
  <c r="Z279" i="1" s="1"/>
  <c r="T279" i="1"/>
  <c r="V279" i="1" s="1"/>
  <c r="W279" i="1" s="1"/>
  <c r="P279" i="1"/>
  <c r="R279" i="1" s="1"/>
  <c r="S279" i="1" s="1"/>
  <c r="X278" i="1"/>
  <c r="Z278" i="1" s="1"/>
  <c r="T278" i="1"/>
  <c r="V278" i="1" s="1"/>
  <c r="W278" i="1" s="1"/>
  <c r="P278" i="1"/>
  <c r="R278" i="1" s="1"/>
  <c r="S278" i="1" s="1"/>
  <c r="X277" i="1"/>
  <c r="Z277" i="1" s="1"/>
  <c r="T277" i="1"/>
  <c r="V277" i="1" s="1"/>
  <c r="W277" i="1" s="1"/>
  <c r="P277" i="1"/>
  <c r="R277" i="1" s="1"/>
  <c r="S277" i="1" s="1"/>
  <c r="X276" i="1"/>
  <c r="Z276" i="1" s="1"/>
  <c r="T276" i="1"/>
  <c r="V276" i="1" s="1"/>
  <c r="W276" i="1" s="1"/>
  <c r="P276" i="1"/>
  <c r="R276" i="1" s="1"/>
  <c r="S276" i="1" s="1"/>
  <c r="X275" i="1"/>
  <c r="Z275" i="1" s="1"/>
  <c r="O275" i="1" s="1"/>
  <c r="T275" i="1"/>
  <c r="V275" i="1" s="1"/>
  <c r="W275" i="1" s="1"/>
  <c r="P275" i="1"/>
  <c r="R275" i="1" s="1"/>
  <c r="S275" i="1" s="1"/>
  <c r="T274" i="1"/>
  <c r="V274" i="1" s="1"/>
  <c r="W274" i="1" s="1"/>
  <c r="P274" i="1"/>
  <c r="R274" i="1" s="1"/>
  <c r="S274" i="1" s="1"/>
  <c r="M274" i="1"/>
  <c r="X274" i="1" s="1"/>
  <c r="Z274" i="1" s="1"/>
  <c r="X273" i="1"/>
  <c r="Z273" i="1" s="1"/>
  <c r="T273" i="1"/>
  <c r="V273" i="1" s="1"/>
  <c r="W273" i="1" s="1"/>
  <c r="P273" i="1"/>
  <c r="R273" i="1" s="1"/>
  <c r="S273" i="1" s="1"/>
  <c r="X272" i="1"/>
  <c r="Z272" i="1" s="1"/>
  <c r="T272" i="1"/>
  <c r="V272" i="1" s="1"/>
  <c r="W272" i="1" s="1"/>
  <c r="P272" i="1"/>
  <c r="R272" i="1" s="1"/>
  <c r="S272" i="1" s="1"/>
  <c r="X271" i="1"/>
  <c r="Z271" i="1" s="1"/>
  <c r="T271" i="1"/>
  <c r="V271" i="1" s="1"/>
  <c r="W271" i="1" s="1"/>
  <c r="P271" i="1"/>
  <c r="R271" i="1" s="1"/>
  <c r="S271" i="1" s="1"/>
  <c r="X270" i="1"/>
  <c r="Z270" i="1" s="1"/>
  <c r="T270" i="1"/>
  <c r="V270" i="1" s="1"/>
  <c r="W270" i="1" s="1"/>
  <c r="P270" i="1"/>
  <c r="R270" i="1" s="1"/>
  <c r="S270" i="1" s="1"/>
  <c r="X269" i="1"/>
  <c r="Z269" i="1" s="1"/>
  <c r="T269" i="1"/>
  <c r="V269" i="1" s="1"/>
  <c r="W269" i="1" s="1"/>
  <c r="P269" i="1"/>
  <c r="R269" i="1" s="1"/>
  <c r="S269" i="1" s="1"/>
  <c r="X268" i="1"/>
  <c r="Z268" i="1" s="1"/>
  <c r="T268" i="1"/>
  <c r="V268" i="1" s="1"/>
  <c r="W268" i="1" s="1"/>
  <c r="P268" i="1"/>
  <c r="R268" i="1" s="1"/>
  <c r="S268" i="1" s="1"/>
  <c r="X267" i="1"/>
  <c r="Z267" i="1" s="1"/>
  <c r="T267" i="1"/>
  <c r="V267" i="1" s="1"/>
  <c r="W267" i="1" s="1"/>
  <c r="P267" i="1"/>
  <c r="R267" i="1" s="1"/>
  <c r="S267" i="1" s="1"/>
  <c r="X266" i="1"/>
  <c r="Z266" i="1" s="1"/>
  <c r="T266" i="1"/>
  <c r="V266" i="1" s="1"/>
  <c r="W266" i="1" s="1"/>
  <c r="P266" i="1"/>
  <c r="R266" i="1" s="1"/>
  <c r="S266" i="1" s="1"/>
  <c r="X265" i="1"/>
  <c r="Z265" i="1" s="1"/>
  <c r="T265" i="1"/>
  <c r="V265" i="1" s="1"/>
  <c r="W265" i="1" s="1"/>
  <c r="P265" i="1"/>
  <c r="R265" i="1" s="1"/>
  <c r="S265" i="1" s="1"/>
  <c r="X264" i="1"/>
  <c r="Z264" i="1" s="1"/>
  <c r="T264" i="1"/>
  <c r="V264" i="1" s="1"/>
  <c r="W264" i="1" s="1"/>
  <c r="P264" i="1"/>
  <c r="R264" i="1" s="1"/>
  <c r="S264" i="1" s="1"/>
  <c r="X263" i="1"/>
  <c r="Z263" i="1" s="1"/>
  <c r="T263" i="1"/>
  <c r="V263" i="1" s="1"/>
  <c r="W263" i="1" s="1"/>
  <c r="P263" i="1"/>
  <c r="R263" i="1" s="1"/>
  <c r="S263" i="1" s="1"/>
  <c r="X262" i="1"/>
  <c r="Z262" i="1" s="1"/>
  <c r="T262" i="1"/>
  <c r="V262" i="1" s="1"/>
  <c r="W262" i="1" s="1"/>
  <c r="P262" i="1"/>
  <c r="R262" i="1" s="1"/>
  <c r="S262" i="1" s="1"/>
  <c r="X261" i="1"/>
  <c r="Z261" i="1" s="1"/>
  <c r="T261" i="1"/>
  <c r="V261" i="1" s="1"/>
  <c r="W261" i="1" s="1"/>
  <c r="P261" i="1"/>
  <c r="R261" i="1" s="1"/>
  <c r="S261" i="1" s="1"/>
  <c r="X260" i="1"/>
  <c r="Z260" i="1" s="1"/>
  <c r="AA260" i="1" s="1"/>
  <c r="P260" i="1"/>
  <c r="R260" i="1" s="1"/>
  <c r="S260" i="1" s="1"/>
  <c r="M260" i="1"/>
  <c r="T260" i="1" s="1"/>
  <c r="V260" i="1" s="1"/>
  <c r="W260" i="1" s="1"/>
  <c r="X259" i="1"/>
  <c r="Z259" i="1" s="1"/>
  <c r="AA259" i="1" s="1"/>
  <c r="P259" i="1"/>
  <c r="R259" i="1" s="1"/>
  <c r="S259" i="1" s="1"/>
  <c r="M259" i="1"/>
  <c r="T259" i="1" s="1"/>
  <c r="V259" i="1" s="1"/>
  <c r="X258" i="1"/>
  <c r="Z258" i="1" s="1"/>
  <c r="AA258" i="1" s="1"/>
  <c r="P258" i="1"/>
  <c r="R258" i="1" s="1"/>
  <c r="S258" i="1" s="1"/>
  <c r="M258" i="1"/>
  <c r="T258" i="1" s="1"/>
  <c r="V258" i="1" s="1"/>
  <c r="X257" i="1"/>
  <c r="Z257" i="1" s="1"/>
  <c r="AA257" i="1" s="1"/>
  <c r="T257" i="1"/>
  <c r="V257" i="1" s="1"/>
  <c r="P257" i="1"/>
  <c r="R257" i="1" s="1"/>
  <c r="S257" i="1" s="1"/>
  <c r="X256" i="1"/>
  <c r="Z256" i="1" s="1"/>
  <c r="AA256" i="1" s="1"/>
  <c r="T256" i="1"/>
  <c r="V256" i="1" s="1"/>
  <c r="O256" i="1" s="1"/>
  <c r="P256" i="1"/>
  <c r="R256" i="1" s="1"/>
  <c r="S256" i="1" s="1"/>
  <c r="X255" i="1"/>
  <c r="Z255" i="1" s="1"/>
  <c r="AA255" i="1" s="1"/>
  <c r="T255" i="1"/>
  <c r="V255" i="1" s="1"/>
  <c r="P255" i="1"/>
  <c r="R255" i="1" s="1"/>
  <c r="S255" i="1" s="1"/>
  <c r="X254" i="1"/>
  <c r="Z254" i="1" s="1"/>
  <c r="AA254" i="1" s="1"/>
  <c r="T254" i="1"/>
  <c r="V254" i="1" s="1"/>
  <c r="P254" i="1"/>
  <c r="R254" i="1" s="1"/>
  <c r="S254" i="1" s="1"/>
  <c r="X253" i="1"/>
  <c r="Z253" i="1" s="1"/>
  <c r="AA253" i="1" s="1"/>
  <c r="T253" i="1"/>
  <c r="V253" i="1" s="1"/>
  <c r="P253" i="1"/>
  <c r="R253" i="1" s="1"/>
  <c r="S253" i="1" s="1"/>
  <c r="X252" i="1"/>
  <c r="Z252" i="1" s="1"/>
  <c r="AA252" i="1" s="1"/>
  <c r="T252" i="1"/>
  <c r="V252" i="1" s="1"/>
  <c r="P252" i="1"/>
  <c r="R252" i="1" s="1"/>
  <c r="S252" i="1" s="1"/>
  <c r="X251" i="1"/>
  <c r="Z251" i="1" s="1"/>
  <c r="AA251" i="1" s="1"/>
  <c r="T251" i="1"/>
  <c r="V251" i="1" s="1"/>
  <c r="P251" i="1"/>
  <c r="R251" i="1" s="1"/>
  <c r="S251" i="1" s="1"/>
  <c r="X250" i="1"/>
  <c r="Z250" i="1" s="1"/>
  <c r="AA250" i="1" s="1"/>
  <c r="T250" i="1"/>
  <c r="V250" i="1" s="1"/>
  <c r="O250" i="1" s="1"/>
  <c r="P250" i="1"/>
  <c r="R250" i="1" s="1"/>
  <c r="S250" i="1" s="1"/>
  <c r="X249" i="1"/>
  <c r="Z249" i="1" s="1"/>
  <c r="AA249" i="1" s="1"/>
  <c r="T249" i="1"/>
  <c r="V249" i="1" s="1"/>
  <c r="P249" i="1"/>
  <c r="R249" i="1" s="1"/>
  <c r="S249" i="1" s="1"/>
  <c r="X248" i="1"/>
  <c r="Z248" i="1" s="1"/>
  <c r="AA248" i="1" s="1"/>
  <c r="T248" i="1"/>
  <c r="V248" i="1" s="1"/>
  <c r="W248" i="1" s="1"/>
  <c r="P248" i="1"/>
  <c r="R248" i="1" s="1"/>
  <c r="S248" i="1" s="1"/>
  <c r="X247" i="1"/>
  <c r="Z247" i="1" s="1"/>
  <c r="AA247" i="1" s="1"/>
  <c r="T247" i="1"/>
  <c r="V247" i="1" s="1"/>
  <c r="P247" i="1"/>
  <c r="R247" i="1" s="1"/>
  <c r="S247" i="1" s="1"/>
  <c r="X246" i="1"/>
  <c r="Z246" i="1" s="1"/>
  <c r="AA246" i="1" s="1"/>
  <c r="T246" i="1"/>
  <c r="V246" i="1" s="1"/>
  <c r="P246" i="1"/>
  <c r="R246" i="1" s="1"/>
  <c r="S246" i="1" s="1"/>
  <c r="X245" i="1"/>
  <c r="Z245" i="1" s="1"/>
  <c r="AA245" i="1" s="1"/>
  <c r="T245" i="1"/>
  <c r="V245" i="1" s="1"/>
  <c r="P245" i="1"/>
  <c r="R245" i="1" s="1"/>
  <c r="S245" i="1" s="1"/>
  <c r="X244" i="1"/>
  <c r="Z244" i="1" s="1"/>
  <c r="AA244" i="1" s="1"/>
  <c r="P244" i="1"/>
  <c r="R244" i="1" s="1"/>
  <c r="S244" i="1" s="1"/>
  <c r="M244" i="1"/>
  <c r="T244" i="1" s="1"/>
  <c r="V244" i="1" s="1"/>
  <c r="X243" i="1"/>
  <c r="Z243" i="1" s="1"/>
  <c r="AA243" i="1" s="1"/>
  <c r="P243" i="1"/>
  <c r="R243" i="1" s="1"/>
  <c r="S243" i="1" s="1"/>
  <c r="M243" i="1"/>
  <c r="T243" i="1" s="1"/>
  <c r="V243" i="1" s="1"/>
  <c r="X242" i="1"/>
  <c r="Z242" i="1" s="1"/>
  <c r="AA242" i="1" s="1"/>
  <c r="P242" i="1"/>
  <c r="R242" i="1" s="1"/>
  <c r="S242" i="1" s="1"/>
  <c r="M242" i="1"/>
  <c r="T242" i="1" s="1"/>
  <c r="V242" i="1" s="1"/>
  <c r="X241" i="1"/>
  <c r="Z241" i="1" s="1"/>
  <c r="AA241" i="1" s="1"/>
  <c r="T241" i="1"/>
  <c r="V241" i="1" s="1"/>
  <c r="P241" i="1"/>
  <c r="R241" i="1" s="1"/>
  <c r="S241" i="1" s="1"/>
  <c r="X240" i="1"/>
  <c r="Z240" i="1" s="1"/>
  <c r="AA240" i="1" s="1"/>
  <c r="T240" i="1"/>
  <c r="V240" i="1" s="1"/>
  <c r="P240" i="1"/>
  <c r="R240" i="1" s="1"/>
  <c r="S240" i="1" s="1"/>
  <c r="X239" i="1"/>
  <c r="Z239" i="1" s="1"/>
  <c r="AA239" i="1" s="1"/>
  <c r="T239" i="1"/>
  <c r="V239" i="1" s="1"/>
  <c r="P239" i="1"/>
  <c r="R239" i="1" s="1"/>
  <c r="S239" i="1" s="1"/>
  <c r="X238" i="1"/>
  <c r="Z238" i="1" s="1"/>
  <c r="AA238" i="1" s="1"/>
  <c r="T238" i="1"/>
  <c r="V238" i="1" s="1"/>
  <c r="W238" i="1" s="1"/>
  <c r="P238" i="1"/>
  <c r="R238" i="1" s="1"/>
  <c r="S238" i="1" s="1"/>
  <c r="X237" i="1"/>
  <c r="Z237" i="1" s="1"/>
  <c r="AA237" i="1" s="1"/>
  <c r="T237" i="1"/>
  <c r="V237" i="1" s="1"/>
  <c r="P237" i="1"/>
  <c r="R237" i="1" s="1"/>
  <c r="S237" i="1" s="1"/>
  <c r="X236" i="1"/>
  <c r="Z236" i="1" s="1"/>
  <c r="AA236" i="1" s="1"/>
  <c r="T236" i="1"/>
  <c r="V236" i="1" s="1"/>
  <c r="P236" i="1"/>
  <c r="R236" i="1" s="1"/>
  <c r="S236" i="1" s="1"/>
  <c r="X235" i="1"/>
  <c r="Z235" i="1" s="1"/>
  <c r="AA235" i="1" s="1"/>
  <c r="T235" i="1"/>
  <c r="V235" i="1" s="1"/>
  <c r="W235" i="1" s="1"/>
  <c r="P235" i="1"/>
  <c r="R235" i="1" s="1"/>
  <c r="S235" i="1" s="1"/>
  <c r="X234" i="1"/>
  <c r="Z234" i="1" s="1"/>
  <c r="AA234" i="1" s="1"/>
  <c r="T234" i="1"/>
  <c r="V234" i="1" s="1"/>
  <c r="P234" i="1"/>
  <c r="R234" i="1" s="1"/>
  <c r="S234" i="1" s="1"/>
  <c r="X233" i="1"/>
  <c r="Z233" i="1" s="1"/>
  <c r="AA233" i="1" s="1"/>
  <c r="T233" i="1"/>
  <c r="V233" i="1" s="1"/>
  <c r="P233" i="1"/>
  <c r="R233" i="1" s="1"/>
  <c r="S233" i="1" s="1"/>
  <c r="X232" i="1"/>
  <c r="Z232" i="1" s="1"/>
  <c r="AA232" i="1" s="1"/>
  <c r="T232" i="1"/>
  <c r="V232" i="1" s="1"/>
  <c r="P232" i="1"/>
  <c r="R232" i="1" s="1"/>
  <c r="S232" i="1" s="1"/>
  <c r="X231" i="1"/>
  <c r="Z231" i="1" s="1"/>
  <c r="AA231" i="1" s="1"/>
  <c r="T231" i="1"/>
  <c r="V231" i="1" s="1"/>
  <c r="P231" i="1"/>
  <c r="R231" i="1" s="1"/>
  <c r="S231" i="1" s="1"/>
  <c r="X230" i="1"/>
  <c r="Z230" i="1" s="1"/>
  <c r="AA230" i="1" s="1"/>
  <c r="T230" i="1"/>
  <c r="V230" i="1" s="1"/>
  <c r="W230" i="1" s="1"/>
  <c r="P230" i="1"/>
  <c r="R230" i="1" s="1"/>
  <c r="S230" i="1" s="1"/>
  <c r="X229" i="1"/>
  <c r="Z229" i="1" s="1"/>
  <c r="AA229" i="1" s="1"/>
  <c r="T229" i="1"/>
  <c r="V229" i="1" s="1"/>
  <c r="P229" i="1"/>
  <c r="R229" i="1" s="1"/>
  <c r="S229" i="1" s="1"/>
  <c r="X228" i="1"/>
  <c r="Z228" i="1" s="1"/>
  <c r="AA228" i="1" s="1"/>
  <c r="P228" i="1"/>
  <c r="R228" i="1" s="1"/>
  <c r="S228" i="1" s="1"/>
  <c r="M228" i="1"/>
  <c r="T228" i="1" s="1"/>
  <c r="V228" i="1" s="1"/>
  <c r="X227" i="1"/>
  <c r="Z227" i="1" s="1"/>
  <c r="AA227" i="1" s="1"/>
  <c r="P227" i="1"/>
  <c r="R227" i="1" s="1"/>
  <c r="S227" i="1" s="1"/>
  <c r="M227" i="1"/>
  <c r="T227" i="1" s="1"/>
  <c r="V227" i="1" s="1"/>
  <c r="X226" i="1"/>
  <c r="Z226" i="1" s="1"/>
  <c r="AA226" i="1" s="1"/>
  <c r="P226" i="1"/>
  <c r="R226" i="1" s="1"/>
  <c r="S226" i="1" s="1"/>
  <c r="M226" i="1"/>
  <c r="T226" i="1" s="1"/>
  <c r="V226" i="1" s="1"/>
  <c r="X225" i="1"/>
  <c r="Z225" i="1" s="1"/>
  <c r="AA225" i="1" s="1"/>
  <c r="T225" i="1"/>
  <c r="V225" i="1" s="1"/>
  <c r="O225" i="1" s="1"/>
  <c r="P225" i="1"/>
  <c r="R225" i="1" s="1"/>
  <c r="S225" i="1" s="1"/>
  <c r="X224" i="1"/>
  <c r="Z224" i="1" s="1"/>
  <c r="AA224" i="1" s="1"/>
  <c r="T224" i="1"/>
  <c r="V224" i="1" s="1"/>
  <c r="P224" i="1"/>
  <c r="R224" i="1" s="1"/>
  <c r="S224" i="1" s="1"/>
  <c r="X223" i="1"/>
  <c r="Z223" i="1" s="1"/>
  <c r="AA223" i="1" s="1"/>
  <c r="T223" i="1"/>
  <c r="V223" i="1" s="1"/>
  <c r="O223" i="1" s="1"/>
  <c r="P223" i="1"/>
  <c r="R223" i="1" s="1"/>
  <c r="S223" i="1" s="1"/>
  <c r="X222" i="1"/>
  <c r="Z222" i="1" s="1"/>
  <c r="AA222" i="1" s="1"/>
  <c r="T222" i="1"/>
  <c r="V222" i="1" s="1"/>
  <c r="P222" i="1"/>
  <c r="R222" i="1" s="1"/>
  <c r="S222" i="1" s="1"/>
  <c r="X221" i="1"/>
  <c r="Z221" i="1" s="1"/>
  <c r="AA221" i="1" s="1"/>
  <c r="T221" i="1"/>
  <c r="V221" i="1" s="1"/>
  <c r="P221" i="1"/>
  <c r="R221" i="1" s="1"/>
  <c r="S221" i="1" s="1"/>
  <c r="X220" i="1"/>
  <c r="Z220" i="1" s="1"/>
  <c r="AA220" i="1" s="1"/>
  <c r="T220" i="1"/>
  <c r="V220" i="1" s="1"/>
  <c r="P220" i="1"/>
  <c r="R220" i="1" s="1"/>
  <c r="S220" i="1" s="1"/>
  <c r="X219" i="1"/>
  <c r="Z219" i="1" s="1"/>
  <c r="AA219" i="1" s="1"/>
  <c r="T219" i="1"/>
  <c r="V219" i="1" s="1"/>
  <c r="P219" i="1"/>
  <c r="R219" i="1" s="1"/>
  <c r="S219" i="1" s="1"/>
  <c r="X218" i="1"/>
  <c r="Z218" i="1" s="1"/>
  <c r="AA218" i="1" s="1"/>
  <c r="T218" i="1"/>
  <c r="V218" i="1" s="1"/>
  <c r="P218" i="1"/>
  <c r="R218" i="1" s="1"/>
  <c r="S218" i="1" s="1"/>
  <c r="X217" i="1"/>
  <c r="Z217" i="1" s="1"/>
  <c r="AA217" i="1" s="1"/>
  <c r="T217" i="1"/>
  <c r="V217" i="1" s="1"/>
  <c r="O217" i="1" s="1"/>
  <c r="P217" i="1"/>
  <c r="R217" i="1" s="1"/>
  <c r="S217" i="1" s="1"/>
  <c r="X216" i="1"/>
  <c r="Z216" i="1" s="1"/>
  <c r="AA216" i="1" s="1"/>
  <c r="T216" i="1"/>
  <c r="V216" i="1" s="1"/>
  <c r="P216" i="1"/>
  <c r="R216" i="1" s="1"/>
  <c r="S216" i="1" s="1"/>
  <c r="X215" i="1"/>
  <c r="Z215" i="1" s="1"/>
  <c r="AA215" i="1" s="1"/>
  <c r="T215" i="1"/>
  <c r="V215" i="1" s="1"/>
  <c r="O215" i="1" s="1"/>
  <c r="P215" i="1"/>
  <c r="R215" i="1" s="1"/>
  <c r="S215" i="1" s="1"/>
  <c r="X214" i="1"/>
  <c r="Z214" i="1" s="1"/>
  <c r="AA214" i="1" s="1"/>
  <c r="T214" i="1"/>
  <c r="V214" i="1" s="1"/>
  <c r="P214" i="1"/>
  <c r="R214" i="1" s="1"/>
  <c r="S214" i="1" s="1"/>
  <c r="X213" i="1"/>
  <c r="Z213" i="1" s="1"/>
  <c r="AA213" i="1" s="1"/>
  <c r="T213" i="1"/>
  <c r="V213" i="1" s="1"/>
  <c r="P213" i="1"/>
  <c r="R213" i="1" s="1"/>
  <c r="S213" i="1" s="1"/>
  <c r="X212" i="1"/>
  <c r="Z212" i="1" s="1"/>
  <c r="AA212" i="1" s="1"/>
  <c r="P212" i="1"/>
  <c r="R212" i="1" s="1"/>
  <c r="S212" i="1" s="1"/>
  <c r="M212" i="1"/>
  <c r="T212" i="1" s="1"/>
  <c r="V212" i="1" s="1"/>
  <c r="X211" i="1"/>
  <c r="Z211" i="1" s="1"/>
  <c r="AA211" i="1" s="1"/>
  <c r="P211" i="1"/>
  <c r="R211" i="1" s="1"/>
  <c r="S211" i="1" s="1"/>
  <c r="M211" i="1"/>
  <c r="T211" i="1" s="1"/>
  <c r="V211" i="1" s="1"/>
  <c r="X210" i="1"/>
  <c r="Z210" i="1" s="1"/>
  <c r="AA210" i="1" s="1"/>
  <c r="P210" i="1"/>
  <c r="R210" i="1" s="1"/>
  <c r="S210" i="1" s="1"/>
  <c r="M210" i="1"/>
  <c r="T210" i="1" s="1"/>
  <c r="V210" i="1" s="1"/>
  <c r="X209" i="1"/>
  <c r="Z209" i="1" s="1"/>
  <c r="AA209" i="1" s="1"/>
  <c r="T209" i="1"/>
  <c r="V209" i="1" s="1"/>
  <c r="P209" i="1"/>
  <c r="R209" i="1" s="1"/>
  <c r="S209" i="1" s="1"/>
  <c r="X208" i="1"/>
  <c r="Z208" i="1" s="1"/>
  <c r="AA208" i="1" s="1"/>
  <c r="T208" i="1"/>
  <c r="V208" i="1" s="1"/>
  <c r="W208" i="1" s="1"/>
  <c r="P208" i="1"/>
  <c r="R208" i="1" s="1"/>
  <c r="S208" i="1" s="1"/>
  <c r="X207" i="1"/>
  <c r="Z207" i="1" s="1"/>
  <c r="AA207" i="1" s="1"/>
  <c r="T207" i="1"/>
  <c r="V207" i="1" s="1"/>
  <c r="P207" i="1"/>
  <c r="R207" i="1" s="1"/>
  <c r="S207" i="1" s="1"/>
  <c r="X206" i="1"/>
  <c r="Z206" i="1" s="1"/>
  <c r="AA206" i="1" s="1"/>
  <c r="T206" i="1"/>
  <c r="V206" i="1" s="1"/>
  <c r="P206" i="1"/>
  <c r="R206" i="1" s="1"/>
  <c r="S206" i="1" s="1"/>
  <c r="X205" i="1"/>
  <c r="Z205" i="1" s="1"/>
  <c r="AA205" i="1" s="1"/>
  <c r="T205" i="1"/>
  <c r="V205" i="1" s="1"/>
  <c r="W205" i="1" s="1"/>
  <c r="P205" i="1"/>
  <c r="R205" i="1" s="1"/>
  <c r="S205" i="1" s="1"/>
  <c r="X204" i="1"/>
  <c r="Z204" i="1" s="1"/>
  <c r="AA204" i="1" s="1"/>
  <c r="T204" i="1"/>
  <c r="V204" i="1" s="1"/>
  <c r="P204" i="1"/>
  <c r="R204" i="1" s="1"/>
  <c r="S204" i="1" s="1"/>
  <c r="X203" i="1"/>
  <c r="Z203" i="1" s="1"/>
  <c r="AA203" i="1" s="1"/>
  <c r="T203" i="1"/>
  <c r="V203" i="1" s="1"/>
  <c r="P203" i="1"/>
  <c r="R203" i="1" s="1"/>
  <c r="S203" i="1" s="1"/>
  <c r="X202" i="1"/>
  <c r="Z202" i="1" s="1"/>
  <c r="AA202" i="1" s="1"/>
  <c r="T202" i="1"/>
  <c r="V202" i="1" s="1"/>
  <c r="W202" i="1" s="1"/>
  <c r="P202" i="1"/>
  <c r="R202" i="1" s="1"/>
  <c r="S202" i="1" s="1"/>
  <c r="X201" i="1"/>
  <c r="Z201" i="1" s="1"/>
  <c r="AA201" i="1" s="1"/>
  <c r="T201" i="1"/>
  <c r="V201" i="1" s="1"/>
  <c r="P201" i="1"/>
  <c r="R201" i="1" s="1"/>
  <c r="S201" i="1" s="1"/>
  <c r="X200" i="1"/>
  <c r="Z200" i="1" s="1"/>
  <c r="AA200" i="1" s="1"/>
  <c r="T200" i="1"/>
  <c r="V200" i="1" s="1"/>
  <c r="P200" i="1"/>
  <c r="R200" i="1" s="1"/>
  <c r="S200" i="1" s="1"/>
  <c r="X199" i="1"/>
  <c r="Z199" i="1" s="1"/>
  <c r="AA199" i="1" s="1"/>
  <c r="T199" i="1"/>
  <c r="V199" i="1" s="1"/>
  <c r="P199" i="1"/>
  <c r="R199" i="1" s="1"/>
  <c r="S199" i="1" s="1"/>
  <c r="X198" i="1"/>
  <c r="Z198" i="1" s="1"/>
  <c r="AA198" i="1" s="1"/>
  <c r="T198" i="1"/>
  <c r="V198" i="1" s="1"/>
  <c r="O198" i="1" s="1"/>
  <c r="P198" i="1"/>
  <c r="R198" i="1" s="1"/>
  <c r="S198" i="1" s="1"/>
  <c r="X197" i="1"/>
  <c r="Z197" i="1" s="1"/>
  <c r="AA197" i="1" s="1"/>
  <c r="T197" i="1"/>
  <c r="V197" i="1" s="1"/>
  <c r="W197" i="1" s="1"/>
  <c r="P197" i="1"/>
  <c r="R197" i="1" s="1"/>
  <c r="S197" i="1" s="1"/>
  <c r="X196" i="1"/>
  <c r="Z196" i="1" s="1"/>
  <c r="AA196" i="1" s="1"/>
  <c r="P196" i="1"/>
  <c r="R196" i="1" s="1"/>
  <c r="S196" i="1" s="1"/>
  <c r="M196" i="1"/>
  <c r="T196" i="1" s="1"/>
  <c r="V196" i="1" s="1"/>
  <c r="X195" i="1"/>
  <c r="Z195" i="1" s="1"/>
  <c r="AA195" i="1" s="1"/>
  <c r="P195" i="1"/>
  <c r="R195" i="1" s="1"/>
  <c r="S195" i="1" s="1"/>
  <c r="M195" i="1"/>
  <c r="T195" i="1" s="1"/>
  <c r="V195" i="1" s="1"/>
  <c r="O195" i="1" s="1"/>
  <c r="X194" i="1"/>
  <c r="Z194" i="1" s="1"/>
  <c r="AA194" i="1" s="1"/>
  <c r="P194" i="1"/>
  <c r="R194" i="1" s="1"/>
  <c r="S194" i="1" s="1"/>
  <c r="M194" i="1"/>
  <c r="T194" i="1" s="1"/>
  <c r="V194" i="1" s="1"/>
  <c r="W194" i="1" s="1"/>
  <c r="X193" i="1"/>
  <c r="Z193" i="1" s="1"/>
  <c r="AA193" i="1" s="1"/>
  <c r="T193" i="1"/>
  <c r="V193" i="1" s="1"/>
  <c r="P193" i="1"/>
  <c r="R193" i="1" s="1"/>
  <c r="S193" i="1" s="1"/>
  <c r="X192" i="1"/>
  <c r="Z192" i="1" s="1"/>
  <c r="AA192" i="1" s="1"/>
  <c r="T192" i="1"/>
  <c r="V192" i="1" s="1"/>
  <c r="O192" i="1" s="1"/>
  <c r="P192" i="1"/>
  <c r="R192" i="1" s="1"/>
  <c r="S192" i="1" s="1"/>
  <c r="X191" i="1"/>
  <c r="Z191" i="1" s="1"/>
  <c r="AA191" i="1" s="1"/>
  <c r="T191" i="1"/>
  <c r="V191" i="1" s="1"/>
  <c r="P191" i="1"/>
  <c r="R191" i="1" s="1"/>
  <c r="S191" i="1" s="1"/>
  <c r="X190" i="1"/>
  <c r="Z190" i="1" s="1"/>
  <c r="AA190" i="1" s="1"/>
  <c r="T190" i="1"/>
  <c r="V190" i="1" s="1"/>
  <c r="O190" i="1" s="1"/>
  <c r="P190" i="1"/>
  <c r="R190" i="1" s="1"/>
  <c r="S190" i="1" s="1"/>
  <c r="X189" i="1"/>
  <c r="Z189" i="1" s="1"/>
  <c r="AA189" i="1" s="1"/>
  <c r="T189" i="1"/>
  <c r="V189" i="1" s="1"/>
  <c r="W189" i="1" s="1"/>
  <c r="P189" i="1"/>
  <c r="R189" i="1" s="1"/>
  <c r="S189" i="1" s="1"/>
  <c r="X188" i="1"/>
  <c r="Z188" i="1" s="1"/>
  <c r="AA188" i="1" s="1"/>
  <c r="T188" i="1"/>
  <c r="V188" i="1" s="1"/>
  <c r="P188" i="1"/>
  <c r="R188" i="1" s="1"/>
  <c r="S188" i="1" s="1"/>
  <c r="X187" i="1"/>
  <c r="Z187" i="1" s="1"/>
  <c r="AA187" i="1" s="1"/>
  <c r="T187" i="1"/>
  <c r="V187" i="1" s="1"/>
  <c r="P187" i="1"/>
  <c r="R187" i="1" s="1"/>
  <c r="S187" i="1" s="1"/>
  <c r="X186" i="1"/>
  <c r="Z186" i="1" s="1"/>
  <c r="AA186" i="1" s="1"/>
  <c r="T186" i="1"/>
  <c r="V186" i="1" s="1"/>
  <c r="P186" i="1"/>
  <c r="R186" i="1" s="1"/>
  <c r="S186" i="1" s="1"/>
  <c r="X185" i="1"/>
  <c r="Z185" i="1" s="1"/>
  <c r="AA185" i="1" s="1"/>
  <c r="T185" i="1"/>
  <c r="V185" i="1" s="1"/>
  <c r="W185" i="1" s="1"/>
  <c r="P185" i="1"/>
  <c r="R185" i="1" s="1"/>
  <c r="S185" i="1" s="1"/>
  <c r="X184" i="1"/>
  <c r="Z184" i="1" s="1"/>
  <c r="AA184" i="1" s="1"/>
  <c r="T184" i="1"/>
  <c r="V184" i="1" s="1"/>
  <c r="O184" i="1" s="1"/>
  <c r="P184" i="1"/>
  <c r="R184" i="1" s="1"/>
  <c r="S184" i="1" s="1"/>
  <c r="X183" i="1"/>
  <c r="Z183" i="1" s="1"/>
  <c r="AA183" i="1" s="1"/>
  <c r="T183" i="1"/>
  <c r="V183" i="1" s="1"/>
  <c r="P183" i="1"/>
  <c r="R183" i="1" s="1"/>
  <c r="S183" i="1" s="1"/>
  <c r="X182" i="1"/>
  <c r="Z182" i="1" s="1"/>
  <c r="AA182" i="1" s="1"/>
  <c r="T182" i="1"/>
  <c r="V182" i="1" s="1"/>
  <c r="W182" i="1" s="1"/>
  <c r="P182" i="1"/>
  <c r="R182" i="1" s="1"/>
  <c r="S182" i="1" s="1"/>
  <c r="X181" i="1"/>
  <c r="Z181" i="1" s="1"/>
  <c r="AA181" i="1" s="1"/>
  <c r="T181" i="1"/>
  <c r="V181" i="1" s="1"/>
  <c r="O181" i="1" s="1"/>
  <c r="P181" i="1"/>
  <c r="R181" i="1" s="1"/>
  <c r="S181" i="1" s="1"/>
  <c r="X180" i="1"/>
  <c r="Z180" i="1" s="1"/>
  <c r="AA180" i="1" s="1"/>
  <c r="P180" i="1"/>
  <c r="R180" i="1" s="1"/>
  <c r="S180" i="1" s="1"/>
  <c r="M180" i="1"/>
  <c r="T180" i="1" s="1"/>
  <c r="V180" i="1" s="1"/>
  <c r="X179" i="1"/>
  <c r="Z179" i="1" s="1"/>
  <c r="AA179" i="1" s="1"/>
  <c r="P179" i="1"/>
  <c r="R179" i="1" s="1"/>
  <c r="S179" i="1" s="1"/>
  <c r="M179" i="1"/>
  <c r="T179" i="1" s="1"/>
  <c r="V179" i="1" s="1"/>
  <c r="X178" i="1"/>
  <c r="Z178" i="1" s="1"/>
  <c r="AA178" i="1" s="1"/>
  <c r="P178" i="1"/>
  <c r="R178" i="1" s="1"/>
  <c r="S178" i="1" s="1"/>
  <c r="M178" i="1"/>
  <c r="T178" i="1" s="1"/>
  <c r="V178" i="1" s="1"/>
  <c r="X177" i="1"/>
  <c r="Z177" i="1" s="1"/>
  <c r="AA177" i="1" s="1"/>
  <c r="T177" i="1"/>
  <c r="V177" i="1" s="1"/>
  <c r="W177" i="1" s="1"/>
  <c r="P177" i="1"/>
  <c r="R177" i="1" s="1"/>
  <c r="S177" i="1" s="1"/>
  <c r="X176" i="1"/>
  <c r="Z176" i="1" s="1"/>
  <c r="AA176" i="1" s="1"/>
  <c r="T176" i="1"/>
  <c r="V176" i="1" s="1"/>
  <c r="P176" i="1"/>
  <c r="R176" i="1" s="1"/>
  <c r="S176" i="1" s="1"/>
  <c r="X175" i="1"/>
  <c r="Z175" i="1" s="1"/>
  <c r="AA175" i="1" s="1"/>
  <c r="T175" i="1"/>
  <c r="V175" i="1" s="1"/>
  <c r="P175" i="1"/>
  <c r="R175" i="1" s="1"/>
  <c r="S175" i="1" s="1"/>
  <c r="X174" i="1"/>
  <c r="Z174" i="1" s="1"/>
  <c r="AA174" i="1" s="1"/>
  <c r="T174" i="1"/>
  <c r="V174" i="1" s="1"/>
  <c r="P174" i="1"/>
  <c r="R174" i="1" s="1"/>
  <c r="S174" i="1" s="1"/>
  <c r="X173" i="1"/>
  <c r="Z173" i="1" s="1"/>
  <c r="AA173" i="1" s="1"/>
  <c r="T173" i="1"/>
  <c r="V173" i="1" s="1"/>
  <c r="P173" i="1"/>
  <c r="R173" i="1" s="1"/>
  <c r="S173" i="1" s="1"/>
  <c r="X172" i="1"/>
  <c r="Z172" i="1" s="1"/>
  <c r="AA172" i="1" s="1"/>
  <c r="T172" i="1"/>
  <c r="V172" i="1" s="1"/>
  <c r="P172" i="1"/>
  <c r="R172" i="1" s="1"/>
  <c r="S172" i="1" s="1"/>
  <c r="X171" i="1"/>
  <c r="Z171" i="1" s="1"/>
  <c r="AA171" i="1" s="1"/>
  <c r="T171" i="1"/>
  <c r="V171" i="1" s="1"/>
  <c r="P171" i="1"/>
  <c r="R171" i="1" s="1"/>
  <c r="S171" i="1" s="1"/>
  <c r="X170" i="1"/>
  <c r="Z170" i="1" s="1"/>
  <c r="AA170" i="1" s="1"/>
  <c r="T170" i="1"/>
  <c r="V170" i="1" s="1"/>
  <c r="P170" i="1"/>
  <c r="R170" i="1" s="1"/>
  <c r="S170" i="1" s="1"/>
  <c r="X169" i="1"/>
  <c r="Z169" i="1" s="1"/>
  <c r="AA169" i="1" s="1"/>
  <c r="T169" i="1"/>
  <c r="V169" i="1" s="1"/>
  <c r="W169" i="1" s="1"/>
  <c r="P169" i="1"/>
  <c r="R169" i="1" s="1"/>
  <c r="S169" i="1" s="1"/>
  <c r="X168" i="1"/>
  <c r="Z168" i="1" s="1"/>
  <c r="AA168" i="1" s="1"/>
  <c r="T168" i="1"/>
  <c r="V168" i="1" s="1"/>
  <c r="P168" i="1"/>
  <c r="R168" i="1" s="1"/>
  <c r="S168" i="1" s="1"/>
  <c r="X167" i="1"/>
  <c r="Z167" i="1" s="1"/>
  <c r="AA167" i="1" s="1"/>
  <c r="T167" i="1"/>
  <c r="V167" i="1" s="1"/>
  <c r="P167" i="1"/>
  <c r="R167" i="1" s="1"/>
  <c r="S167" i="1" s="1"/>
  <c r="X166" i="1"/>
  <c r="Z166" i="1" s="1"/>
  <c r="AA166" i="1" s="1"/>
  <c r="T166" i="1"/>
  <c r="V166" i="1" s="1"/>
  <c r="P166" i="1"/>
  <c r="R166" i="1" s="1"/>
  <c r="S166" i="1" s="1"/>
  <c r="X165" i="1"/>
  <c r="Z165" i="1" s="1"/>
  <c r="AA165" i="1" s="1"/>
  <c r="T165" i="1"/>
  <c r="V165" i="1" s="1"/>
  <c r="P165" i="1"/>
  <c r="R165" i="1" s="1"/>
  <c r="S165" i="1" s="1"/>
  <c r="X164" i="1"/>
  <c r="Z164" i="1" s="1"/>
  <c r="AA164" i="1" s="1"/>
  <c r="P164" i="1"/>
  <c r="R164" i="1" s="1"/>
  <c r="S164" i="1" s="1"/>
  <c r="M164" i="1"/>
  <c r="T164" i="1" s="1"/>
  <c r="V164" i="1" s="1"/>
  <c r="X163" i="1"/>
  <c r="Z163" i="1" s="1"/>
  <c r="AA163" i="1" s="1"/>
  <c r="P163" i="1"/>
  <c r="R163" i="1" s="1"/>
  <c r="S163" i="1" s="1"/>
  <c r="M163" i="1"/>
  <c r="T163" i="1" s="1"/>
  <c r="V163" i="1" s="1"/>
  <c r="X162" i="1"/>
  <c r="Z162" i="1" s="1"/>
  <c r="AA162" i="1" s="1"/>
  <c r="P162" i="1"/>
  <c r="R162" i="1" s="1"/>
  <c r="S162" i="1" s="1"/>
  <c r="M162" i="1"/>
  <c r="T162" i="1" s="1"/>
  <c r="V162" i="1" s="1"/>
  <c r="X161" i="1"/>
  <c r="Z161" i="1" s="1"/>
  <c r="AA161" i="1" s="1"/>
  <c r="T161" i="1"/>
  <c r="V161" i="1" s="1"/>
  <c r="W161" i="1" s="1"/>
  <c r="P161" i="1"/>
  <c r="R161" i="1" s="1"/>
  <c r="S161" i="1" s="1"/>
  <c r="X160" i="1"/>
  <c r="Z160" i="1" s="1"/>
  <c r="AA160" i="1" s="1"/>
  <c r="T160" i="1"/>
  <c r="V160" i="1" s="1"/>
  <c r="P160" i="1"/>
  <c r="R160" i="1" s="1"/>
  <c r="S160" i="1" s="1"/>
  <c r="X159" i="1"/>
  <c r="Z159" i="1" s="1"/>
  <c r="AA159" i="1" s="1"/>
  <c r="T159" i="1"/>
  <c r="V159" i="1" s="1"/>
  <c r="O159" i="1" s="1"/>
  <c r="P159" i="1"/>
  <c r="R159" i="1" s="1"/>
  <c r="S159" i="1" s="1"/>
  <c r="X158" i="1"/>
  <c r="Z158" i="1" s="1"/>
  <c r="AA158" i="1" s="1"/>
  <c r="T158" i="1"/>
  <c r="V158" i="1" s="1"/>
  <c r="P158" i="1"/>
  <c r="R158" i="1" s="1"/>
  <c r="S158" i="1" s="1"/>
  <c r="X157" i="1"/>
  <c r="Z157" i="1" s="1"/>
  <c r="AA157" i="1" s="1"/>
  <c r="T157" i="1"/>
  <c r="V157" i="1" s="1"/>
  <c r="O157" i="1" s="1"/>
  <c r="P157" i="1"/>
  <c r="R157" i="1" s="1"/>
  <c r="S157" i="1" s="1"/>
  <c r="X156" i="1"/>
  <c r="Z156" i="1" s="1"/>
  <c r="AA156" i="1" s="1"/>
  <c r="T156" i="1"/>
  <c r="V156" i="1" s="1"/>
  <c r="P156" i="1"/>
  <c r="R156" i="1" s="1"/>
  <c r="S156" i="1" s="1"/>
  <c r="X155" i="1"/>
  <c r="Z155" i="1" s="1"/>
  <c r="AA155" i="1" s="1"/>
  <c r="T155" i="1"/>
  <c r="V155" i="1" s="1"/>
  <c r="P155" i="1"/>
  <c r="R155" i="1" s="1"/>
  <c r="S155" i="1" s="1"/>
  <c r="X154" i="1"/>
  <c r="Z154" i="1" s="1"/>
  <c r="AA154" i="1" s="1"/>
  <c r="T154" i="1"/>
  <c r="V154" i="1" s="1"/>
  <c r="P154" i="1"/>
  <c r="R154" i="1" s="1"/>
  <c r="S154" i="1" s="1"/>
  <c r="X153" i="1"/>
  <c r="Z153" i="1" s="1"/>
  <c r="AA153" i="1" s="1"/>
  <c r="T153" i="1"/>
  <c r="V153" i="1" s="1"/>
  <c r="W153" i="1" s="1"/>
  <c r="P153" i="1"/>
  <c r="R153" i="1" s="1"/>
  <c r="S153" i="1" s="1"/>
  <c r="X152" i="1"/>
  <c r="Z152" i="1" s="1"/>
  <c r="AA152" i="1" s="1"/>
  <c r="T152" i="1"/>
  <c r="V152" i="1" s="1"/>
  <c r="P152" i="1"/>
  <c r="R152" i="1" s="1"/>
  <c r="S152" i="1" s="1"/>
  <c r="X151" i="1"/>
  <c r="Z151" i="1" s="1"/>
  <c r="AA151" i="1" s="1"/>
  <c r="T151" i="1"/>
  <c r="V151" i="1" s="1"/>
  <c r="O151" i="1" s="1"/>
  <c r="P151" i="1"/>
  <c r="R151" i="1" s="1"/>
  <c r="S151" i="1" s="1"/>
  <c r="X150" i="1"/>
  <c r="Z150" i="1" s="1"/>
  <c r="AA150" i="1" s="1"/>
  <c r="T150" i="1"/>
  <c r="V150" i="1" s="1"/>
  <c r="P150" i="1"/>
  <c r="R150" i="1" s="1"/>
  <c r="S150" i="1" s="1"/>
  <c r="X149" i="1"/>
  <c r="Z149" i="1" s="1"/>
  <c r="AA149" i="1" s="1"/>
  <c r="T149" i="1"/>
  <c r="V149" i="1" s="1"/>
  <c r="O149" i="1" s="1"/>
  <c r="P149" i="1"/>
  <c r="R149" i="1" s="1"/>
  <c r="S149" i="1" s="1"/>
  <c r="X148" i="1"/>
  <c r="Z148" i="1" s="1"/>
  <c r="AA148" i="1" s="1"/>
  <c r="T148" i="1"/>
  <c r="V148" i="1" s="1"/>
  <c r="W148" i="1" s="1"/>
  <c r="M148" i="1"/>
  <c r="R148" i="1" s="1"/>
  <c r="X147" i="1"/>
  <c r="Z147" i="1" s="1"/>
  <c r="AA147" i="1" s="1"/>
  <c r="T147" i="1"/>
  <c r="V147" i="1" s="1"/>
  <c r="W147" i="1" s="1"/>
  <c r="M147" i="1"/>
  <c r="R147" i="1" s="1"/>
  <c r="X146" i="1"/>
  <c r="Z146" i="1" s="1"/>
  <c r="AA146" i="1" s="1"/>
  <c r="T146" i="1"/>
  <c r="V146" i="1" s="1"/>
  <c r="W146" i="1" s="1"/>
  <c r="M146" i="1"/>
  <c r="P146" i="1" s="1"/>
  <c r="X22" i="1"/>
  <c r="Z22" i="1" s="1"/>
  <c r="AA22" i="1" s="1"/>
  <c r="T22" i="1"/>
  <c r="V22" i="1" s="1"/>
  <c r="W22" i="1" s="1"/>
  <c r="R22" i="1"/>
  <c r="P22" i="1"/>
  <c r="X21" i="1"/>
  <c r="Z21" i="1" s="1"/>
  <c r="AA21" i="1" s="1"/>
  <c r="T21" i="1"/>
  <c r="V21" i="1" s="1"/>
  <c r="W21" i="1" s="1"/>
  <c r="R21" i="1"/>
  <c r="O21" i="1" s="1"/>
  <c r="P21" i="1"/>
  <c r="X20" i="1"/>
  <c r="Z20" i="1" s="1"/>
  <c r="AA20" i="1" s="1"/>
  <c r="T20" i="1"/>
  <c r="V20" i="1" s="1"/>
  <c r="W20" i="1" s="1"/>
  <c r="R20" i="1"/>
  <c r="O20" i="1" s="1"/>
  <c r="P20" i="1"/>
  <c r="X145" i="1"/>
  <c r="Z145" i="1" s="1"/>
  <c r="AA145" i="1" s="1"/>
  <c r="T145" i="1"/>
  <c r="V145" i="1" s="1"/>
  <c r="W145" i="1" s="1"/>
  <c r="M145" i="1"/>
  <c r="R145" i="1" s="1"/>
  <c r="X144" i="1"/>
  <c r="Z144" i="1" s="1"/>
  <c r="AA144" i="1" s="1"/>
  <c r="T144" i="1"/>
  <c r="V144" i="1" s="1"/>
  <c r="W144" i="1" s="1"/>
  <c r="M144" i="1"/>
  <c r="R144" i="1" s="1"/>
  <c r="X143" i="1"/>
  <c r="Z143" i="1" s="1"/>
  <c r="AA143" i="1" s="1"/>
  <c r="T143" i="1"/>
  <c r="V143" i="1" s="1"/>
  <c r="W143" i="1" s="1"/>
  <c r="R143" i="1"/>
  <c r="P143" i="1"/>
  <c r="X142" i="1"/>
  <c r="Z142" i="1" s="1"/>
  <c r="AA142" i="1" s="1"/>
  <c r="T142" i="1"/>
  <c r="V142" i="1" s="1"/>
  <c r="W142" i="1" s="1"/>
  <c r="R142" i="1"/>
  <c r="O142" i="1" s="1"/>
  <c r="P142" i="1"/>
  <c r="X141" i="1"/>
  <c r="Z141" i="1" s="1"/>
  <c r="AA141" i="1" s="1"/>
  <c r="T141" i="1"/>
  <c r="V141" i="1" s="1"/>
  <c r="W141" i="1" s="1"/>
  <c r="R141" i="1"/>
  <c r="P141" i="1"/>
  <c r="X140" i="1"/>
  <c r="Z140" i="1" s="1"/>
  <c r="AA140" i="1" s="1"/>
  <c r="T140" i="1"/>
  <c r="V140" i="1" s="1"/>
  <c r="W140" i="1" s="1"/>
  <c r="R140" i="1"/>
  <c r="O140" i="1" s="1"/>
  <c r="P140" i="1"/>
  <c r="X139" i="1"/>
  <c r="Z139" i="1" s="1"/>
  <c r="AA139" i="1" s="1"/>
  <c r="T139" i="1"/>
  <c r="V139" i="1" s="1"/>
  <c r="W139" i="1" s="1"/>
  <c r="R139" i="1"/>
  <c r="P139" i="1"/>
  <c r="X138" i="1"/>
  <c r="Z138" i="1" s="1"/>
  <c r="AA138" i="1" s="1"/>
  <c r="T138" i="1"/>
  <c r="V138" i="1" s="1"/>
  <c r="W138" i="1" s="1"/>
  <c r="R138" i="1"/>
  <c r="O138" i="1" s="1"/>
  <c r="P138" i="1"/>
  <c r="X137" i="1"/>
  <c r="Z137" i="1" s="1"/>
  <c r="AA137" i="1" s="1"/>
  <c r="T137" i="1"/>
  <c r="V137" i="1" s="1"/>
  <c r="W137" i="1" s="1"/>
  <c r="R137" i="1"/>
  <c r="O137" i="1" s="1"/>
  <c r="P137" i="1"/>
  <c r="X136" i="1"/>
  <c r="Z136" i="1" s="1"/>
  <c r="AA136" i="1" s="1"/>
  <c r="T136" i="1"/>
  <c r="V136" i="1" s="1"/>
  <c r="W136" i="1" s="1"/>
  <c r="R136" i="1"/>
  <c r="O136" i="1" s="1"/>
  <c r="P136" i="1"/>
  <c r="X135" i="1"/>
  <c r="Z135" i="1" s="1"/>
  <c r="AA135" i="1" s="1"/>
  <c r="T135" i="1"/>
  <c r="V135" i="1" s="1"/>
  <c r="W135" i="1" s="1"/>
  <c r="R135" i="1"/>
  <c r="P135" i="1"/>
  <c r="X134" i="1"/>
  <c r="Z134" i="1" s="1"/>
  <c r="AA134" i="1" s="1"/>
  <c r="T134" i="1"/>
  <c r="V134" i="1" s="1"/>
  <c r="W134" i="1" s="1"/>
  <c r="R134" i="1"/>
  <c r="O134" i="1" s="1"/>
  <c r="P134" i="1"/>
  <c r="X133" i="1"/>
  <c r="Z133" i="1" s="1"/>
  <c r="AA133" i="1" s="1"/>
  <c r="T133" i="1"/>
  <c r="V133" i="1" s="1"/>
  <c r="W133" i="1" s="1"/>
  <c r="R133" i="1"/>
  <c r="O133" i="1" s="1"/>
  <c r="P133" i="1"/>
  <c r="X132" i="1"/>
  <c r="Z132" i="1" s="1"/>
  <c r="AA132" i="1" s="1"/>
  <c r="T132" i="1"/>
  <c r="V132" i="1" s="1"/>
  <c r="W132" i="1" s="1"/>
  <c r="R132" i="1"/>
  <c r="P132" i="1"/>
  <c r="X131" i="1"/>
  <c r="Z131" i="1" s="1"/>
  <c r="AA131" i="1" s="1"/>
  <c r="T131" i="1"/>
  <c r="V131" i="1" s="1"/>
  <c r="W131" i="1" s="1"/>
  <c r="R131" i="1"/>
  <c r="P131" i="1"/>
  <c r="X130" i="1"/>
  <c r="Z130" i="1" s="1"/>
  <c r="AA130" i="1" s="1"/>
  <c r="T130" i="1"/>
  <c r="V130" i="1" s="1"/>
  <c r="W130" i="1" s="1"/>
  <c r="M130" i="1"/>
  <c r="R130" i="1" s="1"/>
  <c r="O130" i="1" s="1"/>
  <c r="X129" i="1"/>
  <c r="Z129" i="1" s="1"/>
  <c r="AA129" i="1" s="1"/>
  <c r="T129" i="1"/>
  <c r="V129" i="1" s="1"/>
  <c r="W129" i="1" s="1"/>
  <c r="M129" i="1"/>
  <c r="R129" i="1" s="1"/>
  <c r="X128" i="1"/>
  <c r="Z128" i="1" s="1"/>
  <c r="AA128" i="1" s="1"/>
  <c r="T128" i="1"/>
  <c r="V128" i="1" s="1"/>
  <c r="W128" i="1" s="1"/>
  <c r="M128" i="1"/>
  <c r="R128" i="1" s="1"/>
  <c r="X19" i="1"/>
  <c r="Z19" i="1" s="1"/>
  <c r="AA19" i="1" s="1"/>
  <c r="T19" i="1"/>
  <c r="V19" i="1" s="1"/>
  <c r="W19" i="1" s="1"/>
  <c r="R19" i="1"/>
  <c r="O19" i="1" s="1"/>
  <c r="P19" i="1"/>
  <c r="X18" i="1"/>
  <c r="Z18" i="1" s="1"/>
  <c r="AA18" i="1" s="1"/>
  <c r="T18" i="1"/>
  <c r="V18" i="1" s="1"/>
  <c r="W18" i="1" s="1"/>
  <c r="R18" i="1"/>
  <c r="O18" i="1" s="1"/>
  <c r="P18" i="1"/>
  <c r="X17" i="1"/>
  <c r="Z17" i="1" s="1"/>
  <c r="AA17" i="1" s="1"/>
  <c r="T17" i="1"/>
  <c r="V17" i="1" s="1"/>
  <c r="W17" i="1" s="1"/>
  <c r="R17" i="1"/>
  <c r="P17" i="1"/>
  <c r="X127" i="1"/>
  <c r="Z127" i="1" s="1"/>
  <c r="AA127" i="1" s="1"/>
  <c r="T127" i="1"/>
  <c r="V127" i="1" s="1"/>
  <c r="W127" i="1" s="1"/>
  <c r="M127" i="1"/>
  <c r="X126" i="1"/>
  <c r="Z126" i="1" s="1"/>
  <c r="AA126" i="1" s="1"/>
  <c r="T126" i="1"/>
  <c r="V126" i="1" s="1"/>
  <c r="W126" i="1" s="1"/>
  <c r="M126" i="1"/>
  <c r="P126" i="1" s="1"/>
  <c r="X125" i="1"/>
  <c r="Z125" i="1" s="1"/>
  <c r="AA125" i="1" s="1"/>
  <c r="T125" i="1"/>
  <c r="V125" i="1" s="1"/>
  <c r="W125" i="1" s="1"/>
  <c r="R125" i="1"/>
  <c r="P125" i="1"/>
  <c r="X124" i="1"/>
  <c r="Z124" i="1" s="1"/>
  <c r="AA124" i="1" s="1"/>
  <c r="T124" i="1"/>
  <c r="V124" i="1" s="1"/>
  <c r="W124" i="1" s="1"/>
  <c r="R124" i="1"/>
  <c r="P124" i="1"/>
  <c r="X123" i="1"/>
  <c r="Z123" i="1" s="1"/>
  <c r="AA123" i="1" s="1"/>
  <c r="T123" i="1"/>
  <c r="V123" i="1" s="1"/>
  <c r="W123" i="1" s="1"/>
  <c r="R123" i="1"/>
  <c r="P123" i="1"/>
  <c r="X122" i="1"/>
  <c r="Z122" i="1" s="1"/>
  <c r="AA122" i="1" s="1"/>
  <c r="T122" i="1"/>
  <c r="V122" i="1" s="1"/>
  <c r="W122" i="1" s="1"/>
  <c r="R122" i="1"/>
  <c r="O122" i="1" s="1"/>
  <c r="P122" i="1"/>
  <c r="X121" i="1"/>
  <c r="Z121" i="1" s="1"/>
  <c r="AA121" i="1" s="1"/>
  <c r="T121" i="1"/>
  <c r="V121" i="1" s="1"/>
  <c r="W121" i="1" s="1"/>
  <c r="R121" i="1"/>
  <c r="P121" i="1"/>
  <c r="X120" i="1"/>
  <c r="Z120" i="1" s="1"/>
  <c r="AA120" i="1" s="1"/>
  <c r="T120" i="1"/>
  <c r="V120" i="1" s="1"/>
  <c r="W120" i="1" s="1"/>
  <c r="R120" i="1"/>
  <c r="O120" i="1" s="1"/>
  <c r="P120" i="1"/>
  <c r="X119" i="1"/>
  <c r="Z119" i="1" s="1"/>
  <c r="AA119" i="1" s="1"/>
  <c r="T119" i="1"/>
  <c r="V119" i="1" s="1"/>
  <c r="W119" i="1" s="1"/>
  <c r="R119" i="1"/>
  <c r="O119" i="1" s="1"/>
  <c r="P119" i="1"/>
  <c r="X118" i="1"/>
  <c r="Z118" i="1" s="1"/>
  <c r="AA118" i="1" s="1"/>
  <c r="T118" i="1"/>
  <c r="V118" i="1" s="1"/>
  <c r="W118" i="1" s="1"/>
  <c r="R118" i="1"/>
  <c r="O118" i="1" s="1"/>
  <c r="P118" i="1"/>
  <c r="X117" i="1"/>
  <c r="Z117" i="1" s="1"/>
  <c r="AA117" i="1" s="1"/>
  <c r="T117" i="1"/>
  <c r="V117" i="1" s="1"/>
  <c r="W117" i="1" s="1"/>
  <c r="R117" i="1"/>
  <c r="P117" i="1"/>
  <c r="X116" i="1"/>
  <c r="Z116" i="1" s="1"/>
  <c r="AA116" i="1" s="1"/>
  <c r="T116" i="1"/>
  <c r="V116" i="1" s="1"/>
  <c r="W116" i="1" s="1"/>
  <c r="R116" i="1"/>
  <c r="O116" i="1" s="1"/>
  <c r="P116" i="1"/>
  <c r="X115" i="1"/>
  <c r="Z115" i="1" s="1"/>
  <c r="AA115" i="1" s="1"/>
  <c r="T115" i="1"/>
  <c r="V115" i="1" s="1"/>
  <c r="W115" i="1" s="1"/>
  <c r="R115" i="1"/>
  <c r="P115" i="1"/>
  <c r="X114" i="1"/>
  <c r="Z114" i="1" s="1"/>
  <c r="AA114" i="1" s="1"/>
  <c r="T114" i="1"/>
  <c r="V114" i="1" s="1"/>
  <c r="W114" i="1" s="1"/>
  <c r="R114" i="1"/>
  <c r="O114" i="1" s="1"/>
  <c r="P114" i="1"/>
  <c r="X113" i="1"/>
  <c r="Z113" i="1" s="1"/>
  <c r="AA113" i="1" s="1"/>
  <c r="T113" i="1"/>
  <c r="V113" i="1" s="1"/>
  <c r="W113" i="1" s="1"/>
  <c r="R113" i="1"/>
  <c r="O113" i="1" s="1"/>
  <c r="P113" i="1"/>
  <c r="X112" i="1"/>
  <c r="Z112" i="1" s="1"/>
  <c r="AA112" i="1" s="1"/>
  <c r="T112" i="1"/>
  <c r="V112" i="1" s="1"/>
  <c r="W112" i="1" s="1"/>
  <c r="M112" i="1"/>
  <c r="R112" i="1" s="1"/>
  <c r="X111" i="1"/>
  <c r="Z111" i="1" s="1"/>
  <c r="AA111" i="1" s="1"/>
  <c r="T111" i="1"/>
  <c r="V111" i="1" s="1"/>
  <c r="W111" i="1" s="1"/>
  <c r="M111" i="1"/>
  <c r="R111" i="1" s="1"/>
  <c r="X110" i="1"/>
  <c r="Z110" i="1" s="1"/>
  <c r="AA110" i="1" s="1"/>
  <c r="T110" i="1"/>
  <c r="V110" i="1" s="1"/>
  <c r="W110" i="1" s="1"/>
  <c r="M110" i="1"/>
  <c r="R110" i="1" s="1"/>
  <c r="X16" i="1"/>
  <c r="Z16" i="1" s="1"/>
  <c r="AA16" i="1" s="1"/>
  <c r="T16" i="1"/>
  <c r="V16" i="1" s="1"/>
  <c r="W16" i="1" s="1"/>
  <c r="R16" i="1"/>
  <c r="O16" i="1" s="1"/>
  <c r="P16" i="1"/>
  <c r="X15" i="1"/>
  <c r="Z15" i="1" s="1"/>
  <c r="AA15" i="1" s="1"/>
  <c r="T15" i="1"/>
  <c r="V15" i="1" s="1"/>
  <c r="W15" i="1" s="1"/>
  <c r="R15" i="1"/>
  <c r="P15" i="1"/>
  <c r="X14" i="1"/>
  <c r="Z14" i="1" s="1"/>
  <c r="AA14" i="1" s="1"/>
  <c r="T14" i="1"/>
  <c r="V14" i="1" s="1"/>
  <c r="R14" i="1"/>
  <c r="O14" i="1" s="1"/>
  <c r="P14" i="1"/>
  <c r="X109" i="1"/>
  <c r="Z109" i="1" s="1"/>
  <c r="AA109" i="1" s="1"/>
  <c r="T109" i="1"/>
  <c r="V109" i="1" s="1"/>
  <c r="W109" i="1" s="1"/>
  <c r="M109" i="1"/>
  <c r="R109" i="1" s="1"/>
  <c r="X108" i="1"/>
  <c r="Z108" i="1" s="1"/>
  <c r="AA108" i="1" s="1"/>
  <c r="T108" i="1"/>
  <c r="V108" i="1" s="1"/>
  <c r="W108" i="1" s="1"/>
  <c r="M108" i="1"/>
  <c r="P108" i="1" s="1"/>
  <c r="X107" i="1"/>
  <c r="Z107" i="1" s="1"/>
  <c r="AA107" i="1" s="1"/>
  <c r="T107" i="1"/>
  <c r="V107" i="1" s="1"/>
  <c r="W107" i="1" s="1"/>
  <c r="R107" i="1"/>
  <c r="P107" i="1"/>
  <c r="X106" i="1"/>
  <c r="Z106" i="1" s="1"/>
  <c r="AA106" i="1" s="1"/>
  <c r="T106" i="1"/>
  <c r="V106" i="1" s="1"/>
  <c r="W106" i="1" s="1"/>
  <c r="R106" i="1"/>
  <c r="P106" i="1"/>
  <c r="X105" i="1"/>
  <c r="Z105" i="1" s="1"/>
  <c r="AA105" i="1" s="1"/>
  <c r="T105" i="1"/>
  <c r="V105" i="1" s="1"/>
  <c r="W105" i="1" s="1"/>
  <c r="R105" i="1"/>
  <c r="O105" i="1" s="1"/>
  <c r="P105" i="1"/>
  <c r="X104" i="1"/>
  <c r="Z104" i="1" s="1"/>
  <c r="AA104" i="1" s="1"/>
  <c r="T104" i="1"/>
  <c r="V104" i="1" s="1"/>
  <c r="W104" i="1" s="1"/>
  <c r="R104" i="1"/>
  <c r="O104" i="1" s="1"/>
  <c r="P104" i="1"/>
  <c r="X103" i="1"/>
  <c r="Z103" i="1" s="1"/>
  <c r="AA103" i="1" s="1"/>
  <c r="T103" i="1"/>
  <c r="V103" i="1" s="1"/>
  <c r="W103" i="1" s="1"/>
  <c r="R103" i="1"/>
  <c r="P103" i="1"/>
  <c r="X102" i="1"/>
  <c r="Z102" i="1" s="1"/>
  <c r="AA102" i="1" s="1"/>
  <c r="T102" i="1"/>
  <c r="V102" i="1" s="1"/>
  <c r="W102" i="1" s="1"/>
  <c r="R102" i="1"/>
  <c r="O102" i="1" s="1"/>
  <c r="P102" i="1"/>
  <c r="X101" i="1"/>
  <c r="Z101" i="1" s="1"/>
  <c r="AA101" i="1" s="1"/>
  <c r="T101" i="1"/>
  <c r="V101" i="1" s="1"/>
  <c r="W101" i="1" s="1"/>
  <c r="R101" i="1"/>
  <c r="P101" i="1"/>
  <c r="X100" i="1"/>
  <c r="Z100" i="1" s="1"/>
  <c r="AA100" i="1" s="1"/>
  <c r="T100" i="1"/>
  <c r="V100" i="1" s="1"/>
  <c r="W100" i="1" s="1"/>
  <c r="R100" i="1"/>
  <c r="P100" i="1"/>
  <c r="X99" i="1"/>
  <c r="Z99" i="1" s="1"/>
  <c r="AA99" i="1" s="1"/>
  <c r="T99" i="1"/>
  <c r="V99" i="1" s="1"/>
  <c r="W99" i="1" s="1"/>
  <c r="R99" i="1"/>
  <c r="O99" i="1" s="1"/>
  <c r="P99" i="1"/>
  <c r="X98" i="1"/>
  <c r="Z98" i="1" s="1"/>
  <c r="AA98" i="1" s="1"/>
  <c r="T98" i="1"/>
  <c r="V98" i="1" s="1"/>
  <c r="W98" i="1" s="1"/>
  <c r="R98" i="1"/>
  <c r="P98" i="1"/>
  <c r="X97" i="1"/>
  <c r="Z97" i="1" s="1"/>
  <c r="AA97" i="1" s="1"/>
  <c r="T97" i="1"/>
  <c r="V97" i="1" s="1"/>
  <c r="W97" i="1" s="1"/>
  <c r="R97" i="1"/>
  <c r="O97" i="1" s="1"/>
  <c r="P97" i="1"/>
  <c r="X96" i="1"/>
  <c r="Z96" i="1" s="1"/>
  <c r="AA96" i="1" s="1"/>
  <c r="T96" i="1"/>
  <c r="V96" i="1" s="1"/>
  <c r="W96" i="1" s="1"/>
  <c r="R96" i="1"/>
  <c r="O96" i="1" s="1"/>
  <c r="P96" i="1"/>
  <c r="X95" i="1"/>
  <c r="Z95" i="1" s="1"/>
  <c r="AA95" i="1" s="1"/>
  <c r="T95" i="1"/>
  <c r="V95" i="1" s="1"/>
  <c r="W95" i="1" s="1"/>
  <c r="R95" i="1"/>
  <c r="O95" i="1" s="1"/>
  <c r="P95" i="1"/>
  <c r="X94" i="1"/>
  <c r="Z94" i="1" s="1"/>
  <c r="AA94" i="1" s="1"/>
  <c r="T94" i="1"/>
  <c r="V94" i="1" s="1"/>
  <c r="W94" i="1" s="1"/>
  <c r="M94" i="1"/>
  <c r="R94" i="1" s="1"/>
  <c r="X93" i="1"/>
  <c r="Z93" i="1" s="1"/>
  <c r="AA93" i="1" s="1"/>
  <c r="T93" i="1"/>
  <c r="V93" i="1" s="1"/>
  <c r="W93" i="1" s="1"/>
  <c r="M93" i="1"/>
  <c r="P93" i="1" s="1"/>
  <c r="X92" i="1"/>
  <c r="Z92" i="1" s="1"/>
  <c r="AA92" i="1" s="1"/>
  <c r="T92" i="1"/>
  <c r="V92" i="1" s="1"/>
  <c r="W92" i="1" s="1"/>
  <c r="M92" i="1"/>
  <c r="R92" i="1" s="1"/>
  <c r="X13" i="1"/>
  <c r="Z13" i="1" s="1"/>
  <c r="AA13" i="1" s="1"/>
  <c r="T13" i="1"/>
  <c r="V13" i="1" s="1"/>
  <c r="W13" i="1" s="1"/>
  <c r="R13" i="1"/>
  <c r="O13" i="1" s="1"/>
  <c r="P13" i="1"/>
  <c r="X12" i="1"/>
  <c r="Z12" i="1" s="1"/>
  <c r="AA12" i="1" s="1"/>
  <c r="T12" i="1"/>
  <c r="V12" i="1" s="1"/>
  <c r="W12" i="1" s="1"/>
  <c r="R12" i="1"/>
  <c r="P12" i="1"/>
  <c r="X11" i="1"/>
  <c r="Z11" i="1" s="1"/>
  <c r="AA11" i="1" s="1"/>
  <c r="T11" i="1"/>
  <c r="V11" i="1" s="1"/>
  <c r="W11" i="1" s="1"/>
  <c r="R11" i="1"/>
  <c r="O11" i="1" s="1"/>
  <c r="P11" i="1"/>
  <c r="X91" i="1"/>
  <c r="Z91" i="1" s="1"/>
  <c r="AA91" i="1" s="1"/>
  <c r="T91" i="1"/>
  <c r="V91" i="1" s="1"/>
  <c r="W91" i="1" s="1"/>
  <c r="M91" i="1"/>
  <c r="R91" i="1" s="1"/>
  <c r="X90" i="1"/>
  <c r="Z90" i="1" s="1"/>
  <c r="AA90" i="1" s="1"/>
  <c r="T90" i="1"/>
  <c r="V90" i="1" s="1"/>
  <c r="W90" i="1" s="1"/>
  <c r="M90" i="1"/>
  <c r="P90" i="1" s="1"/>
  <c r="X89" i="1"/>
  <c r="Z89" i="1" s="1"/>
  <c r="AA89" i="1" s="1"/>
  <c r="T89" i="1"/>
  <c r="V89" i="1" s="1"/>
  <c r="W89" i="1" s="1"/>
  <c r="R89" i="1"/>
  <c r="P89" i="1"/>
  <c r="X88" i="1"/>
  <c r="Z88" i="1" s="1"/>
  <c r="AA88" i="1" s="1"/>
  <c r="T88" i="1"/>
  <c r="V88" i="1" s="1"/>
  <c r="W88" i="1" s="1"/>
  <c r="R88" i="1"/>
  <c r="P88" i="1"/>
  <c r="X87" i="1"/>
  <c r="Z87" i="1" s="1"/>
  <c r="AA87" i="1" s="1"/>
  <c r="T87" i="1"/>
  <c r="V87" i="1" s="1"/>
  <c r="W87" i="1" s="1"/>
  <c r="R87" i="1"/>
  <c r="P87" i="1"/>
  <c r="X86" i="1"/>
  <c r="Z86" i="1" s="1"/>
  <c r="AA86" i="1" s="1"/>
  <c r="T86" i="1"/>
  <c r="V86" i="1" s="1"/>
  <c r="W86" i="1" s="1"/>
  <c r="R86" i="1"/>
  <c r="O86" i="1" s="1"/>
  <c r="P86" i="1"/>
  <c r="X85" i="1"/>
  <c r="Z85" i="1" s="1"/>
  <c r="AA85" i="1" s="1"/>
  <c r="T85" i="1"/>
  <c r="V85" i="1" s="1"/>
  <c r="W85" i="1" s="1"/>
  <c r="R85" i="1"/>
  <c r="O85" i="1" s="1"/>
  <c r="P85" i="1"/>
  <c r="X84" i="1"/>
  <c r="Z84" i="1" s="1"/>
  <c r="AA84" i="1" s="1"/>
  <c r="T84" i="1"/>
  <c r="V84" i="1" s="1"/>
  <c r="W84" i="1" s="1"/>
  <c r="R84" i="1"/>
  <c r="P84" i="1"/>
  <c r="X83" i="1"/>
  <c r="Z83" i="1" s="1"/>
  <c r="AA83" i="1" s="1"/>
  <c r="T83" i="1"/>
  <c r="V83" i="1" s="1"/>
  <c r="W83" i="1" s="1"/>
  <c r="R83" i="1"/>
  <c r="O83" i="1" s="1"/>
  <c r="P83" i="1"/>
  <c r="X82" i="1"/>
  <c r="Z82" i="1" s="1"/>
  <c r="AA82" i="1" s="1"/>
  <c r="T82" i="1"/>
  <c r="V82" i="1" s="1"/>
  <c r="W82" i="1" s="1"/>
  <c r="R82" i="1"/>
  <c r="P82" i="1"/>
  <c r="X81" i="1"/>
  <c r="Z81" i="1" s="1"/>
  <c r="AA81" i="1" s="1"/>
  <c r="T81" i="1"/>
  <c r="V81" i="1" s="1"/>
  <c r="W81" i="1" s="1"/>
  <c r="R81" i="1"/>
  <c r="O81" i="1" s="1"/>
  <c r="P81" i="1"/>
  <c r="X80" i="1"/>
  <c r="Z80" i="1" s="1"/>
  <c r="AA80" i="1" s="1"/>
  <c r="T80" i="1"/>
  <c r="V80" i="1" s="1"/>
  <c r="W80" i="1" s="1"/>
  <c r="R80" i="1"/>
  <c r="O80" i="1" s="1"/>
  <c r="P80" i="1"/>
  <c r="X79" i="1"/>
  <c r="Z79" i="1" s="1"/>
  <c r="AA79" i="1" s="1"/>
  <c r="T79" i="1"/>
  <c r="V79" i="1" s="1"/>
  <c r="W79" i="1" s="1"/>
  <c r="R79" i="1"/>
  <c r="O79" i="1" s="1"/>
  <c r="P79" i="1"/>
  <c r="X78" i="1"/>
  <c r="Z78" i="1" s="1"/>
  <c r="AA78" i="1" s="1"/>
  <c r="T78" i="1"/>
  <c r="V78" i="1" s="1"/>
  <c r="W78" i="1" s="1"/>
  <c r="R78" i="1"/>
  <c r="O78" i="1" s="1"/>
  <c r="P78" i="1"/>
  <c r="X77" i="1"/>
  <c r="Z77" i="1" s="1"/>
  <c r="AA77" i="1" s="1"/>
  <c r="T77" i="1"/>
  <c r="V77" i="1" s="1"/>
  <c r="W77" i="1" s="1"/>
  <c r="R77" i="1"/>
  <c r="O77" i="1" s="1"/>
  <c r="P77" i="1"/>
  <c r="X76" i="1"/>
  <c r="Z76" i="1" s="1"/>
  <c r="AA76" i="1" s="1"/>
  <c r="T76" i="1"/>
  <c r="V76" i="1" s="1"/>
  <c r="W76" i="1" s="1"/>
  <c r="M76" i="1"/>
  <c r="R76" i="1" s="1"/>
  <c r="X75" i="1"/>
  <c r="Z75" i="1" s="1"/>
  <c r="AA75" i="1" s="1"/>
  <c r="T75" i="1"/>
  <c r="V75" i="1" s="1"/>
  <c r="W75" i="1" s="1"/>
  <c r="M75" i="1"/>
  <c r="R75" i="1" s="1"/>
  <c r="O75" i="1" s="1"/>
  <c r="X74" i="1"/>
  <c r="Z74" i="1" s="1"/>
  <c r="AA74" i="1" s="1"/>
  <c r="T74" i="1"/>
  <c r="V74" i="1" s="1"/>
  <c r="W74" i="1" s="1"/>
  <c r="M74" i="1"/>
  <c r="R74" i="1" s="1"/>
  <c r="X10" i="1"/>
  <c r="Z10" i="1" s="1"/>
  <c r="AA10" i="1" s="1"/>
  <c r="T10" i="1"/>
  <c r="V10" i="1" s="1"/>
  <c r="W10" i="1" s="1"/>
  <c r="R10" i="1"/>
  <c r="P10" i="1"/>
  <c r="X9" i="1"/>
  <c r="Z9" i="1" s="1"/>
  <c r="AA9" i="1" s="1"/>
  <c r="T9" i="1"/>
  <c r="V9" i="1" s="1"/>
  <c r="W9" i="1" s="1"/>
  <c r="R9" i="1"/>
  <c r="O9" i="1" s="1"/>
  <c r="P9" i="1"/>
  <c r="X8" i="1"/>
  <c r="Z8" i="1" s="1"/>
  <c r="AA8" i="1" s="1"/>
  <c r="T8" i="1"/>
  <c r="V8" i="1" s="1"/>
  <c r="W8" i="1" s="1"/>
  <c r="R8" i="1"/>
  <c r="O8" i="1" s="1"/>
  <c r="P8" i="1"/>
  <c r="X73" i="1"/>
  <c r="Z73" i="1" s="1"/>
  <c r="AA73" i="1" s="1"/>
  <c r="T73" i="1"/>
  <c r="V73" i="1" s="1"/>
  <c r="W73" i="1" s="1"/>
  <c r="M73" i="1"/>
  <c r="R73" i="1" s="1"/>
  <c r="X72" i="1"/>
  <c r="Z72" i="1" s="1"/>
  <c r="AA72" i="1" s="1"/>
  <c r="T72" i="1"/>
  <c r="V72" i="1" s="1"/>
  <c r="W72" i="1" s="1"/>
  <c r="M72" i="1"/>
  <c r="R72" i="1" s="1"/>
  <c r="X71" i="1"/>
  <c r="Z71" i="1" s="1"/>
  <c r="AA71" i="1" s="1"/>
  <c r="T71" i="1"/>
  <c r="V71" i="1" s="1"/>
  <c r="W71" i="1" s="1"/>
  <c r="R71" i="1"/>
  <c r="P71" i="1"/>
  <c r="X70" i="1"/>
  <c r="Z70" i="1" s="1"/>
  <c r="AA70" i="1" s="1"/>
  <c r="T70" i="1"/>
  <c r="V70" i="1" s="1"/>
  <c r="W70" i="1" s="1"/>
  <c r="R70" i="1"/>
  <c r="O70" i="1" s="1"/>
  <c r="P70" i="1"/>
  <c r="X69" i="1"/>
  <c r="Z69" i="1" s="1"/>
  <c r="AA69" i="1" s="1"/>
  <c r="T69" i="1"/>
  <c r="V69" i="1" s="1"/>
  <c r="W69" i="1" s="1"/>
  <c r="R69" i="1"/>
  <c r="P69" i="1"/>
  <c r="X68" i="1"/>
  <c r="Z68" i="1" s="1"/>
  <c r="AA68" i="1" s="1"/>
  <c r="T68" i="1"/>
  <c r="V68" i="1" s="1"/>
  <c r="W68" i="1" s="1"/>
  <c r="R68" i="1"/>
  <c r="O68" i="1" s="1"/>
  <c r="P68" i="1"/>
  <c r="X67" i="1"/>
  <c r="Z67" i="1" s="1"/>
  <c r="AA67" i="1" s="1"/>
  <c r="T67" i="1"/>
  <c r="V67" i="1" s="1"/>
  <c r="W67" i="1" s="1"/>
  <c r="R67" i="1"/>
  <c r="O67" i="1" s="1"/>
  <c r="P67" i="1"/>
  <c r="X66" i="1"/>
  <c r="Z66" i="1" s="1"/>
  <c r="AA66" i="1" s="1"/>
  <c r="T66" i="1"/>
  <c r="V66" i="1" s="1"/>
  <c r="W66" i="1" s="1"/>
  <c r="R66" i="1"/>
  <c r="O66" i="1" s="1"/>
  <c r="P66" i="1"/>
  <c r="X65" i="1"/>
  <c r="Z65" i="1" s="1"/>
  <c r="AA65" i="1" s="1"/>
  <c r="T65" i="1"/>
  <c r="V65" i="1" s="1"/>
  <c r="W65" i="1" s="1"/>
  <c r="R65" i="1"/>
  <c r="P65" i="1"/>
  <c r="X64" i="1"/>
  <c r="Z64" i="1" s="1"/>
  <c r="AA64" i="1" s="1"/>
  <c r="T64" i="1"/>
  <c r="V64" i="1" s="1"/>
  <c r="W64" i="1" s="1"/>
  <c r="R64" i="1"/>
  <c r="O64" i="1" s="1"/>
  <c r="P64" i="1"/>
  <c r="X63" i="1"/>
  <c r="Z63" i="1" s="1"/>
  <c r="AA63" i="1" s="1"/>
  <c r="T63" i="1"/>
  <c r="V63" i="1" s="1"/>
  <c r="W63" i="1" s="1"/>
  <c r="R63" i="1"/>
  <c r="O63" i="1" s="1"/>
  <c r="P63" i="1"/>
  <c r="X62" i="1"/>
  <c r="Z62" i="1" s="1"/>
  <c r="AA62" i="1" s="1"/>
  <c r="T62" i="1"/>
  <c r="V62" i="1" s="1"/>
  <c r="W62" i="1" s="1"/>
  <c r="R62" i="1"/>
  <c r="P62" i="1"/>
  <c r="X61" i="1"/>
  <c r="Z61" i="1" s="1"/>
  <c r="AA61" i="1" s="1"/>
  <c r="T61" i="1"/>
  <c r="V61" i="1" s="1"/>
  <c r="W61" i="1" s="1"/>
  <c r="R61" i="1"/>
  <c r="P61" i="1"/>
  <c r="X60" i="1"/>
  <c r="Z60" i="1" s="1"/>
  <c r="AA60" i="1" s="1"/>
  <c r="T60" i="1"/>
  <c r="V60" i="1" s="1"/>
  <c r="W60" i="1" s="1"/>
  <c r="R60" i="1"/>
  <c r="O60" i="1" s="1"/>
  <c r="P60" i="1"/>
  <c r="X59" i="1"/>
  <c r="Z59" i="1" s="1"/>
  <c r="AA59" i="1" s="1"/>
  <c r="T59" i="1"/>
  <c r="V59" i="1" s="1"/>
  <c r="W59" i="1" s="1"/>
  <c r="R59" i="1"/>
  <c r="P59" i="1"/>
  <c r="X58" i="1"/>
  <c r="Z58" i="1" s="1"/>
  <c r="AA58" i="1" s="1"/>
  <c r="T58" i="1"/>
  <c r="V58" i="1" s="1"/>
  <c r="W58" i="1" s="1"/>
  <c r="M58" i="1"/>
  <c r="R58" i="1" s="1"/>
  <c r="X57" i="1"/>
  <c r="Z57" i="1" s="1"/>
  <c r="AA57" i="1" s="1"/>
  <c r="T57" i="1"/>
  <c r="V57" i="1" s="1"/>
  <c r="W57" i="1" s="1"/>
  <c r="M57" i="1"/>
  <c r="R57" i="1" s="1"/>
  <c r="X56" i="1"/>
  <c r="Z56" i="1" s="1"/>
  <c r="AA56" i="1" s="1"/>
  <c r="T56" i="1"/>
  <c r="V56" i="1" s="1"/>
  <c r="W56" i="1" s="1"/>
  <c r="M56" i="1"/>
  <c r="R56" i="1" s="1"/>
  <c r="X7" i="1"/>
  <c r="Z7" i="1" s="1"/>
  <c r="AA7" i="1" s="1"/>
  <c r="T7" i="1"/>
  <c r="V7" i="1" s="1"/>
  <c r="W7" i="1" s="1"/>
  <c r="R7" i="1"/>
  <c r="O7" i="1" s="1"/>
  <c r="P7" i="1"/>
  <c r="X6" i="1"/>
  <c r="Z6" i="1" s="1"/>
  <c r="AA6" i="1" s="1"/>
  <c r="T6" i="1"/>
  <c r="V6" i="1" s="1"/>
  <c r="W6" i="1" s="1"/>
  <c r="R6" i="1"/>
  <c r="O6" i="1" s="1"/>
  <c r="P6" i="1"/>
  <c r="X5" i="1"/>
  <c r="Z5" i="1" s="1"/>
  <c r="AA5" i="1" s="1"/>
  <c r="T5" i="1"/>
  <c r="V5" i="1" s="1"/>
  <c r="W5" i="1" s="1"/>
  <c r="R5" i="1"/>
  <c r="O5" i="1" s="1"/>
  <c r="P5" i="1"/>
  <c r="X55" i="1"/>
  <c r="Z55" i="1" s="1"/>
  <c r="AA55" i="1" s="1"/>
  <c r="T55" i="1"/>
  <c r="V55" i="1" s="1"/>
  <c r="W55" i="1" s="1"/>
  <c r="M55" i="1"/>
  <c r="R55" i="1" s="1"/>
  <c r="X54" i="1"/>
  <c r="Z54" i="1" s="1"/>
  <c r="AA54" i="1" s="1"/>
  <c r="T54" i="1"/>
  <c r="V54" i="1" s="1"/>
  <c r="W54" i="1" s="1"/>
  <c r="M54" i="1"/>
  <c r="R54" i="1" s="1"/>
  <c r="X53" i="1"/>
  <c r="Z53" i="1" s="1"/>
  <c r="AA53" i="1" s="1"/>
  <c r="T53" i="1"/>
  <c r="V53" i="1" s="1"/>
  <c r="W53" i="1" s="1"/>
  <c r="R53" i="1"/>
  <c r="O53" i="1" s="1"/>
  <c r="P53" i="1"/>
  <c r="X52" i="1"/>
  <c r="Z52" i="1" s="1"/>
  <c r="AA52" i="1" s="1"/>
  <c r="T52" i="1"/>
  <c r="V52" i="1" s="1"/>
  <c r="W52" i="1" s="1"/>
  <c r="R52" i="1"/>
  <c r="P52" i="1"/>
  <c r="X51" i="1"/>
  <c r="Z51" i="1" s="1"/>
  <c r="AA51" i="1" s="1"/>
  <c r="T51" i="1"/>
  <c r="V51" i="1" s="1"/>
  <c r="W51" i="1" s="1"/>
  <c r="R51" i="1"/>
  <c r="P51" i="1"/>
  <c r="X50" i="1"/>
  <c r="Z50" i="1" s="1"/>
  <c r="AA50" i="1" s="1"/>
  <c r="T50" i="1"/>
  <c r="V50" i="1" s="1"/>
  <c r="W50" i="1" s="1"/>
  <c r="R50" i="1"/>
  <c r="O50" i="1" s="1"/>
  <c r="P50" i="1"/>
  <c r="X49" i="1"/>
  <c r="Z49" i="1" s="1"/>
  <c r="AA49" i="1" s="1"/>
  <c r="T49" i="1"/>
  <c r="V49" i="1" s="1"/>
  <c r="W49" i="1" s="1"/>
  <c r="R49" i="1"/>
  <c r="P49" i="1"/>
  <c r="X48" i="1"/>
  <c r="Z48" i="1" s="1"/>
  <c r="AA48" i="1" s="1"/>
  <c r="T48" i="1"/>
  <c r="V48" i="1" s="1"/>
  <c r="W48" i="1" s="1"/>
  <c r="R48" i="1"/>
  <c r="P48" i="1"/>
  <c r="O48" i="1"/>
  <c r="X47" i="1"/>
  <c r="Z47" i="1" s="1"/>
  <c r="AA47" i="1" s="1"/>
  <c r="T47" i="1"/>
  <c r="V47" i="1" s="1"/>
  <c r="W47" i="1" s="1"/>
  <c r="R47" i="1"/>
  <c r="P47" i="1"/>
  <c r="X46" i="1"/>
  <c r="Z46" i="1" s="1"/>
  <c r="AA46" i="1" s="1"/>
  <c r="T46" i="1"/>
  <c r="V46" i="1" s="1"/>
  <c r="W46" i="1" s="1"/>
  <c r="R46" i="1"/>
  <c r="P46" i="1"/>
  <c r="X45" i="1"/>
  <c r="Z45" i="1" s="1"/>
  <c r="AA45" i="1" s="1"/>
  <c r="T45" i="1"/>
  <c r="V45" i="1" s="1"/>
  <c r="W45" i="1" s="1"/>
  <c r="R45" i="1"/>
  <c r="O45" i="1" s="1"/>
  <c r="P45" i="1"/>
  <c r="X44" i="1"/>
  <c r="Z44" i="1" s="1"/>
  <c r="AA44" i="1" s="1"/>
  <c r="T44" i="1"/>
  <c r="V44" i="1" s="1"/>
  <c r="W44" i="1" s="1"/>
  <c r="R44" i="1"/>
  <c r="O44" i="1" s="1"/>
  <c r="P44" i="1"/>
  <c r="X43" i="1"/>
  <c r="Z43" i="1" s="1"/>
  <c r="AA43" i="1" s="1"/>
  <c r="T43" i="1"/>
  <c r="V43" i="1" s="1"/>
  <c r="W43" i="1" s="1"/>
  <c r="R43" i="1"/>
  <c r="P43" i="1"/>
  <c r="X42" i="1"/>
  <c r="Z42" i="1" s="1"/>
  <c r="AA42" i="1" s="1"/>
  <c r="T42" i="1"/>
  <c r="V42" i="1" s="1"/>
  <c r="W42" i="1" s="1"/>
  <c r="R42" i="1"/>
  <c r="O42" i="1" s="1"/>
  <c r="P42" i="1"/>
  <c r="X41" i="1"/>
  <c r="Z41" i="1" s="1"/>
  <c r="AA41" i="1" s="1"/>
  <c r="T41" i="1"/>
  <c r="V41" i="1" s="1"/>
  <c r="W41" i="1" s="1"/>
  <c r="R41" i="1"/>
  <c r="P41" i="1"/>
  <c r="X40" i="1"/>
  <c r="Z40" i="1" s="1"/>
  <c r="AA40" i="1" s="1"/>
  <c r="T40" i="1"/>
  <c r="V40" i="1" s="1"/>
  <c r="W40" i="1" s="1"/>
  <c r="M40" i="1"/>
  <c r="R40" i="1" s="1"/>
  <c r="X39" i="1"/>
  <c r="Z39" i="1" s="1"/>
  <c r="AA39" i="1" s="1"/>
  <c r="T39" i="1"/>
  <c r="V39" i="1" s="1"/>
  <c r="W39" i="1" s="1"/>
  <c r="M39" i="1"/>
  <c r="X38" i="1"/>
  <c r="Z38" i="1" s="1"/>
  <c r="AA38" i="1" s="1"/>
  <c r="T38" i="1"/>
  <c r="V38" i="1" s="1"/>
  <c r="W38" i="1" s="1"/>
  <c r="M38" i="1"/>
  <c r="X4" i="1"/>
  <c r="Z4" i="1" s="1"/>
  <c r="AA4" i="1" s="1"/>
  <c r="T4" i="1"/>
  <c r="V4" i="1" s="1"/>
  <c r="W4" i="1" s="1"/>
  <c r="R4" i="1"/>
  <c r="P4" i="1"/>
  <c r="X3" i="1"/>
  <c r="Z3" i="1" s="1"/>
  <c r="AA3" i="1" s="1"/>
  <c r="T3" i="1"/>
  <c r="V3" i="1" s="1"/>
  <c r="W3" i="1" s="1"/>
  <c r="R3" i="1"/>
  <c r="P3" i="1"/>
  <c r="X2" i="1"/>
  <c r="Z2" i="1" s="1"/>
  <c r="AA2" i="1" s="1"/>
  <c r="T2" i="1"/>
  <c r="V2" i="1" s="1"/>
  <c r="W2" i="1" s="1"/>
  <c r="R2" i="1"/>
  <c r="O2" i="1" s="1"/>
  <c r="P2" i="1"/>
  <c r="X37" i="1"/>
  <c r="Z37" i="1" s="1"/>
  <c r="AA37" i="1" s="1"/>
  <c r="T37" i="1"/>
  <c r="V37" i="1" s="1"/>
  <c r="W37" i="1" s="1"/>
  <c r="M37" i="1"/>
  <c r="R37" i="1" s="1"/>
  <c r="X36" i="1"/>
  <c r="Z36" i="1" s="1"/>
  <c r="AA36" i="1" s="1"/>
  <c r="T36" i="1"/>
  <c r="V36" i="1" s="1"/>
  <c r="W36" i="1" s="1"/>
  <c r="M36" i="1"/>
  <c r="X35" i="1"/>
  <c r="Z35" i="1" s="1"/>
  <c r="AA35" i="1" s="1"/>
  <c r="T35" i="1"/>
  <c r="V35" i="1" s="1"/>
  <c r="W35" i="1" s="1"/>
  <c r="R35" i="1"/>
  <c r="O35" i="1" s="1"/>
  <c r="P35" i="1"/>
  <c r="X34" i="1"/>
  <c r="Z34" i="1" s="1"/>
  <c r="AA34" i="1" s="1"/>
  <c r="T34" i="1"/>
  <c r="V34" i="1" s="1"/>
  <c r="W34" i="1" s="1"/>
  <c r="R34" i="1"/>
  <c r="O34" i="1" s="1"/>
  <c r="P34" i="1"/>
  <c r="X33" i="1"/>
  <c r="Z33" i="1" s="1"/>
  <c r="AA33" i="1" s="1"/>
  <c r="T33" i="1"/>
  <c r="V33" i="1" s="1"/>
  <c r="W33" i="1" s="1"/>
  <c r="R33" i="1"/>
  <c r="O33" i="1" s="1"/>
  <c r="P33" i="1"/>
  <c r="X32" i="1"/>
  <c r="Z32" i="1" s="1"/>
  <c r="AA32" i="1" s="1"/>
  <c r="T32" i="1"/>
  <c r="V32" i="1" s="1"/>
  <c r="W32" i="1" s="1"/>
  <c r="R32" i="1"/>
  <c r="P32" i="1"/>
  <c r="X31" i="1"/>
  <c r="Z31" i="1" s="1"/>
  <c r="AA31" i="1" s="1"/>
  <c r="T31" i="1"/>
  <c r="V31" i="1" s="1"/>
  <c r="W31" i="1" s="1"/>
  <c r="R31" i="1"/>
  <c r="O31" i="1" s="1"/>
  <c r="P31" i="1"/>
  <c r="X30" i="1"/>
  <c r="Z30" i="1" s="1"/>
  <c r="AA30" i="1" s="1"/>
  <c r="T30" i="1"/>
  <c r="V30" i="1" s="1"/>
  <c r="W30" i="1" s="1"/>
  <c r="R30" i="1"/>
  <c r="O30" i="1" s="1"/>
  <c r="P30" i="1"/>
  <c r="X29" i="1"/>
  <c r="Z29" i="1" s="1"/>
  <c r="AA29" i="1" s="1"/>
  <c r="T29" i="1"/>
  <c r="V29" i="1" s="1"/>
  <c r="W29" i="1" s="1"/>
  <c r="R29" i="1"/>
  <c r="P29" i="1"/>
  <c r="X28" i="1"/>
  <c r="Z28" i="1" s="1"/>
  <c r="AA28" i="1" s="1"/>
  <c r="T28" i="1"/>
  <c r="V28" i="1" s="1"/>
  <c r="W28" i="1" s="1"/>
  <c r="R28" i="1"/>
  <c r="P28" i="1"/>
  <c r="X27" i="1"/>
  <c r="Z27" i="1" s="1"/>
  <c r="AA27" i="1" s="1"/>
  <c r="T27" i="1"/>
  <c r="V27" i="1" s="1"/>
  <c r="W27" i="1" s="1"/>
  <c r="R27" i="1"/>
  <c r="P27" i="1"/>
  <c r="X26" i="1"/>
  <c r="Z26" i="1" s="1"/>
  <c r="AA26" i="1" s="1"/>
  <c r="T26" i="1"/>
  <c r="V26" i="1" s="1"/>
  <c r="W26" i="1" s="1"/>
  <c r="R26" i="1"/>
  <c r="P26" i="1"/>
  <c r="X25" i="1"/>
  <c r="Z25" i="1" s="1"/>
  <c r="AA25" i="1" s="1"/>
  <c r="T25" i="1"/>
  <c r="V25" i="1" s="1"/>
  <c r="W25" i="1" s="1"/>
  <c r="R25" i="1"/>
  <c r="O25" i="1" s="1"/>
  <c r="P25" i="1"/>
  <c r="X24" i="1"/>
  <c r="Z24" i="1" s="1"/>
  <c r="AA24" i="1" s="1"/>
  <c r="T24" i="1"/>
  <c r="V24" i="1" s="1"/>
  <c r="W24" i="1" s="1"/>
  <c r="R24" i="1"/>
  <c r="P24" i="1"/>
  <c r="X23" i="1"/>
  <c r="Z23" i="1" s="1"/>
  <c r="AA23" i="1" s="1"/>
  <c r="T23" i="1"/>
  <c r="V23" i="1" s="1"/>
  <c r="W23" i="1" s="1"/>
  <c r="R23" i="1"/>
  <c r="O23" i="1" s="1"/>
  <c r="P23" i="1"/>
  <c r="S23" i="1" l="1"/>
  <c r="S79" i="1"/>
  <c r="P73" i="1"/>
  <c r="I10" i="2"/>
  <c r="S97" i="1"/>
  <c r="AA282" i="1"/>
  <c r="O282" i="1"/>
  <c r="O633" i="1"/>
  <c r="W633" i="1"/>
  <c r="O185" i="1"/>
  <c r="S89" i="1"/>
  <c r="S104" i="1"/>
  <c r="S47" i="1"/>
  <c r="O625" i="1"/>
  <c r="W625" i="1"/>
  <c r="AA341" i="1"/>
  <c r="O341" i="1"/>
  <c r="S377" i="1"/>
  <c r="O377" i="1"/>
  <c r="W673" i="1"/>
  <c r="O673" i="1"/>
  <c r="AA287" i="1"/>
  <c r="O287" i="1"/>
  <c r="O387" i="1"/>
  <c r="S387" i="1"/>
  <c r="O342" i="1"/>
  <c r="AA342" i="1"/>
  <c r="O376" i="1"/>
  <c r="S376" i="1"/>
  <c r="S406" i="1"/>
  <c r="O406" i="1"/>
  <c r="W617" i="1"/>
  <c r="O617" i="1"/>
  <c r="S374" i="1"/>
  <c r="O374" i="1"/>
  <c r="W649" i="1"/>
  <c r="O649" i="1"/>
  <c r="O219" i="1"/>
  <c r="W219" i="1"/>
  <c r="W641" i="1"/>
  <c r="O641" i="1"/>
  <c r="S451" i="1"/>
  <c r="O451" i="1"/>
  <c r="W218" i="1"/>
  <c r="O218" i="1"/>
  <c r="AA280" i="1"/>
  <c r="O280" i="1"/>
  <c r="O427" i="1"/>
  <c r="S427" i="1"/>
  <c r="W609" i="1"/>
  <c r="O609" i="1"/>
  <c r="S408" i="1"/>
  <c r="O408" i="1"/>
  <c r="S107" i="1"/>
  <c r="S117" i="1"/>
  <c r="S398" i="1"/>
  <c r="W601" i="1"/>
  <c r="O208" i="1"/>
  <c r="S46" i="1"/>
  <c r="S59" i="1"/>
  <c r="O409" i="1"/>
  <c r="S100" i="1"/>
  <c r="S30" i="1"/>
  <c r="O430" i="1"/>
  <c r="O392" i="1"/>
  <c r="O665" i="1"/>
  <c r="S143" i="1"/>
  <c r="O462" i="1"/>
  <c r="S27" i="1"/>
  <c r="S22" i="1"/>
  <c r="O393" i="1"/>
  <c r="O419" i="1"/>
  <c r="O657" i="1"/>
  <c r="P145" i="1"/>
  <c r="S106" i="1"/>
  <c r="S6" i="1"/>
  <c r="S62" i="1"/>
  <c r="S49" i="1"/>
  <c r="S87" i="1"/>
  <c r="S141" i="1"/>
  <c r="W160" i="1"/>
  <c r="O160" i="1"/>
  <c r="S425" i="1"/>
  <c r="O425" i="1"/>
  <c r="W241" i="1"/>
  <c r="O241" i="1"/>
  <c r="O358" i="1"/>
  <c r="AA358" i="1"/>
  <c r="W661" i="1"/>
  <c r="O661" i="1"/>
  <c r="O261" i="1"/>
  <c r="AA261" i="1"/>
  <c r="AA336" i="1"/>
  <c r="O336" i="1"/>
  <c r="O395" i="1"/>
  <c r="S395" i="1"/>
  <c r="P75" i="1"/>
  <c r="S75" i="1" s="1"/>
  <c r="O173" i="1"/>
  <c r="W173" i="1"/>
  <c r="AA279" i="1"/>
  <c r="O279" i="1"/>
  <c r="AA307" i="1"/>
  <c r="O307" i="1"/>
  <c r="O315" i="1"/>
  <c r="AA315" i="1"/>
  <c r="O323" i="1"/>
  <c r="AA323" i="1"/>
  <c r="S403" i="1"/>
  <c r="O403" i="1"/>
  <c r="S441" i="1"/>
  <c r="O441" i="1"/>
  <c r="S457" i="1"/>
  <c r="O457" i="1"/>
  <c r="O252" i="1"/>
  <c r="W252" i="1"/>
  <c r="O189" i="1"/>
  <c r="W233" i="1"/>
  <c r="O233" i="1"/>
  <c r="W605" i="1"/>
  <c r="O605" i="1"/>
  <c r="S379" i="1"/>
  <c r="O379" i="1"/>
  <c r="P38" i="1"/>
  <c r="R38" i="1"/>
  <c r="O38" i="1" s="1"/>
  <c r="P127" i="1"/>
  <c r="R127" i="1"/>
  <c r="O165" i="1"/>
  <c r="W165" i="1"/>
  <c r="S422" i="1"/>
  <c r="O422" i="1"/>
  <c r="W629" i="1"/>
  <c r="O629" i="1"/>
  <c r="AA314" i="1"/>
  <c r="O314" i="1"/>
  <c r="W613" i="1"/>
  <c r="O613" i="1"/>
  <c r="S63" i="1"/>
  <c r="AA304" i="1"/>
  <c r="O304" i="1"/>
  <c r="W653" i="1"/>
  <c r="O653" i="1"/>
  <c r="AA306" i="1"/>
  <c r="O306" i="1"/>
  <c r="S29" i="1"/>
  <c r="S118" i="1"/>
  <c r="O100" i="1"/>
  <c r="S103" i="1"/>
  <c r="S414" i="1"/>
  <c r="O414" i="1"/>
  <c r="W677" i="1"/>
  <c r="O677" i="1"/>
  <c r="W193" i="1"/>
  <c r="O193" i="1"/>
  <c r="O206" i="1"/>
  <c r="W206" i="1"/>
  <c r="O288" i="1"/>
  <c r="S435" i="1"/>
  <c r="O435" i="1"/>
  <c r="O366" i="1"/>
  <c r="S366" i="1"/>
  <c r="S454" i="1"/>
  <c r="O454" i="1"/>
  <c r="O331" i="1"/>
  <c r="AA331" i="1"/>
  <c r="O26" i="1"/>
  <c r="S26" i="1"/>
  <c r="O71" i="1"/>
  <c r="S71" i="1"/>
  <c r="S44" i="1"/>
  <c r="S88" i="1"/>
  <c r="O186" i="1"/>
  <c r="W186" i="1"/>
  <c r="O239" i="1"/>
  <c r="W239" i="1"/>
  <c r="AA277" i="1"/>
  <c r="O277" i="1"/>
  <c r="W621" i="1"/>
  <c r="O621" i="1"/>
  <c r="S18" i="1"/>
  <c r="W637" i="1"/>
  <c r="O637" i="1"/>
  <c r="O200" i="1"/>
  <c r="W200" i="1"/>
  <c r="O285" i="1"/>
  <c r="AA309" i="1"/>
  <c r="O309" i="1"/>
  <c r="S446" i="1"/>
  <c r="O446" i="1"/>
  <c r="O459" i="1"/>
  <c r="S459" i="1"/>
  <c r="W645" i="1"/>
  <c r="O645" i="1"/>
  <c r="O269" i="1"/>
  <c r="AA269" i="1"/>
  <c r="O175" i="1"/>
  <c r="W175" i="1"/>
  <c r="O231" i="1"/>
  <c r="W231" i="1"/>
  <c r="W251" i="1"/>
  <c r="O251" i="1"/>
  <c r="AA317" i="1"/>
  <c r="O317" i="1"/>
  <c r="AA339" i="1"/>
  <c r="O339" i="1"/>
  <c r="AA347" i="1"/>
  <c r="O347" i="1"/>
  <c r="S371" i="1"/>
  <c r="O371" i="1"/>
  <c r="S390" i="1"/>
  <c r="O390" i="1"/>
  <c r="W669" i="1"/>
  <c r="O669" i="1"/>
  <c r="S424" i="1"/>
  <c r="O424" i="1"/>
  <c r="S85" i="1"/>
  <c r="R36" i="1"/>
  <c r="G10" i="2"/>
  <c r="S125" i="1"/>
  <c r="R146" i="1"/>
  <c r="O146" i="1" s="1"/>
  <c r="S382" i="1"/>
  <c r="O382" i="1"/>
  <c r="S440" i="1"/>
  <c r="O440" i="1"/>
  <c r="S31" i="1"/>
  <c r="S52" i="1"/>
  <c r="S101" i="1"/>
  <c r="S123" i="1"/>
  <c r="S132" i="1"/>
  <c r="S135" i="1"/>
  <c r="S411" i="1"/>
  <c r="S456" i="1"/>
  <c r="S65" i="1"/>
  <c r="S105" i="1"/>
  <c r="AA296" i="1"/>
  <c r="AA350" i="1"/>
  <c r="S99" i="1"/>
  <c r="S17" i="1"/>
  <c r="W181" i="1"/>
  <c r="O438" i="1"/>
  <c r="S34" i="1"/>
  <c r="S25" i="1"/>
  <c r="S32" i="1"/>
  <c r="S84" i="1"/>
  <c r="S121" i="1"/>
  <c r="S133" i="1"/>
  <c r="W198" i="1"/>
  <c r="S443" i="1"/>
  <c r="S4" i="1"/>
  <c r="S67" i="1"/>
  <c r="O312" i="1"/>
  <c r="O52" i="1"/>
  <c r="O344" i="1"/>
  <c r="W14" i="1"/>
  <c r="I28" i="2" a="1"/>
  <c r="I28" i="2" s="1"/>
  <c r="S10" i="1"/>
  <c r="S7" i="1"/>
  <c r="S15" i="1"/>
  <c r="S12" i="1"/>
  <c r="O421" i="1"/>
  <c r="S421" i="1"/>
  <c r="S429" i="1"/>
  <c r="O429" i="1"/>
  <c r="W584" i="1"/>
  <c r="O584" i="1"/>
  <c r="W600" i="1"/>
  <c r="O600" i="1"/>
  <c r="W608" i="1"/>
  <c r="O608" i="1"/>
  <c r="W616" i="1"/>
  <c r="O616" i="1"/>
  <c r="W624" i="1"/>
  <c r="O624" i="1"/>
  <c r="W632" i="1"/>
  <c r="O632" i="1"/>
  <c r="W640" i="1"/>
  <c r="O640" i="1"/>
  <c r="W648" i="1"/>
  <c r="O648" i="1"/>
  <c r="W656" i="1"/>
  <c r="O656" i="1"/>
  <c r="W664" i="1"/>
  <c r="O664" i="1"/>
  <c r="W672" i="1"/>
  <c r="O672" i="1"/>
  <c r="S418" i="1"/>
  <c r="O418" i="1"/>
  <c r="S432" i="1"/>
  <c r="O432" i="1"/>
  <c r="S470" i="1"/>
  <c r="O470" i="1"/>
  <c r="W585" i="1"/>
  <c r="O585" i="1"/>
  <c r="S415" i="1"/>
  <c r="O415" i="1"/>
  <c r="S466" i="1"/>
  <c r="O466" i="1"/>
  <c r="W586" i="1"/>
  <c r="O586" i="1"/>
  <c r="S410" i="1"/>
  <c r="O410" i="1"/>
  <c r="S463" i="1"/>
  <c r="O463" i="1"/>
  <c r="W587" i="1"/>
  <c r="O587" i="1"/>
  <c r="S368" i="1"/>
  <c r="O368" i="1"/>
  <c r="S458" i="1"/>
  <c r="O458" i="1"/>
  <c r="W588" i="1"/>
  <c r="O588" i="1"/>
  <c r="O405" i="1"/>
  <c r="S405" i="1"/>
  <c r="S413" i="1"/>
  <c r="O413" i="1"/>
  <c r="O467" i="1"/>
  <c r="S467" i="1"/>
  <c r="W589" i="1"/>
  <c r="O589" i="1"/>
  <c r="W602" i="1"/>
  <c r="O602" i="1"/>
  <c r="W610" i="1"/>
  <c r="O610" i="1"/>
  <c r="W618" i="1"/>
  <c r="O618" i="1"/>
  <c r="W626" i="1"/>
  <c r="O626" i="1"/>
  <c r="W634" i="1"/>
  <c r="O634" i="1"/>
  <c r="W642" i="1"/>
  <c r="O642" i="1"/>
  <c r="W650" i="1"/>
  <c r="O650" i="1"/>
  <c r="W658" i="1"/>
  <c r="O658" i="1"/>
  <c r="W666" i="1"/>
  <c r="O666" i="1"/>
  <c r="W674" i="1"/>
  <c r="O674" i="1"/>
  <c r="S402" i="1"/>
  <c r="O402" i="1"/>
  <c r="S416" i="1"/>
  <c r="O416" i="1"/>
  <c r="O453" i="1"/>
  <c r="S453" i="1"/>
  <c r="S461" i="1"/>
  <c r="O461" i="1"/>
  <c r="W590" i="1"/>
  <c r="O590" i="1"/>
  <c r="S399" i="1"/>
  <c r="O399" i="1"/>
  <c r="S450" i="1"/>
  <c r="O450" i="1"/>
  <c r="S464" i="1"/>
  <c r="O464" i="1"/>
  <c r="W591" i="1"/>
  <c r="O591" i="1"/>
  <c r="S394" i="1"/>
  <c r="O394" i="1"/>
  <c r="S447" i="1"/>
  <c r="O447" i="1"/>
  <c r="W576" i="1"/>
  <c r="O576" i="1"/>
  <c r="W592" i="1"/>
  <c r="O592" i="1"/>
  <c r="W604" i="1"/>
  <c r="O604" i="1"/>
  <c r="W612" i="1"/>
  <c r="O612" i="1"/>
  <c r="W620" i="1"/>
  <c r="O620" i="1"/>
  <c r="W628" i="1"/>
  <c r="O628" i="1"/>
  <c r="W636" i="1"/>
  <c r="O636" i="1"/>
  <c r="W644" i="1"/>
  <c r="O644" i="1"/>
  <c r="W652" i="1"/>
  <c r="O652" i="1"/>
  <c r="W660" i="1"/>
  <c r="O660" i="1"/>
  <c r="W668" i="1"/>
  <c r="O668" i="1"/>
  <c r="W676" i="1"/>
  <c r="O676" i="1"/>
  <c r="S442" i="1"/>
  <c r="O442" i="1"/>
  <c r="W577" i="1"/>
  <c r="O577" i="1"/>
  <c r="W593" i="1"/>
  <c r="O593" i="1"/>
  <c r="S384" i="1"/>
  <c r="O384" i="1"/>
  <c r="O389" i="1"/>
  <c r="S389" i="1"/>
  <c r="S397" i="1"/>
  <c r="O397" i="1"/>
  <c r="W578" i="1"/>
  <c r="O578" i="1"/>
  <c r="W594" i="1"/>
  <c r="O594" i="1"/>
  <c r="S386" i="1"/>
  <c r="O386" i="1"/>
  <c r="S400" i="1"/>
  <c r="O400" i="1"/>
  <c r="O437" i="1"/>
  <c r="S437" i="1"/>
  <c r="S445" i="1"/>
  <c r="O445" i="1"/>
  <c r="W579" i="1"/>
  <c r="O579" i="1"/>
  <c r="W595" i="1"/>
  <c r="O595" i="1"/>
  <c r="S378" i="1"/>
  <c r="O378" i="1"/>
  <c r="S383" i="1"/>
  <c r="O383" i="1"/>
  <c r="S434" i="1"/>
  <c r="O434" i="1"/>
  <c r="S448" i="1"/>
  <c r="O448" i="1"/>
  <c r="W580" i="1"/>
  <c r="O580" i="1"/>
  <c r="W596" i="1"/>
  <c r="O596" i="1"/>
  <c r="W678" i="1"/>
  <c r="O678" i="1"/>
  <c r="S431" i="1"/>
  <c r="O431" i="1"/>
  <c r="W581" i="1"/>
  <c r="O581" i="1"/>
  <c r="W597" i="1"/>
  <c r="O597" i="1"/>
  <c r="W606" i="1"/>
  <c r="O606" i="1"/>
  <c r="W614" i="1"/>
  <c r="O614" i="1"/>
  <c r="W622" i="1"/>
  <c r="O622" i="1"/>
  <c r="W630" i="1"/>
  <c r="O630" i="1"/>
  <c r="W638" i="1"/>
  <c r="O638" i="1"/>
  <c r="W646" i="1"/>
  <c r="O646" i="1"/>
  <c r="W654" i="1"/>
  <c r="O654" i="1"/>
  <c r="W662" i="1"/>
  <c r="O662" i="1"/>
  <c r="W670" i="1"/>
  <c r="O670" i="1"/>
  <c r="S367" i="1"/>
  <c r="O367" i="1"/>
  <c r="O373" i="1"/>
  <c r="S373" i="1"/>
  <c r="S426" i="1"/>
  <c r="O426" i="1"/>
  <c r="O469" i="1"/>
  <c r="S469" i="1"/>
  <c r="W582" i="1"/>
  <c r="O582" i="1"/>
  <c r="W598" i="1"/>
  <c r="O598" i="1"/>
  <c r="S370" i="1"/>
  <c r="O370" i="1"/>
  <c r="S381" i="1"/>
  <c r="O381" i="1"/>
  <c r="W583" i="1"/>
  <c r="O583" i="1"/>
  <c r="W599" i="1"/>
  <c r="O599" i="1"/>
  <c r="W680" i="1"/>
  <c r="O680" i="1"/>
  <c r="O375" i="1"/>
  <c r="S380" i="1"/>
  <c r="O391" i="1"/>
  <c r="S396" i="1"/>
  <c r="O407" i="1"/>
  <c r="S412" i="1"/>
  <c r="O423" i="1"/>
  <c r="S428" i="1"/>
  <c r="O439" i="1"/>
  <c r="S444" i="1"/>
  <c r="O455" i="1"/>
  <c r="S460" i="1"/>
  <c r="O372" i="1"/>
  <c r="O388" i="1"/>
  <c r="O404" i="1"/>
  <c r="O420" i="1"/>
  <c r="O436" i="1"/>
  <c r="O452" i="1"/>
  <c r="O468" i="1"/>
  <c r="O603" i="1"/>
  <c r="O607" i="1"/>
  <c r="O611" i="1"/>
  <c r="O615" i="1"/>
  <c r="O619" i="1"/>
  <c r="O623" i="1"/>
  <c r="O627" i="1"/>
  <c r="O631" i="1"/>
  <c r="O635" i="1"/>
  <c r="O639" i="1"/>
  <c r="O643" i="1"/>
  <c r="O647" i="1"/>
  <c r="O651" i="1"/>
  <c r="O655" i="1"/>
  <c r="O659" i="1"/>
  <c r="O663" i="1"/>
  <c r="O667" i="1"/>
  <c r="O671" i="1"/>
  <c r="O675" i="1"/>
  <c r="O679" i="1"/>
  <c r="O369" i="1"/>
  <c r="O385" i="1"/>
  <c r="O401" i="1"/>
  <c r="O417" i="1"/>
  <c r="O433" i="1"/>
  <c r="O449" i="1"/>
  <c r="O465" i="1"/>
  <c r="O262" i="1"/>
  <c r="AA262" i="1"/>
  <c r="O320" i="1"/>
  <c r="AA320" i="1"/>
  <c r="AA303" i="1"/>
  <c r="O303" i="1"/>
  <c r="O286" i="1"/>
  <c r="AA286" i="1"/>
  <c r="O300" i="1"/>
  <c r="AA300" i="1"/>
  <c r="AA354" i="1"/>
  <c r="O354" i="1"/>
  <c r="O324" i="1"/>
  <c r="AA324" i="1"/>
  <c r="O328" i="1"/>
  <c r="AA328" i="1"/>
  <c r="AA338" i="1"/>
  <c r="O338" i="1"/>
  <c r="O362" i="1"/>
  <c r="AA362" i="1"/>
  <c r="AA274" i="1"/>
  <c r="O274" i="1"/>
  <c r="AA263" i="1"/>
  <c r="O263" i="1"/>
  <c r="O267" i="1"/>
  <c r="AA267" i="1"/>
  <c r="O270" i="1"/>
  <c r="AA270" i="1"/>
  <c r="O289" i="1"/>
  <c r="AA289" i="1"/>
  <c r="O293" i="1"/>
  <c r="AA293" i="1"/>
  <c r="O321" i="1"/>
  <c r="AA321" i="1"/>
  <c r="AA355" i="1"/>
  <c r="O355" i="1"/>
  <c r="O266" i="1"/>
  <c r="AA266" i="1"/>
  <c r="O278" i="1"/>
  <c r="AA278" i="1"/>
  <c r="O332" i="1"/>
  <c r="AA332" i="1"/>
  <c r="O363" i="1"/>
  <c r="AA363" i="1"/>
  <c r="O264" i="1"/>
  <c r="AA264" i="1"/>
  <c r="O297" i="1"/>
  <c r="AA297" i="1"/>
  <c r="AA301" i="1"/>
  <c r="O301" i="1"/>
  <c r="O313" i="1"/>
  <c r="AA313" i="1"/>
  <c r="AA325" i="1"/>
  <c r="O325" i="1"/>
  <c r="O329" i="1"/>
  <c r="AA329" i="1"/>
  <c r="O351" i="1"/>
  <c r="AA351" i="1"/>
  <c r="AA271" i="1"/>
  <c r="O271" i="1"/>
  <c r="AA290" i="1"/>
  <c r="O290" i="1"/>
  <c r="O294" i="1"/>
  <c r="AA294" i="1"/>
  <c r="O348" i="1"/>
  <c r="AA348" i="1"/>
  <c r="O359" i="1"/>
  <c r="AA359" i="1"/>
  <c r="AA284" i="1"/>
  <c r="O284" i="1"/>
  <c r="AA349" i="1"/>
  <c r="O349" i="1"/>
  <c r="O356" i="1"/>
  <c r="AA356" i="1"/>
  <c r="AA268" i="1"/>
  <c r="O268" i="1"/>
  <c r="AA322" i="1"/>
  <c r="O322" i="1"/>
  <c r="O326" i="1"/>
  <c r="AA326" i="1"/>
  <c r="AA333" i="1"/>
  <c r="O333" i="1"/>
  <c r="AA265" i="1"/>
  <c r="O265" i="1"/>
  <c r="O272" i="1"/>
  <c r="AA272" i="1"/>
  <c r="O291" i="1"/>
  <c r="AA291" i="1"/>
  <c r="AA298" i="1"/>
  <c r="O298" i="1"/>
  <c r="O302" i="1"/>
  <c r="AA302" i="1"/>
  <c r="O305" i="1"/>
  <c r="AA305" i="1"/>
  <c r="O319" i="1"/>
  <c r="AA319" i="1"/>
  <c r="O334" i="1"/>
  <c r="AA334" i="1"/>
  <c r="AA352" i="1"/>
  <c r="O352" i="1"/>
  <c r="O340" i="1"/>
  <c r="AA340" i="1"/>
  <c r="AA360" i="1"/>
  <c r="O360" i="1"/>
  <c r="AA276" i="1"/>
  <c r="O276" i="1"/>
  <c r="AA330" i="1"/>
  <c r="O330" i="1"/>
  <c r="AA295" i="1"/>
  <c r="O295" i="1"/>
  <c r="O299" i="1"/>
  <c r="AA299" i="1"/>
  <c r="AA311" i="1"/>
  <c r="O311" i="1"/>
  <c r="O327" i="1"/>
  <c r="AA327" i="1"/>
  <c r="O353" i="1"/>
  <c r="AA353" i="1"/>
  <c r="AA273" i="1"/>
  <c r="O273" i="1"/>
  <c r="AA292" i="1"/>
  <c r="O292" i="1"/>
  <c r="AA346" i="1"/>
  <c r="O346" i="1"/>
  <c r="AA357" i="1"/>
  <c r="O357" i="1"/>
  <c r="O361" i="1"/>
  <c r="AA361" i="1"/>
  <c r="AA365" i="1"/>
  <c r="O365" i="1"/>
  <c r="AA335" i="1"/>
  <c r="AA275" i="1"/>
  <c r="AA283" i="1"/>
  <c r="AA310" i="1"/>
  <c r="AA318" i="1"/>
  <c r="AA337" i="1"/>
  <c r="AA345" i="1"/>
  <c r="AA364" i="1"/>
  <c r="AA308" i="1"/>
  <c r="O281" i="1"/>
  <c r="O316" i="1"/>
  <c r="O343" i="1"/>
  <c r="W152" i="1"/>
  <c r="O152" i="1"/>
  <c r="W156" i="1"/>
  <c r="O156" i="1"/>
  <c r="O176" i="1"/>
  <c r="W176" i="1"/>
  <c r="O187" i="1"/>
  <c r="W187" i="1"/>
  <c r="W222" i="1"/>
  <c r="O222" i="1"/>
  <c r="W254" i="1"/>
  <c r="O254" i="1"/>
  <c r="O258" i="1"/>
  <c r="W258" i="1"/>
  <c r="W207" i="1"/>
  <c r="O207" i="1"/>
  <c r="W255" i="1"/>
  <c r="O255" i="1"/>
  <c r="W170" i="1"/>
  <c r="O170" i="1"/>
  <c r="O201" i="1"/>
  <c r="W201" i="1"/>
  <c r="O204" i="1"/>
  <c r="W204" i="1"/>
  <c r="W216" i="1"/>
  <c r="O216" i="1"/>
  <c r="W167" i="1"/>
  <c r="O167" i="1"/>
  <c r="W174" i="1"/>
  <c r="O174" i="1"/>
  <c r="W188" i="1"/>
  <c r="O188" i="1"/>
  <c r="O196" i="1"/>
  <c r="W196" i="1"/>
  <c r="O226" i="1"/>
  <c r="W226" i="1"/>
  <c r="O229" i="1"/>
  <c r="W229" i="1"/>
  <c r="O245" i="1"/>
  <c r="W245" i="1"/>
  <c r="W164" i="1"/>
  <c r="O164" i="1"/>
  <c r="W210" i="1"/>
  <c r="O210" i="1"/>
  <c r="O259" i="1"/>
  <c r="W259" i="1"/>
  <c r="W171" i="1"/>
  <c r="O171" i="1"/>
  <c r="W199" i="1"/>
  <c r="O199" i="1"/>
  <c r="W214" i="1"/>
  <c r="O214" i="1"/>
  <c r="O242" i="1"/>
  <c r="W242" i="1"/>
  <c r="W246" i="1"/>
  <c r="O246" i="1"/>
  <c r="W180" i="1"/>
  <c r="O180" i="1"/>
  <c r="W211" i="1"/>
  <c r="O211" i="1"/>
  <c r="O220" i="1"/>
  <c r="W220" i="1"/>
  <c r="W249" i="1"/>
  <c r="O249" i="1"/>
  <c r="W150" i="1"/>
  <c r="O150" i="1"/>
  <c r="O154" i="1"/>
  <c r="W154" i="1"/>
  <c r="O168" i="1"/>
  <c r="W168" i="1"/>
  <c r="W191" i="1"/>
  <c r="O191" i="1"/>
  <c r="W236" i="1"/>
  <c r="O236" i="1"/>
  <c r="W158" i="1"/>
  <c r="O158" i="1"/>
  <c r="W178" i="1"/>
  <c r="O178" i="1"/>
  <c r="W232" i="1"/>
  <c r="O232" i="1"/>
  <c r="O162" i="1"/>
  <c r="W162" i="1"/>
  <c r="W172" i="1"/>
  <c r="O172" i="1"/>
  <c r="W240" i="1"/>
  <c r="O240" i="1"/>
  <c r="W243" i="1"/>
  <c r="O243" i="1"/>
  <c r="W155" i="1"/>
  <c r="O155" i="1"/>
  <c r="W183" i="1"/>
  <c r="O183" i="1"/>
  <c r="W221" i="1"/>
  <c r="O221" i="1"/>
  <c r="W227" i="1"/>
  <c r="O227" i="1"/>
  <c r="O247" i="1"/>
  <c r="W247" i="1"/>
  <c r="W224" i="1"/>
  <c r="O224" i="1"/>
  <c r="O253" i="1"/>
  <c r="W253" i="1"/>
  <c r="O203" i="1"/>
  <c r="W203" i="1"/>
  <c r="O212" i="1"/>
  <c r="W212" i="1"/>
  <c r="O234" i="1"/>
  <c r="W234" i="1"/>
  <c r="W237" i="1"/>
  <c r="O237" i="1"/>
  <c r="W244" i="1"/>
  <c r="O244" i="1"/>
  <c r="W257" i="1"/>
  <c r="O257" i="1"/>
  <c r="W163" i="1"/>
  <c r="O163" i="1"/>
  <c r="O179" i="1"/>
  <c r="W179" i="1"/>
  <c r="W213" i="1"/>
  <c r="O213" i="1"/>
  <c r="W166" i="1"/>
  <c r="O166" i="1"/>
  <c r="O209" i="1"/>
  <c r="W209" i="1"/>
  <c r="W228" i="1"/>
  <c r="O228" i="1"/>
  <c r="W223" i="1"/>
  <c r="W149" i="1"/>
  <c r="W190" i="1"/>
  <c r="W215" i="1"/>
  <c r="O153" i="1"/>
  <c r="O161" i="1"/>
  <c r="O194" i="1"/>
  <c r="O197" i="1"/>
  <c r="O205" i="1"/>
  <c r="O230" i="1"/>
  <c r="O238" i="1"/>
  <c r="W157" i="1"/>
  <c r="W151" i="1"/>
  <c r="W159" i="1"/>
  <c r="W184" i="1"/>
  <c r="W192" i="1"/>
  <c r="W195" i="1"/>
  <c r="W217" i="1"/>
  <c r="W225" i="1"/>
  <c r="W250" i="1"/>
  <c r="O169" i="1"/>
  <c r="O177" i="1"/>
  <c r="O202" i="1"/>
  <c r="O235" i="1"/>
  <c r="O260" i="1"/>
  <c r="W256" i="1"/>
  <c r="O182" i="1"/>
  <c r="O248" i="1"/>
  <c r="S145" i="1"/>
  <c r="O145" i="1"/>
  <c r="O147" i="1"/>
  <c r="O72" i="1"/>
  <c r="O47" i="1"/>
  <c r="R90" i="1"/>
  <c r="O90" i="1" s="1"/>
  <c r="R93" i="1"/>
  <c r="S93" i="1" s="1"/>
  <c r="O15" i="1"/>
  <c r="O141" i="1"/>
  <c r="S68" i="1"/>
  <c r="S77" i="1"/>
  <c r="S80" i="1"/>
  <c r="S114" i="1"/>
  <c r="S120" i="1"/>
  <c r="P130" i="1"/>
  <c r="S130" i="1" s="1"/>
  <c r="S50" i="1"/>
  <c r="S66" i="1"/>
  <c r="S8" i="1"/>
  <c r="S102" i="1"/>
  <c r="R108" i="1"/>
  <c r="O108" i="1" s="1"/>
  <c r="R126" i="1"/>
  <c r="O126" i="1" s="1"/>
  <c r="S24" i="1"/>
  <c r="S35" i="1"/>
  <c r="S2" i="1"/>
  <c r="S42" i="1"/>
  <c r="S60" i="1"/>
  <c r="S83" i="1"/>
  <c r="S21" i="1"/>
  <c r="P147" i="1"/>
  <c r="S147" i="1" s="1"/>
  <c r="O27" i="1"/>
  <c r="S33" i="1"/>
  <c r="S69" i="1"/>
  <c r="P72" i="1"/>
  <c r="S72" i="1" s="1"/>
  <c r="S9" i="1"/>
  <c r="S13" i="1"/>
  <c r="O103" i="1"/>
  <c r="S115" i="1"/>
  <c r="O121" i="1"/>
  <c r="S136" i="1"/>
  <c r="S139" i="1"/>
  <c r="S64" i="1"/>
  <c r="O87" i="1"/>
  <c r="O89" i="1"/>
  <c r="P36" i="1"/>
  <c r="S3" i="1"/>
  <c r="O46" i="1"/>
  <c r="S48" i="1"/>
  <c r="S51" i="1"/>
  <c r="S61" i="1"/>
  <c r="S95" i="1"/>
  <c r="S16" i="1"/>
  <c r="S124" i="1"/>
  <c r="S131" i="1"/>
  <c r="S142" i="1"/>
  <c r="S43" i="1"/>
  <c r="S70" i="1"/>
  <c r="P76" i="1"/>
  <c r="S76" i="1" s="1"/>
  <c r="S81" i="1"/>
  <c r="S98" i="1"/>
  <c r="O107" i="1"/>
  <c r="S14" i="1"/>
  <c r="S113" i="1"/>
  <c r="S140" i="1"/>
  <c r="P148" i="1"/>
  <c r="S148" i="1" s="1"/>
  <c r="S28" i="1"/>
  <c r="O4" i="1"/>
  <c r="O59" i="1"/>
  <c r="O62" i="1"/>
  <c r="S11" i="1"/>
  <c r="O101" i="1"/>
  <c r="S116" i="1"/>
  <c r="O132" i="1"/>
  <c r="S134" i="1"/>
  <c r="S137" i="1"/>
  <c r="O143" i="1"/>
  <c r="O29" i="1"/>
  <c r="S41" i="1"/>
  <c r="S82" i="1"/>
  <c r="O88" i="1"/>
  <c r="S96" i="1"/>
  <c r="S122" i="1"/>
  <c r="O135" i="1"/>
  <c r="S138" i="1"/>
  <c r="S20" i="1"/>
  <c r="O111" i="1"/>
  <c r="O57" i="1"/>
  <c r="O91" i="1"/>
  <c r="O144" i="1"/>
  <c r="O94" i="1"/>
  <c r="O74" i="1"/>
  <c r="O112" i="1"/>
  <c r="O109" i="1"/>
  <c r="O54" i="1"/>
  <c r="O58" i="1"/>
  <c r="O36" i="1"/>
  <c r="O55" i="1"/>
  <c r="O76" i="1"/>
  <c r="O92" i="1"/>
  <c r="O40" i="1"/>
  <c r="O128" i="1"/>
  <c r="S73" i="1"/>
  <c r="O73" i="1"/>
  <c r="O110" i="1"/>
  <c r="O37" i="1"/>
  <c r="O129" i="1"/>
  <c r="O56" i="1"/>
  <c r="O124" i="1"/>
  <c r="O28" i="1"/>
  <c r="O3" i="1"/>
  <c r="S45" i="1"/>
  <c r="S53" i="1"/>
  <c r="S5" i="1"/>
  <c r="O61" i="1"/>
  <c r="O69" i="1"/>
  <c r="S78" i="1"/>
  <c r="S86" i="1"/>
  <c r="S119" i="1"/>
  <c r="S19" i="1"/>
  <c r="P94" i="1"/>
  <c r="S94" i="1" s="1"/>
  <c r="R39" i="1"/>
  <c r="P91" i="1"/>
  <c r="S91" i="1" s="1"/>
  <c r="P110" i="1"/>
  <c r="S110" i="1" s="1"/>
  <c r="P58" i="1"/>
  <c r="S58" i="1" s="1"/>
  <c r="P39" i="1"/>
  <c r="P55" i="1"/>
  <c r="S55" i="1" s="1"/>
  <c r="P74" i="1"/>
  <c r="S74" i="1" s="1"/>
  <c r="P129" i="1"/>
  <c r="S129" i="1" s="1"/>
  <c r="O22" i="1"/>
  <c r="O41" i="1"/>
  <c r="O49" i="1"/>
  <c r="O82" i="1"/>
  <c r="O12" i="1"/>
  <c r="O115" i="1"/>
  <c r="O123" i="1"/>
  <c r="O148" i="1"/>
  <c r="O24" i="1"/>
  <c r="O32" i="1"/>
  <c r="P57" i="1"/>
  <c r="S57" i="1" s="1"/>
  <c r="O65" i="1"/>
  <c r="O10" i="1"/>
  <c r="O98" i="1"/>
  <c r="O106" i="1"/>
  <c r="P112" i="1"/>
  <c r="S112" i="1" s="1"/>
  <c r="O131" i="1"/>
  <c r="O139" i="1"/>
  <c r="O43" i="1"/>
  <c r="O51" i="1"/>
  <c r="P54" i="1"/>
  <c r="S54" i="1" s="1"/>
  <c r="O84" i="1"/>
  <c r="P109" i="1"/>
  <c r="S109" i="1" s="1"/>
  <c r="O117" i="1"/>
  <c r="O125" i="1"/>
  <c r="O17" i="1"/>
  <c r="P128" i="1"/>
  <c r="S128" i="1" s="1"/>
  <c r="P92" i="1"/>
  <c r="S92" i="1" s="1"/>
  <c r="P40" i="1"/>
  <c r="S40" i="1" s="1"/>
  <c r="P144" i="1"/>
  <c r="S144" i="1" s="1"/>
  <c r="P37" i="1"/>
  <c r="S37" i="1" s="1"/>
  <c r="P56" i="1"/>
  <c r="S56" i="1" s="1"/>
  <c r="P111" i="1"/>
  <c r="S111" i="1" s="1"/>
  <c r="S36" i="1" l="1"/>
  <c r="S108" i="1"/>
  <c r="S38" i="1"/>
  <c r="S146" i="1"/>
  <c r="K28" i="2"/>
  <c r="C28" i="2"/>
  <c r="G28" i="2" s="1"/>
  <c r="S127" i="1"/>
  <c r="M28" i="2" a="1"/>
  <c r="M28" i="2" s="1"/>
  <c r="E28" i="2"/>
  <c r="O127" i="1"/>
  <c r="O93" i="1"/>
  <c r="S90" i="1"/>
  <c r="S126" i="1"/>
  <c r="S39" i="1"/>
  <c r="O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<sst xmlns="http://schemas.openxmlformats.org/spreadsheetml/2006/main" count="9297" uniqueCount="235">
  <si>
    <t>COMPLEJIDAD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</si>
  <si>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</si>
  <si>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</si>
  <si>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</si>
  <si>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</si>
  <si>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</si>
  <si>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</si>
  <si>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</si>
  <si>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</si>
  <si>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</si>
  <si>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</si>
  <si>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</si>
  <si>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Baja Complejidad</t>
  </si>
  <si>
    <t>Curación de BAJA COMPLEJIDAD</t>
  </si>
  <si>
    <t>INSUMO</t>
  </si>
  <si>
    <t>Guante examen talla M</t>
  </si>
  <si>
    <t>UND</t>
  </si>
  <si>
    <t xml:space="preserve">2 PARES </t>
  </si>
  <si>
    <t>Guante quirurgico esteril 7.0</t>
  </si>
  <si>
    <t>1 PAR</t>
  </si>
  <si>
    <t>Gasa esteril 7.5 X 7.5 sobre x 5 unid</t>
  </si>
  <si>
    <t>Solucion Salina 0.9% Bolsa 100 ml</t>
  </si>
  <si>
    <t>Cinta adhesiva x 200cm Fixomull ( por centimetro)</t>
  </si>
  <si>
    <t>30 CM</t>
  </si>
  <si>
    <t>Tapabocas Estandar 1405</t>
  </si>
  <si>
    <t>Bata Desechable con Manga No Esteril</t>
  </si>
  <si>
    <t>Gorro Desechable Estandar Blanco</t>
  </si>
  <si>
    <t xml:space="preserve">acido hipocloroso </t>
  </si>
  <si>
    <t>Toalla de Manos Pre-cortada Natural   R7</t>
  </si>
  <si>
    <t>Hoja para bisturi 15</t>
  </si>
  <si>
    <t>Venda de algodon 6 x 5</t>
  </si>
  <si>
    <t>Venda elastica 6 x 5</t>
  </si>
  <si>
    <t>MANO_OBRA</t>
  </si>
  <si>
    <t>Enfermera</t>
  </si>
  <si>
    <t>MINUTO</t>
  </si>
  <si>
    <t>Auxiliar enfermeria</t>
  </si>
  <si>
    <t>GASTO_ADMINISTRATIVO</t>
  </si>
  <si>
    <t>Gasto administrativo</t>
  </si>
  <si>
    <t>MINUTOS</t>
  </si>
  <si>
    <t>Mediana Complejidad</t>
  </si>
  <si>
    <t>Curación de MEDIANA COMPLEJIDAD</t>
  </si>
  <si>
    <t>Cinta adhesiva x 200cm Fixomull</t>
  </si>
  <si>
    <t>Alta Complejidad</t>
  </si>
  <si>
    <t>Curación de ALTA COMPLEJIDAD</t>
  </si>
  <si>
    <t>Solucion Salina 0.9% Bolsa 500 ml</t>
  </si>
  <si>
    <t>Solucion desinfectante ( evolución de la herida)</t>
  </si>
  <si>
    <t>Manejo de Ostomias</t>
  </si>
  <si>
    <t>Curación Manejo de Ostomias</t>
  </si>
  <si>
    <t>6 PARES</t>
  </si>
  <si>
    <t xml:space="preserve">agua esteril 100 ml </t>
  </si>
  <si>
    <t>Bata Desechable con Manga No Esteril (según condición)</t>
  </si>
  <si>
    <t>pasta</t>
  </si>
  <si>
    <t>polvos adapt</t>
  </si>
  <si>
    <t>Barrera plana o convexa (depende del tipo de estoma)</t>
  </si>
  <si>
    <t xml:space="preserve">Bolsa colostomia </t>
  </si>
  <si>
    <t>protector cutaneo</t>
  </si>
  <si>
    <t>removedor de adhesivo</t>
  </si>
  <si>
    <t>bolsa de fistula</t>
  </si>
  <si>
    <t>equipo para recien nacido ( fistulas de bajo gasto)</t>
  </si>
  <si>
    <t xml:space="preserve">anillo moldeable 48 mm o 98 mm </t>
  </si>
  <si>
    <t>lamina protectatora de 20*20 o 10*10 cm</t>
  </si>
  <si>
    <t>Interconsulta Clini. Heridas</t>
  </si>
  <si>
    <t>INTERCONSULTA CLINICA DE HERIDA</t>
  </si>
  <si>
    <t>Granulox Hemoglobina Spray</t>
  </si>
  <si>
    <t>Granudacyn Solución 1000 ml</t>
  </si>
  <si>
    <t>Granudacyn Solución 1000 ml NPWT</t>
  </si>
  <si>
    <t>Granudacyn Solución 250 ml Spray</t>
  </si>
  <si>
    <t>Granudacyn Solución 50 ml Spray</t>
  </si>
  <si>
    <t>Granudacyn Solución 500 ml</t>
  </si>
  <si>
    <t>Granudacyn Solución 500 ml NPWT</t>
  </si>
  <si>
    <t>Exufiber 5 x 5 cm</t>
  </si>
  <si>
    <t>Exufiber 10 x 12 cm</t>
  </si>
  <si>
    <t>Exufiber 15 x 15 cm</t>
  </si>
  <si>
    <t>Exufiber 2 x 45 cm</t>
  </si>
  <si>
    <t>Exufiber 20 x 30 cm</t>
  </si>
  <si>
    <t>Exufiber Ag+ 5 x 5 cm</t>
  </si>
  <si>
    <t>Exufiber Ag+ 10 x 12 cm</t>
  </si>
  <si>
    <t>Exufiber Ag+ 15 x 15 cm</t>
  </si>
  <si>
    <t>Exufiber Ag+ 2 x 45 cm</t>
  </si>
  <si>
    <t>Exufiber Ag+ 20 x 30 cm</t>
  </si>
  <si>
    <t>Mepilex Border Flex 13 x 16 cm Oval</t>
  </si>
  <si>
    <t>Mepilex Border Flex 15 x 19 cm Oval</t>
  </si>
  <si>
    <t>Mepilex Border Flex 7.8 x 10 cm Oval</t>
  </si>
  <si>
    <t>Mepilex Border Flex 7.5 x 7.5 cm</t>
  </si>
  <si>
    <t>Mepilex Border Flex 10 x 10 cm</t>
  </si>
  <si>
    <t>Mepilex Border Flex 15 x 15 cm</t>
  </si>
  <si>
    <t>Mepilex Border Flex 15 x 20 cm</t>
  </si>
  <si>
    <t>Mepilex Border Flex Lite de 4 x 5 cm</t>
  </si>
  <si>
    <t>Mepilex Border Flex Lite 5 x 12.5 cm</t>
  </si>
  <si>
    <t>Mepilex Border Flex Lite 7.5 x 7.5 cm</t>
  </si>
  <si>
    <t>Mepilex Border Flex Lite 10 x 10 cm</t>
  </si>
  <si>
    <t>Mepilex Border Flex Lite 15 x 15 cm</t>
  </si>
  <si>
    <t>Mepilex Border Heel 22 x 23 cm</t>
  </si>
  <si>
    <t>Mepilex Border Sacrum 16 x 20 cm</t>
  </si>
  <si>
    <t>Mepilex Border Sacrum 22 x 25 cm</t>
  </si>
  <si>
    <t>Mepilex 10 x 10 cm</t>
  </si>
  <si>
    <t>Mepilex 10 x 20 cm</t>
  </si>
  <si>
    <t>Mepilex 15 x 15 cm</t>
  </si>
  <si>
    <t>Mepilex 20 x 20 cm</t>
  </si>
  <si>
    <t>Mepilex 20 x 50 cm</t>
  </si>
  <si>
    <t>Mepilex Heel 13 x 20 cm</t>
  </si>
  <si>
    <t>Mepilex Lite 6 x 8.5 cm</t>
  </si>
  <si>
    <t>Mepilex Lite 10 x 10 cm</t>
  </si>
  <si>
    <t>Mepilex Lite 15 x 15 cm</t>
  </si>
  <si>
    <t>Mepilex Lite 20 x 50 cm</t>
  </si>
  <si>
    <t>Mepilex Ag 10 x 10 cm</t>
  </si>
  <si>
    <t>Mepilex Ag 10 x 20 cm</t>
  </si>
  <si>
    <t>Mepilex Ag 15 x 15 cm</t>
  </si>
  <si>
    <t>Mepilex Ag 20 x 20 cm</t>
  </si>
  <si>
    <t>Mepilex Ag 20 x 50 cm</t>
  </si>
  <si>
    <t>Mepilex Border Ag 7.5 x 7.5 cm</t>
  </si>
  <si>
    <t>Mepilex Border Ag 10 x 10 cm</t>
  </si>
  <si>
    <t>Mepilex Border Ag 10 x 20 cm</t>
  </si>
  <si>
    <t>Mepilex Border Ag 10 x 25 cm</t>
  </si>
  <si>
    <t>Mepilex Border Ag 10 x 30 cm</t>
  </si>
  <si>
    <t>Mepilex Border Ag 15 x 15 cm</t>
  </si>
  <si>
    <t>Mepilex Border Ag 15 x 20 cm</t>
  </si>
  <si>
    <t>Mepilex Border Sacrum Ag 18 x 18 cm</t>
  </si>
  <si>
    <t>Mepilex Border Sacrum Ag 23 x 23 cm</t>
  </si>
  <si>
    <t>Mepilex Transfer 15 x 20 cm</t>
  </si>
  <si>
    <t>Mepilex Transfer 20 x 50 cm</t>
  </si>
  <si>
    <t>Mepilex Transfer Ag 10 x 12.5 cm</t>
  </si>
  <si>
    <t>Mepilex Transfer Ag 15 x 20 cm</t>
  </si>
  <si>
    <t>Mepilex Transfer Ag 20 x 50 cm</t>
  </si>
  <si>
    <t>Mextra Superabsorbent 12.5x12.5 cm</t>
  </si>
  <si>
    <t>Mextra Superabsorbent 12.5x17.5 cm</t>
  </si>
  <si>
    <t>Mextra Superabsorbent 12.5x22.5 cm</t>
  </si>
  <si>
    <t>Mextra Superabsorbent 17.5x22.5 cm</t>
  </si>
  <si>
    <t>Mextra Superabsorbent 22.5x27.5 cm</t>
  </si>
  <si>
    <t>Mextra Superabsorbent 22.5x32.5 cm</t>
  </si>
  <si>
    <t>Mepiform 10 x 18 cm</t>
  </si>
  <si>
    <t>Mepiform 5 x 7.5 cm</t>
  </si>
  <si>
    <t>Mepitac 2 cm x 3 m</t>
  </si>
  <si>
    <t>Mepitac 4 cm x 1.5 m</t>
  </si>
  <si>
    <t>Mepitel 7.5 x 10 cm</t>
  </si>
  <si>
    <t>Mepitel 10 x 18 cm</t>
  </si>
  <si>
    <t>Mepitel 20 x 30 cm</t>
  </si>
  <si>
    <t>Mepitel 5 x 7.5 cm</t>
  </si>
  <si>
    <t>Mepitel One 10 x 18 cm</t>
  </si>
  <si>
    <t>Mepitel One 17 x 25 cm</t>
  </si>
  <si>
    <t>Mepitel One 5 x 7.5 cm</t>
  </si>
  <si>
    <t>Mepitel One 7.5 x 10 cm</t>
  </si>
  <si>
    <t>Mepilex Border Post Op 10 x 15 cm</t>
  </si>
  <si>
    <t>Mepilex Border Post Op 10 x 20 cm</t>
  </si>
  <si>
    <t>Mepilex Border Post Op 10 x 25 cm</t>
  </si>
  <si>
    <t>Mepilex Border Post Op 10 x 30 cm</t>
  </si>
  <si>
    <t>Mepilex Border Post Op 10 x 35 cm</t>
  </si>
  <si>
    <t>Mepilex Border Post-Op Ag 10 x 15 cm</t>
  </si>
  <si>
    <t>Mepilex Border Post-Op Ag 10 x 20 cm</t>
  </si>
  <si>
    <t>Mepilex Border Post-Op Ag 10 x 25 cm</t>
  </si>
  <si>
    <t>Mepilex Border Post-Op Ag 10 x 30 cm</t>
  </si>
  <si>
    <t>Mepilex Border Post-Op Ag 10 × 35 cm</t>
  </si>
  <si>
    <t>Setopress 10 cm x 3.5 m Relaxed x 12</t>
  </si>
  <si>
    <t>Tubifast 10m Amarillo</t>
  </si>
  <si>
    <t>Tubifast 10m Azul</t>
  </si>
  <si>
    <t>Tubifast 10m Rojo</t>
  </si>
  <si>
    <t>Tubifast 10m Verde</t>
  </si>
  <si>
    <t>Tubifast 10m Violeta</t>
  </si>
  <si>
    <t>Unidad</t>
  </si>
  <si>
    <t>Caja X 10</t>
  </si>
  <si>
    <t>Caja X 5</t>
  </si>
  <si>
    <t>Caja x 5</t>
  </si>
  <si>
    <t>Caja x 10</t>
  </si>
  <si>
    <t>Caja X 2</t>
  </si>
  <si>
    <t>Caja X 4</t>
  </si>
  <si>
    <t>Caja X 1</t>
  </si>
  <si>
    <t>Mes</t>
  </si>
  <si>
    <t>Mayo</t>
  </si>
  <si>
    <t>Año</t>
  </si>
  <si>
    <t>Etiquetas de fila</t>
  </si>
  <si>
    <t>Total general</t>
  </si>
  <si>
    <t>Suma de COSTO_TOTAL</t>
  </si>
  <si>
    <t>📊    COSTO PROMEDIO X
 COMPLEJIDAD</t>
  </si>
  <si>
    <t>👷  COSTO CURACIÓN DIARIA</t>
  </si>
  <si>
    <t>⏰  TIEMPO PROMEDIO</t>
  </si>
  <si>
    <t>Junio</t>
  </si>
  <si>
    <t>Julio</t>
  </si>
  <si>
    <t>Agosto</t>
  </si>
  <si>
    <t>Septiembre</t>
  </si>
  <si>
    <t>Octubre</t>
  </si>
  <si>
    <t>Noviembre</t>
  </si>
  <si>
    <t>PRECIO VENTA</t>
  </si>
  <si>
    <t>COSTO ALTA COMPLEJIDAD</t>
  </si>
  <si>
    <t>PRECIO VTA ALTA COMPLEJIDAD</t>
  </si>
  <si>
    <t>% UTILIDAD ALTA COMPLEJIDAD</t>
  </si>
  <si>
    <t>COSTO MEDIANA COMPLEJIDAD</t>
  </si>
  <si>
    <t>PRECIO VTA MEDIANA COMPLEJIDAD</t>
  </si>
  <si>
    <t>% UTILIDAD MEDIANA COMPLEJIDAD</t>
  </si>
  <si>
    <t>COSTO BAJA COMPLEJIDAD</t>
  </si>
  <si>
    <t>PRECIO VTA BAJA COMPLEJIDAD</t>
  </si>
  <si>
    <t>% UTILIDAD BAJA COMPLEJIDAD</t>
  </si>
  <si>
    <t>% INCRE_ALTA</t>
  </si>
  <si>
    <t>% INCRE MEDIA</t>
  </si>
  <si>
    <t>% INCRE BAJA</t>
  </si>
  <si>
    <t>% UTILIDAD ALTA COMPLEJIDAD_</t>
  </si>
  <si>
    <t>% UTILIDAD MEDIANA COMPLEJIDAD_</t>
  </si>
  <si>
    <t>% UTILIDAD BAJA COMPLEJIDAD_</t>
  </si>
  <si>
    <t>COSTO_TOTAL_</t>
  </si>
  <si>
    <t>💊 UTILIDAD TOTAL</t>
  </si>
  <si>
    <t>🏢    PROYECCIÓN MENSUAL</t>
  </si>
  <si>
    <t>👷  PROCEDIMIENTO MAS RENTABLE</t>
  </si>
  <si>
    <t>% CRECIMIENTO</t>
  </si>
  <si>
    <t xml:space="preserve">FORMULAS APLICADASD </t>
  </si>
  <si>
    <t>PUNTO EQUILIBRIO</t>
  </si>
  <si>
    <t>MARGEN</t>
  </si>
  <si>
    <t>📊   % MARGEN UTILIDAD</t>
  </si>
  <si>
    <t>⏰  PUNTO EQUILIBRIO OPERACIONAL</t>
  </si>
  <si>
    <t>Arriendo</t>
  </si>
  <si>
    <t>Pauta Redes (google, facebook, tik tok, instagram)</t>
  </si>
  <si>
    <t>INSUMO ALTA TECNOLOGIA</t>
  </si>
  <si>
    <t>Nombre</t>
  </si>
  <si>
    <t>Costo</t>
  </si>
  <si>
    <t>_</t>
  </si>
  <si>
    <t>Cirujano vascular</t>
  </si>
  <si>
    <t>Nutricionista</t>
  </si>
  <si>
    <t>Terapeuta fisico</t>
  </si>
  <si>
    <t>G20</t>
  </si>
  <si>
    <t>G68</t>
  </si>
  <si>
    <t>G75</t>
  </si>
  <si>
    <t>S60</t>
  </si>
  <si>
    <t>T502</t>
  </si>
  <si>
    <t>B10</t>
  </si>
  <si>
    <t>G07</t>
  </si>
  <si>
    <t>360100</t>
  </si>
  <si>
    <t>T180</t>
  </si>
  <si>
    <t>H15</t>
  </si>
  <si>
    <t>2438</t>
  </si>
  <si>
    <t>2434</t>
  </si>
  <si>
    <t>3505</t>
  </si>
  <si>
    <t>CANTIDAD CURACIONES</t>
  </si>
  <si>
    <t>Gasto Administrativo</t>
  </si>
  <si>
    <t>💰  COSTO TOTAL A 6 MESES</t>
  </si>
  <si>
    <t>💊 COSTO  TOTAL INSUMOS POR MES</t>
  </si>
  <si>
    <t>🏢   GASTOS ADMINISTRATIVOS POR MES</t>
  </si>
  <si>
    <t>💰  INGRESOS TOTALES A 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</si>
</sst>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240A]\ #,##0"/>
    <numFmt numFmtId="165" formatCode="&quot;$&quot;\ #,##0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7"/>
      <color theme="3"/>
      <name val="Calibri Light"/>
      <family val="2"/>
    </font>
    <font>
      <b/>
      <sz val="11"/>
      <color rgb="FF1B2D5B"/>
      <name val="Calibri"/>
      <family val="2"/>
      <scheme val="minor"/>
    </font>
    <font>
      <b/>
      <sz val="12"/>
      <color rgb="FF1B2D5B"/>
      <name val="Calibri"/>
      <family val="2"/>
      <scheme val="minor"/>
    </font>
    <font>
      <b/>
      <sz val="18"/>
      <color rgb="FF1B2D5B"/>
      <name val="Calibri"/>
      <family val="2"/>
      <scheme val="minor"/>
    </font>
    <font>
      <b/>
      <sz val="11"/>
      <name val="Calibri"/>
      <family val="2"/>
    </font>
    <font>
      <sz val="11"/>
      <name val="Carlito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8F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 style="thick">
        <color rgb="FF1B2D5B"/>
      </top>
      <bottom style="double">
        <color theme="3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2" fillId="2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6" fillId="0" borderId="1" xfId="0" applyFont="1" applyBorder="1" applyAlignment="1">
      <alignment horizontal="center" vertical="top"/>
    </xf>
    <xf numFmtId="9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Fill="1"/>
    <xf numFmtId="10" fontId="0" fillId="0" borderId="0" xfId="0" applyNumberFormat="1"/>
    <xf numFmtId="1" fontId="0" fillId="0" borderId="0" xfId="0" applyNumberFormat="1"/>
    <xf numFmtId="0" fontId="1" fillId="5" borderId="1" xfId="0" applyFon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9" fontId="6" fillId="6" borderId="1" xfId="0" applyNumberFormat="1" applyFont="1" applyFill="1" applyBorder="1" applyAlignment="1">
      <alignment horizontal="center" vertical="top"/>
    </xf>
    <xf numFmtId="164" fontId="6" fillId="4" borderId="1" xfId="0" applyNumberFormat="1" applyFont="1" applyFill="1" applyBorder="1" applyAlignment="1">
      <alignment horizontal="center" vertical="top"/>
    </xf>
    <xf numFmtId="9" fontId="6" fillId="4" borderId="1" xfId="0" applyNumberFormat="1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9" fontId="8" fillId="7" borderId="1" xfId="0" applyNumberFormat="1" applyFont="1" applyFill="1" applyBorder="1" applyAlignment="1">
      <alignment horizontal="center" vertical="top"/>
    </xf>
    <xf numFmtId="164" fontId="6" fillId="6" borderId="1" xfId="0" applyNumberFormat="1" applyFont="1" applyFill="1" applyBorder="1" applyAlignment="1">
      <alignment horizontal="center" vertical="top"/>
    </xf>
    <xf numFmtId="0" fontId="5" fillId="0" borderId="3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18E9D00-348F-4A8A-9AC2-C36B12EF72F6}"/>
  </cellStyles>
  <dxfs count="2">
    <dxf>
      <numFmt numFmtId="2" formatCode="0.00"/>
    </dxf>
    <dxf>
      <font>
        <color rgb="FF1B2D5B"/>
      </font>
    </dxf>
  </dxfs>
  <tableStyles count="1" defaultTableStyle="TableStyleMedium9" defaultPivotStyle="PivotStyleLight16">
    <tableStyle name="Estilo de segmentación de datos 1" pivot="0" table="0" count="1" xr9:uid="{A7055545-5261-45B7-B157-6FB0F70B0929}">
      <tableStyleElement type="headerRow" dxfId="1"/>
    </tableStyle>
  </tableStyles>
  <colors>
    <mruColors>
      <color rgb="FF2E7D4F"/>
      <color rgb="FF1B2D5B"/>
      <color rgb="FFA41E2A"/>
      <color rgb="FFF7F8FC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B2D5B"/>
                </a:solidFill>
              </a:rPr>
              <a:t>COSTO TOTAL POR COMPLEJIDAD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1B2D5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269826254423053E-16"/>
              <c:y val="-5.44217687074829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2E7D4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9244874596618712"/>
          <c:y val="0.20185034013605443"/>
          <c:w val="0.4863391658754021"/>
          <c:h val="0.738285714285714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D5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28-4C70-A6A3-05360FB6DC8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08B-4800-B09C-55CEB86C2E2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6-4EFB-A862-EAD87982E1C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8-4C70-A6A3-05360FB6DC8E}"/>
              </c:ext>
            </c:extLst>
          </c:dPt>
          <c:dLbls>
            <c:dLbl>
              <c:idx val="3"/>
              <c:layout>
                <c:manualLayout>
                  <c:x val="-1.269826254423053E-16"/>
                  <c:y val="-5.44217687074829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28-4C70-A6A3-05360FB6DC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4F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DashBoard!$F$18:$F$22</c:f>
              <c:strCache>
                <c:ptCount val="4"/>
                <c:pt idx="0">
                  <c:v>Baja Complejidad</c:v>
                </c:pt>
                <c:pt idx="1">
                  <c:v>GASTO_ADMINISTRATIVO</c:v>
                </c:pt>
                <c:pt idx="2">
                  <c:v>Mediana Complejidad</c:v>
                </c:pt>
                <c:pt idx="3">
                  <c:v>Alta Complejidad</c:v>
                </c:pt>
              </c:strCache>
            </c:strRef>
          </c:cat>
          <c:val>
            <c:numRef>
              <c:f>DashBoard!$G$18:$G$22</c:f>
              <c:numCache>
                <c:formatCode>[$$-240A]\ #,##0</c:formatCode>
                <c:ptCount val="4"/>
                <c:pt idx="0">
                  <c:v>11294500.557052631</c:v>
                </c:pt>
                <c:pt idx="1">
                  <c:v>15610000</c:v>
                </c:pt>
                <c:pt idx="2">
                  <c:v>29680186.282526322</c:v>
                </c:pt>
                <c:pt idx="3">
                  <c:v>54438437.561052628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5-43C0-8053-42B06DE99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863120"/>
        <c:axId val="1368864080"/>
      </c:barChart>
      <c:catAx>
        <c:axId val="136886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8864080"/>
        <c:crosses val="autoZero"/>
        <c:auto val="1"/>
        <c:lblAlgn val="ctr"/>
        <c:lblOffset val="100"/>
        <c:noMultiLvlLbl val="0"/>
      </c:catAx>
      <c:valAx>
        <c:axId val="1368864080"/>
        <c:scaling>
          <c:orientation val="minMax"/>
        </c:scaling>
        <c:delete val="1"/>
        <c:axPos val="b"/>
        <c:numFmt formatCode="[$$-240A]\ #,##0" sourceLinked="1"/>
        <c:majorTickMark val="none"/>
        <c:minorTickMark val="none"/>
        <c:tickLblPos val="nextTo"/>
        <c:crossAx val="136886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[base_costeo_clinica_heridas_operacional.xlsx]DashBoard!Costos_por_categoria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</a:t>
            </a:r>
            <a:r>
              <a:rPr lang="en-US" sz="1400" b="1">
                <a:solidFill>
                  <a:srgbClr val="1B2D5B"/>
                </a:solidFill>
              </a:rPr>
              <a:t>DISTRIBUCIÓN  ·  CATEGORÍA DE COSTO</a:t>
            </a:r>
            <a:endParaRPr lang="en-US" b="1">
              <a:solidFill>
                <a:srgbClr val="1B2D5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2D5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759699937145676E-2"/>
              <c:y val="-9.7073497091841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502844823526775E-2"/>
              <c:y val="-0.114204114225696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8753048025207184E-2"/>
              <c:y val="3.42612342677088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002438420165798E-2"/>
              <c:y val="-9.1363291380556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DashBoard!$L$17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1-4A0D-8D72-EB2231726B4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B1-4A0D-8D72-EB2231726B4C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7-4B08-9D63-8969146DC462}"/>
              </c:ext>
            </c:extLst>
          </c:dPt>
          <c:dPt>
            <c:idx val="3"/>
            <c:bubble3D val="0"/>
            <c:spPr>
              <a:solidFill>
                <a:srgbClr val="1B2D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278-42E8-924A-B57685287D1B}"/>
              </c:ext>
            </c:extLst>
          </c:dPt>
          <c:dLbls>
            <c:dLbl>
              <c:idx val="0"/>
              <c:layout>
                <c:manualLayout>
                  <c:x val="4.8753048025207184E-2"/>
                  <c:y val="3.42612342677088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B1-4A0D-8D72-EB2231726B4C}"/>
                </c:ext>
              </c:extLst>
            </c:dLbl>
            <c:dLbl>
              <c:idx val="1"/>
              <c:layout>
                <c:manualLayout>
                  <c:x val="-3.9002438420165798E-2"/>
                  <c:y val="-9.13632913805569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B1-4A0D-8D72-EB2231726B4C}"/>
                </c:ext>
              </c:extLst>
            </c:dLbl>
            <c:dLbl>
              <c:idx val="2"/>
              <c:layout>
                <c:manualLayout>
                  <c:x val="-4.5502844823526775E-2"/>
                  <c:y val="-0.114204114225696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E7-4B08-9D63-8969146DC462}"/>
                </c:ext>
              </c:extLst>
            </c:dLbl>
            <c:dLbl>
              <c:idx val="3"/>
              <c:layout>
                <c:manualLayout>
                  <c:x val="1.9759699937145676E-2"/>
                  <c:y val="-9.707349709184170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78-42E8-924A-B57685287D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DashBoard!$K$18:$K$22</c:f>
              <c:strCache>
                <c:ptCount val="4"/>
                <c:pt idx="0">
                  <c:v>MANO_OBRA</c:v>
                </c:pt>
                <c:pt idx="1">
                  <c:v>INSUMO ALTA TECNOLOGIA</c:v>
                </c:pt>
                <c:pt idx="2">
                  <c:v>GASTO_ADMINISTRATIVO</c:v>
                </c:pt>
                <c:pt idx="3">
                  <c:v>INSUMO</c:v>
                </c:pt>
              </c:strCache>
            </c:strRef>
          </c:cat>
          <c:val>
            <c:numRef>
              <c:f>DashBoard!$L$18:$L$22</c:f>
              <c:numCache>
                <c:formatCode>[$$-240A]\ #,##0</c:formatCode>
                <c:ptCount val="4"/>
                <c:pt idx="0">
                  <c:v>67611446</c:v>
                </c:pt>
                <c:pt idx="1">
                  <c:v>25523400</c:v>
                </c:pt>
                <c:pt idx="2">
                  <c:v>15698599</c:v>
                </c:pt>
                <c:pt idx="3">
                  <c:v>2189679.4006315777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1-4A0D-8D72-EB223172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[base_costeo_clinica_heridas_operacional.xlsx]DashBoard!UTILIDAD POR TIPO COMPLEJIDAD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rgbClr val="1B2D5B"/>
                </a:solidFill>
              </a:rPr>
              <a:t>%</a:t>
            </a:r>
            <a:r>
              <a:rPr lang="es-CO" b="1" baseline="0">
                <a:solidFill>
                  <a:srgbClr val="1B2D5B"/>
                </a:solidFill>
              </a:rPr>
              <a:t> UTILIDAD POR TIPO COMPLEJIDAD</a:t>
            </a:r>
            <a:endParaRPr lang="es-CO" b="1">
              <a:solidFill>
                <a:srgbClr val="1B2D5B"/>
              </a:solidFill>
            </a:endParaRPr>
          </a:p>
        </c:rich>
      </c:tx>
      <c:layout>
        <c:manualLayout>
          <c:xMode val="edge"/>
          <c:yMode val="edge"/>
          <c:x val="0.34484578981490205"/>
          <c:y val="2.7777654486935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B2D5B"/>
            </a:solidFill>
            <a:round/>
          </a:ln>
          <a:effectLst/>
        </c:spPr>
        <c:marker>
          <c:symbol val="diamond"/>
          <c:size val="7"/>
          <c:spPr>
            <a:solidFill>
              <a:srgbClr val="A41E2A"/>
            </a:solidFill>
            <a:ln w="9525">
              <a:solidFill>
                <a:srgbClr val="1B2D5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B2D5B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6.8222492058804235E-2"/>
              <c:y val="-1.6238334791484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3.3090752646472481E-2"/>
              <c:y val="6.25346310877806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4.4801332450583063E-2"/>
              <c:y val="-4.864574219889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4.3128392478567285E-2"/>
              <c:y val="4.86457421988917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3.1417812674456681E-2"/>
              <c:y val="4.4016112569262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3.3090752646472481E-2"/>
              <c:y val="-3.47568533100029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9.0219560878243513E-3"/>
              <c:y val="-1.08076752760472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362931975477641E-2"/>
          <c:y val="0.12380540011354242"/>
          <c:w val="0.93277595469227936"/>
          <c:h val="0.6533865357977997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DashBoard!$E$34</c:f>
              <c:strCache>
                <c:ptCount val="1"/>
                <c:pt idx="0">
                  <c:v>% UTILIDAD ALTA COMPLEJIDAD_</c:v>
                </c:pt>
              </c:strCache>
            </c:strRef>
          </c:tx>
          <c:spPr>
            <a:ln w="28575" cap="rnd">
              <a:solidFill>
                <a:srgbClr val="1B2D5B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A41E2A"/>
              </a:solidFill>
              <a:ln w="9525">
                <a:solidFill>
                  <a:srgbClr val="1B2D5B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D5B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DashBoard!$E$35:$E$42</c:f>
              <c:numCache>
                <c:formatCode>0.00</c:formatCode>
                <c:ptCount val="7"/>
                <c:pt idx="0">
                  <c:v>5.5000000000000018</c:v>
                </c:pt>
                <c:pt idx="1">
                  <c:v>5.5000000000000018</c:v>
                </c:pt>
                <c:pt idx="2">
                  <c:v>5.5000000000000018</c:v>
                </c:pt>
                <c:pt idx="3">
                  <c:v>5.5000000000000018</c:v>
                </c:pt>
                <c:pt idx="4">
                  <c:v>5.5000000000000018</c:v>
                </c:pt>
                <c:pt idx="5">
                  <c:v>5.5000000000000018</c:v>
                </c:pt>
                <c:pt idx="6">
                  <c:v>5.5000000000000018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B-4BF2-970D-11D59329D516}"/>
            </c:ext>
          </c:extLst>
        </c:ser>
        <c:ser>
          <c:idx val="1"/>
          <c:order val="1"/>
          <c:tx>
            <c:strRef>
              <c:f>DashBoard!$F$34</c:f>
              <c:strCache>
                <c:ptCount val="1"/>
                <c:pt idx="0">
                  <c:v>% UTILIDAD MEDIANA COMPLEJIDAD_</c:v>
                </c:pt>
              </c:strCache>
            </c:strRef>
          </c:tx>
          <c:spPr>
            <a:ln w="28575" cap="rnd">
              <a:solidFill>
                <a:srgbClr val="A41E2A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1B2D5B"/>
              </a:solidFill>
              <a:ln w="9525">
                <a:solidFill>
                  <a:srgbClr val="A41E2A"/>
                </a:solidFill>
              </a:ln>
              <a:effectLst/>
            </c:spPr>
          </c:marker>
          <c:dPt>
            <c:idx val="0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B-4BF2-970D-11D59329D516}"/>
              </c:ext>
            </c:extLst>
          </c:dPt>
          <c:dPt>
            <c:idx val="2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B-4BF2-970D-11D59329D516}"/>
              </c:ext>
            </c:extLst>
          </c:dPt>
          <c:dPt>
            <c:idx val="4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A5B-4BF2-970D-11D59329D516}"/>
              </c:ext>
            </c:extLst>
          </c:dPt>
          <c:dLbls>
            <c:dLbl>
              <c:idx val="0"/>
              <c:layout>
                <c:manualLayout>
                  <c:x val="-4.4801332450583063E-2"/>
                  <c:y val="-4.864574219889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5B-4BF2-970D-11D59329D516}"/>
                </c:ext>
              </c:extLst>
            </c:dLbl>
            <c:dLbl>
              <c:idx val="2"/>
              <c:layout>
                <c:manualLayout>
                  <c:x val="-6.8222492058804235E-2"/>
                  <c:y val="-1.6238334791484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5B-4BF2-970D-11D59329D516}"/>
                </c:ext>
              </c:extLst>
            </c:dLbl>
            <c:dLbl>
              <c:idx val="4"/>
              <c:layout>
                <c:manualLayout>
                  <c:x val="-3.3090752646472481E-2"/>
                  <c:y val="-3.4756853310002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A5B-4BF2-970D-11D59329D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41E2A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DashBoard!$F$35:$F$42</c:f>
              <c:numCache>
                <c:formatCode>0.00</c:formatCode>
                <c:ptCount val="7"/>
                <c:pt idx="0">
                  <c:v>2.4999999999999996</c:v>
                </c:pt>
                <c:pt idx="1">
                  <c:v>2.4999999999999996</c:v>
                </c:pt>
                <c:pt idx="2">
                  <c:v>2.4999999999999996</c:v>
                </c:pt>
                <c:pt idx="3">
                  <c:v>2.4999999999999996</c:v>
                </c:pt>
                <c:pt idx="4">
                  <c:v>2.4999999999999996</c:v>
                </c:pt>
                <c:pt idx="5">
                  <c:v>2.4999999999999996</c:v>
                </c:pt>
                <c:pt idx="6">
                  <c:v>2.4999999999999996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B-4BF2-970D-11D59329D516}"/>
            </c:ext>
          </c:extLst>
        </c:ser>
        <c:ser>
          <c:idx val="2"/>
          <c:order val="2"/>
          <c:tx>
            <c:strRef>
              <c:f>DashBoard!$G$34</c:f>
              <c:strCache>
                <c:ptCount val="1"/>
                <c:pt idx="0">
                  <c:v>% UTILIDAD BAJA COMPLEJIDAD_</c:v>
                </c:pt>
              </c:strCache>
            </c:strRef>
          </c:tx>
          <c:spPr>
            <a:ln w="28575" cap="rnd">
              <a:solidFill>
                <a:srgbClr val="2E7D4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7F8FC"/>
              </a:solidFill>
              <a:ln w="9525">
                <a:solidFill>
                  <a:srgbClr val="2E7D4F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5A5B-4BF2-970D-11D59329D516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A5B-4BF2-970D-11D59329D516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B-4BF2-970D-11D59329D516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B-4BF2-970D-11D59329D516}"/>
              </c:ext>
            </c:extLst>
          </c:dPt>
          <c:dLbls>
            <c:dLbl>
              <c:idx val="0"/>
              <c:layout>
                <c:manualLayout>
                  <c:x val="-4.3128392478567285E-2"/>
                  <c:y val="4.864574219889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A5B-4BF2-970D-11D59329D516}"/>
                </c:ext>
              </c:extLst>
            </c:dLbl>
            <c:dLbl>
              <c:idx val="2"/>
              <c:layout>
                <c:manualLayout>
                  <c:x val="-3.3090752646472481E-2"/>
                  <c:y val="6.2534631087780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5B-4BF2-970D-11D59329D516}"/>
                </c:ext>
              </c:extLst>
            </c:dLbl>
            <c:dLbl>
              <c:idx val="3"/>
              <c:layout>
                <c:manualLayout>
                  <c:x val="-9.0219560878243513E-3"/>
                  <c:y val="-1.0807675276047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A5B-4BF2-970D-11D59329D516}"/>
                </c:ext>
              </c:extLst>
            </c:dLbl>
            <c:dLbl>
              <c:idx val="4"/>
              <c:layout>
                <c:manualLayout>
                  <c:x val="-3.1417812674456681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5B-4BF2-970D-11D59329D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4F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DashBoard!$G$35:$G$42</c:f>
              <c:numCache>
                <c:formatCode>0.00</c:formatCode>
                <c:ptCount val="7"/>
                <c:pt idx="0">
                  <c:v>2.4999999999999996</c:v>
                </c:pt>
                <c:pt idx="1">
                  <c:v>2.4999999999999996</c:v>
                </c:pt>
                <c:pt idx="2">
                  <c:v>2.4999999999999996</c:v>
                </c:pt>
                <c:pt idx="3">
                  <c:v>2.4999999999999996</c:v>
                </c:pt>
                <c:pt idx="4">
                  <c:v>2.4999999999999996</c:v>
                </c:pt>
                <c:pt idx="5">
                  <c:v>2.4999999999999996</c:v>
                </c:pt>
                <c:pt idx="6">
                  <c:v>2.4999999999999996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5B-4BF2-970D-11D59329D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754784"/>
        <c:axId val="1450751904"/>
      </c:lineChart>
      <c:catAx>
        <c:axId val="14507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751904"/>
        <c:crosses val="autoZero"/>
        <c:auto val="1"/>
        <c:lblAlgn val="ctr"/>
        <c:lblOffset val="100"/>
        <c:noMultiLvlLbl val="0"/>
      </c:catAx>
      <c:valAx>
        <c:axId val="145075190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7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90520</xdr:colOff>
      <xdr:row>12</xdr:row>
      <xdr:rowOff>7592</xdr:rowOff>
    </xdr:from>
    <xdr:to>
      <xdr:col>13</xdr:col>
      <xdr:colOff>23845</xdr:colOff>
      <xdr:row>22</xdr:row>
      <xdr:rowOff>131417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A3FA68-79E7-9D20-032C-717BA7376AA8}"/>
            </a:ext>
          </a:extLst>
        </xdr:cNvPr>
        <xdr:cNvSpPr/>
      </xdr:nvSpPr>
      <xdr:spPr>
        <a:xfrm>
          <a:off x="647366" y="2462111"/>
          <a:ext cx="9436344" cy="2028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2</xdr:col>
      <xdr:colOff>409575</xdr:colOff>
      <xdr:row>0</xdr:row>
      <xdr:rowOff>47625</xdr:rowOff>
    </xdr:from>
    <xdr:to>
      <xdr:col>4</xdr:col>
      <xdr:colOff>873760</xdr:colOff>
      <xdr:row>5</xdr:row>
      <xdr:rowOff>104916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A10595-FEAD-AE74-C48A-D2598F9C6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62025" y="47625"/>
          <a:ext cx="2248290" cy="1009791"/>
        </a:xfrm>
        <a:prstGeom prst="rect">
          <a:avLst/>
        </a:prstGeom>
      </xdr:spPr>
    </xdr:pic>
    <xdr:clientData/>
  </xdr:twoCellAnchor>
  <xdr:twoCellAnchor editAs="absolute">
    <xdr:from>
      <xdr:col>4</xdr:col>
      <xdr:colOff>1225795</xdr:colOff>
      <xdr:row>0</xdr:row>
      <xdr:rowOff>0</xdr:rowOff>
    </xdr:from>
    <xdr:to>
      <xdr:col>10</xdr:col>
      <xdr:colOff>1127578</xdr:colOff>
      <xdr:row>5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07F44-338F-FFDC-44A5-D076ABD9F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09925" y="0"/>
          <a:ext cx="4991797" cy="1038225"/>
        </a:xfrm>
        <a:prstGeom prst="rect">
          <a:avLst/>
        </a:prstGeom>
      </xdr:spPr>
    </xdr:pic>
    <xdr:clientData/>
  </xdr:twoCellAnchor>
  <xdr:twoCellAnchor editAs="absolute">
    <xdr:from>
      <xdr:col>3</xdr:col>
      <xdr:colOff>205887</xdr:colOff>
      <xdr:row>5</xdr:row>
      <xdr:rowOff>114300</xdr:rowOff>
    </xdr:from>
    <xdr:to>
      <xdr:col>12</xdr:col>
      <xdr:colOff>381000</xdr:colOff>
      <xdr:row>7</xdr:row>
      <xdr:rowOff>19090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F8328E-800C-640C-B124-63EA08F6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286000" y="1066800"/>
          <a:ext cx="7058025" cy="285790"/>
        </a:xfrm>
        <a:prstGeom prst="rect">
          <a:avLst/>
        </a:prstGeom>
      </xdr:spPr>
    </xdr:pic>
    <xdr:clientData/>
  </xdr:twoCellAnchor>
  <xdr:twoCellAnchor editAs="absolute">
    <xdr:from>
      <xdr:col>1</xdr:col>
      <xdr:colOff>73467</xdr:colOff>
      <xdr:row>12</xdr:row>
      <xdr:rowOff>2464</xdr:rowOff>
    </xdr:from>
    <xdr:to>
      <xdr:col>6</xdr:col>
      <xdr:colOff>234461</xdr:colOff>
      <xdr:row>24</xdr:row>
      <xdr:rowOff>50089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298C55-7E6A-E91C-B499-56946A72F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7</xdr:col>
      <xdr:colOff>90122</xdr:colOff>
      <xdr:row>12</xdr:row>
      <xdr:rowOff>160092</xdr:rowOff>
    </xdr:from>
    <xdr:to>
      <xdr:col>12</xdr:col>
      <xdr:colOff>685801</xdr:colOff>
      <xdr:row>24</xdr:row>
      <xdr:rowOff>98180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635AC7-D09A-AAE4-CDFE-B621217F2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117232</xdr:colOff>
      <xdr:row>29</xdr:row>
      <xdr:rowOff>170718</xdr:rowOff>
    </xdr:from>
    <xdr:to>
      <xdr:col>14</xdr:col>
      <xdr:colOff>7328</xdr:colOff>
      <xdr:row>43</xdr:row>
      <xdr:rowOff>175847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219CD17-827A-7920-59D3-AEF696CAF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734165</xdr:colOff>
      <xdr:row>6</xdr:row>
      <xdr:rowOff>76317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5D32D4-2AE5-3B87-3971-4B2343F78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306165" cy="838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4</xdr:col>
      <xdr:colOff>276689</xdr:colOff>
      <xdr:row>9</xdr:row>
      <xdr:rowOff>171501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41088-8FD9-1FE7-0405-9F863A50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3324689" cy="3620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EDUARDO GONZALEZ BUITRAGO" refreshedDate="46175.805464814817" createdVersion="8" refreshedVersion="8" minRefreshableVersion="3" recordCount="679" xr:uid="{EB478390-8123-45AB-8263-01D27846B2AF}">
  <cacheSource type="worksheet">
    <worksheetSource ref="A1:AB680" sheet="BASE_COSTEO"/>
  </cacheSource>
  <cacheFields count="28">
    <cacheField name="Año" numFmtId="0">
      <sharedItems containsSemiMixedTypes="0" containsString="0" containsNumber="1" containsInteger="1" minValue="2026" maxValue="2026"/>
    </cacheField>
    <cacheField name="Mes" numFmtId="0">
      <sharedItems count="7">
        <s v="Mayo"/>
        <s v="Junio"/>
        <s v="Julio"/>
        <s v="Agosto"/>
        <s v="Septiembre"/>
        <s v="Octubre"/>
        <s v="Noviembre"/>
      </sharedItems>
    </cacheField>
    <cacheField name="COMPLEJIDAD" numFmtId="0">
      <sharedItems count="4">
        <s v="GASTO_ADMINISTRATIVO"/>
        <s v="Alta Complejidad"/>
        <s v="Mediana Complejidad"/>
        <s v="Baja Complejidad"/>
      </sharedItems>
    </cacheField>
    <cacheField name="PROCEDIMIENTO" numFmtId="0">
      <sharedItems count="4">
        <s v="GASTO_ADMINISTRATIVO"/>
        <s v="Curación de ALTA COMPLEJIDAD"/>
        <s v="Curación de MEDIANA COMPLEJIDAD"/>
        <s v="Curación de BAJA COMPLEJIDAD"/>
      </sharedItems>
    </cacheField>
    <cacheField name="CODIGO_CUPS" numFmtId="0">
      <sharedItems containsBlank="1" containsMixedTypes="1" containsNumber="1" containsInteger="1" minValue="1965" maxValue="709903"/>
    </cacheField>
    <cacheField name="TIEMPO_MINUTOS" numFmtId="0">
      <sharedItems containsString="0" containsBlank="1" containsNumber="1" containsInteger="1" minValue="600" maxValue="2400"/>
    </cacheField>
    <cacheField name="TIPO_REGISTRO" numFmtId="0">
      <sharedItems/>
    </cacheField>
    <cacheField name="CATEGORIA_COSTO" numFmtId="0">
      <sharedItems count="4">
        <s v="GASTO_ADMINISTRATIVO"/>
        <s v="INSUMO"/>
        <s v="MANO_OBRA"/>
        <s v="INSUMO ALTA TECNOLOGIA"/>
      </sharedItems>
    </cacheField>
    <cacheField name="ITEM" numFmtId="0">
      <sharedItems count="36">
        <s v="Gasto administrativo"/>
        <s v="Arriendo"/>
        <s v="Pauta Redes (google, facebook, tik tok, instagram)"/>
        <s v="Guante examen talla M"/>
        <s v="Guante quirurgico esteril 7.0"/>
        <s v="Gasa esteril 7.5 X 7.5 sobre x 5 unid"/>
        <s v="Solucion Salina 0.9% Bolsa 500 ml"/>
        <s v="Tapabocas Estandar 1405"/>
        <s v="Bata Desechable con Manga No Esteril"/>
        <s v="Gorro Desechable Estandar Blanco"/>
        <s v="Granudacyn Solución 250 ml Spray"/>
        <s v="Toalla de Manos Pre-cortada Natural   R7"/>
        <s v="Hoja para bisturi 15"/>
        <s v="Tubifast 10m Azul"/>
        <s v="Tubifast 10m Rojo"/>
        <s v="Setopress 10 cm x 3.5 m Relaxed x 12"/>
        <s v="Enfermera"/>
        <s v="Auxiliar enfermeria"/>
        <s v="Cirujano vascular"/>
        <s v="Nutricionista"/>
        <s v="Terapeuta fisico"/>
        <s v="Exufiber 10 x 12 cm"/>
        <s v="Exufiber Ag+ 10 x 12 cm"/>
        <s v="Mepilex Border Flex Lite 15 x 15 cm"/>
        <s v="Mepilex 15 x 15 cm"/>
        <s v="Mepilex Lite 15 x 15 cm"/>
        <s v="Mepilex Ag 15 x 15 cm"/>
        <s v="Mepilex Border Ag 7.5 x 7.5 cm"/>
        <s v="Mepilex Border Ag 10 x 10 cm"/>
        <s v="Mepilex Border Ag 10 x 20 cm"/>
        <s v="Mepilex Border Ag 10 x 25 cm"/>
        <s v="Mepilex Border Ag 10 x 30 cm"/>
        <s v="Mepilex Transfer 15 x 20 cm"/>
        <s v="Mepilex Transfer Ag 15 x 20 cm"/>
        <s v="Mextra Superabsorbent 12.5x22.5 cm"/>
        <s v="Mextra Superabsorbent 17.5x22.5 cm"/>
      </sharedItems>
    </cacheField>
    <cacheField name="CANTIDAD CURACIONES" numFmtId="0">
      <sharedItems containsMixedTypes="1" containsNumber="1" minValue="0.4" maxValue="80"/>
    </cacheField>
    <cacheField name="UNIDAD_MEDIDA" numFmtId="0">
      <sharedItems/>
    </cacheField>
    <cacheField name="COSTO_UNITARIO" numFmtId="0">
      <sharedItems containsSemiMixedTypes="0" containsString="0" containsNumber="1" minValue="111.86" maxValue="2000000"/>
    </cacheField>
    <cacheField name="COSTO_TOTAL" numFmtId="0">
      <sharedItems containsSemiMixedTypes="0" containsString="0" containsNumber="1" minValue="44.744" maxValue="2100000"/>
    </cacheField>
    <cacheField name="OBSERVACIONES" numFmtId="0">
      <sharedItems containsNonDate="0" containsString="0" containsBlank="1"/>
    </cacheField>
    <cacheField name="PRECIO VENTA" numFmtId="164">
      <sharedItems containsString="0" containsBlank="1" containsNumber="1" minValue="44.744" maxValue="2100000"/>
    </cacheField>
    <cacheField name="COSTO ALTA COMPLEJIDAD" numFmtId="164">
      <sharedItems containsSemiMixedTypes="0" containsString="0" containsNumber="1" minValue="0" maxValue="2100000"/>
    </cacheField>
    <cacheField name="% INCRE_ALTA" numFmtId="9">
      <sharedItems containsSemiMixedTypes="0" containsString="0" containsNumber="1" minValue="0" maxValue="0.2"/>
    </cacheField>
    <cacheField name="PRECIO VTA ALTA COMPLEJIDAD" numFmtId="164">
      <sharedItems containsSemiMixedTypes="0" containsString="0" containsNumber="1" minValue="0" maxValue="2100000"/>
    </cacheField>
    <cacheField name="% UTILIDAD ALTA COMPLEJIDAD" numFmtId="0">
      <sharedItems containsSemiMixedTypes="0" containsString="0" containsNumber="1" minValue="0" maxValue="1"/>
    </cacheField>
    <cacheField name="COSTO MEDIANA COMPLEJIDAD" numFmtId="164">
      <sharedItems containsSemiMixedTypes="0" containsString="0" containsNumber="1" minValue="0" maxValue="1600000"/>
    </cacheField>
    <cacheField name="% INCRE MEDIA" numFmtId="9">
      <sharedItems containsSemiMixedTypes="0" containsString="0" containsNumber="1" minValue="0" maxValue="0.2"/>
    </cacheField>
    <cacheField name="PRECIO VTA MEDIANA COMPLEJIDAD" numFmtId="164">
      <sharedItems containsSemiMixedTypes="0" containsString="0" containsNumber="1" minValue="0" maxValue="1600000"/>
    </cacheField>
    <cacheField name="% UTILIDAD MEDIANA COMPLEJIDAD" numFmtId="0">
      <sharedItems containsSemiMixedTypes="0" containsString="0" containsNumber="1" minValue="0" maxValue="0.16666666666666666"/>
    </cacheField>
    <cacheField name="COSTO BAJA COMPLEJIDAD" numFmtId="164">
      <sharedItems containsSemiMixedTypes="0" containsString="0" containsNumber="1" minValue="0" maxValue="322576"/>
    </cacheField>
    <cacheField name="% INCRE BAJA" numFmtId="9">
      <sharedItems containsSemiMixedTypes="0" containsString="0" containsNumber="1" minValue="0" maxValue="0.2"/>
    </cacheField>
    <cacheField name="PRECIO VTA BAJA COMPLEJIDAD" numFmtId="164">
      <sharedItems containsSemiMixedTypes="0" containsString="0" containsNumber="1" minValue="0" maxValue="322576"/>
    </cacheField>
    <cacheField name="% UTILIDAD BAJA COMPLEJIDAD" numFmtId="9">
      <sharedItems containsSemiMixedTypes="0" containsString="0" containsNumber="1" minValue="0" maxValue="0.16666666666666666"/>
    </cacheField>
    <cacheField name="% CRECIMIENTO" numFmtId="9">
      <sharedItems containsSemiMixedTypes="0" containsString="0" containsNumber="1" minValue="0.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n v="2026"/>
    <x v="0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0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0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1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1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1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2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2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2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3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3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3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4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4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4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5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5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5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6"/>
    <x v="0"/>
    <x v="0"/>
    <m/>
    <m/>
    <s v="GASTO_ADMINISTRATIVO"/>
    <x v="0"/>
    <x v="0"/>
    <n v="10"/>
    <s v="MINUTOS"/>
    <n v="3000"/>
    <n v="30000"/>
    <m/>
    <n v="30000"/>
    <n v="0"/>
    <n v="0"/>
    <n v="30000"/>
    <n v="1"/>
    <n v="0"/>
    <n v="0"/>
    <n v="0"/>
    <n v="0"/>
    <n v="0"/>
    <n v="0"/>
    <n v="0"/>
    <n v="0"/>
    <n v="0.1"/>
  </r>
  <r>
    <n v="2026"/>
    <x v="6"/>
    <x v="0"/>
    <x v="0"/>
    <m/>
    <m/>
    <s v="GASTO_ADMINISTRATIVO"/>
    <x v="0"/>
    <x v="1"/>
    <n v="1"/>
    <s v="UND"/>
    <n v="2000000"/>
    <n v="2000000"/>
    <m/>
    <n v="2000000"/>
    <n v="0"/>
    <n v="0"/>
    <n v="2000000"/>
    <n v="1"/>
    <n v="0"/>
    <n v="0"/>
    <n v="0"/>
    <n v="0"/>
    <n v="0"/>
    <n v="0"/>
    <n v="0"/>
    <n v="0"/>
    <n v="0.1"/>
  </r>
  <r>
    <n v="2026"/>
    <x v="6"/>
    <x v="0"/>
    <x v="0"/>
    <m/>
    <m/>
    <s v="GASTO_ADMINISTRATIVO"/>
    <x v="0"/>
    <x v="2"/>
    <n v="1"/>
    <s v="UND"/>
    <n v="200000"/>
    <n v="200000"/>
    <m/>
    <n v="200000"/>
    <n v="0"/>
    <n v="0"/>
    <n v="200000"/>
    <n v="1"/>
    <n v="0"/>
    <n v="0"/>
    <n v="0"/>
    <n v="0"/>
    <n v="0"/>
    <n v="0"/>
    <n v="0"/>
    <n v="0"/>
    <n v="0.1"/>
  </r>
  <r>
    <n v="2026"/>
    <x v="0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0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0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0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0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0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0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0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0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0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0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0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0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0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0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0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0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0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1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1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1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1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1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1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1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1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1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1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1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1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1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1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1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1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1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1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2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2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2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2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2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2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2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2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2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2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2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2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2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2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2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2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2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2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3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3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3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3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3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3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3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3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3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3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3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3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3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3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3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3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3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3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4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4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4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4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4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4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4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4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4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4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4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4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4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4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4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4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4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4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5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5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5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5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5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5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5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5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5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5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5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5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5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5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5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5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5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5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6"/>
    <x v="1"/>
    <x v="1"/>
    <s v="G20"/>
    <m/>
    <s v="INSUMO"/>
    <x v="1"/>
    <x v="3"/>
    <n v="4"/>
    <s v="UND"/>
    <n v="266"/>
    <n v="1064"/>
    <m/>
    <n v="1064"/>
    <n v="1064"/>
    <n v="0"/>
    <n v="1064"/>
    <n v="0"/>
    <n v="0"/>
    <n v="0"/>
    <n v="0"/>
    <n v="0"/>
    <n v="0"/>
    <n v="0"/>
    <n v="0"/>
    <n v="0"/>
    <n v="0.1"/>
  </r>
  <r>
    <n v="2026"/>
    <x v="6"/>
    <x v="1"/>
    <x v="1"/>
    <s v="G68"/>
    <m/>
    <s v="INSUMO"/>
    <x v="1"/>
    <x v="4"/>
    <n v="2"/>
    <s v="UND"/>
    <n v="1086.232"/>
    <n v="2172.4639999999999"/>
    <m/>
    <n v="2172.4639999999999"/>
    <n v="2172.4639999999999"/>
    <n v="0"/>
    <n v="2172.4639999999999"/>
    <n v="0"/>
    <n v="0"/>
    <n v="0"/>
    <n v="0"/>
    <n v="0"/>
    <n v="0"/>
    <n v="0"/>
    <n v="0"/>
    <n v="0"/>
    <n v="0.1"/>
  </r>
  <r>
    <n v="2026"/>
    <x v="6"/>
    <x v="1"/>
    <x v="1"/>
    <s v="G75"/>
    <m/>
    <s v="INSUMO"/>
    <x v="1"/>
    <x v="5"/>
    <n v="10"/>
    <s v="UND"/>
    <n v="370"/>
    <n v="3700"/>
    <m/>
    <n v="3700"/>
    <n v="3700"/>
    <n v="0"/>
    <n v="3700"/>
    <n v="0"/>
    <n v="0"/>
    <n v="0"/>
    <n v="0"/>
    <n v="0"/>
    <n v="0"/>
    <n v="0"/>
    <n v="0"/>
    <n v="0"/>
    <n v="0.1"/>
  </r>
  <r>
    <n v="2026"/>
    <x v="6"/>
    <x v="1"/>
    <x v="1"/>
    <s v="S60"/>
    <m/>
    <s v="INSUMO"/>
    <x v="1"/>
    <x v="6"/>
    <n v="2"/>
    <s v="UND"/>
    <n v="2643"/>
    <n v="5286"/>
    <m/>
    <n v="5286"/>
    <n v="5286"/>
    <n v="0"/>
    <n v="5286"/>
    <n v="0"/>
    <n v="0"/>
    <n v="0"/>
    <n v="0"/>
    <n v="0"/>
    <n v="0"/>
    <n v="0"/>
    <n v="0"/>
    <n v="0"/>
    <n v="0.1"/>
  </r>
  <r>
    <n v="2026"/>
    <x v="6"/>
    <x v="1"/>
    <x v="1"/>
    <s v="T502"/>
    <m/>
    <s v="INSUMO"/>
    <x v="1"/>
    <x v="7"/>
    <n v="5"/>
    <s v="UND"/>
    <n v="135.66"/>
    <n v="678.3"/>
    <m/>
    <n v="678.3"/>
    <n v="678.3"/>
    <n v="0"/>
    <n v="678.3"/>
    <n v="0"/>
    <n v="0"/>
    <n v="0"/>
    <n v="0"/>
    <n v="0"/>
    <n v="0"/>
    <n v="0"/>
    <n v="0"/>
    <n v="0"/>
    <n v="0.1"/>
  </r>
  <r>
    <n v="2026"/>
    <x v="6"/>
    <x v="1"/>
    <x v="1"/>
    <s v="B10"/>
    <m/>
    <s v="INSUMO"/>
    <x v="1"/>
    <x v="8"/>
    <n v="2"/>
    <s v="UND"/>
    <n v="3808"/>
    <n v="7616"/>
    <m/>
    <n v="7616"/>
    <n v="7616"/>
    <n v="0"/>
    <n v="7616"/>
    <n v="0"/>
    <n v="0"/>
    <n v="0"/>
    <n v="0"/>
    <n v="0"/>
    <n v="0"/>
    <n v="0"/>
    <n v="0"/>
    <n v="0"/>
    <n v="0.1"/>
  </r>
  <r>
    <n v="2026"/>
    <x v="6"/>
    <x v="1"/>
    <x v="1"/>
    <s v="G07"/>
    <m/>
    <s v="INSUMO"/>
    <x v="1"/>
    <x v="9"/>
    <n v="2"/>
    <s v="UND"/>
    <n v="111.86"/>
    <n v="223.72"/>
    <m/>
    <n v="223.72"/>
    <n v="223.72"/>
    <n v="0"/>
    <n v="223.72"/>
    <n v="0"/>
    <n v="0"/>
    <n v="0"/>
    <n v="0"/>
    <n v="0"/>
    <n v="0"/>
    <n v="0"/>
    <n v="0"/>
    <n v="0"/>
    <n v="0.1"/>
  </r>
  <r>
    <n v="2026"/>
    <x v="6"/>
    <x v="1"/>
    <x v="1"/>
    <s v="360100"/>
    <m/>
    <s v="INSUMO"/>
    <x v="1"/>
    <x v="10"/>
    <n v="10"/>
    <s v="UND"/>
    <n v="80300"/>
    <n v="3212"/>
    <m/>
    <n v="3212"/>
    <n v="3212"/>
    <n v="0"/>
    <n v="3212"/>
    <n v="0"/>
    <n v="0"/>
    <n v="0"/>
    <n v="0"/>
    <n v="0"/>
    <n v="0"/>
    <n v="0"/>
    <n v="0"/>
    <n v="0"/>
    <n v="0.1"/>
  </r>
  <r>
    <n v="2026"/>
    <x v="6"/>
    <x v="1"/>
    <x v="1"/>
    <s v="T180"/>
    <m/>
    <s v="INSUMO"/>
    <x v="1"/>
    <x v="11"/>
    <n v="5"/>
    <s v="UND"/>
    <n v="17888.080000000002"/>
    <n v="89440.400000000009"/>
    <m/>
    <n v="89440.400000000009"/>
    <n v="89440.400000000009"/>
    <n v="0"/>
    <n v="89440.400000000009"/>
    <n v="0"/>
    <n v="0"/>
    <n v="0"/>
    <n v="0"/>
    <n v="0"/>
    <n v="0"/>
    <n v="0"/>
    <n v="0"/>
    <n v="0"/>
    <n v="0.1"/>
  </r>
  <r>
    <n v="2026"/>
    <x v="6"/>
    <x v="1"/>
    <x v="1"/>
    <s v="H15"/>
    <m/>
    <s v="INSUMO"/>
    <x v="1"/>
    <x v="12"/>
    <n v="2"/>
    <s v="UND"/>
    <n v="337.3837894736842"/>
    <n v="674.76757894736841"/>
    <m/>
    <n v="674.76757894736841"/>
    <n v="674.76757894736841"/>
    <n v="0"/>
    <n v="674.76757894736841"/>
    <n v="0"/>
    <n v="0"/>
    <n v="0"/>
    <n v="0"/>
    <n v="0"/>
    <n v="0"/>
    <n v="0"/>
    <n v="0"/>
    <n v="0"/>
    <n v="0.1"/>
  </r>
  <r>
    <n v="2026"/>
    <x v="6"/>
    <x v="1"/>
    <x v="1"/>
    <s v="2438"/>
    <m/>
    <s v="INSUMO"/>
    <x v="1"/>
    <x v="13"/>
    <n v="2"/>
    <s v="UND"/>
    <n v="67900"/>
    <n v="13580"/>
    <m/>
    <n v="13580"/>
    <n v="13580"/>
    <n v="0"/>
    <n v="13580"/>
    <n v="0"/>
    <n v="0"/>
    <n v="0"/>
    <n v="0"/>
    <n v="0"/>
    <n v="0"/>
    <n v="0"/>
    <n v="0"/>
    <n v="0"/>
    <n v="0.1"/>
  </r>
  <r>
    <n v="2026"/>
    <x v="6"/>
    <x v="1"/>
    <x v="1"/>
    <s v="2434"/>
    <m/>
    <s v="INSUMO"/>
    <x v="1"/>
    <x v="14"/>
    <n v="2"/>
    <s v="UND"/>
    <n v="50300"/>
    <n v="10060"/>
    <m/>
    <n v="10060"/>
    <n v="10060"/>
    <n v="0"/>
    <n v="10060"/>
    <n v="0"/>
    <n v="0"/>
    <n v="0"/>
    <n v="0"/>
    <n v="0"/>
    <n v="0"/>
    <n v="0"/>
    <n v="0"/>
    <n v="0"/>
    <n v="0.1"/>
  </r>
  <r>
    <n v="2026"/>
    <x v="6"/>
    <x v="1"/>
    <x v="1"/>
    <s v="3505"/>
    <m/>
    <s v="INSUMO"/>
    <x v="1"/>
    <x v="15"/>
    <n v="2"/>
    <s v="UND"/>
    <n v="43500"/>
    <n v="7250"/>
    <m/>
    <n v="7250"/>
    <n v="7250"/>
    <n v="0"/>
    <n v="7250"/>
    <n v="0"/>
    <n v="0"/>
    <n v="0"/>
    <n v="0"/>
    <n v="0"/>
    <n v="0"/>
    <n v="0"/>
    <n v="0"/>
    <n v="0"/>
    <n v="0.1"/>
  </r>
  <r>
    <n v="2026"/>
    <x v="6"/>
    <x v="1"/>
    <x v="1"/>
    <m/>
    <n v="1800"/>
    <s v="MANO_OBRA"/>
    <x v="2"/>
    <x v="16"/>
    <n v="60"/>
    <s v="MINUTOS"/>
    <n v="20894.400000000001"/>
    <n v="1253664"/>
    <m/>
    <n v="1253664"/>
    <n v="1253664"/>
    <n v="0"/>
    <n v="1253664"/>
    <n v="0"/>
    <n v="0"/>
    <n v="0"/>
    <n v="0"/>
    <n v="0"/>
    <n v="0"/>
    <n v="0"/>
    <n v="0"/>
    <n v="0"/>
    <n v="0.1"/>
  </r>
  <r>
    <n v="2026"/>
    <x v="6"/>
    <x v="1"/>
    <x v="1"/>
    <m/>
    <n v="900"/>
    <s v="MANO_OBRA"/>
    <x v="2"/>
    <x v="17"/>
    <n v="60"/>
    <s v="MINUTOS"/>
    <n v="6048.3"/>
    <n v="362898"/>
    <m/>
    <n v="362898"/>
    <n v="362898"/>
    <n v="0"/>
    <n v="362898"/>
    <n v="0"/>
    <n v="0"/>
    <n v="0"/>
    <n v="0"/>
    <n v="0"/>
    <n v="0"/>
    <n v="0"/>
    <n v="0"/>
    <n v="0"/>
    <n v="0.1"/>
  </r>
  <r>
    <n v="2026"/>
    <x v="6"/>
    <x v="1"/>
    <x v="1"/>
    <m/>
    <n v="600"/>
    <s v="MANO_OBRA"/>
    <x v="2"/>
    <x v="18"/>
    <n v="60"/>
    <s v="MINUTOS"/>
    <n v="35000"/>
    <n v="2100000"/>
    <m/>
    <n v="2100000"/>
    <n v="2100000"/>
    <n v="0"/>
    <n v="2100000"/>
    <n v="0"/>
    <n v="0"/>
    <n v="0"/>
    <n v="0"/>
    <n v="0"/>
    <n v="0"/>
    <n v="0"/>
    <n v="0"/>
    <n v="0"/>
    <n v="0.1"/>
  </r>
  <r>
    <n v="2026"/>
    <x v="6"/>
    <x v="1"/>
    <x v="1"/>
    <m/>
    <n v="600"/>
    <s v="MANO_OBRA"/>
    <x v="2"/>
    <x v="19"/>
    <n v="60"/>
    <s v="MINUTOS"/>
    <n v="25000"/>
    <n v="1500000"/>
    <m/>
    <n v="1500000"/>
    <n v="1500000"/>
    <n v="0"/>
    <n v="1500000"/>
    <n v="0"/>
    <n v="0"/>
    <n v="0"/>
    <n v="0"/>
    <n v="0"/>
    <n v="0"/>
    <n v="0"/>
    <n v="0"/>
    <n v="0"/>
    <n v="0.1"/>
  </r>
  <r>
    <n v="2026"/>
    <x v="6"/>
    <x v="1"/>
    <x v="1"/>
    <m/>
    <n v="600"/>
    <s v="MANO_OBRA"/>
    <x v="2"/>
    <x v="20"/>
    <n v="60"/>
    <s v="MINUTOS"/>
    <n v="20000"/>
    <n v="1200000"/>
    <m/>
    <n v="1200000"/>
    <n v="1200000"/>
    <n v="0"/>
    <n v="1200000"/>
    <n v="0"/>
    <n v="0"/>
    <n v="0"/>
    <n v="0"/>
    <n v="0"/>
    <n v="0"/>
    <n v="0"/>
    <n v="0"/>
    <n v="0"/>
    <n v="0.1"/>
  </r>
  <r>
    <n v="2026"/>
    <x v="0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0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0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0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0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0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0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0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0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0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0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0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0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0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0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0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1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1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1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1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1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1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1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1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1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1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1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1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1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1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1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1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2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2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2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2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2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2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2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2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2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2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2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2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2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2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2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2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3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3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3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3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3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3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3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3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3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3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3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3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3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3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3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3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4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4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4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4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4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4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4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4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4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4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4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4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4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4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4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4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5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5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5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5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5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5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5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5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5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5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5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5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5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5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5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5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6"/>
    <x v="2"/>
    <x v="2"/>
    <s v="G20"/>
    <m/>
    <s v="INSUMO"/>
    <x v="1"/>
    <x v="3"/>
    <n v="4"/>
    <s v="UND"/>
    <n v="266"/>
    <n v="1064"/>
    <m/>
    <n v="1064"/>
    <n v="0"/>
    <n v="0"/>
    <n v="0"/>
    <n v="0"/>
    <n v="1064"/>
    <n v="0"/>
    <n v="1064"/>
    <n v="0"/>
    <n v="0"/>
    <n v="0"/>
    <n v="0"/>
    <n v="0"/>
    <n v="0.1"/>
  </r>
  <r>
    <n v="2026"/>
    <x v="6"/>
    <x v="2"/>
    <x v="2"/>
    <s v="G68"/>
    <m/>
    <s v="INSUMO"/>
    <x v="1"/>
    <x v="4"/>
    <n v="2"/>
    <s v="UND"/>
    <n v="1086.232"/>
    <n v="2172.4639999999999"/>
    <m/>
    <n v="2172.4639999999999"/>
    <n v="0"/>
    <n v="0"/>
    <n v="0"/>
    <n v="0"/>
    <n v="2172.4639999999999"/>
    <n v="0"/>
    <n v="2172.4639999999999"/>
    <n v="0"/>
    <n v="0"/>
    <n v="0"/>
    <n v="0"/>
    <n v="0"/>
    <n v="0.1"/>
  </r>
  <r>
    <n v="2026"/>
    <x v="6"/>
    <x v="2"/>
    <x v="2"/>
    <s v="G75"/>
    <m/>
    <s v="INSUMO"/>
    <x v="1"/>
    <x v="5"/>
    <n v="6"/>
    <s v="UND"/>
    <n v="370"/>
    <n v="2220"/>
    <m/>
    <n v="2220"/>
    <n v="0"/>
    <n v="0"/>
    <n v="0"/>
    <n v="0"/>
    <n v="2220"/>
    <n v="0"/>
    <n v="2220"/>
    <n v="0"/>
    <n v="0"/>
    <n v="0"/>
    <n v="0"/>
    <n v="0"/>
    <n v="0.1"/>
  </r>
  <r>
    <n v="2026"/>
    <x v="6"/>
    <x v="2"/>
    <x v="2"/>
    <s v="S60"/>
    <m/>
    <s v="INSUMO"/>
    <x v="1"/>
    <x v="6"/>
    <n v="2"/>
    <s v="UND"/>
    <n v="2643"/>
    <n v="5286"/>
    <m/>
    <n v="5286"/>
    <n v="0"/>
    <n v="0"/>
    <n v="0"/>
    <n v="0"/>
    <n v="5286"/>
    <n v="0"/>
    <n v="5286"/>
    <n v="0"/>
    <n v="0"/>
    <n v="0"/>
    <n v="0"/>
    <n v="0"/>
    <n v="0.1"/>
  </r>
  <r>
    <n v="2026"/>
    <x v="6"/>
    <x v="2"/>
    <x v="2"/>
    <s v="T502"/>
    <m/>
    <s v="INSUMO"/>
    <x v="1"/>
    <x v="7"/>
    <n v="3"/>
    <s v="UND"/>
    <n v="135.66"/>
    <n v="406.98"/>
    <m/>
    <n v="406.98"/>
    <n v="0"/>
    <n v="0"/>
    <n v="0"/>
    <n v="0"/>
    <n v="406.98"/>
    <n v="0"/>
    <n v="406.98"/>
    <n v="0"/>
    <n v="0"/>
    <n v="0"/>
    <n v="0"/>
    <n v="0"/>
    <n v="0.1"/>
  </r>
  <r>
    <n v="2026"/>
    <x v="6"/>
    <x v="2"/>
    <x v="2"/>
    <s v="B10"/>
    <m/>
    <s v="INSUMO"/>
    <x v="1"/>
    <x v="8"/>
    <n v="2"/>
    <s v="UND"/>
    <n v="3808"/>
    <n v="7616"/>
    <m/>
    <n v="7616"/>
    <n v="0"/>
    <n v="0"/>
    <n v="0"/>
    <n v="0"/>
    <n v="7616"/>
    <n v="0"/>
    <n v="7616"/>
    <n v="0"/>
    <n v="0"/>
    <n v="0"/>
    <n v="0"/>
    <n v="0"/>
    <n v="0.1"/>
  </r>
  <r>
    <n v="2026"/>
    <x v="6"/>
    <x v="2"/>
    <x v="2"/>
    <s v="G07"/>
    <m/>
    <s v="INSUMO"/>
    <x v="1"/>
    <x v="9"/>
    <n v="0.4"/>
    <s v="UND"/>
    <n v="111.86"/>
    <n v="44.744"/>
    <m/>
    <n v="44.744"/>
    <n v="0"/>
    <n v="0"/>
    <n v="0"/>
    <n v="0"/>
    <n v="44.744"/>
    <n v="0"/>
    <n v="44.744"/>
    <n v="0"/>
    <n v="0"/>
    <n v="0"/>
    <n v="0"/>
    <n v="0"/>
    <n v="0.1"/>
  </r>
  <r>
    <n v="2026"/>
    <x v="6"/>
    <x v="2"/>
    <x v="2"/>
    <s v="360100"/>
    <m/>
    <s v="INSUMO"/>
    <x v="1"/>
    <x v="10"/>
    <n v="4"/>
    <s v="UND"/>
    <n v="80300"/>
    <n v="1284.8"/>
    <m/>
    <n v="1284.8"/>
    <n v="0"/>
    <n v="0"/>
    <n v="0"/>
    <n v="0"/>
    <n v="1284.8"/>
    <n v="0"/>
    <n v="1284.8"/>
    <n v="0"/>
    <n v="0"/>
    <n v="0"/>
    <n v="0"/>
    <n v="0"/>
    <n v="0.1"/>
  </r>
  <r>
    <n v="2026"/>
    <x v="6"/>
    <x v="2"/>
    <x v="2"/>
    <s v="T180"/>
    <m/>
    <s v="INSUMO"/>
    <x v="1"/>
    <x v="11"/>
    <n v="3"/>
    <s v="UND"/>
    <n v="17888.080000000002"/>
    <n v="53664.240000000005"/>
    <m/>
    <n v="53664.240000000005"/>
    <n v="0"/>
    <n v="0"/>
    <n v="0"/>
    <n v="0"/>
    <n v="53664.240000000005"/>
    <n v="0"/>
    <n v="53664.240000000005"/>
    <n v="0"/>
    <n v="0"/>
    <n v="0"/>
    <n v="0"/>
    <n v="0"/>
    <n v="0.1"/>
  </r>
  <r>
    <n v="2026"/>
    <x v="6"/>
    <x v="2"/>
    <x v="2"/>
    <s v="H15"/>
    <m/>
    <s v="INSUMO"/>
    <x v="1"/>
    <x v="12"/>
    <n v="1"/>
    <s v="UND"/>
    <n v="337.3837894736842"/>
    <n v="337.3837894736842"/>
    <m/>
    <n v="337.3837894736842"/>
    <n v="0"/>
    <n v="0"/>
    <n v="0"/>
    <n v="0"/>
    <n v="337.3837894736842"/>
    <n v="0"/>
    <n v="337.3837894736842"/>
    <n v="0"/>
    <n v="0"/>
    <n v="0"/>
    <n v="0"/>
    <n v="0"/>
    <n v="0.1"/>
  </r>
  <r>
    <n v="2026"/>
    <x v="6"/>
    <x v="2"/>
    <x v="2"/>
    <s v="2438"/>
    <m/>
    <s v="INSUMO"/>
    <x v="1"/>
    <x v="13"/>
    <n v="2"/>
    <s v="UND"/>
    <n v="67900"/>
    <n v="13580"/>
    <m/>
    <n v="13580"/>
    <n v="0"/>
    <n v="0"/>
    <n v="0"/>
    <n v="0"/>
    <n v="13580"/>
    <n v="0"/>
    <n v="13580"/>
    <n v="0"/>
    <n v="0"/>
    <n v="0"/>
    <n v="0"/>
    <n v="0"/>
    <n v="0.1"/>
  </r>
  <r>
    <n v="2026"/>
    <x v="6"/>
    <x v="2"/>
    <x v="2"/>
    <s v="2434"/>
    <m/>
    <s v="INSUMO"/>
    <x v="1"/>
    <x v="14"/>
    <n v="2"/>
    <s v="UND"/>
    <n v="50300"/>
    <n v="10060"/>
    <m/>
    <n v="10060"/>
    <n v="0"/>
    <n v="0"/>
    <n v="0"/>
    <n v="0"/>
    <n v="10060"/>
    <n v="0"/>
    <n v="10060"/>
    <n v="0"/>
    <n v="0"/>
    <n v="0"/>
    <n v="0"/>
    <n v="0"/>
    <n v="0.1"/>
  </r>
  <r>
    <n v="2026"/>
    <x v="6"/>
    <x v="2"/>
    <x v="2"/>
    <s v="3505"/>
    <m/>
    <s v="INSUMO"/>
    <x v="1"/>
    <x v="15"/>
    <n v="2"/>
    <s v="UND"/>
    <n v="43500"/>
    <n v="7250"/>
    <m/>
    <n v="7250"/>
    <n v="0"/>
    <n v="0"/>
    <n v="0"/>
    <n v="0"/>
    <n v="7250"/>
    <n v="0"/>
    <n v="7250"/>
    <n v="0"/>
    <n v="0"/>
    <n v="0"/>
    <n v="0"/>
    <n v="0"/>
    <n v="0.1"/>
  </r>
  <r>
    <n v="2026"/>
    <x v="6"/>
    <x v="2"/>
    <x v="2"/>
    <m/>
    <n v="2400"/>
    <s v="MANO_OBRA"/>
    <x v="2"/>
    <x v="16"/>
    <n v="30"/>
    <s v="MINUTOS"/>
    <n v="348.24"/>
    <n v="835776"/>
    <m/>
    <n v="835776"/>
    <n v="0"/>
    <n v="0"/>
    <n v="0"/>
    <n v="0"/>
    <n v="835776"/>
    <n v="0"/>
    <n v="835776"/>
    <n v="0"/>
    <n v="0"/>
    <n v="0"/>
    <n v="0"/>
    <n v="0"/>
    <n v="0.1"/>
  </r>
  <r>
    <n v="2026"/>
    <x v="6"/>
    <x v="2"/>
    <x v="2"/>
    <m/>
    <n v="2400"/>
    <s v="MANO_OBRA"/>
    <x v="2"/>
    <x v="17"/>
    <n v="30"/>
    <s v="MINUTOS"/>
    <n v="201.61"/>
    <n v="483864.00000000006"/>
    <m/>
    <n v="483864.00000000006"/>
    <n v="0"/>
    <n v="0"/>
    <n v="0"/>
    <n v="0"/>
    <n v="483864.00000000006"/>
    <n v="0"/>
    <n v="483864.00000000006"/>
    <n v="0"/>
    <n v="0"/>
    <n v="0"/>
    <n v="0"/>
    <n v="0"/>
    <n v="0.1"/>
  </r>
  <r>
    <n v="2026"/>
    <x v="6"/>
    <x v="2"/>
    <x v="2"/>
    <m/>
    <n v="1600"/>
    <s v="MANO_OBRA"/>
    <x v="2"/>
    <x v="20"/>
    <n v="30"/>
    <s v="MINUTOS"/>
    <n v="1000"/>
    <n v="1600000"/>
    <m/>
    <n v="1600000"/>
    <n v="0"/>
    <n v="0"/>
    <n v="0"/>
    <n v="0"/>
    <n v="1600000"/>
    <n v="0"/>
    <n v="1600000"/>
    <n v="0"/>
    <n v="0"/>
    <n v="0"/>
    <n v="0"/>
    <n v="0"/>
    <n v="0.1"/>
  </r>
  <r>
    <n v="2026"/>
    <x v="0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0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0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0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0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0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0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0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0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0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0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0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0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0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0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1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1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1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1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1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1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1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1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1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1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1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1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1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1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1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2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2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2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2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2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2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2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2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2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2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2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2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2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2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2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3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3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3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3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3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3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3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3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3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3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3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3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3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3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3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4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4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4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4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4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4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4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4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4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4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4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4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4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4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4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5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5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5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5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5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5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5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5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5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5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5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5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5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5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5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6"/>
    <x v="3"/>
    <x v="3"/>
    <s v="G20"/>
    <m/>
    <s v="INSUMO"/>
    <x v="1"/>
    <x v="3"/>
    <n v="4"/>
    <s v="UND"/>
    <n v="266"/>
    <n v="1064"/>
    <m/>
    <n v="1064"/>
    <n v="0"/>
    <n v="0"/>
    <n v="0"/>
    <n v="0"/>
    <n v="0"/>
    <n v="0"/>
    <n v="0"/>
    <n v="0"/>
    <n v="1064"/>
    <n v="0"/>
    <n v="1064"/>
    <n v="0"/>
    <n v="0.1"/>
  </r>
  <r>
    <n v="2026"/>
    <x v="6"/>
    <x v="3"/>
    <x v="3"/>
    <s v="G68"/>
    <m/>
    <s v="INSUMO"/>
    <x v="1"/>
    <x v="4"/>
    <n v="1"/>
    <s v="UND"/>
    <n v="1086.232"/>
    <n v="1086.232"/>
    <m/>
    <n v="1086.232"/>
    <n v="0"/>
    <n v="0"/>
    <n v="0"/>
    <n v="0"/>
    <n v="0"/>
    <n v="0"/>
    <n v="0"/>
    <n v="0"/>
    <n v="1086.232"/>
    <n v="0"/>
    <n v="1086.232"/>
    <n v="0"/>
    <n v="0.1"/>
  </r>
  <r>
    <n v="2026"/>
    <x v="6"/>
    <x v="3"/>
    <x v="3"/>
    <s v="G75"/>
    <m/>
    <s v="INSUMO"/>
    <x v="1"/>
    <x v="5"/>
    <n v="4"/>
    <s v="UND"/>
    <n v="370"/>
    <n v="1480"/>
    <m/>
    <n v="1480"/>
    <n v="0"/>
    <n v="0"/>
    <n v="0"/>
    <n v="0"/>
    <n v="0"/>
    <n v="0"/>
    <n v="0"/>
    <n v="0"/>
    <n v="1480"/>
    <n v="0"/>
    <n v="1480"/>
    <n v="0"/>
    <n v="0.1"/>
  </r>
  <r>
    <n v="2026"/>
    <x v="6"/>
    <x v="3"/>
    <x v="3"/>
    <s v="S60"/>
    <m/>
    <s v="INSUMO"/>
    <x v="1"/>
    <x v="6"/>
    <n v="1"/>
    <s v="UND"/>
    <n v="2643"/>
    <n v="2643"/>
    <m/>
    <n v="2643"/>
    <n v="0"/>
    <n v="0"/>
    <n v="0"/>
    <n v="0"/>
    <n v="0"/>
    <n v="0"/>
    <n v="0"/>
    <n v="0"/>
    <n v="2643"/>
    <n v="0"/>
    <n v="2643"/>
    <n v="0"/>
    <n v="0.1"/>
  </r>
  <r>
    <n v="2026"/>
    <x v="6"/>
    <x v="3"/>
    <x v="3"/>
    <s v="T502"/>
    <m/>
    <s v="INSUMO"/>
    <x v="1"/>
    <x v="7"/>
    <n v="1"/>
    <s v="UND"/>
    <n v="135.66"/>
    <n v="135.66"/>
    <m/>
    <n v="135.66"/>
    <n v="0"/>
    <n v="0"/>
    <n v="0"/>
    <n v="0"/>
    <n v="0"/>
    <n v="0"/>
    <n v="0"/>
    <n v="0"/>
    <n v="135.66"/>
    <n v="0"/>
    <n v="135.66"/>
    <n v="0"/>
    <n v="0.1"/>
  </r>
  <r>
    <n v="2026"/>
    <x v="6"/>
    <x v="3"/>
    <x v="3"/>
    <s v="B10"/>
    <m/>
    <s v="INSUMO"/>
    <x v="1"/>
    <x v="8"/>
    <n v="1"/>
    <s v="UND"/>
    <n v="3808"/>
    <n v="3808"/>
    <m/>
    <n v="3808"/>
    <n v="0"/>
    <n v="0"/>
    <n v="0"/>
    <n v="0"/>
    <n v="0"/>
    <n v="0"/>
    <n v="0"/>
    <n v="0"/>
    <n v="3808"/>
    <n v="0"/>
    <n v="3808"/>
    <n v="0"/>
    <n v="0.1"/>
  </r>
  <r>
    <n v="2026"/>
    <x v="6"/>
    <x v="3"/>
    <x v="3"/>
    <s v="G07"/>
    <m/>
    <s v="INSUMO"/>
    <x v="1"/>
    <x v="9"/>
    <n v="1"/>
    <s v="UND"/>
    <n v="111.86"/>
    <n v="111.86"/>
    <m/>
    <n v="111.86"/>
    <n v="0"/>
    <n v="0"/>
    <n v="0"/>
    <n v="0"/>
    <n v="0"/>
    <n v="0"/>
    <n v="0"/>
    <n v="0"/>
    <n v="111.86"/>
    <n v="0"/>
    <n v="111.86"/>
    <n v="0"/>
    <n v="0.1"/>
  </r>
  <r>
    <n v="2026"/>
    <x v="6"/>
    <x v="3"/>
    <x v="3"/>
    <s v="360100"/>
    <m/>
    <s v="INSUMO"/>
    <x v="1"/>
    <x v="10"/>
    <n v="2"/>
    <s v="UND"/>
    <n v="80300"/>
    <n v="642.4"/>
    <m/>
    <n v="642.4"/>
    <n v="0"/>
    <n v="0"/>
    <n v="0"/>
    <n v="0"/>
    <n v="0"/>
    <n v="0"/>
    <n v="0"/>
    <n v="0"/>
    <n v="642.4"/>
    <n v="0"/>
    <n v="642.4"/>
    <n v="0"/>
    <n v="0.1"/>
  </r>
  <r>
    <n v="2026"/>
    <x v="6"/>
    <x v="3"/>
    <x v="3"/>
    <s v="T180"/>
    <m/>
    <s v="INSUMO"/>
    <x v="1"/>
    <x v="11"/>
    <n v="2"/>
    <s v="UND"/>
    <n v="17888.080000000002"/>
    <n v="35776.160000000003"/>
    <m/>
    <n v="35776.160000000003"/>
    <n v="0"/>
    <n v="0"/>
    <n v="0"/>
    <n v="0"/>
    <n v="0"/>
    <n v="0"/>
    <n v="0"/>
    <n v="0"/>
    <n v="35776.160000000003"/>
    <n v="0"/>
    <n v="35776.160000000003"/>
    <n v="0"/>
    <n v="0.1"/>
  </r>
  <r>
    <n v="2026"/>
    <x v="6"/>
    <x v="3"/>
    <x v="3"/>
    <s v="H15"/>
    <m/>
    <s v="INSUMO"/>
    <x v="1"/>
    <x v="12"/>
    <n v="2"/>
    <s v="UND"/>
    <n v="337.3837894736842"/>
    <n v="674.76757894736841"/>
    <m/>
    <n v="674.76757894736841"/>
    <n v="0"/>
    <n v="0"/>
    <n v="0"/>
    <n v="0"/>
    <n v="0"/>
    <n v="0"/>
    <n v="0"/>
    <n v="0"/>
    <n v="674.76757894736841"/>
    <n v="0"/>
    <n v="674.76757894736841"/>
    <n v="0"/>
    <n v="0.1"/>
  </r>
  <r>
    <n v="2026"/>
    <x v="6"/>
    <x v="3"/>
    <x v="3"/>
    <s v="2438"/>
    <m/>
    <s v="INSUMO"/>
    <x v="1"/>
    <x v="13"/>
    <n v="1"/>
    <s v="UND"/>
    <n v="67900"/>
    <n v="6790"/>
    <m/>
    <n v="6790"/>
    <n v="0"/>
    <n v="0"/>
    <n v="0"/>
    <n v="0"/>
    <n v="0"/>
    <n v="0"/>
    <n v="0"/>
    <n v="0"/>
    <n v="6790"/>
    <n v="0"/>
    <n v="6790"/>
    <n v="0"/>
    <n v="0.1"/>
  </r>
  <r>
    <n v="2026"/>
    <x v="6"/>
    <x v="3"/>
    <x v="3"/>
    <s v="2434"/>
    <m/>
    <s v="INSUMO"/>
    <x v="1"/>
    <x v="14"/>
    <n v="1"/>
    <s v="UND"/>
    <n v="50300"/>
    <n v="5030"/>
    <m/>
    <n v="5030"/>
    <n v="0"/>
    <n v="0"/>
    <n v="0"/>
    <n v="0"/>
    <n v="0"/>
    <n v="0"/>
    <n v="0"/>
    <n v="0"/>
    <n v="5030"/>
    <n v="0"/>
    <n v="5030"/>
    <n v="0"/>
    <n v="0.1"/>
  </r>
  <r>
    <n v="2026"/>
    <x v="6"/>
    <x v="3"/>
    <x v="3"/>
    <s v="3505"/>
    <m/>
    <s v="INSUMO"/>
    <x v="1"/>
    <x v="15"/>
    <n v="1"/>
    <s v="UND"/>
    <n v="43500"/>
    <n v="3625"/>
    <m/>
    <n v="3625"/>
    <n v="0"/>
    <n v="0"/>
    <n v="0"/>
    <n v="0"/>
    <n v="0"/>
    <n v="0"/>
    <n v="0"/>
    <n v="0"/>
    <n v="3625"/>
    <n v="0"/>
    <n v="3625"/>
    <n v="0"/>
    <n v="0.1"/>
  </r>
  <r>
    <n v="2026"/>
    <x v="6"/>
    <x v="3"/>
    <x v="3"/>
    <n v="1965"/>
    <n v="1600"/>
    <s v="MANO_OBRA"/>
    <x v="2"/>
    <x v="17"/>
    <n v="80"/>
    <s v="MINUTOS"/>
    <n v="201.61"/>
    <n v="322576"/>
    <m/>
    <n v="322576"/>
    <n v="0"/>
    <n v="0"/>
    <n v="0"/>
    <n v="0"/>
    <n v="0"/>
    <n v="0"/>
    <n v="0"/>
    <n v="0"/>
    <n v="322576"/>
    <n v="0"/>
    <n v="322576"/>
    <n v="0"/>
    <n v="0.1"/>
  </r>
  <r>
    <n v="2026"/>
    <x v="6"/>
    <x v="3"/>
    <x v="3"/>
    <n v="1965"/>
    <m/>
    <s v="GASTO_ADMINISTRATIVO"/>
    <x v="0"/>
    <x v="0"/>
    <n v="3"/>
    <s v="UND"/>
    <n v="3000"/>
    <n v="12657"/>
    <m/>
    <n v="12657"/>
    <n v="0"/>
    <n v="0"/>
    <n v="0"/>
    <n v="0"/>
    <n v="0"/>
    <n v="0"/>
    <n v="0"/>
    <n v="0"/>
    <n v="12657"/>
    <n v="0"/>
    <n v="12657"/>
    <n v="0"/>
    <n v="0.1"/>
  </r>
  <r>
    <n v="2026"/>
    <x v="0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0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0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0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0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0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0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0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0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0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0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0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0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0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0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1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1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1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1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1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1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1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1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1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1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1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1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1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1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1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2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2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2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2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2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2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2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2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2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2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2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2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2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2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2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3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3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3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3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3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3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3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3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3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3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3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3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3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3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3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4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4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4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4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4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4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4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4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4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4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4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4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4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4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4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5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5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5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5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5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5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5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5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5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5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5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5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5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5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5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6"/>
    <x v="1"/>
    <x v="1"/>
    <n v="360001"/>
    <m/>
    <s v="INSUMO ALTA TECNOLOGIA"/>
    <x v="3"/>
    <x v="21"/>
    <s v="Caja X 10"/>
    <s v="UND"/>
    <n v="28800"/>
    <n v="28800"/>
    <m/>
    <n v="34560"/>
    <n v="28800"/>
    <n v="0.2"/>
    <n v="34560"/>
    <n v="0.16666666666666666"/>
    <n v="0"/>
    <n v="0"/>
    <n v="0"/>
    <n v="0"/>
    <n v="0"/>
    <n v="0"/>
    <n v="0"/>
    <n v="0"/>
    <n v="0.1"/>
  </r>
  <r>
    <n v="2026"/>
    <x v="6"/>
    <x v="1"/>
    <x v="1"/>
    <n v="709900"/>
    <m/>
    <s v="INSUMO ALTA TECNOLOGIA"/>
    <x v="3"/>
    <x v="22"/>
    <s v="Caja X 10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6"/>
    <x v="1"/>
    <x v="1"/>
    <n v="709902"/>
    <m/>
    <s v="INSUMO ALTA TECNOLOGIA"/>
    <x v="3"/>
    <x v="23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6"/>
    <x v="1"/>
    <x v="1"/>
    <n v="709903"/>
    <m/>
    <s v="INSUMO ALTA TECNOLOGIA"/>
    <x v="3"/>
    <x v="24"/>
    <s v="Caja X 5"/>
    <s v="UND"/>
    <n v="36700"/>
    <n v="36700"/>
    <m/>
    <n v="44040"/>
    <n v="36700"/>
    <n v="0.2"/>
    <n v="44040"/>
    <n v="0.16666666666666666"/>
    <n v="0"/>
    <n v="0"/>
    <n v="0"/>
    <n v="0"/>
    <n v="0"/>
    <n v="0"/>
    <n v="0"/>
    <n v="0"/>
    <n v="0.1"/>
  </r>
  <r>
    <n v="2026"/>
    <x v="6"/>
    <x v="1"/>
    <x v="1"/>
    <n v="603421"/>
    <m/>
    <s v="INSUMO ALTA TECNOLOGIA"/>
    <x v="3"/>
    <x v="25"/>
    <s v="Caja X 5"/>
    <s v="UND"/>
    <n v="21900"/>
    <n v="21900"/>
    <m/>
    <n v="26280"/>
    <n v="21900"/>
    <n v="0.2"/>
    <n v="26280"/>
    <n v="0.16666666666666666"/>
    <n v="0"/>
    <n v="0"/>
    <n v="0"/>
    <n v="0"/>
    <n v="0"/>
    <n v="0"/>
    <n v="0"/>
    <n v="0"/>
    <n v="0.1"/>
  </r>
  <r>
    <n v="2026"/>
    <x v="6"/>
    <x v="1"/>
    <x v="1"/>
    <n v="603422"/>
    <m/>
    <s v="INSUMO ALTA TECNOLOGIA"/>
    <x v="3"/>
    <x v="26"/>
    <s v="Caja X 5"/>
    <s v="UND"/>
    <n v="114900"/>
    <n v="114900"/>
    <m/>
    <n v="137880"/>
    <n v="114900"/>
    <n v="0.2"/>
    <n v="137880"/>
    <n v="0.16666666666666666"/>
    <n v="0"/>
    <n v="0"/>
    <n v="0"/>
    <n v="0"/>
    <n v="0"/>
    <n v="0"/>
    <n v="0"/>
    <n v="0"/>
    <n v="0.1"/>
  </r>
  <r>
    <n v="2026"/>
    <x v="6"/>
    <x v="1"/>
    <x v="1"/>
    <n v="603423"/>
    <m/>
    <s v="INSUMO ALTA TECNOLOGIA"/>
    <x v="3"/>
    <x v="27"/>
    <s v="Caja X 5"/>
    <s v="UND"/>
    <n v="28000"/>
    <n v="28000"/>
    <m/>
    <n v="33600"/>
    <n v="28000"/>
    <n v="0.2"/>
    <n v="33600"/>
    <n v="0.16666666666666666"/>
    <n v="0"/>
    <n v="0"/>
    <n v="0"/>
    <n v="0"/>
    <n v="0"/>
    <n v="0"/>
    <n v="0"/>
    <n v="0"/>
    <n v="0.1"/>
  </r>
  <r>
    <n v="2026"/>
    <x v="6"/>
    <x v="1"/>
    <x v="1"/>
    <n v="294199"/>
    <m/>
    <s v="INSUMO ALTA TECNOLOGIA"/>
    <x v="3"/>
    <x v="28"/>
    <s v="Caja X 5"/>
    <s v="UND"/>
    <n v="49200"/>
    <n v="49200"/>
    <m/>
    <n v="59040"/>
    <n v="49200"/>
    <n v="0.2"/>
    <n v="59040"/>
    <n v="0.16666666666666666"/>
    <n v="0"/>
    <n v="0"/>
    <n v="0"/>
    <n v="0"/>
    <n v="0"/>
    <n v="0"/>
    <n v="0"/>
    <n v="0"/>
    <n v="0.1"/>
  </r>
  <r>
    <n v="2026"/>
    <x v="6"/>
    <x v="1"/>
    <x v="1"/>
    <n v="294299"/>
    <m/>
    <s v="INSUMO ALTA TECNOLOGIA"/>
    <x v="3"/>
    <x v="29"/>
    <s v="Caja X 5"/>
    <s v="UND"/>
    <n v="141600"/>
    <n v="141600"/>
    <m/>
    <n v="169920"/>
    <n v="141600"/>
    <n v="0.2"/>
    <n v="169920"/>
    <n v="0.16666666666666666"/>
    <n v="0"/>
    <n v="0"/>
    <n v="0"/>
    <n v="0"/>
    <n v="0"/>
    <n v="0"/>
    <n v="0"/>
    <n v="0"/>
    <n v="0.1"/>
  </r>
  <r>
    <n v="2026"/>
    <x v="6"/>
    <x v="1"/>
    <x v="1"/>
    <n v="294399"/>
    <m/>
    <s v="INSUMO ALTA TECNOLOGIA"/>
    <x v="3"/>
    <x v="30"/>
    <s v="Caja X 5"/>
    <s v="UND"/>
    <n v="174700"/>
    <n v="174700"/>
    <m/>
    <n v="209640"/>
    <n v="174700"/>
    <n v="0.2"/>
    <n v="209640"/>
    <n v="0.16666666666666666"/>
    <n v="0"/>
    <n v="0"/>
    <n v="0"/>
    <n v="0"/>
    <n v="0"/>
    <n v="0"/>
    <n v="0"/>
    <n v="0"/>
    <n v="0.1"/>
  </r>
  <r>
    <n v="2026"/>
    <x v="6"/>
    <x v="1"/>
    <x v="1"/>
    <n v="294499"/>
    <m/>
    <s v="INSUMO ALTA TECNOLOGIA"/>
    <x v="3"/>
    <x v="31"/>
    <s v="Caja X 5"/>
    <s v="UND"/>
    <n v="204000"/>
    <n v="204000"/>
    <m/>
    <n v="244800"/>
    <n v="204000"/>
    <n v="0.2"/>
    <n v="244800"/>
    <n v="0.16666666666666666"/>
    <n v="0"/>
    <n v="0"/>
    <n v="0"/>
    <n v="0"/>
    <n v="0"/>
    <n v="0"/>
    <n v="0"/>
    <n v="0"/>
    <n v="0.1"/>
  </r>
  <r>
    <n v="2026"/>
    <x v="6"/>
    <x v="1"/>
    <x v="1"/>
    <n v="284190"/>
    <m/>
    <s v="INSUMO ALTA TECNOLOGIA"/>
    <x v="3"/>
    <x v="32"/>
    <s v="Caja X 5"/>
    <s v="UND"/>
    <n v="49000"/>
    <n v="49000"/>
    <m/>
    <n v="58800"/>
    <n v="49000"/>
    <n v="0.2"/>
    <n v="58800"/>
    <n v="0.16666666666666666"/>
    <n v="0"/>
    <n v="0"/>
    <n v="0"/>
    <n v="0"/>
    <n v="0"/>
    <n v="0"/>
    <n v="0"/>
    <n v="0"/>
    <n v="0.1"/>
  </r>
  <r>
    <n v="2026"/>
    <x v="6"/>
    <x v="1"/>
    <x v="1"/>
    <n v="284390"/>
    <m/>
    <s v="INSUMO ALTA TECNOLOGIA"/>
    <x v="3"/>
    <x v="33"/>
    <s v="Caja X 10"/>
    <s v="UND"/>
    <n v="224100"/>
    <n v="224100"/>
    <m/>
    <n v="268920"/>
    <n v="224100"/>
    <n v="0.2"/>
    <n v="268920"/>
    <n v="0.16666666666666666"/>
    <n v="0"/>
    <n v="0"/>
    <n v="0"/>
    <n v="0"/>
    <n v="0"/>
    <n v="0"/>
    <n v="0"/>
    <n v="0"/>
    <n v="0.1"/>
  </r>
  <r>
    <n v="2026"/>
    <x v="6"/>
    <x v="1"/>
    <x v="1"/>
    <n v="287100"/>
    <m/>
    <s v="INSUMO ALTA TECNOLOGIA"/>
    <x v="3"/>
    <x v="34"/>
    <s v="Caja X 10"/>
    <s v="UND"/>
    <n v="38000"/>
    <n v="38000"/>
    <m/>
    <n v="45600"/>
    <n v="38000"/>
    <n v="0.2"/>
    <n v="45600"/>
    <n v="0.16666666666666666"/>
    <n v="0"/>
    <n v="0"/>
    <n v="0"/>
    <n v="0"/>
    <n v="0"/>
    <n v="0"/>
    <n v="0"/>
    <n v="0"/>
    <n v="0.1"/>
  </r>
  <r>
    <n v="2026"/>
    <x v="6"/>
    <x v="1"/>
    <x v="1"/>
    <n v="287200"/>
    <m/>
    <s v="INSUMO ALTA TECNOLOGIA"/>
    <x v="3"/>
    <x v="35"/>
    <s v="Caja X 10"/>
    <s v="UND"/>
    <n v="39800"/>
    <n v="39800"/>
    <m/>
    <n v="47760"/>
    <n v="39800"/>
    <n v="0.2"/>
    <n v="47760"/>
    <n v="0.16666666666666666"/>
    <n v="0"/>
    <n v="0"/>
    <n v="0"/>
    <n v="0"/>
    <n v="0"/>
    <n v="0"/>
    <n v="0"/>
    <n v="0"/>
    <n v="0.1"/>
  </r>
  <r>
    <n v="2026"/>
    <x v="0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0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0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0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0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0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0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0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0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0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0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0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0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0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0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1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1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1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1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1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1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1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1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1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1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1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1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1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1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1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2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2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2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2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2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2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2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2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2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2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2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2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2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2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2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3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3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3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3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3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3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3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3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3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3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3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3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3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3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3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4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4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4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4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4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4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4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4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4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4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4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4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4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4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4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5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5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5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5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5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5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5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5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5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5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5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5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5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5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5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6"/>
    <x v="3"/>
    <x v="3"/>
    <m/>
    <m/>
    <s v="INSUMO ALTA TECNOLOGIA"/>
    <x v="3"/>
    <x v="21"/>
    <s v="Caja X 10"/>
    <s v="UND"/>
    <n v="28800"/>
    <n v="28800"/>
    <m/>
    <m/>
    <n v="0"/>
    <n v="0"/>
    <n v="0"/>
    <n v="0"/>
    <n v="0"/>
    <n v="0"/>
    <n v="0"/>
    <n v="0"/>
    <n v="28800"/>
    <n v="0.2"/>
    <n v="34560"/>
    <n v="0.16666666666666666"/>
    <n v="0.1"/>
  </r>
  <r>
    <n v="2026"/>
    <x v="6"/>
    <x v="3"/>
    <x v="3"/>
    <m/>
    <m/>
    <s v="INSUMO ALTA TECNOLOGIA"/>
    <x v="3"/>
    <x v="22"/>
    <s v="Caja X 10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6"/>
    <x v="3"/>
    <x v="3"/>
    <m/>
    <m/>
    <s v="INSUMO ALTA TECNOLOGIA"/>
    <x v="3"/>
    <x v="23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6"/>
    <x v="3"/>
    <x v="3"/>
    <m/>
    <m/>
    <s v="INSUMO ALTA TECNOLOGIA"/>
    <x v="3"/>
    <x v="24"/>
    <s v="Caja X 5"/>
    <s v="UND"/>
    <n v="36700"/>
    <n v="36700"/>
    <m/>
    <m/>
    <n v="0"/>
    <n v="0"/>
    <n v="0"/>
    <n v="0"/>
    <n v="0"/>
    <n v="0"/>
    <n v="0"/>
    <n v="0"/>
    <n v="36700"/>
    <n v="0.2"/>
    <n v="44040"/>
    <n v="0.16666666666666666"/>
    <n v="0.1"/>
  </r>
  <r>
    <n v="2026"/>
    <x v="6"/>
    <x v="3"/>
    <x v="3"/>
    <m/>
    <m/>
    <s v="INSUMO ALTA TECNOLOGIA"/>
    <x v="3"/>
    <x v="25"/>
    <s v="Caja X 5"/>
    <s v="UND"/>
    <n v="21900"/>
    <n v="21900"/>
    <m/>
    <m/>
    <n v="0"/>
    <n v="0"/>
    <n v="0"/>
    <n v="0"/>
    <n v="0"/>
    <n v="0"/>
    <n v="0"/>
    <n v="0"/>
    <n v="21900"/>
    <n v="0.2"/>
    <n v="26280"/>
    <n v="0.16666666666666666"/>
    <n v="0.1"/>
  </r>
  <r>
    <n v="2026"/>
    <x v="6"/>
    <x v="3"/>
    <x v="3"/>
    <m/>
    <m/>
    <s v="INSUMO ALTA TECNOLOGIA"/>
    <x v="3"/>
    <x v="26"/>
    <s v="Caja X 5"/>
    <s v="UND"/>
    <n v="114900"/>
    <n v="114900"/>
    <m/>
    <m/>
    <n v="0"/>
    <n v="0"/>
    <n v="0"/>
    <n v="0"/>
    <n v="0"/>
    <n v="0"/>
    <n v="0"/>
    <n v="0"/>
    <n v="114900"/>
    <n v="0.2"/>
    <n v="137880"/>
    <n v="0.16666666666666666"/>
    <n v="0.1"/>
  </r>
  <r>
    <n v="2026"/>
    <x v="6"/>
    <x v="3"/>
    <x v="3"/>
    <m/>
    <m/>
    <s v="INSUMO ALTA TECNOLOGIA"/>
    <x v="3"/>
    <x v="27"/>
    <s v="Caja X 5"/>
    <s v="UND"/>
    <n v="28000"/>
    <n v="28000"/>
    <m/>
    <m/>
    <n v="0"/>
    <n v="0"/>
    <n v="0"/>
    <n v="0"/>
    <n v="0"/>
    <n v="0"/>
    <n v="0"/>
    <n v="0"/>
    <n v="28000"/>
    <n v="0.2"/>
    <n v="33600"/>
    <n v="0.16666666666666666"/>
    <n v="0.1"/>
  </r>
  <r>
    <n v="2026"/>
    <x v="6"/>
    <x v="3"/>
    <x v="3"/>
    <m/>
    <m/>
    <s v="INSUMO ALTA TECNOLOGIA"/>
    <x v="3"/>
    <x v="28"/>
    <s v="Caja X 5"/>
    <s v="UND"/>
    <n v="49200"/>
    <n v="49200"/>
    <m/>
    <m/>
    <n v="0"/>
    <n v="0"/>
    <n v="0"/>
    <n v="0"/>
    <n v="0"/>
    <n v="0"/>
    <n v="0"/>
    <n v="0"/>
    <n v="49200"/>
    <n v="0.2"/>
    <n v="59040"/>
    <n v="0.16666666666666666"/>
    <n v="0.1"/>
  </r>
  <r>
    <n v="2026"/>
    <x v="6"/>
    <x v="3"/>
    <x v="3"/>
    <m/>
    <m/>
    <s v="INSUMO ALTA TECNOLOGIA"/>
    <x v="3"/>
    <x v="29"/>
    <s v="Caja X 5"/>
    <s v="UND"/>
    <n v="141600"/>
    <n v="141600"/>
    <m/>
    <m/>
    <n v="0"/>
    <n v="0"/>
    <n v="0"/>
    <n v="0"/>
    <n v="0"/>
    <n v="0"/>
    <n v="0"/>
    <n v="0"/>
    <n v="141600"/>
    <n v="0.2"/>
    <n v="169920"/>
    <n v="0.16666666666666666"/>
    <n v="0.1"/>
  </r>
  <r>
    <n v="2026"/>
    <x v="6"/>
    <x v="3"/>
    <x v="3"/>
    <m/>
    <m/>
    <s v="INSUMO ALTA TECNOLOGIA"/>
    <x v="3"/>
    <x v="30"/>
    <s v="Caja X 5"/>
    <s v="UND"/>
    <n v="174700"/>
    <n v="174700"/>
    <m/>
    <m/>
    <n v="0"/>
    <n v="0"/>
    <n v="0"/>
    <n v="0"/>
    <n v="0"/>
    <n v="0"/>
    <n v="0"/>
    <n v="0"/>
    <n v="174700"/>
    <n v="0.2"/>
    <n v="209640"/>
    <n v="0.16666666666666666"/>
    <n v="0.1"/>
  </r>
  <r>
    <n v="2026"/>
    <x v="6"/>
    <x v="3"/>
    <x v="3"/>
    <m/>
    <m/>
    <s v="INSUMO ALTA TECNOLOGIA"/>
    <x v="3"/>
    <x v="31"/>
    <s v="Caja X 5"/>
    <s v="UND"/>
    <n v="204000"/>
    <n v="204000"/>
    <m/>
    <m/>
    <n v="0"/>
    <n v="0"/>
    <n v="0"/>
    <n v="0"/>
    <n v="0"/>
    <n v="0"/>
    <n v="0"/>
    <n v="0"/>
    <n v="204000"/>
    <n v="0.2"/>
    <n v="244800"/>
    <n v="0.16666666666666666"/>
    <n v="0.1"/>
  </r>
  <r>
    <n v="2026"/>
    <x v="6"/>
    <x v="3"/>
    <x v="3"/>
    <m/>
    <m/>
    <s v="INSUMO ALTA TECNOLOGIA"/>
    <x v="3"/>
    <x v="32"/>
    <s v="Caja X 5"/>
    <s v="UND"/>
    <n v="49000"/>
    <n v="49000"/>
    <m/>
    <m/>
    <n v="0"/>
    <n v="0"/>
    <n v="0"/>
    <n v="0"/>
    <n v="0"/>
    <n v="0"/>
    <n v="0"/>
    <n v="0"/>
    <n v="49000"/>
    <n v="0.2"/>
    <n v="58800"/>
    <n v="0.16666666666666666"/>
    <n v="0.1"/>
  </r>
  <r>
    <n v="2026"/>
    <x v="6"/>
    <x v="3"/>
    <x v="3"/>
    <m/>
    <m/>
    <s v="INSUMO ALTA TECNOLOGIA"/>
    <x v="3"/>
    <x v="33"/>
    <s v="Caja X 10"/>
    <s v="UND"/>
    <n v="224100"/>
    <n v="224100"/>
    <m/>
    <m/>
    <n v="0"/>
    <n v="0"/>
    <n v="0"/>
    <n v="0"/>
    <n v="0"/>
    <n v="0"/>
    <n v="0"/>
    <n v="0"/>
    <n v="224100"/>
    <n v="0.2"/>
    <n v="268920"/>
    <n v="0.16666666666666666"/>
    <n v="0.1"/>
  </r>
  <r>
    <n v="2026"/>
    <x v="6"/>
    <x v="3"/>
    <x v="3"/>
    <m/>
    <m/>
    <s v="INSUMO ALTA TECNOLOGIA"/>
    <x v="3"/>
    <x v="34"/>
    <s v="Caja X 10"/>
    <s v="UND"/>
    <n v="38000"/>
    <n v="38000"/>
    <m/>
    <m/>
    <n v="0"/>
    <n v="0"/>
    <n v="0"/>
    <n v="0"/>
    <n v="0"/>
    <n v="0"/>
    <n v="0"/>
    <n v="0"/>
    <n v="38000"/>
    <n v="0.2"/>
    <n v="45600"/>
    <n v="0.16666666666666666"/>
    <n v="0.1"/>
  </r>
  <r>
    <n v="2026"/>
    <x v="6"/>
    <x v="3"/>
    <x v="3"/>
    <m/>
    <m/>
    <s v="INSUMO ALTA TECNOLOGIA"/>
    <x v="3"/>
    <x v="35"/>
    <s v="Caja X 10"/>
    <s v="UND"/>
    <n v="39800"/>
    <n v="39800"/>
    <m/>
    <m/>
    <n v="0"/>
    <n v="0"/>
    <n v="0"/>
    <n v="0"/>
    <n v="0"/>
    <n v="0"/>
    <n v="0"/>
    <n v="0"/>
    <n v="39800"/>
    <n v="0.2"/>
    <n v="47760"/>
    <n v="0.16666666666666666"/>
    <n v="0.1"/>
  </r>
  <r>
    <n v="2026"/>
    <x v="0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0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0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0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0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0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0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0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0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0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0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0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0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0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0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1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1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1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1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1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1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1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1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1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1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1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1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1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1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1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2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2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2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2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2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2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2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2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2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2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2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2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2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2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2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3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3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3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3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3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3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3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3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3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3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3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3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3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3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3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4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4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4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4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4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4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4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4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4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4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4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4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4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4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4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5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5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5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5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5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5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5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5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5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5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5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5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5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5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5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  <r>
    <n v="2026"/>
    <x v="6"/>
    <x v="2"/>
    <x v="2"/>
    <m/>
    <m/>
    <s v="INSUMO ALTA TECNOLOGIA"/>
    <x v="3"/>
    <x v="21"/>
    <s v="Caja X 10"/>
    <s v="UND"/>
    <n v="28800"/>
    <n v="28800"/>
    <m/>
    <n v="34560"/>
    <n v="0"/>
    <n v="0"/>
    <n v="0"/>
    <n v="0"/>
    <n v="28800"/>
    <n v="0.2"/>
    <n v="34560"/>
    <n v="0.16666666666666666"/>
    <n v="0"/>
    <n v="0"/>
    <n v="0"/>
    <n v="0"/>
    <n v="0.1"/>
  </r>
  <r>
    <n v="2026"/>
    <x v="6"/>
    <x v="2"/>
    <x v="2"/>
    <m/>
    <m/>
    <s v="INSUMO ALTA TECNOLOGIA"/>
    <x v="3"/>
    <x v="22"/>
    <s v="Caja X 10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6"/>
    <x v="2"/>
    <x v="2"/>
    <m/>
    <m/>
    <s v="INSUMO ALTA TECNOLOGIA"/>
    <x v="3"/>
    <x v="23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6"/>
    <x v="2"/>
    <x v="2"/>
    <m/>
    <m/>
    <s v="INSUMO ALTA TECNOLOGIA"/>
    <x v="3"/>
    <x v="24"/>
    <s v="Caja X 5"/>
    <s v="UND"/>
    <n v="36700"/>
    <n v="36700"/>
    <m/>
    <n v="44040"/>
    <n v="0"/>
    <n v="0"/>
    <n v="0"/>
    <n v="0"/>
    <n v="36700"/>
    <n v="0.2"/>
    <n v="44040"/>
    <n v="0.16666666666666666"/>
    <n v="0"/>
    <n v="0"/>
    <n v="0"/>
    <n v="0"/>
    <n v="0.1"/>
  </r>
  <r>
    <n v="2026"/>
    <x v="6"/>
    <x v="2"/>
    <x v="2"/>
    <m/>
    <m/>
    <s v="INSUMO ALTA TECNOLOGIA"/>
    <x v="3"/>
    <x v="25"/>
    <s v="Caja X 5"/>
    <s v="UND"/>
    <n v="21900"/>
    <n v="21900"/>
    <m/>
    <n v="26280"/>
    <n v="0"/>
    <n v="0"/>
    <n v="0"/>
    <n v="0"/>
    <n v="21900"/>
    <n v="0.2"/>
    <n v="26280"/>
    <n v="0.16666666666666666"/>
    <n v="0"/>
    <n v="0"/>
    <n v="0"/>
    <n v="0"/>
    <n v="0.1"/>
  </r>
  <r>
    <n v="2026"/>
    <x v="6"/>
    <x v="2"/>
    <x v="2"/>
    <m/>
    <m/>
    <s v="INSUMO ALTA TECNOLOGIA"/>
    <x v="3"/>
    <x v="26"/>
    <s v="Caja X 5"/>
    <s v="UND"/>
    <n v="114900"/>
    <n v="114900"/>
    <m/>
    <n v="137880"/>
    <n v="0"/>
    <n v="0"/>
    <n v="0"/>
    <n v="0"/>
    <n v="114900"/>
    <n v="0.2"/>
    <n v="137880"/>
    <n v="0.16666666666666666"/>
    <n v="0"/>
    <n v="0"/>
    <n v="0"/>
    <n v="0"/>
    <n v="0.1"/>
  </r>
  <r>
    <n v="2026"/>
    <x v="6"/>
    <x v="2"/>
    <x v="2"/>
    <m/>
    <m/>
    <s v="INSUMO ALTA TECNOLOGIA"/>
    <x v="3"/>
    <x v="27"/>
    <s v="Caja X 5"/>
    <s v="UND"/>
    <n v="28000"/>
    <n v="28000"/>
    <m/>
    <n v="33600"/>
    <n v="0"/>
    <n v="0"/>
    <n v="0"/>
    <n v="0"/>
    <n v="28000"/>
    <n v="0.2"/>
    <n v="33600"/>
    <n v="0.16666666666666666"/>
    <n v="0"/>
    <n v="0"/>
    <n v="0"/>
    <n v="0"/>
    <n v="0.1"/>
  </r>
  <r>
    <n v="2026"/>
    <x v="6"/>
    <x v="2"/>
    <x v="2"/>
    <m/>
    <m/>
    <s v="INSUMO ALTA TECNOLOGIA"/>
    <x v="3"/>
    <x v="28"/>
    <s v="Caja X 5"/>
    <s v="UND"/>
    <n v="49200"/>
    <n v="49200"/>
    <m/>
    <n v="59040"/>
    <n v="0"/>
    <n v="0"/>
    <n v="0"/>
    <n v="0"/>
    <n v="49200"/>
    <n v="0.2"/>
    <n v="59040"/>
    <n v="0.16666666666666666"/>
    <n v="0"/>
    <n v="0"/>
    <n v="0"/>
    <n v="0"/>
    <n v="0.1"/>
  </r>
  <r>
    <n v="2026"/>
    <x v="6"/>
    <x v="2"/>
    <x v="2"/>
    <m/>
    <m/>
    <s v="INSUMO ALTA TECNOLOGIA"/>
    <x v="3"/>
    <x v="29"/>
    <s v="Caja X 5"/>
    <s v="UND"/>
    <n v="141600"/>
    <n v="141600"/>
    <m/>
    <n v="169920"/>
    <n v="0"/>
    <n v="0"/>
    <n v="0"/>
    <n v="0"/>
    <n v="141600"/>
    <n v="0.2"/>
    <n v="169920"/>
    <n v="0.16666666666666666"/>
    <n v="0"/>
    <n v="0"/>
    <n v="0"/>
    <n v="0"/>
    <n v="0.1"/>
  </r>
  <r>
    <n v="2026"/>
    <x v="6"/>
    <x v="2"/>
    <x v="2"/>
    <m/>
    <m/>
    <s v="INSUMO ALTA TECNOLOGIA"/>
    <x v="3"/>
    <x v="30"/>
    <s v="Caja X 5"/>
    <s v="UND"/>
    <n v="174700"/>
    <n v="174700"/>
    <m/>
    <n v="209640"/>
    <n v="0"/>
    <n v="0"/>
    <n v="0"/>
    <n v="0"/>
    <n v="174700"/>
    <n v="0.2"/>
    <n v="209640"/>
    <n v="0.16666666666666666"/>
    <n v="0"/>
    <n v="0"/>
    <n v="0"/>
    <n v="0"/>
    <n v="0.1"/>
  </r>
  <r>
    <n v="2026"/>
    <x v="6"/>
    <x v="2"/>
    <x v="2"/>
    <m/>
    <m/>
    <s v="INSUMO ALTA TECNOLOGIA"/>
    <x v="3"/>
    <x v="31"/>
    <s v="Caja X 5"/>
    <s v="UND"/>
    <n v="204000"/>
    <n v="204000"/>
    <m/>
    <n v="244800"/>
    <n v="0"/>
    <n v="0"/>
    <n v="0"/>
    <n v="0"/>
    <n v="204000"/>
    <n v="0.2"/>
    <n v="244800"/>
    <n v="0.16666666666666666"/>
    <n v="0"/>
    <n v="0"/>
    <n v="0"/>
    <n v="0"/>
    <n v="0.1"/>
  </r>
  <r>
    <n v="2026"/>
    <x v="6"/>
    <x v="2"/>
    <x v="2"/>
    <m/>
    <m/>
    <s v="INSUMO ALTA TECNOLOGIA"/>
    <x v="3"/>
    <x v="32"/>
    <s v="Caja X 5"/>
    <s v="UND"/>
    <n v="49000"/>
    <n v="49000"/>
    <m/>
    <n v="58800"/>
    <n v="0"/>
    <n v="0"/>
    <n v="0"/>
    <n v="0"/>
    <n v="49000"/>
    <n v="0.2"/>
    <n v="58800"/>
    <n v="0.16666666666666666"/>
    <n v="0"/>
    <n v="0"/>
    <n v="0"/>
    <n v="0"/>
    <n v="0.1"/>
  </r>
  <r>
    <n v="2026"/>
    <x v="6"/>
    <x v="2"/>
    <x v="2"/>
    <m/>
    <m/>
    <s v="INSUMO ALTA TECNOLOGIA"/>
    <x v="3"/>
    <x v="33"/>
    <s v="Caja X 10"/>
    <s v="UND"/>
    <n v="224100"/>
    <n v="224100"/>
    <m/>
    <n v="268920"/>
    <n v="0"/>
    <n v="0"/>
    <n v="0"/>
    <n v="0"/>
    <n v="224100"/>
    <n v="0.2"/>
    <n v="268920"/>
    <n v="0.16666666666666666"/>
    <n v="0"/>
    <n v="0"/>
    <n v="0"/>
    <n v="0"/>
    <n v="0.1"/>
  </r>
  <r>
    <n v="2026"/>
    <x v="6"/>
    <x v="2"/>
    <x v="2"/>
    <m/>
    <m/>
    <s v="INSUMO ALTA TECNOLOGIA"/>
    <x v="3"/>
    <x v="34"/>
    <s v="Caja X 10"/>
    <s v="UND"/>
    <n v="38000"/>
    <n v="38000"/>
    <m/>
    <n v="45600"/>
    <n v="0"/>
    <n v="0"/>
    <n v="0"/>
    <n v="0"/>
    <n v="38000"/>
    <n v="0.2"/>
    <n v="45600"/>
    <n v="0.16666666666666666"/>
    <n v="0"/>
    <n v="0"/>
    <n v="0"/>
    <n v="0"/>
    <n v="0.1"/>
  </r>
  <r>
    <n v="2026"/>
    <x v="6"/>
    <x v="2"/>
    <x v="2"/>
    <m/>
    <m/>
    <s v="INSUMO ALTA TECNOLOGIA"/>
    <x v="3"/>
    <x v="35"/>
    <s v="Caja X 10"/>
    <s v="UND"/>
    <n v="39800"/>
    <n v="39800"/>
    <m/>
    <n v="47760"/>
    <n v="0"/>
    <n v="0"/>
    <n v="0"/>
    <n v="0"/>
    <n v="39800"/>
    <n v="0.2"/>
    <n v="47760"/>
    <n v="0.16666666666666666"/>
    <n v="0"/>
    <n v="0"/>
    <n v="0"/>
    <n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EB67-2831-4FEC-810D-64F2D38A8F7F}" name="UTILIDAD POR TIPO COMPLEJIDAD" cacheId="2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D34:G42" firstHeaderRow="0" firstDataRow="1" firstDataCol="1"/>
  <pivotFields count="2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9" showAll="0"/>
    <pivotField numFmtId="164" showAll="0"/>
    <pivotField dataField="1" numFmtId="9" showAll="0"/>
    <pivotField numFmtId="164" showAll="0"/>
    <pivotField numFmtId="9" showAll="0"/>
    <pivotField numFmtId="164" showAll="0"/>
    <pivotField dataField="1" numFmtId="9" showAll="0"/>
    <pivotField numFmtId="164" showAll="0"/>
    <pivotField numFmtId="9" showAll="0"/>
    <pivotField numFmtId="164" showAll="0"/>
    <pivotField dataField="1" numFmtId="9" showAll="0"/>
    <pivotField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UTILIDAD ALTA COMPLEJIDAD_" fld="18" baseField="1" baseItem="2"/>
    <dataField name="% UTILIDAD MEDIANA COMPLEJIDAD_" fld="22" baseField="1" baseItem="2"/>
    <dataField name="% UTILIDAD BAJA COMPLEJIDAD_" fld="26" baseField="1" baseItem="2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10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265A4-4CD3-4B60-A4B4-54CE0A0E4D35}" name="Costos_por_categoria" cacheId="2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K17:L22" firstHeaderRow="1" firstDataRow="1" firstDataCol="1"/>
  <pivotFields count="28"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COSTO_TOTAL_" fld="12" baseField="7" baseItem="0" numFmtId="16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A0098-5481-45FD-B93A-6788D1519145}" name="TablaDinámica2" cacheId="2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F17:G22" firstHeaderRow="1" firstDataRow="1" firstDataCol="1"/>
  <pivotFields count="28"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a de COSTO_TOTAL" fld="12" baseField="2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FE738-68FC-48C7-91F9-16A4A2EC2180}" name="TablaDinámica3" cacheId="2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Nombre">
  <location ref="E52:G68" firstHeaderRow="0" firstDataRow="1" firstDataCol="1" rowPageCount="3" colPageCount="1"/>
  <pivotFields count="28">
    <pivotField showAll="0"/>
    <pivotField axis="axisPage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showAll="0"/>
    <pivotField axis="axisPage" multipleItemSelectionAllowed="1" showAll="0">
      <items count="5">
        <item h="1" x="1"/>
        <item x="3"/>
        <item h="1" x="2"/>
        <item h="1" x="0"/>
        <item t="default"/>
      </items>
    </pivotField>
    <pivotField showAll="0"/>
    <pivotField dataField="1" showAll="0"/>
    <pivotField showAll="0"/>
    <pivotField axis="axisPage" multipleItemSelectionAllowed="1" showAll="0">
      <items count="5">
        <item h="1" x="0"/>
        <item h="1" x="1"/>
        <item x="3"/>
        <item h="1" x="2"/>
        <item t="default"/>
      </items>
    </pivotField>
    <pivotField axis="axisRow" showAll="0" sortType="descending">
      <items count="37">
        <item x="1"/>
        <item x="17"/>
        <item x="8"/>
        <item x="16"/>
        <item x="5"/>
        <item x="0"/>
        <item x="9"/>
        <item x="3"/>
        <item x="4"/>
        <item x="12"/>
        <item x="2"/>
        <item x="6"/>
        <item x="7"/>
        <item x="11"/>
        <item x="1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5"/>
        <item x="13"/>
        <item x="14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64" showAll="0"/>
    <pivotField numFmtId="164" showAll="0"/>
    <pivotField showAll="0"/>
    <pivotField numFmtId="164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8"/>
  </rowFields>
  <rowItems count="16">
    <i>
      <x v="27"/>
    </i>
    <i>
      <x v="25"/>
    </i>
    <i>
      <x v="24"/>
    </i>
    <i>
      <x v="23"/>
    </i>
    <i>
      <x v="20"/>
    </i>
    <i>
      <x v="22"/>
    </i>
    <i>
      <x v="26"/>
    </i>
    <i>
      <x v="29"/>
    </i>
    <i>
      <x v="28"/>
    </i>
    <i>
      <x v="16"/>
    </i>
    <i>
      <x v="18"/>
    </i>
    <i>
      <x v="15"/>
    </i>
    <i>
      <x v="21"/>
    </i>
    <i>
      <x v="17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3">
    <pageField fld="7" hier="-1"/>
    <pageField fld="3" hier="-1"/>
    <pageField fld="1" hier="-1"/>
  </pageFields>
  <dataFields count="2">
    <dataField name="_" fld="5" baseField="0" baseItem="0"/>
    <dataField name="Costo" fld="12" baseField="8" baseItem="3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B125-E39B-432D-8EA4-3D70ACCD8D44}">
  <dimension ref="A1:N552"/>
  <sheetViews>
    <sheetView workbookViewId="0"/>
  </sheetViews>
  <sheetFormatPr baseColWidth="10" defaultColWidth="9.140625" defaultRowHeight="15"/>
  <cols>
    <col min="3" max="3" width="32" customWidth="1"/>
    <col min="4" max="4" width="35" customWidth="1"/>
    <col min="5" max="5" width="21" customWidth="1"/>
    <col min="6" max="6" width="18" customWidth="1"/>
    <col min="7" max="8" width="24" customWidth="1"/>
    <col min="9" max="9" width="50" customWidth="1"/>
    <col min="10" max="10" width="12" customWidth="1"/>
    <col min="11" max="11" width="17" customWidth="1"/>
    <col min="12" max="12" width="25.28515625" customWidth="1"/>
    <col min="13" max="13" width="22" customWidth="1"/>
    <col min="14" max="14" width="17" customWidth="1"/>
  </cols>
  <sheetData>
    <row r="1" spans="1:14">
      <c r="A1" s="1" t="s">
        <v>168</v>
      </c>
      <c r="B1" s="1" t="s">
        <v>166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>
        <v>2026</v>
      </c>
      <c r="B2" t="s">
        <v>167</v>
      </c>
      <c r="C2" t="s">
        <v>12</v>
      </c>
      <c r="D2" t="s">
        <v>13</v>
      </c>
      <c r="E2">
        <v>1965</v>
      </c>
      <c r="F2">
        <v>30</v>
      </c>
      <c r="G2" t="s">
        <v>14</v>
      </c>
      <c r="H2" t="s">
        <v>14</v>
      </c>
      <c r="I2" t="s">
        <v>15</v>
      </c>
      <c r="J2">
        <v>4</v>
      </c>
      <c r="K2" t="s">
        <v>16</v>
      </c>
      <c r="L2">
        <v>10948</v>
      </c>
      <c r="M2">
        <v>218.96</v>
      </c>
      <c r="N2" t="s">
        <v>17</v>
      </c>
    </row>
    <row r="3" spans="1:14">
      <c r="A3">
        <v>2026</v>
      </c>
      <c r="B3" t="s">
        <v>167</v>
      </c>
      <c r="C3" t="s">
        <v>12</v>
      </c>
      <c r="D3" t="s">
        <v>13</v>
      </c>
      <c r="E3">
        <v>1965</v>
      </c>
      <c r="F3">
        <v>30</v>
      </c>
      <c r="G3" t="s">
        <v>14</v>
      </c>
      <c r="H3" t="s">
        <v>14</v>
      </c>
      <c r="I3" t="s">
        <v>18</v>
      </c>
      <c r="J3">
        <v>1</v>
      </c>
      <c r="K3" t="s">
        <v>16</v>
      </c>
      <c r="L3">
        <v>1086.232</v>
      </c>
      <c r="M3">
        <v>1086.232</v>
      </c>
      <c r="N3" t="s">
        <v>19</v>
      </c>
    </row>
    <row r="4" spans="1:14">
      <c r="A4">
        <v>2026</v>
      </c>
      <c r="B4" t="s">
        <v>167</v>
      </c>
      <c r="C4" t="s">
        <v>12</v>
      </c>
      <c r="D4" t="s">
        <v>13</v>
      </c>
      <c r="E4">
        <v>1965</v>
      </c>
      <c r="F4">
        <v>30</v>
      </c>
      <c r="G4" t="s">
        <v>14</v>
      </c>
      <c r="H4" t="s">
        <v>14</v>
      </c>
      <c r="I4" t="s">
        <v>20</v>
      </c>
      <c r="J4">
        <v>4</v>
      </c>
      <c r="K4" t="s">
        <v>16</v>
      </c>
      <c r="L4">
        <v>370</v>
      </c>
      <c r="M4">
        <v>1480</v>
      </c>
    </row>
    <row r="5" spans="1:14">
      <c r="A5">
        <v>2026</v>
      </c>
      <c r="B5" t="s">
        <v>167</v>
      </c>
      <c r="C5" t="s">
        <v>12</v>
      </c>
      <c r="D5" t="s">
        <v>13</v>
      </c>
      <c r="E5">
        <v>1965</v>
      </c>
      <c r="F5">
        <v>30</v>
      </c>
      <c r="G5" t="s">
        <v>14</v>
      </c>
      <c r="H5" t="s">
        <v>14</v>
      </c>
      <c r="I5" t="s">
        <v>21</v>
      </c>
      <c r="J5">
        <v>1</v>
      </c>
      <c r="K5" t="s">
        <v>16</v>
      </c>
      <c r="L5">
        <v>1965</v>
      </c>
      <c r="M5">
        <v>1965</v>
      </c>
    </row>
    <row r="6" spans="1:14">
      <c r="A6">
        <v>2026</v>
      </c>
      <c r="B6" t="s">
        <v>167</v>
      </c>
      <c r="C6" t="s">
        <v>12</v>
      </c>
      <c r="D6" t="s">
        <v>13</v>
      </c>
      <c r="E6">
        <v>1965</v>
      </c>
      <c r="F6">
        <v>30</v>
      </c>
      <c r="G6" t="s">
        <v>14</v>
      </c>
      <c r="H6" t="s">
        <v>14</v>
      </c>
      <c r="I6" t="s">
        <v>22</v>
      </c>
      <c r="J6">
        <v>1</v>
      </c>
      <c r="K6" t="s">
        <v>16</v>
      </c>
      <c r="N6" t="s">
        <v>23</v>
      </c>
    </row>
    <row r="7" spans="1:14">
      <c r="A7">
        <v>2026</v>
      </c>
      <c r="B7" t="s">
        <v>167</v>
      </c>
      <c r="C7" t="s">
        <v>12</v>
      </c>
      <c r="D7" t="s">
        <v>13</v>
      </c>
      <c r="E7">
        <v>1965</v>
      </c>
      <c r="F7">
        <v>30</v>
      </c>
      <c r="G7" t="s">
        <v>14</v>
      </c>
      <c r="H7" t="s">
        <v>14</v>
      </c>
      <c r="I7" t="s">
        <v>24</v>
      </c>
      <c r="J7">
        <v>0.4</v>
      </c>
      <c r="K7" t="s">
        <v>16</v>
      </c>
      <c r="L7">
        <v>135.66</v>
      </c>
      <c r="M7">
        <v>54.264000000000003</v>
      </c>
    </row>
    <row r="8" spans="1:14">
      <c r="A8">
        <v>2026</v>
      </c>
      <c r="B8" t="s">
        <v>167</v>
      </c>
      <c r="C8" t="s">
        <v>12</v>
      </c>
      <c r="D8" t="s">
        <v>13</v>
      </c>
      <c r="E8">
        <v>1965</v>
      </c>
      <c r="F8">
        <v>30</v>
      </c>
      <c r="G8" t="s">
        <v>14</v>
      </c>
      <c r="H8" t="s">
        <v>14</v>
      </c>
      <c r="I8" t="s">
        <v>25</v>
      </c>
      <c r="J8">
        <v>2</v>
      </c>
      <c r="K8" t="s">
        <v>16</v>
      </c>
      <c r="L8">
        <v>3808</v>
      </c>
      <c r="M8">
        <v>7616</v>
      </c>
    </row>
    <row r="9" spans="1:14">
      <c r="A9">
        <v>2026</v>
      </c>
      <c r="B9" t="s">
        <v>167</v>
      </c>
      <c r="C9" t="s">
        <v>12</v>
      </c>
      <c r="D9" t="s">
        <v>13</v>
      </c>
      <c r="E9">
        <v>1965</v>
      </c>
      <c r="F9">
        <v>30</v>
      </c>
      <c r="G9" t="s">
        <v>14</v>
      </c>
      <c r="H9" t="s">
        <v>14</v>
      </c>
      <c r="I9" t="s">
        <v>26</v>
      </c>
      <c r="J9">
        <v>0.4</v>
      </c>
      <c r="K9" t="s">
        <v>16</v>
      </c>
      <c r="L9">
        <v>111.86</v>
      </c>
      <c r="M9">
        <v>44.744</v>
      </c>
    </row>
    <row r="10" spans="1:14">
      <c r="A10">
        <v>2026</v>
      </c>
      <c r="B10" t="s">
        <v>167</v>
      </c>
      <c r="C10" t="s">
        <v>12</v>
      </c>
      <c r="D10" t="s">
        <v>13</v>
      </c>
      <c r="E10">
        <v>1965</v>
      </c>
      <c r="F10">
        <v>30</v>
      </c>
      <c r="G10" t="s">
        <v>14</v>
      </c>
      <c r="H10" t="s">
        <v>14</v>
      </c>
      <c r="I10" t="s">
        <v>27</v>
      </c>
      <c r="J10">
        <v>2</v>
      </c>
      <c r="K10" t="s">
        <v>16</v>
      </c>
    </row>
    <row r="11" spans="1:14">
      <c r="A11">
        <v>2026</v>
      </c>
      <c r="B11" t="s">
        <v>167</v>
      </c>
      <c r="C11" t="s">
        <v>12</v>
      </c>
      <c r="D11" t="s">
        <v>13</v>
      </c>
      <c r="E11">
        <v>1965</v>
      </c>
      <c r="F11">
        <v>30</v>
      </c>
      <c r="G11" t="s">
        <v>14</v>
      </c>
      <c r="H11" t="s">
        <v>14</v>
      </c>
      <c r="I11" t="s">
        <v>28</v>
      </c>
      <c r="J11">
        <v>2</v>
      </c>
      <c r="K11" t="s">
        <v>16</v>
      </c>
      <c r="L11">
        <v>17888.080000000002</v>
      </c>
      <c r="M11">
        <v>357.76159999999999</v>
      </c>
    </row>
    <row r="12" spans="1:14">
      <c r="A12">
        <v>2026</v>
      </c>
      <c r="B12" t="s">
        <v>167</v>
      </c>
      <c r="C12" t="s">
        <v>12</v>
      </c>
      <c r="D12" t="s">
        <v>13</v>
      </c>
      <c r="E12">
        <v>1965</v>
      </c>
      <c r="F12">
        <v>30</v>
      </c>
      <c r="G12" t="s">
        <v>14</v>
      </c>
      <c r="H12" t="s">
        <v>14</v>
      </c>
      <c r="I12" t="s">
        <v>29</v>
      </c>
      <c r="J12">
        <v>1</v>
      </c>
      <c r="K12" t="s">
        <v>16</v>
      </c>
      <c r="L12">
        <v>337.3837894736842</v>
      </c>
      <c r="M12">
        <v>337.3837894736842</v>
      </c>
    </row>
    <row r="13" spans="1:14">
      <c r="A13">
        <v>2026</v>
      </c>
      <c r="B13" t="s">
        <v>167</v>
      </c>
      <c r="C13" t="s">
        <v>12</v>
      </c>
      <c r="D13" t="s">
        <v>13</v>
      </c>
      <c r="E13">
        <v>1965</v>
      </c>
      <c r="F13">
        <v>30</v>
      </c>
      <c r="G13" t="s">
        <v>14</v>
      </c>
      <c r="H13" t="s">
        <v>14</v>
      </c>
      <c r="I13" t="s">
        <v>30</v>
      </c>
      <c r="J13">
        <v>1</v>
      </c>
      <c r="K13" t="s">
        <v>16</v>
      </c>
      <c r="L13">
        <v>1843.333333333333</v>
      </c>
      <c r="M13">
        <v>1843.333333333333</v>
      </c>
    </row>
    <row r="14" spans="1:14">
      <c r="A14">
        <v>2026</v>
      </c>
      <c r="B14" t="s">
        <v>167</v>
      </c>
      <c r="C14" t="s">
        <v>12</v>
      </c>
      <c r="D14" t="s">
        <v>13</v>
      </c>
      <c r="E14">
        <v>1965</v>
      </c>
      <c r="F14">
        <v>30</v>
      </c>
      <c r="G14" t="s">
        <v>14</v>
      </c>
      <c r="H14" t="s">
        <v>14</v>
      </c>
      <c r="I14" t="s">
        <v>31</v>
      </c>
      <c r="J14">
        <v>1</v>
      </c>
      <c r="K14" t="s">
        <v>16</v>
      </c>
      <c r="L14">
        <v>2346</v>
      </c>
      <c r="M14">
        <v>2346</v>
      </c>
    </row>
    <row r="15" spans="1:14">
      <c r="A15">
        <v>2026</v>
      </c>
      <c r="B15" t="s">
        <v>167</v>
      </c>
      <c r="C15" t="s">
        <v>12</v>
      </c>
      <c r="D15" t="s">
        <v>13</v>
      </c>
      <c r="E15">
        <v>1965</v>
      </c>
      <c r="F15">
        <v>30</v>
      </c>
      <c r="G15" t="s">
        <v>32</v>
      </c>
      <c r="H15" t="s">
        <v>32</v>
      </c>
      <c r="I15" t="s">
        <v>33</v>
      </c>
      <c r="J15">
        <v>30</v>
      </c>
      <c r="K15" t="s">
        <v>38</v>
      </c>
    </row>
    <row r="16" spans="1:14">
      <c r="A16">
        <v>2026</v>
      </c>
      <c r="B16" t="s">
        <v>167</v>
      </c>
      <c r="C16" t="s">
        <v>12</v>
      </c>
      <c r="D16" t="s">
        <v>13</v>
      </c>
      <c r="E16">
        <v>1965</v>
      </c>
      <c r="F16">
        <v>30</v>
      </c>
      <c r="G16" t="s">
        <v>32</v>
      </c>
      <c r="H16" t="s">
        <v>32</v>
      </c>
      <c r="I16" t="s">
        <v>35</v>
      </c>
      <c r="J16">
        <v>30</v>
      </c>
      <c r="K16" t="s">
        <v>38</v>
      </c>
    </row>
    <row r="17" spans="1:13">
      <c r="A17">
        <v>2026</v>
      </c>
      <c r="B17" t="s">
        <v>167</v>
      </c>
      <c r="C17" t="s">
        <v>12</v>
      </c>
      <c r="D17" t="s">
        <v>13</v>
      </c>
      <c r="E17">
        <v>1965</v>
      </c>
      <c r="F17">
        <v>30</v>
      </c>
      <c r="G17" t="s">
        <v>36</v>
      </c>
      <c r="H17" t="s">
        <v>36</v>
      </c>
      <c r="I17" t="s">
        <v>37</v>
      </c>
      <c r="J17">
        <v>30</v>
      </c>
      <c r="K17" t="s">
        <v>38</v>
      </c>
      <c r="M17">
        <v>12657</v>
      </c>
    </row>
    <row r="18" spans="1:13">
      <c r="A18">
        <v>2026</v>
      </c>
      <c r="B18" t="s">
        <v>167</v>
      </c>
      <c r="C18" t="s">
        <v>12</v>
      </c>
      <c r="D18" t="s">
        <v>13</v>
      </c>
      <c r="E18">
        <v>360001</v>
      </c>
      <c r="G18" t="s">
        <v>14</v>
      </c>
      <c r="H18" t="s">
        <v>14</v>
      </c>
      <c r="I18" t="s">
        <v>63</v>
      </c>
      <c r="K18" t="s">
        <v>158</v>
      </c>
      <c r="M18">
        <v>893800</v>
      </c>
    </row>
    <row r="19" spans="1:13">
      <c r="A19">
        <v>2026</v>
      </c>
      <c r="B19" t="s">
        <v>167</v>
      </c>
      <c r="C19" t="s">
        <v>12</v>
      </c>
      <c r="D19" t="s">
        <v>13</v>
      </c>
      <c r="E19">
        <v>360102</v>
      </c>
      <c r="G19" t="s">
        <v>14</v>
      </c>
      <c r="H19" t="s">
        <v>14</v>
      </c>
      <c r="I19" t="s">
        <v>64</v>
      </c>
      <c r="K19" t="s">
        <v>158</v>
      </c>
      <c r="M19">
        <v>251100</v>
      </c>
    </row>
    <row r="20" spans="1:13">
      <c r="A20">
        <v>2026</v>
      </c>
      <c r="B20" t="s">
        <v>167</v>
      </c>
      <c r="C20" t="s">
        <v>12</v>
      </c>
      <c r="D20" t="s">
        <v>13</v>
      </c>
      <c r="E20">
        <v>360104</v>
      </c>
      <c r="G20" t="s">
        <v>14</v>
      </c>
      <c r="H20" t="s">
        <v>14</v>
      </c>
      <c r="I20" t="s">
        <v>65</v>
      </c>
      <c r="K20" t="s">
        <v>158</v>
      </c>
      <c r="M20">
        <v>261100</v>
      </c>
    </row>
    <row r="21" spans="1:13">
      <c r="A21">
        <v>2026</v>
      </c>
      <c r="B21" t="s">
        <v>167</v>
      </c>
      <c r="C21" t="s">
        <v>12</v>
      </c>
      <c r="D21" t="s">
        <v>13</v>
      </c>
      <c r="E21">
        <v>360100</v>
      </c>
      <c r="G21" t="s">
        <v>14</v>
      </c>
      <c r="H21" t="s">
        <v>14</v>
      </c>
      <c r="I21" t="s">
        <v>66</v>
      </c>
      <c r="K21" t="s">
        <v>158</v>
      </c>
      <c r="M21">
        <v>80300</v>
      </c>
    </row>
    <row r="22" spans="1:13">
      <c r="A22">
        <v>2026</v>
      </c>
      <c r="B22" t="s">
        <v>167</v>
      </c>
      <c r="C22" t="s">
        <v>12</v>
      </c>
      <c r="D22" t="s">
        <v>13</v>
      </c>
      <c r="E22">
        <v>360150</v>
      </c>
      <c r="G22" t="s">
        <v>14</v>
      </c>
      <c r="H22" t="s">
        <v>14</v>
      </c>
      <c r="I22" t="s">
        <v>67</v>
      </c>
      <c r="K22" t="s">
        <v>158</v>
      </c>
      <c r="M22">
        <v>76800</v>
      </c>
    </row>
    <row r="23" spans="1:13">
      <c r="A23">
        <v>2026</v>
      </c>
      <c r="B23" t="s">
        <v>167</v>
      </c>
      <c r="C23" t="s">
        <v>12</v>
      </c>
      <c r="D23" t="s">
        <v>13</v>
      </c>
      <c r="E23">
        <v>360101</v>
      </c>
      <c r="G23" t="s">
        <v>14</v>
      </c>
      <c r="H23" t="s">
        <v>14</v>
      </c>
      <c r="I23" t="s">
        <v>68</v>
      </c>
      <c r="K23" t="s">
        <v>158</v>
      </c>
      <c r="M23">
        <v>140600</v>
      </c>
    </row>
    <row r="24" spans="1:13">
      <c r="A24">
        <v>2026</v>
      </c>
      <c r="B24" t="s">
        <v>167</v>
      </c>
      <c r="C24" t="s">
        <v>12</v>
      </c>
      <c r="D24" t="s">
        <v>13</v>
      </c>
      <c r="E24">
        <v>360103</v>
      </c>
      <c r="G24" t="s">
        <v>14</v>
      </c>
      <c r="H24" t="s">
        <v>14</v>
      </c>
      <c r="I24" t="s">
        <v>69</v>
      </c>
      <c r="K24" t="s">
        <v>158</v>
      </c>
      <c r="M24">
        <v>150600</v>
      </c>
    </row>
    <row r="25" spans="1:13">
      <c r="A25">
        <v>2026</v>
      </c>
      <c r="B25" t="s">
        <v>167</v>
      </c>
      <c r="C25" t="s">
        <v>12</v>
      </c>
      <c r="D25" t="s">
        <v>13</v>
      </c>
      <c r="E25">
        <v>709900</v>
      </c>
      <c r="G25" t="s">
        <v>14</v>
      </c>
      <c r="H25" t="s">
        <v>14</v>
      </c>
      <c r="I25" t="s">
        <v>70</v>
      </c>
      <c r="K25" t="s">
        <v>159</v>
      </c>
      <c r="M25">
        <v>13500</v>
      </c>
    </row>
    <row r="26" spans="1:13">
      <c r="A26">
        <v>2026</v>
      </c>
      <c r="B26" t="s">
        <v>167</v>
      </c>
      <c r="C26" t="s">
        <v>12</v>
      </c>
      <c r="D26" t="s">
        <v>13</v>
      </c>
      <c r="E26">
        <v>709902</v>
      </c>
      <c r="G26" t="s">
        <v>14</v>
      </c>
      <c r="H26" t="s">
        <v>14</v>
      </c>
      <c r="I26" t="s">
        <v>71</v>
      </c>
      <c r="K26" t="s">
        <v>159</v>
      </c>
      <c r="M26">
        <v>28800</v>
      </c>
    </row>
    <row r="27" spans="1:13">
      <c r="A27">
        <v>2026</v>
      </c>
      <c r="B27" t="s">
        <v>167</v>
      </c>
      <c r="C27" t="s">
        <v>12</v>
      </c>
      <c r="D27" t="s">
        <v>13</v>
      </c>
      <c r="E27">
        <v>709903</v>
      </c>
      <c r="G27" t="s">
        <v>14</v>
      </c>
      <c r="H27" t="s">
        <v>14</v>
      </c>
      <c r="I27" t="s">
        <v>72</v>
      </c>
      <c r="K27" t="s">
        <v>159</v>
      </c>
      <c r="M27">
        <v>63400</v>
      </c>
    </row>
    <row r="28" spans="1:13">
      <c r="A28">
        <v>2026</v>
      </c>
      <c r="B28" t="s">
        <v>167</v>
      </c>
      <c r="C28" t="s">
        <v>12</v>
      </c>
      <c r="D28" t="s">
        <v>13</v>
      </c>
      <c r="E28">
        <v>709909</v>
      </c>
      <c r="G28" t="s">
        <v>14</v>
      </c>
      <c r="H28" t="s">
        <v>14</v>
      </c>
      <c r="I28" t="s">
        <v>73</v>
      </c>
      <c r="K28" t="s">
        <v>160</v>
      </c>
      <c r="M28">
        <v>38400</v>
      </c>
    </row>
    <row r="29" spans="1:13">
      <c r="A29">
        <v>2026</v>
      </c>
      <c r="B29" t="s">
        <v>167</v>
      </c>
      <c r="C29" t="s">
        <v>12</v>
      </c>
      <c r="D29" t="s">
        <v>13</v>
      </c>
      <c r="E29">
        <v>709904</v>
      </c>
      <c r="G29" t="s">
        <v>14</v>
      </c>
      <c r="H29" t="s">
        <v>14</v>
      </c>
      <c r="I29" t="s">
        <v>74</v>
      </c>
      <c r="K29" t="s">
        <v>160</v>
      </c>
      <c r="M29">
        <v>169000</v>
      </c>
    </row>
    <row r="30" spans="1:13">
      <c r="A30">
        <v>2026</v>
      </c>
      <c r="B30" t="s">
        <v>167</v>
      </c>
      <c r="C30" t="s">
        <v>12</v>
      </c>
      <c r="D30" t="s">
        <v>13</v>
      </c>
      <c r="E30">
        <v>603421</v>
      </c>
      <c r="G30" t="s">
        <v>14</v>
      </c>
      <c r="H30" t="s">
        <v>14</v>
      </c>
      <c r="I30" t="s">
        <v>75</v>
      </c>
      <c r="K30" t="s">
        <v>159</v>
      </c>
      <c r="M30">
        <v>24200</v>
      </c>
    </row>
    <row r="31" spans="1:13">
      <c r="A31">
        <v>2026</v>
      </c>
      <c r="B31" t="s">
        <v>167</v>
      </c>
      <c r="C31" t="s">
        <v>12</v>
      </c>
      <c r="D31" t="s">
        <v>13</v>
      </c>
      <c r="E31">
        <v>603422</v>
      </c>
      <c r="G31" t="s">
        <v>14</v>
      </c>
      <c r="H31" t="s">
        <v>14</v>
      </c>
      <c r="I31" t="s">
        <v>76</v>
      </c>
      <c r="K31" t="s">
        <v>159</v>
      </c>
      <c r="M31">
        <v>36700</v>
      </c>
    </row>
    <row r="32" spans="1:13">
      <c r="A32">
        <v>2026</v>
      </c>
      <c r="B32" t="s">
        <v>167</v>
      </c>
      <c r="C32" t="s">
        <v>12</v>
      </c>
      <c r="D32" t="s">
        <v>13</v>
      </c>
      <c r="E32">
        <v>603423</v>
      </c>
      <c r="G32" t="s">
        <v>14</v>
      </c>
      <c r="H32" t="s">
        <v>14</v>
      </c>
      <c r="I32" t="s">
        <v>77</v>
      </c>
      <c r="K32" t="s">
        <v>159</v>
      </c>
      <c r="M32">
        <v>91800</v>
      </c>
    </row>
    <row r="33" spans="1:13">
      <c r="A33">
        <v>2026</v>
      </c>
      <c r="B33" t="s">
        <v>167</v>
      </c>
      <c r="C33" t="s">
        <v>12</v>
      </c>
      <c r="D33" t="s">
        <v>13</v>
      </c>
      <c r="E33">
        <v>603420</v>
      </c>
      <c r="G33" t="s">
        <v>14</v>
      </c>
      <c r="H33" t="s">
        <v>14</v>
      </c>
      <c r="I33" t="s">
        <v>78</v>
      </c>
      <c r="K33" t="s">
        <v>160</v>
      </c>
      <c r="M33">
        <v>72300</v>
      </c>
    </row>
    <row r="34" spans="1:13">
      <c r="A34">
        <v>2026</v>
      </c>
      <c r="B34" t="s">
        <v>167</v>
      </c>
      <c r="C34" t="s">
        <v>12</v>
      </c>
      <c r="D34" t="s">
        <v>13</v>
      </c>
      <c r="E34">
        <v>603424</v>
      </c>
      <c r="G34" t="s">
        <v>14</v>
      </c>
      <c r="H34" t="s">
        <v>14</v>
      </c>
      <c r="I34" t="s">
        <v>79</v>
      </c>
      <c r="K34" t="s">
        <v>160</v>
      </c>
      <c r="M34">
        <v>215000</v>
      </c>
    </row>
    <row r="35" spans="1:13">
      <c r="A35">
        <v>2026</v>
      </c>
      <c r="B35" t="s">
        <v>167</v>
      </c>
      <c r="C35" t="s">
        <v>12</v>
      </c>
      <c r="D35" t="s">
        <v>13</v>
      </c>
      <c r="E35">
        <v>583300</v>
      </c>
      <c r="G35" t="s">
        <v>14</v>
      </c>
      <c r="H35" t="s">
        <v>14</v>
      </c>
      <c r="I35" t="s">
        <v>80</v>
      </c>
      <c r="K35" t="s">
        <v>161</v>
      </c>
      <c r="M35">
        <v>37700</v>
      </c>
    </row>
    <row r="36" spans="1:13">
      <c r="A36">
        <v>2026</v>
      </c>
      <c r="B36" t="s">
        <v>167</v>
      </c>
      <c r="C36" t="s">
        <v>12</v>
      </c>
      <c r="D36" t="s">
        <v>13</v>
      </c>
      <c r="E36">
        <v>583400</v>
      </c>
      <c r="G36" t="s">
        <v>14</v>
      </c>
      <c r="H36" t="s">
        <v>14</v>
      </c>
      <c r="I36" t="s">
        <v>81</v>
      </c>
      <c r="K36" t="s">
        <v>161</v>
      </c>
      <c r="M36">
        <v>38600</v>
      </c>
    </row>
    <row r="37" spans="1:13">
      <c r="A37">
        <v>2026</v>
      </c>
      <c r="B37" t="s">
        <v>167</v>
      </c>
      <c r="C37" t="s">
        <v>12</v>
      </c>
      <c r="D37" t="s">
        <v>13</v>
      </c>
      <c r="E37">
        <v>583500</v>
      </c>
      <c r="G37" t="s">
        <v>14</v>
      </c>
      <c r="H37" t="s">
        <v>14</v>
      </c>
      <c r="I37" t="s">
        <v>82</v>
      </c>
      <c r="K37" t="s">
        <v>161</v>
      </c>
      <c r="M37">
        <v>17300</v>
      </c>
    </row>
    <row r="38" spans="1:13">
      <c r="A38">
        <v>2026</v>
      </c>
      <c r="B38" t="s">
        <v>167</v>
      </c>
      <c r="C38" t="s">
        <v>12</v>
      </c>
      <c r="D38" t="s">
        <v>13</v>
      </c>
      <c r="E38">
        <v>595200</v>
      </c>
      <c r="G38" t="s">
        <v>14</v>
      </c>
      <c r="H38" t="s">
        <v>14</v>
      </c>
      <c r="I38" t="s">
        <v>83</v>
      </c>
      <c r="K38" t="s">
        <v>161</v>
      </c>
      <c r="M38">
        <v>16200</v>
      </c>
    </row>
    <row r="39" spans="1:13">
      <c r="A39">
        <v>2026</v>
      </c>
      <c r="B39" t="s">
        <v>167</v>
      </c>
      <c r="C39" t="s">
        <v>12</v>
      </c>
      <c r="D39" t="s">
        <v>13</v>
      </c>
      <c r="E39">
        <v>595300</v>
      </c>
      <c r="G39" t="s">
        <v>14</v>
      </c>
      <c r="H39" t="s">
        <v>14</v>
      </c>
      <c r="I39" t="s">
        <v>84</v>
      </c>
      <c r="K39" t="s">
        <v>161</v>
      </c>
      <c r="M39">
        <v>20300</v>
      </c>
    </row>
    <row r="40" spans="1:13">
      <c r="A40">
        <v>2026</v>
      </c>
      <c r="B40" t="s">
        <v>167</v>
      </c>
      <c r="C40" t="s">
        <v>12</v>
      </c>
      <c r="D40" t="s">
        <v>13</v>
      </c>
      <c r="E40">
        <v>595400</v>
      </c>
      <c r="G40" t="s">
        <v>14</v>
      </c>
      <c r="H40" t="s">
        <v>14</v>
      </c>
      <c r="I40" t="s">
        <v>85</v>
      </c>
      <c r="K40" t="s">
        <v>161</v>
      </c>
      <c r="M40">
        <v>29900</v>
      </c>
    </row>
    <row r="41" spans="1:13">
      <c r="A41">
        <v>2026</v>
      </c>
      <c r="B41" t="s">
        <v>167</v>
      </c>
      <c r="C41" t="s">
        <v>12</v>
      </c>
      <c r="D41" t="s">
        <v>13</v>
      </c>
      <c r="E41">
        <v>595600</v>
      </c>
      <c r="G41" t="s">
        <v>14</v>
      </c>
      <c r="H41" t="s">
        <v>14</v>
      </c>
      <c r="I41" t="s">
        <v>86</v>
      </c>
      <c r="K41" t="s">
        <v>161</v>
      </c>
      <c r="M41">
        <v>50800</v>
      </c>
    </row>
    <row r="42" spans="1:13">
      <c r="A42">
        <v>2026</v>
      </c>
      <c r="B42" t="s">
        <v>167</v>
      </c>
      <c r="C42" t="s">
        <v>12</v>
      </c>
      <c r="D42" t="s">
        <v>13</v>
      </c>
      <c r="E42">
        <v>581011</v>
      </c>
      <c r="G42" t="s">
        <v>14</v>
      </c>
      <c r="H42" t="s">
        <v>14</v>
      </c>
      <c r="I42" t="s">
        <v>87</v>
      </c>
      <c r="K42" t="s">
        <v>159</v>
      </c>
      <c r="M42">
        <v>4300</v>
      </c>
    </row>
    <row r="43" spans="1:13">
      <c r="A43">
        <v>2026</v>
      </c>
      <c r="B43" t="s">
        <v>167</v>
      </c>
      <c r="C43" t="s">
        <v>12</v>
      </c>
      <c r="D43" t="s">
        <v>13</v>
      </c>
      <c r="E43">
        <v>581100</v>
      </c>
      <c r="G43" t="s">
        <v>14</v>
      </c>
      <c r="H43" t="s">
        <v>14</v>
      </c>
      <c r="I43" t="s">
        <v>88</v>
      </c>
      <c r="K43" t="s">
        <v>159</v>
      </c>
      <c r="M43">
        <v>16400</v>
      </c>
    </row>
    <row r="44" spans="1:13">
      <c r="A44">
        <v>2026</v>
      </c>
      <c r="B44" t="s">
        <v>167</v>
      </c>
      <c r="C44" t="s">
        <v>12</v>
      </c>
      <c r="D44" t="s">
        <v>13</v>
      </c>
      <c r="E44">
        <v>581200</v>
      </c>
      <c r="G44" t="s">
        <v>14</v>
      </c>
      <c r="H44" t="s">
        <v>14</v>
      </c>
      <c r="I44" t="s">
        <v>89</v>
      </c>
      <c r="K44" t="s">
        <v>160</v>
      </c>
      <c r="M44">
        <v>13500</v>
      </c>
    </row>
    <row r="45" spans="1:13">
      <c r="A45">
        <v>2026</v>
      </c>
      <c r="B45" t="s">
        <v>167</v>
      </c>
      <c r="C45" t="s">
        <v>12</v>
      </c>
      <c r="D45" t="s">
        <v>13</v>
      </c>
      <c r="E45">
        <v>581300</v>
      </c>
      <c r="G45" t="s">
        <v>14</v>
      </c>
      <c r="H45" t="s">
        <v>14</v>
      </c>
      <c r="I45" t="s">
        <v>90</v>
      </c>
      <c r="K45" t="s">
        <v>160</v>
      </c>
      <c r="M45">
        <v>16400</v>
      </c>
    </row>
    <row r="46" spans="1:13">
      <c r="A46">
        <v>2026</v>
      </c>
      <c r="B46" t="s">
        <v>167</v>
      </c>
      <c r="C46" t="s">
        <v>12</v>
      </c>
      <c r="D46" t="s">
        <v>13</v>
      </c>
      <c r="E46">
        <v>581500</v>
      </c>
      <c r="G46" t="s">
        <v>14</v>
      </c>
      <c r="H46" t="s">
        <v>14</v>
      </c>
      <c r="I46" t="s">
        <v>91</v>
      </c>
      <c r="K46" t="s">
        <v>160</v>
      </c>
      <c r="M46">
        <v>28000</v>
      </c>
    </row>
    <row r="47" spans="1:13">
      <c r="A47">
        <v>2026</v>
      </c>
      <c r="B47" t="s">
        <v>167</v>
      </c>
      <c r="C47" t="s">
        <v>12</v>
      </c>
      <c r="D47" t="s">
        <v>13</v>
      </c>
      <c r="E47">
        <v>282790</v>
      </c>
      <c r="G47" t="s">
        <v>14</v>
      </c>
      <c r="H47" t="s">
        <v>14</v>
      </c>
      <c r="I47" t="s">
        <v>92</v>
      </c>
      <c r="K47" t="s">
        <v>162</v>
      </c>
      <c r="M47">
        <v>87800</v>
      </c>
    </row>
    <row r="48" spans="1:13">
      <c r="A48">
        <v>2026</v>
      </c>
      <c r="B48" t="s">
        <v>167</v>
      </c>
      <c r="C48" t="s">
        <v>12</v>
      </c>
      <c r="D48" t="s">
        <v>13</v>
      </c>
      <c r="E48">
        <v>282055</v>
      </c>
      <c r="G48" t="s">
        <v>14</v>
      </c>
      <c r="H48" t="s">
        <v>14</v>
      </c>
      <c r="I48" t="s">
        <v>93</v>
      </c>
      <c r="K48" t="s">
        <v>159</v>
      </c>
      <c r="M48">
        <v>62200</v>
      </c>
    </row>
    <row r="49" spans="1:13">
      <c r="A49">
        <v>2026</v>
      </c>
      <c r="B49" t="s">
        <v>167</v>
      </c>
      <c r="C49" t="s">
        <v>12</v>
      </c>
      <c r="D49" t="s">
        <v>13</v>
      </c>
      <c r="E49">
        <v>282455</v>
      </c>
      <c r="G49" t="s">
        <v>14</v>
      </c>
      <c r="H49" t="s">
        <v>14</v>
      </c>
      <c r="I49" t="s">
        <v>94</v>
      </c>
      <c r="K49" t="s">
        <v>159</v>
      </c>
      <c r="M49">
        <v>100100</v>
      </c>
    </row>
    <row r="50" spans="1:13">
      <c r="A50">
        <v>2026</v>
      </c>
      <c r="B50" t="s">
        <v>167</v>
      </c>
      <c r="C50" t="s">
        <v>12</v>
      </c>
      <c r="D50" t="s">
        <v>13</v>
      </c>
      <c r="E50">
        <v>294199</v>
      </c>
      <c r="G50" t="s">
        <v>14</v>
      </c>
      <c r="H50" t="s">
        <v>14</v>
      </c>
      <c r="I50" t="s">
        <v>95</v>
      </c>
      <c r="K50" t="s">
        <v>160</v>
      </c>
      <c r="M50">
        <v>17300</v>
      </c>
    </row>
    <row r="51" spans="1:13">
      <c r="A51">
        <v>2026</v>
      </c>
      <c r="B51" t="s">
        <v>167</v>
      </c>
      <c r="C51" t="s">
        <v>12</v>
      </c>
      <c r="D51" t="s">
        <v>13</v>
      </c>
      <c r="E51">
        <v>294299</v>
      </c>
      <c r="G51" t="s">
        <v>14</v>
      </c>
      <c r="H51" t="s">
        <v>14</v>
      </c>
      <c r="I51" t="s">
        <v>96</v>
      </c>
      <c r="K51" t="s">
        <v>160</v>
      </c>
      <c r="M51">
        <v>29000</v>
      </c>
    </row>
    <row r="52" spans="1:13">
      <c r="A52">
        <v>2026</v>
      </c>
      <c r="B52" t="s">
        <v>167</v>
      </c>
      <c r="C52" t="s">
        <v>12</v>
      </c>
      <c r="D52" t="s">
        <v>13</v>
      </c>
      <c r="E52">
        <v>294399</v>
      </c>
      <c r="G52" t="s">
        <v>14</v>
      </c>
      <c r="H52" t="s">
        <v>14</v>
      </c>
      <c r="I52" t="s">
        <v>97</v>
      </c>
      <c r="K52" t="s">
        <v>160</v>
      </c>
      <c r="M52">
        <v>36700</v>
      </c>
    </row>
    <row r="53" spans="1:13">
      <c r="A53">
        <v>2026</v>
      </c>
      <c r="B53" t="s">
        <v>167</v>
      </c>
      <c r="C53" t="s">
        <v>12</v>
      </c>
      <c r="D53" t="s">
        <v>13</v>
      </c>
      <c r="E53">
        <v>294499</v>
      </c>
      <c r="G53" t="s">
        <v>14</v>
      </c>
      <c r="H53" t="s">
        <v>14</v>
      </c>
      <c r="I53" t="s">
        <v>98</v>
      </c>
      <c r="K53" t="s">
        <v>160</v>
      </c>
      <c r="M53">
        <v>75900</v>
      </c>
    </row>
    <row r="54" spans="1:13">
      <c r="A54">
        <v>2026</v>
      </c>
      <c r="B54" t="s">
        <v>167</v>
      </c>
      <c r="C54" t="s">
        <v>12</v>
      </c>
      <c r="D54" t="s">
        <v>13</v>
      </c>
      <c r="E54">
        <v>294500</v>
      </c>
      <c r="G54" t="s">
        <v>14</v>
      </c>
      <c r="H54" t="s">
        <v>14</v>
      </c>
      <c r="I54" t="s">
        <v>99</v>
      </c>
      <c r="K54" t="s">
        <v>163</v>
      </c>
      <c r="M54">
        <v>164200</v>
      </c>
    </row>
    <row r="55" spans="1:13">
      <c r="A55">
        <v>2026</v>
      </c>
      <c r="B55" t="s">
        <v>167</v>
      </c>
      <c r="C55" t="s">
        <v>12</v>
      </c>
      <c r="D55" t="s">
        <v>13</v>
      </c>
      <c r="E55">
        <v>288100</v>
      </c>
      <c r="G55" t="s">
        <v>14</v>
      </c>
      <c r="H55" t="s">
        <v>14</v>
      </c>
      <c r="I55" t="s">
        <v>100</v>
      </c>
      <c r="K55" t="s">
        <v>160</v>
      </c>
      <c r="M55">
        <v>62800</v>
      </c>
    </row>
    <row r="56" spans="1:13">
      <c r="A56">
        <v>2026</v>
      </c>
      <c r="B56" t="s">
        <v>167</v>
      </c>
      <c r="C56" t="s">
        <v>12</v>
      </c>
      <c r="D56" t="s">
        <v>13</v>
      </c>
      <c r="E56">
        <v>284090</v>
      </c>
      <c r="G56" t="s">
        <v>14</v>
      </c>
      <c r="H56" t="s">
        <v>14</v>
      </c>
      <c r="I56" t="s">
        <v>101</v>
      </c>
      <c r="K56" t="s">
        <v>160</v>
      </c>
      <c r="M56">
        <v>15900</v>
      </c>
    </row>
    <row r="57" spans="1:13">
      <c r="A57">
        <v>2026</v>
      </c>
      <c r="B57" t="s">
        <v>167</v>
      </c>
      <c r="C57" t="s">
        <v>12</v>
      </c>
      <c r="D57" t="s">
        <v>13</v>
      </c>
      <c r="E57">
        <v>284190</v>
      </c>
      <c r="G57" t="s">
        <v>14</v>
      </c>
      <c r="H57" t="s">
        <v>14</v>
      </c>
      <c r="I57" t="s">
        <v>102</v>
      </c>
      <c r="K57" t="s">
        <v>160</v>
      </c>
      <c r="M57">
        <v>16900</v>
      </c>
    </row>
    <row r="58" spans="1:13">
      <c r="A58">
        <v>2026</v>
      </c>
      <c r="B58" t="s">
        <v>167</v>
      </c>
      <c r="C58" t="s">
        <v>12</v>
      </c>
      <c r="D58" t="s">
        <v>13</v>
      </c>
      <c r="E58">
        <v>284390</v>
      </c>
      <c r="G58" t="s">
        <v>14</v>
      </c>
      <c r="H58" t="s">
        <v>14</v>
      </c>
      <c r="I58" t="s">
        <v>103</v>
      </c>
      <c r="K58" t="s">
        <v>160</v>
      </c>
      <c r="M58">
        <v>21900</v>
      </c>
    </row>
    <row r="59" spans="1:13">
      <c r="A59">
        <v>2026</v>
      </c>
      <c r="B59" t="s">
        <v>167</v>
      </c>
      <c r="C59" t="s">
        <v>12</v>
      </c>
      <c r="D59" t="s">
        <v>13</v>
      </c>
      <c r="E59">
        <v>284599</v>
      </c>
      <c r="G59" t="s">
        <v>14</v>
      </c>
      <c r="H59" t="s">
        <v>14</v>
      </c>
      <c r="I59" t="s">
        <v>104</v>
      </c>
      <c r="K59" t="s">
        <v>164</v>
      </c>
      <c r="M59">
        <v>125300</v>
      </c>
    </row>
    <row r="60" spans="1:13">
      <c r="A60">
        <v>2026</v>
      </c>
      <c r="B60" t="s">
        <v>167</v>
      </c>
      <c r="C60" t="s">
        <v>12</v>
      </c>
      <c r="D60" t="s">
        <v>13</v>
      </c>
      <c r="E60">
        <v>287100</v>
      </c>
      <c r="G60" t="s">
        <v>14</v>
      </c>
      <c r="H60" t="s">
        <v>14</v>
      </c>
      <c r="I60" t="s">
        <v>105</v>
      </c>
      <c r="K60" t="s">
        <v>160</v>
      </c>
      <c r="M60">
        <v>38600</v>
      </c>
    </row>
    <row r="61" spans="1:13">
      <c r="A61">
        <v>2026</v>
      </c>
      <c r="B61" t="s">
        <v>167</v>
      </c>
      <c r="C61" t="s">
        <v>12</v>
      </c>
      <c r="D61" t="s">
        <v>13</v>
      </c>
      <c r="E61">
        <v>287200</v>
      </c>
      <c r="G61" t="s">
        <v>14</v>
      </c>
      <c r="H61" t="s">
        <v>14</v>
      </c>
      <c r="I61" t="s">
        <v>106</v>
      </c>
      <c r="K61" t="s">
        <v>160</v>
      </c>
      <c r="M61">
        <v>107200</v>
      </c>
    </row>
    <row r="62" spans="1:13">
      <c r="A62">
        <v>2026</v>
      </c>
      <c r="B62" t="s">
        <v>167</v>
      </c>
      <c r="C62" t="s">
        <v>12</v>
      </c>
      <c r="D62" t="s">
        <v>13</v>
      </c>
      <c r="E62">
        <v>287300</v>
      </c>
      <c r="G62" t="s">
        <v>14</v>
      </c>
      <c r="H62" t="s">
        <v>14</v>
      </c>
      <c r="I62" t="s">
        <v>107</v>
      </c>
      <c r="K62" t="s">
        <v>160</v>
      </c>
      <c r="M62">
        <v>114900</v>
      </c>
    </row>
    <row r="63" spans="1:13">
      <c r="A63">
        <v>2026</v>
      </c>
      <c r="B63" t="s">
        <v>167</v>
      </c>
      <c r="C63" t="s">
        <v>12</v>
      </c>
      <c r="D63" t="s">
        <v>13</v>
      </c>
      <c r="E63">
        <v>287400</v>
      </c>
      <c r="G63" t="s">
        <v>14</v>
      </c>
      <c r="H63" t="s">
        <v>14</v>
      </c>
      <c r="I63" t="s">
        <v>108</v>
      </c>
      <c r="K63" t="s">
        <v>160</v>
      </c>
      <c r="M63">
        <v>129400</v>
      </c>
    </row>
    <row r="64" spans="1:13">
      <c r="A64">
        <v>2026</v>
      </c>
      <c r="B64" t="s">
        <v>167</v>
      </c>
      <c r="C64" t="s">
        <v>12</v>
      </c>
      <c r="D64" t="s">
        <v>13</v>
      </c>
      <c r="E64">
        <v>287500</v>
      </c>
      <c r="G64" t="s">
        <v>14</v>
      </c>
      <c r="H64" t="s">
        <v>14</v>
      </c>
      <c r="I64" t="s">
        <v>109</v>
      </c>
      <c r="K64" t="s">
        <v>163</v>
      </c>
      <c r="M64">
        <v>338000</v>
      </c>
    </row>
    <row r="65" spans="1:13">
      <c r="A65">
        <v>2026</v>
      </c>
      <c r="B65" t="s">
        <v>167</v>
      </c>
      <c r="C65" t="s">
        <v>12</v>
      </c>
      <c r="D65" t="s">
        <v>13</v>
      </c>
      <c r="E65">
        <v>395290</v>
      </c>
      <c r="G65" t="s">
        <v>14</v>
      </c>
      <c r="H65" t="s">
        <v>14</v>
      </c>
      <c r="I65" t="s">
        <v>110</v>
      </c>
      <c r="K65" t="s">
        <v>160</v>
      </c>
      <c r="M65">
        <v>28000</v>
      </c>
    </row>
    <row r="66" spans="1:13">
      <c r="A66">
        <v>2026</v>
      </c>
      <c r="B66" t="s">
        <v>167</v>
      </c>
      <c r="C66" t="s">
        <v>12</v>
      </c>
      <c r="D66" t="s">
        <v>13</v>
      </c>
      <c r="E66">
        <v>395390</v>
      </c>
      <c r="G66" t="s">
        <v>14</v>
      </c>
      <c r="H66" t="s">
        <v>14</v>
      </c>
      <c r="I66" t="s">
        <v>111</v>
      </c>
      <c r="K66" t="s">
        <v>160</v>
      </c>
      <c r="M66">
        <v>49200</v>
      </c>
    </row>
    <row r="67" spans="1:13">
      <c r="A67">
        <v>2026</v>
      </c>
      <c r="B67" t="s">
        <v>167</v>
      </c>
      <c r="C67" t="s">
        <v>12</v>
      </c>
      <c r="D67" t="s">
        <v>13</v>
      </c>
      <c r="E67">
        <v>395890</v>
      </c>
      <c r="G67" t="s">
        <v>14</v>
      </c>
      <c r="H67" t="s">
        <v>14</v>
      </c>
      <c r="I67" t="s">
        <v>112</v>
      </c>
      <c r="K67" t="s">
        <v>160</v>
      </c>
      <c r="M67">
        <v>141600</v>
      </c>
    </row>
    <row r="68" spans="1:13">
      <c r="A68">
        <v>2026</v>
      </c>
      <c r="B68" t="s">
        <v>167</v>
      </c>
      <c r="C68" t="s">
        <v>12</v>
      </c>
      <c r="D68" t="s">
        <v>13</v>
      </c>
      <c r="E68">
        <v>395790</v>
      </c>
      <c r="G68" t="s">
        <v>14</v>
      </c>
      <c r="H68" t="s">
        <v>14</v>
      </c>
      <c r="I68" t="s">
        <v>113</v>
      </c>
      <c r="K68" t="s">
        <v>160</v>
      </c>
      <c r="M68">
        <v>174700</v>
      </c>
    </row>
    <row r="69" spans="1:13">
      <c r="A69">
        <v>2026</v>
      </c>
      <c r="B69" t="s">
        <v>167</v>
      </c>
      <c r="C69" t="s">
        <v>12</v>
      </c>
      <c r="D69" t="s">
        <v>13</v>
      </c>
      <c r="E69">
        <v>395990</v>
      </c>
      <c r="G69" t="s">
        <v>14</v>
      </c>
      <c r="H69" t="s">
        <v>14</v>
      </c>
      <c r="I69" t="s">
        <v>114</v>
      </c>
      <c r="K69" t="s">
        <v>160</v>
      </c>
      <c r="M69">
        <v>204000</v>
      </c>
    </row>
    <row r="70" spans="1:13">
      <c r="A70">
        <v>2026</v>
      </c>
      <c r="B70" t="s">
        <v>167</v>
      </c>
      <c r="C70" t="s">
        <v>12</v>
      </c>
      <c r="D70" t="s">
        <v>13</v>
      </c>
      <c r="E70">
        <v>395490</v>
      </c>
      <c r="G70" t="s">
        <v>14</v>
      </c>
      <c r="H70" t="s">
        <v>14</v>
      </c>
      <c r="I70" t="s">
        <v>115</v>
      </c>
      <c r="K70" t="s">
        <v>160</v>
      </c>
      <c r="M70">
        <v>97500</v>
      </c>
    </row>
    <row r="71" spans="1:13">
      <c r="A71">
        <v>2026</v>
      </c>
      <c r="B71" t="s">
        <v>167</v>
      </c>
      <c r="C71" t="s">
        <v>12</v>
      </c>
      <c r="D71" t="s">
        <v>13</v>
      </c>
      <c r="E71">
        <v>395690</v>
      </c>
      <c r="G71" t="s">
        <v>14</v>
      </c>
      <c r="H71" t="s">
        <v>14</v>
      </c>
      <c r="I71" t="s">
        <v>116</v>
      </c>
      <c r="K71" t="s">
        <v>160</v>
      </c>
      <c r="M71">
        <v>183500</v>
      </c>
    </row>
    <row r="72" spans="1:13">
      <c r="A72">
        <v>2026</v>
      </c>
      <c r="B72" t="s">
        <v>167</v>
      </c>
      <c r="C72" t="s">
        <v>12</v>
      </c>
      <c r="D72" t="s">
        <v>13</v>
      </c>
      <c r="E72">
        <v>382090</v>
      </c>
      <c r="G72" t="s">
        <v>14</v>
      </c>
      <c r="H72" t="s">
        <v>14</v>
      </c>
      <c r="I72" t="s">
        <v>117</v>
      </c>
      <c r="K72" t="s">
        <v>160</v>
      </c>
      <c r="M72">
        <v>208400</v>
      </c>
    </row>
    <row r="73" spans="1:13">
      <c r="A73">
        <v>2026</v>
      </c>
      <c r="B73" t="s">
        <v>167</v>
      </c>
      <c r="C73" t="s">
        <v>12</v>
      </c>
      <c r="D73" t="s">
        <v>13</v>
      </c>
      <c r="E73">
        <v>382490</v>
      </c>
      <c r="G73" t="s">
        <v>14</v>
      </c>
      <c r="H73" t="s">
        <v>14</v>
      </c>
      <c r="I73" t="s">
        <v>118</v>
      </c>
      <c r="K73" t="s">
        <v>160</v>
      </c>
      <c r="M73">
        <v>241400</v>
      </c>
    </row>
    <row r="74" spans="1:13">
      <c r="A74">
        <v>2026</v>
      </c>
      <c r="B74" t="s">
        <v>167</v>
      </c>
      <c r="C74" t="s">
        <v>12</v>
      </c>
      <c r="D74" t="s">
        <v>13</v>
      </c>
      <c r="E74">
        <v>294899</v>
      </c>
      <c r="G74" t="s">
        <v>14</v>
      </c>
      <c r="H74" t="s">
        <v>14</v>
      </c>
      <c r="I74" t="s">
        <v>119</v>
      </c>
      <c r="K74" t="s">
        <v>160</v>
      </c>
      <c r="M74">
        <v>49000</v>
      </c>
    </row>
    <row r="75" spans="1:13">
      <c r="A75">
        <v>2026</v>
      </c>
      <c r="B75" t="s">
        <v>167</v>
      </c>
      <c r="C75" t="s">
        <v>12</v>
      </c>
      <c r="D75" t="s">
        <v>13</v>
      </c>
      <c r="E75">
        <v>294599</v>
      </c>
      <c r="G75" t="s">
        <v>14</v>
      </c>
      <c r="H75" t="s">
        <v>14</v>
      </c>
      <c r="I75" t="s">
        <v>120</v>
      </c>
      <c r="K75" t="s">
        <v>164</v>
      </c>
      <c r="M75">
        <v>125000</v>
      </c>
    </row>
    <row r="76" spans="1:13">
      <c r="A76">
        <v>2026</v>
      </c>
      <c r="B76" t="s">
        <v>167</v>
      </c>
      <c r="C76" t="s">
        <v>12</v>
      </c>
      <c r="D76" t="s">
        <v>13</v>
      </c>
      <c r="E76">
        <v>394190</v>
      </c>
      <c r="G76" t="s">
        <v>14</v>
      </c>
      <c r="H76" t="s">
        <v>14</v>
      </c>
      <c r="I76" t="s">
        <v>121</v>
      </c>
      <c r="K76" t="s">
        <v>160</v>
      </c>
      <c r="M76">
        <v>114900</v>
      </c>
    </row>
    <row r="77" spans="1:13">
      <c r="A77">
        <v>2026</v>
      </c>
      <c r="B77" t="s">
        <v>167</v>
      </c>
      <c r="C77" t="s">
        <v>12</v>
      </c>
      <c r="D77" t="s">
        <v>13</v>
      </c>
      <c r="E77">
        <v>394890</v>
      </c>
      <c r="G77" t="s">
        <v>14</v>
      </c>
      <c r="H77" t="s">
        <v>14</v>
      </c>
      <c r="I77" t="s">
        <v>122</v>
      </c>
      <c r="K77" t="s">
        <v>159</v>
      </c>
      <c r="M77">
        <v>224100</v>
      </c>
    </row>
    <row r="78" spans="1:13">
      <c r="A78">
        <v>2026</v>
      </c>
      <c r="B78" t="s">
        <v>167</v>
      </c>
      <c r="C78" t="s">
        <v>12</v>
      </c>
      <c r="D78" t="s">
        <v>13</v>
      </c>
      <c r="E78">
        <v>394590</v>
      </c>
      <c r="G78" t="s">
        <v>14</v>
      </c>
      <c r="H78" t="s">
        <v>14</v>
      </c>
      <c r="I78" t="s">
        <v>123</v>
      </c>
      <c r="K78" t="s">
        <v>163</v>
      </c>
      <c r="M78">
        <v>386300</v>
      </c>
    </row>
    <row r="79" spans="1:13">
      <c r="A79">
        <v>2026</v>
      </c>
      <c r="B79" t="s">
        <v>167</v>
      </c>
      <c r="C79" t="s">
        <v>12</v>
      </c>
      <c r="D79" t="s">
        <v>13</v>
      </c>
      <c r="E79">
        <v>610000</v>
      </c>
      <c r="G79" t="s">
        <v>14</v>
      </c>
      <c r="H79" t="s">
        <v>14</v>
      </c>
      <c r="I79" t="s">
        <v>124</v>
      </c>
      <c r="K79" t="s">
        <v>159</v>
      </c>
      <c r="M79">
        <v>23000</v>
      </c>
    </row>
    <row r="80" spans="1:13">
      <c r="A80">
        <v>2026</v>
      </c>
      <c r="B80" t="s">
        <v>167</v>
      </c>
      <c r="C80" t="s">
        <v>12</v>
      </c>
      <c r="D80" t="s">
        <v>13</v>
      </c>
      <c r="E80">
        <v>610100</v>
      </c>
      <c r="G80" t="s">
        <v>14</v>
      </c>
      <c r="H80" t="s">
        <v>14</v>
      </c>
      <c r="I80" t="s">
        <v>125</v>
      </c>
      <c r="K80" t="s">
        <v>159</v>
      </c>
      <c r="M80">
        <v>27300</v>
      </c>
    </row>
    <row r="81" spans="1:13">
      <c r="A81">
        <v>2026</v>
      </c>
      <c r="B81" t="s">
        <v>167</v>
      </c>
      <c r="C81" t="s">
        <v>12</v>
      </c>
      <c r="D81" t="s">
        <v>13</v>
      </c>
      <c r="E81">
        <v>610200</v>
      </c>
      <c r="G81" t="s">
        <v>14</v>
      </c>
      <c r="H81" t="s">
        <v>14</v>
      </c>
      <c r="I81" t="s">
        <v>126</v>
      </c>
      <c r="K81" t="s">
        <v>159</v>
      </c>
      <c r="M81">
        <v>38000</v>
      </c>
    </row>
    <row r="82" spans="1:13">
      <c r="A82">
        <v>2026</v>
      </c>
      <c r="B82" t="s">
        <v>167</v>
      </c>
      <c r="C82" t="s">
        <v>12</v>
      </c>
      <c r="D82" t="s">
        <v>13</v>
      </c>
      <c r="E82">
        <v>610300</v>
      </c>
      <c r="G82" t="s">
        <v>14</v>
      </c>
      <c r="H82" t="s">
        <v>14</v>
      </c>
      <c r="I82" t="s">
        <v>127</v>
      </c>
      <c r="K82" t="s">
        <v>159</v>
      </c>
      <c r="M82">
        <v>39800</v>
      </c>
    </row>
    <row r="83" spans="1:13">
      <c r="A83">
        <v>2026</v>
      </c>
      <c r="B83" t="s">
        <v>167</v>
      </c>
      <c r="C83" t="s">
        <v>12</v>
      </c>
      <c r="D83" t="s">
        <v>13</v>
      </c>
      <c r="E83">
        <v>610400</v>
      </c>
      <c r="G83" t="s">
        <v>14</v>
      </c>
      <c r="H83" t="s">
        <v>14</v>
      </c>
      <c r="I83" t="s">
        <v>128</v>
      </c>
      <c r="K83" t="s">
        <v>159</v>
      </c>
      <c r="M83">
        <v>42200</v>
      </c>
    </row>
    <row r="84" spans="1:13">
      <c r="A84">
        <v>2026</v>
      </c>
      <c r="B84" t="s">
        <v>167</v>
      </c>
      <c r="C84" t="s">
        <v>12</v>
      </c>
      <c r="D84" t="s">
        <v>13</v>
      </c>
      <c r="E84">
        <v>610500</v>
      </c>
      <c r="G84" t="s">
        <v>14</v>
      </c>
      <c r="H84" t="s">
        <v>14</v>
      </c>
      <c r="I84" t="s">
        <v>129</v>
      </c>
      <c r="K84" t="s">
        <v>159</v>
      </c>
      <c r="M84">
        <v>51600</v>
      </c>
    </row>
    <row r="85" spans="1:13">
      <c r="A85">
        <v>2026</v>
      </c>
      <c r="B85" t="s">
        <v>167</v>
      </c>
      <c r="C85" t="s">
        <v>12</v>
      </c>
      <c r="D85" t="s">
        <v>13</v>
      </c>
      <c r="E85">
        <v>293499</v>
      </c>
      <c r="G85" t="s">
        <v>14</v>
      </c>
      <c r="H85" t="s">
        <v>14</v>
      </c>
      <c r="I85" t="s">
        <v>130</v>
      </c>
      <c r="K85" t="s">
        <v>160</v>
      </c>
      <c r="M85">
        <v>77300</v>
      </c>
    </row>
    <row r="86" spans="1:13">
      <c r="A86">
        <v>2026</v>
      </c>
      <c r="B86" t="s">
        <v>167</v>
      </c>
      <c r="C86" t="s">
        <v>12</v>
      </c>
      <c r="D86" t="s">
        <v>13</v>
      </c>
      <c r="E86">
        <v>293299</v>
      </c>
      <c r="G86" t="s">
        <v>14</v>
      </c>
      <c r="H86" t="s">
        <v>14</v>
      </c>
      <c r="I86" t="s">
        <v>131</v>
      </c>
      <c r="K86" t="s">
        <v>160</v>
      </c>
      <c r="M86">
        <v>38600</v>
      </c>
    </row>
    <row r="87" spans="1:13">
      <c r="A87">
        <v>2026</v>
      </c>
      <c r="B87" t="s">
        <v>167</v>
      </c>
      <c r="C87" t="s">
        <v>12</v>
      </c>
      <c r="D87" t="s">
        <v>13</v>
      </c>
      <c r="E87">
        <v>298300</v>
      </c>
      <c r="G87" t="s">
        <v>14</v>
      </c>
      <c r="H87" t="s">
        <v>14</v>
      </c>
      <c r="I87" t="s">
        <v>132</v>
      </c>
      <c r="K87" t="s">
        <v>165</v>
      </c>
      <c r="M87">
        <v>70700</v>
      </c>
    </row>
    <row r="88" spans="1:13">
      <c r="A88">
        <v>2026</v>
      </c>
      <c r="B88" t="s">
        <v>167</v>
      </c>
      <c r="C88" t="s">
        <v>12</v>
      </c>
      <c r="D88" t="s">
        <v>13</v>
      </c>
      <c r="E88">
        <v>298400</v>
      </c>
      <c r="G88" t="s">
        <v>14</v>
      </c>
      <c r="H88" t="s">
        <v>14</v>
      </c>
      <c r="I88" t="s">
        <v>133</v>
      </c>
      <c r="K88" t="s">
        <v>165</v>
      </c>
      <c r="M88">
        <v>64900</v>
      </c>
    </row>
    <row r="89" spans="1:13">
      <c r="A89">
        <v>2026</v>
      </c>
      <c r="B89" t="s">
        <v>167</v>
      </c>
      <c r="C89" t="s">
        <v>12</v>
      </c>
      <c r="D89" t="s">
        <v>13</v>
      </c>
      <c r="E89">
        <v>290799</v>
      </c>
      <c r="G89" t="s">
        <v>14</v>
      </c>
      <c r="H89" t="s">
        <v>14</v>
      </c>
      <c r="I89" t="s">
        <v>134</v>
      </c>
      <c r="K89" t="s">
        <v>159</v>
      </c>
      <c r="M89">
        <v>24200</v>
      </c>
    </row>
    <row r="90" spans="1:13">
      <c r="A90">
        <v>2026</v>
      </c>
      <c r="B90" t="s">
        <v>167</v>
      </c>
      <c r="C90" t="s">
        <v>12</v>
      </c>
      <c r="D90" t="s">
        <v>13</v>
      </c>
      <c r="E90">
        <v>291099</v>
      </c>
      <c r="G90" t="s">
        <v>14</v>
      </c>
      <c r="H90" t="s">
        <v>14</v>
      </c>
      <c r="I90" t="s">
        <v>135</v>
      </c>
      <c r="K90" t="s">
        <v>159</v>
      </c>
      <c r="M90">
        <v>50300</v>
      </c>
    </row>
    <row r="91" spans="1:13">
      <c r="A91">
        <v>2026</v>
      </c>
      <c r="B91" t="s">
        <v>167</v>
      </c>
      <c r="C91" t="s">
        <v>12</v>
      </c>
      <c r="D91" t="s">
        <v>13</v>
      </c>
      <c r="E91">
        <v>292005</v>
      </c>
      <c r="G91" t="s">
        <v>14</v>
      </c>
      <c r="H91" t="s">
        <v>14</v>
      </c>
      <c r="I91" t="s">
        <v>136</v>
      </c>
      <c r="K91" t="s">
        <v>160</v>
      </c>
      <c r="M91">
        <v>144800</v>
      </c>
    </row>
    <row r="92" spans="1:13">
      <c r="A92">
        <v>2026</v>
      </c>
      <c r="B92" t="s">
        <v>167</v>
      </c>
      <c r="C92" t="s">
        <v>12</v>
      </c>
      <c r="D92" t="s">
        <v>13</v>
      </c>
      <c r="E92">
        <v>290599</v>
      </c>
      <c r="G92" t="s">
        <v>14</v>
      </c>
      <c r="H92" t="s">
        <v>14</v>
      </c>
      <c r="I92" t="s">
        <v>137</v>
      </c>
      <c r="K92" t="s">
        <v>159</v>
      </c>
      <c r="M92">
        <v>14500</v>
      </c>
    </row>
    <row r="93" spans="1:13">
      <c r="A93">
        <v>2026</v>
      </c>
      <c r="B93" t="s">
        <v>167</v>
      </c>
      <c r="C93" t="s">
        <v>12</v>
      </c>
      <c r="D93" t="s">
        <v>13</v>
      </c>
      <c r="E93">
        <v>289500</v>
      </c>
      <c r="G93" t="s">
        <v>14</v>
      </c>
      <c r="H93" t="s">
        <v>14</v>
      </c>
      <c r="I93" t="s">
        <v>138</v>
      </c>
      <c r="K93" t="s">
        <v>159</v>
      </c>
      <c r="M93">
        <v>50300</v>
      </c>
    </row>
    <row r="94" spans="1:13">
      <c r="A94">
        <v>2026</v>
      </c>
      <c r="B94" t="s">
        <v>167</v>
      </c>
      <c r="C94" t="s">
        <v>12</v>
      </c>
      <c r="D94" t="s">
        <v>13</v>
      </c>
      <c r="E94">
        <v>289700</v>
      </c>
      <c r="G94" t="s">
        <v>14</v>
      </c>
      <c r="H94" t="s">
        <v>14</v>
      </c>
      <c r="I94" t="s">
        <v>139</v>
      </c>
      <c r="K94" t="s">
        <v>160</v>
      </c>
      <c r="M94">
        <v>115900</v>
      </c>
    </row>
    <row r="95" spans="1:13">
      <c r="A95">
        <v>2026</v>
      </c>
      <c r="B95" t="s">
        <v>167</v>
      </c>
      <c r="C95" t="s">
        <v>12</v>
      </c>
      <c r="D95" t="s">
        <v>13</v>
      </c>
      <c r="E95">
        <v>289100</v>
      </c>
      <c r="G95" t="s">
        <v>14</v>
      </c>
      <c r="H95" t="s">
        <v>14</v>
      </c>
      <c r="I95" t="s">
        <v>140</v>
      </c>
      <c r="K95" t="s">
        <v>159</v>
      </c>
      <c r="M95">
        <v>21900</v>
      </c>
    </row>
    <row r="96" spans="1:13">
      <c r="A96">
        <v>2026</v>
      </c>
      <c r="B96" t="s">
        <v>167</v>
      </c>
      <c r="C96" t="s">
        <v>12</v>
      </c>
      <c r="D96" t="s">
        <v>13</v>
      </c>
      <c r="E96">
        <v>289300</v>
      </c>
      <c r="G96" t="s">
        <v>14</v>
      </c>
      <c r="H96" t="s">
        <v>14</v>
      </c>
      <c r="I96" t="s">
        <v>141</v>
      </c>
      <c r="K96" t="s">
        <v>159</v>
      </c>
      <c r="M96">
        <v>27000</v>
      </c>
    </row>
    <row r="97" spans="1:13">
      <c r="A97">
        <v>2026</v>
      </c>
      <c r="B97" t="s">
        <v>167</v>
      </c>
      <c r="C97" t="s">
        <v>12</v>
      </c>
      <c r="D97" t="s">
        <v>13</v>
      </c>
      <c r="E97">
        <v>496300</v>
      </c>
      <c r="G97" t="s">
        <v>14</v>
      </c>
      <c r="H97" t="s">
        <v>14</v>
      </c>
      <c r="I97" t="s">
        <v>142</v>
      </c>
      <c r="K97" t="s">
        <v>159</v>
      </c>
      <c r="M97">
        <v>26750</v>
      </c>
    </row>
    <row r="98" spans="1:13">
      <c r="A98">
        <v>2026</v>
      </c>
      <c r="B98" t="s">
        <v>167</v>
      </c>
      <c r="C98" t="s">
        <v>12</v>
      </c>
      <c r="D98" t="s">
        <v>13</v>
      </c>
      <c r="E98">
        <v>496405</v>
      </c>
      <c r="G98" t="s">
        <v>14</v>
      </c>
      <c r="H98" t="s">
        <v>14</v>
      </c>
      <c r="I98" t="s">
        <v>143</v>
      </c>
      <c r="K98" t="s">
        <v>160</v>
      </c>
      <c r="M98">
        <v>31750</v>
      </c>
    </row>
    <row r="99" spans="1:13">
      <c r="A99">
        <v>2026</v>
      </c>
      <c r="B99" t="s">
        <v>167</v>
      </c>
      <c r="C99" t="s">
        <v>12</v>
      </c>
      <c r="D99" t="s">
        <v>13</v>
      </c>
      <c r="E99">
        <v>496455</v>
      </c>
      <c r="G99" t="s">
        <v>14</v>
      </c>
      <c r="H99" t="s">
        <v>14</v>
      </c>
      <c r="I99" t="s">
        <v>144</v>
      </c>
      <c r="K99" t="s">
        <v>160</v>
      </c>
      <c r="M99">
        <v>36750</v>
      </c>
    </row>
    <row r="100" spans="1:13">
      <c r="A100">
        <v>2026</v>
      </c>
      <c r="B100" t="s">
        <v>167</v>
      </c>
      <c r="C100" t="s">
        <v>12</v>
      </c>
      <c r="D100" t="s">
        <v>13</v>
      </c>
      <c r="E100">
        <v>496605</v>
      </c>
      <c r="G100" t="s">
        <v>14</v>
      </c>
      <c r="H100" t="s">
        <v>14</v>
      </c>
      <c r="I100" t="s">
        <v>145</v>
      </c>
      <c r="K100" t="s">
        <v>160</v>
      </c>
      <c r="M100">
        <v>41750</v>
      </c>
    </row>
    <row r="101" spans="1:13">
      <c r="A101">
        <v>2026</v>
      </c>
      <c r="B101" t="s">
        <v>167</v>
      </c>
      <c r="C101" t="s">
        <v>12</v>
      </c>
      <c r="D101" t="s">
        <v>13</v>
      </c>
      <c r="E101">
        <v>496650</v>
      </c>
      <c r="G101" t="s">
        <v>14</v>
      </c>
      <c r="H101" t="s">
        <v>14</v>
      </c>
      <c r="I101" t="s">
        <v>146</v>
      </c>
      <c r="K101" t="s">
        <v>160</v>
      </c>
      <c r="M101">
        <v>46750</v>
      </c>
    </row>
    <row r="102" spans="1:13">
      <c r="A102">
        <v>2026</v>
      </c>
      <c r="B102" t="s">
        <v>167</v>
      </c>
      <c r="C102" t="s">
        <v>12</v>
      </c>
      <c r="D102" t="s">
        <v>13</v>
      </c>
      <c r="E102">
        <v>498300</v>
      </c>
      <c r="G102" t="s">
        <v>14</v>
      </c>
      <c r="H102" t="s">
        <v>14</v>
      </c>
      <c r="I102" t="s">
        <v>147</v>
      </c>
      <c r="K102" t="s">
        <v>160</v>
      </c>
      <c r="M102">
        <v>107000</v>
      </c>
    </row>
    <row r="103" spans="1:13">
      <c r="A103">
        <v>2026</v>
      </c>
      <c r="B103" t="s">
        <v>167</v>
      </c>
      <c r="C103" t="s">
        <v>12</v>
      </c>
      <c r="D103" t="s">
        <v>13</v>
      </c>
      <c r="E103">
        <v>498400</v>
      </c>
      <c r="G103" t="s">
        <v>14</v>
      </c>
      <c r="H103" t="s">
        <v>14</v>
      </c>
      <c r="I103" t="s">
        <v>148</v>
      </c>
      <c r="K103" t="s">
        <v>160</v>
      </c>
      <c r="M103">
        <v>117700</v>
      </c>
    </row>
    <row r="104" spans="1:13">
      <c r="A104">
        <v>2026</v>
      </c>
      <c r="B104" t="s">
        <v>167</v>
      </c>
      <c r="C104" t="s">
        <v>12</v>
      </c>
      <c r="D104" t="s">
        <v>13</v>
      </c>
      <c r="E104">
        <v>498450</v>
      </c>
      <c r="G104" t="s">
        <v>14</v>
      </c>
      <c r="H104" t="s">
        <v>14</v>
      </c>
      <c r="I104" t="s">
        <v>149</v>
      </c>
      <c r="K104" t="s">
        <v>160</v>
      </c>
      <c r="M104">
        <v>144450</v>
      </c>
    </row>
    <row r="105" spans="1:13">
      <c r="A105">
        <v>2026</v>
      </c>
      <c r="B105" t="s">
        <v>167</v>
      </c>
      <c r="C105" t="s">
        <v>12</v>
      </c>
      <c r="D105" t="s">
        <v>13</v>
      </c>
      <c r="E105">
        <v>498600</v>
      </c>
      <c r="G105" t="s">
        <v>14</v>
      </c>
      <c r="H105" t="s">
        <v>14</v>
      </c>
      <c r="I105" t="s">
        <v>150</v>
      </c>
      <c r="K105" t="s">
        <v>160</v>
      </c>
      <c r="M105">
        <v>149800</v>
      </c>
    </row>
    <row r="106" spans="1:13">
      <c r="A106">
        <v>2026</v>
      </c>
      <c r="B106" t="s">
        <v>167</v>
      </c>
      <c r="C106" t="s">
        <v>12</v>
      </c>
      <c r="D106" t="s">
        <v>13</v>
      </c>
      <c r="E106">
        <v>498650</v>
      </c>
      <c r="G106" t="s">
        <v>14</v>
      </c>
      <c r="H106" t="s">
        <v>14</v>
      </c>
      <c r="I106" t="s">
        <v>151</v>
      </c>
      <c r="K106" t="s">
        <v>160</v>
      </c>
      <c r="M106">
        <v>160500</v>
      </c>
    </row>
    <row r="107" spans="1:13">
      <c r="A107">
        <v>2026</v>
      </c>
      <c r="B107" t="s">
        <v>167</v>
      </c>
      <c r="C107" t="s">
        <v>12</v>
      </c>
      <c r="D107" t="s">
        <v>13</v>
      </c>
      <c r="E107">
        <v>3505</v>
      </c>
      <c r="G107" t="s">
        <v>14</v>
      </c>
      <c r="H107" t="s">
        <v>14</v>
      </c>
      <c r="I107" t="s">
        <v>152</v>
      </c>
      <c r="K107" t="s">
        <v>158</v>
      </c>
      <c r="M107">
        <v>43500</v>
      </c>
    </row>
    <row r="108" spans="1:13">
      <c r="A108">
        <v>2026</v>
      </c>
      <c r="B108" t="s">
        <v>167</v>
      </c>
      <c r="C108" t="s">
        <v>12</v>
      </c>
      <c r="D108" t="s">
        <v>13</v>
      </c>
      <c r="E108">
        <v>2440</v>
      </c>
      <c r="G108" t="s">
        <v>14</v>
      </c>
      <c r="H108" t="s">
        <v>14</v>
      </c>
      <c r="I108" t="s">
        <v>153</v>
      </c>
      <c r="K108" t="s">
        <v>158</v>
      </c>
      <c r="M108">
        <v>89500</v>
      </c>
    </row>
    <row r="109" spans="1:13">
      <c r="A109">
        <v>2026</v>
      </c>
      <c r="B109" t="s">
        <v>167</v>
      </c>
      <c r="C109" t="s">
        <v>12</v>
      </c>
      <c r="D109" t="s">
        <v>13</v>
      </c>
      <c r="E109">
        <v>2438</v>
      </c>
      <c r="G109" t="s">
        <v>14</v>
      </c>
      <c r="H109" t="s">
        <v>14</v>
      </c>
      <c r="I109" t="s">
        <v>154</v>
      </c>
      <c r="K109" t="s">
        <v>158</v>
      </c>
      <c r="M109">
        <v>67900</v>
      </c>
    </row>
    <row r="110" spans="1:13">
      <c r="A110">
        <v>2026</v>
      </c>
      <c r="B110" t="s">
        <v>167</v>
      </c>
      <c r="C110" t="s">
        <v>12</v>
      </c>
      <c r="D110" t="s">
        <v>13</v>
      </c>
      <c r="E110">
        <v>2434</v>
      </c>
      <c r="G110" t="s">
        <v>14</v>
      </c>
      <c r="H110" t="s">
        <v>14</v>
      </c>
      <c r="I110" t="s">
        <v>155</v>
      </c>
      <c r="K110" t="s">
        <v>158</v>
      </c>
      <c r="M110">
        <v>50300</v>
      </c>
    </row>
    <row r="111" spans="1:13">
      <c r="A111">
        <v>2026</v>
      </c>
      <c r="B111" t="s">
        <v>167</v>
      </c>
      <c r="C111" t="s">
        <v>12</v>
      </c>
      <c r="D111" t="s">
        <v>13</v>
      </c>
      <c r="E111">
        <v>2436</v>
      </c>
      <c r="G111" t="s">
        <v>14</v>
      </c>
      <c r="H111" t="s">
        <v>14</v>
      </c>
      <c r="I111" t="s">
        <v>156</v>
      </c>
      <c r="K111" t="s">
        <v>158</v>
      </c>
      <c r="M111">
        <v>53300</v>
      </c>
    </row>
    <row r="112" spans="1:13">
      <c r="A112">
        <v>2026</v>
      </c>
      <c r="B112" t="s">
        <v>167</v>
      </c>
      <c r="C112" t="s">
        <v>12</v>
      </c>
      <c r="D112" t="s">
        <v>13</v>
      </c>
      <c r="E112">
        <v>2444</v>
      </c>
      <c r="G112" t="s">
        <v>14</v>
      </c>
      <c r="H112" t="s">
        <v>14</v>
      </c>
      <c r="I112" t="s">
        <v>157</v>
      </c>
      <c r="K112" t="s">
        <v>158</v>
      </c>
      <c r="M112">
        <v>200900</v>
      </c>
    </row>
    <row r="113" spans="1:13">
      <c r="A113">
        <v>2026</v>
      </c>
      <c r="B113" t="s">
        <v>167</v>
      </c>
      <c r="C113" t="s">
        <v>39</v>
      </c>
      <c r="D113" t="s">
        <v>40</v>
      </c>
      <c r="E113">
        <v>26180</v>
      </c>
      <c r="F113">
        <v>45</v>
      </c>
      <c r="G113" t="s">
        <v>14</v>
      </c>
      <c r="H113" t="s">
        <v>14</v>
      </c>
      <c r="I113" t="s">
        <v>15</v>
      </c>
      <c r="J113">
        <v>4</v>
      </c>
      <c r="K113" t="s">
        <v>16</v>
      </c>
      <c r="L113">
        <v>10948</v>
      </c>
      <c r="M113">
        <v>43792</v>
      </c>
    </row>
    <row r="114" spans="1:13">
      <c r="A114">
        <v>2026</v>
      </c>
      <c r="B114" t="s">
        <v>167</v>
      </c>
      <c r="C114" t="s">
        <v>39</v>
      </c>
      <c r="D114" t="s">
        <v>40</v>
      </c>
      <c r="E114">
        <v>26180</v>
      </c>
      <c r="F114">
        <v>45</v>
      </c>
      <c r="G114" t="s">
        <v>14</v>
      </c>
      <c r="H114" t="s">
        <v>14</v>
      </c>
      <c r="I114" t="s">
        <v>18</v>
      </c>
      <c r="J114">
        <v>2</v>
      </c>
      <c r="K114" t="s">
        <v>16</v>
      </c>
      <c r="L114">
        <v>1086.232</v>
      </c>
      <c r="M114">
        <v>2172.4639999999999</v>
      </c>
    </row>
    <row r="115" spans="1:13">
      <c r="A115">
        <v>2026</v>
      </c>
      <c r="B115" t="s">
        <v>167</v>
      </c>
      <c r="C115" t="s">
        <v>39</v>
      </c>
      <c r="D115" t="s">
        <v>40</v>
      </c>
      <c r="E115">
        <v>26180</v>
      </c>
      <c r="F115">
        <v>45</v>
      </c>
      <c r="G115" t="s">
        <v>14</v>
      </c>
      <c r="H115" t="s">
        <v>14</v>
      </c>
      <c r="I115" t="s">
        <v>20</v>
      </c>
      <c r="J115">
        <v>6</v>
      </c>
      <c r="K115" t="s">
        <v>16</v>
      </c>
      <c r="L115">
        <v>370</v>
      </c>
      <c r="M115">
        <v>2220</v>
      </c>
    </row>
    <row r="116" spans="1:13">
      <c r="A116">
        <v>2026</v>
      </c>
      <c r="B116" t="s">
        <v>167</v>
      </c>
      <c r="C116" t="s">
        <v>39</v>
      </c>
      <c r="D116" t="s">
        <v>40</v>
      </c>
      <c r="E116">
        <v>26180</v>
      </c>
      <c r="F116">
        <v>45</v>
      </c>
      <c r="G116" t="s">
        <v>14</v>
      </c>
      <c r="H116" t="s">
        <v>14</v>
      </c>
      <c r="I116" t="s">
        <v>21</v>
      </c>
      <c r="J116">
        <v>2</v>
      </c>
      <c r="K116" t="s">
        <v>16</v>
      </c>
      <c r="L116">
        <v>1965</v>
      </c>
      <c r="M116">
        <v>3930</v>
      </c>
    </row>
    <row r="117" spans="1:13">
      <c r="A117">
        <v>2026</v>
      </c>
      <c r="B117" t="s">
        <v>167</v>
      </c>
      <c r="C117" t="s">
        <v>39</v>
      </c>
      <c r="D117" t="s">
        <v>40</v>
      </c>
      <c r="E117">
        <v>26180</v>
      </c>
      <c r="F117">
        <v>45</v>
      </c>
      <c r="G117" t="s">
        <v>14</v>
      </c>
      <c r="H117" t="s">
        <v>14</v>
      </c>
      <c r="I117" t="s">
        <v>41</v>
      </c>
      <c r="J117">
        <v>1</v>
      </c>
      <c r="K117" t="s">
        <v>16</v>
      </c>
      <c r="L117">
        <v>26180</v>
      </c>
      <c r="M117">
        <v>26180</v>
      </c>
    </row>
    <row r="118" spans="1:13">
      <c r="A118">
        <v>2026</v>
      </c>
      <c r="B118" t="s">
        <v>167</v>
      </c>
      <c r="C118" t="s">
        <v>39</v>
      </c>
      <c r="D118" t="s">
        <v>40</v>
      </c>
      <c r="E118">
        <v>26180</v>
      </c>
      <c r="F118">
        <v>45</v>
      </c>
      <c r="G118" t="s">
        <v>14</v>
      </c>
      <c r="H118" t="s">
        <v>14</v>
      </c>
      <c r="I118" t="s">
        <v>24</v>
      </c>
      <c r="J118">
        <v>0.4</v>
      </c>
      <c r="K118" t="s">
        <v>16</v>
      </c>
      <c r="L118">
        <v>135.66</v>
      </c>
      <c r="M118">
        <v>54.264000000000003</v>
      </c>
    </row>
    <row r="119" spans="1:13">
      <c r="A119">
        <v>2026</v>
      </c>
      <c r="B119" t="s">
        <v>167</v>
      </c>
      <c r="C119" t="s">
        <v>39</v>
      </c>
      <c r="D119" t="s">
        <v>40</v>
      </c>
      <c r="E119">
        <v>26180</v>
      </c>
      <c r="F119">
        <v>45</v>
      </c>
      <c r="G119" t="s">
        <v>14</v>
      </c>
      <c r="H119" t="s">
        <v>14</v>
      </c>
      <c r="I119" t="s">
        <v>25</v>
      </c>
      <c r="J119">
        <v>2</v>
      </c>
      <c r="K119" t="s">
        <v>16</v>
      </c>
      <c r="L119">
        <v>3808</v>
      </c>
      <c r="M119">
        <v>7616</v>
      </c>
    </row>
    <row r="120" spans="1:13">
      <c r="A120">
        <v>2026</v>
      </c>
      <c r="B120" t="s">
        <v>167</v>
      </c>
      <c r="C120" t="s">
        <v>39</v>
      </c>
      <c r="D120" t="s">
        <v>40</v>
      </c>
      <c r="E120">
        <v>26180</v>
      </c>
      <c r="F120">
        <v>45</v>
      </c>
      <c r="G120" t="s">
        <v>14</v>
      </c>
      <c r="H120" t="s">
        <v>14</v>
      </c>
      <c r="I120" t="s">
        <v>26</v>
      </c>
      <c r="J120">
        <v>0.4</v>
      </c>
      <c r="K120" t="s">
        <v>16</v>
      </c>
      <c r="L120">
        <v>111.86</v>
      </c>
      <c r="M120">
        <v>44.744</v>
      </c>
    </row>
    <row r="121" spans="1:13">
      <c r="A121">
        <v>2026</v>
      </c>
      <c r="B121" t="s">
        <v>167</v>
      </c>
      <c r="C121" t="s">
        <v>39</v>
      </c>
      <c r="D121" t="s">
        <v>40</v>
      </c>
      <c r="E121">
        <v>26180</v>
      </c>
      <c r="F121">
        <v>45</v>
      </c>
      <c r="G121" t="s">
        <v>14</v>
      </c>
      <c r="H121" t="s">
        <v>14</v>
      </c>
      <c r="I121" t="s">
        <v>27</v>
      </c>
      <c r="J121">
        <v>2</v>
      </c>
      <c r="K121" t="s">
        <v>16</v>
      </c>
    </row>
    <row r="122" spans="1:13">
      <c r="A122">
        <v>2026</v>
      </c>
      <c r="B122" t="s">
        <v>167</v>
      </c>
      <c r="C122" t="s">
        <v>39</v>
      </c>
      <c r="D122" t="s">
        <v>40</v>
      </c>
      <c r="E122">
        <v>26180</v>
      </c>
      <c r="F122">
        <v>45</v>
      </c>
      <c r="G122" t="s">
        <v>14</v>
      </c>
      <c r="H122" t="s">
        <v>14</v>
      </c>
      <c r="I122" t="s">
        <v>28</v>
      </c>
      <c r="J122">
        <v>2</v>
      </c>
      <c r="K122" t="s">
        <v>16</v>
      </c>
      <c r="L122">
        <v>17888.080000000002</v>
      </c>
      <c r="M122">
        <v>357.76159999999999</v>
      </c>
    </row>
    <row r="123" spans="1:13">
      <c r="A123">
        <v>2026</v>
      </c>
      <c r="B123" t="s">
        <v>167</v>
      </c>
      <c r="C123" t="s">
        <v>39</v>
      </c>
      <c r="D123" t="s">
        <v>40</v>
      </c>
      <c r="E123">
        <v>26180</v>
      </c>
      <c r="F123">
        <v>45</v>
      </c>
      <c r="G123" t="s">
        <v>14</v>
      </c>
      <c r="H123" t="s">
        <v>14</v>
      </c>
      <c r="I123" t="s">
        <v>29</v>
      </c>
      <c r="J123">
        <v>1</v>
      </c>
      <c r="K123" t="s">
        <v>16</v>
      </c>
      <c r="L123">
        <v>337.3837894736842</v>
      </c>
      <c r="M123">
        <v>337.3837894736842</v>
      </c>
    </row>
    <row r="124" spans="1:13">
      <c r="A124">
        <v>2026</v>
      </c>
      <c r="B124" t="s">
        <v>167</v>
      </c>
      <c r="C124" t="s">
        <v>39</v>
      </c>
      <c r="D124" t="s">
        <v>40</v>
      </c>
      <c r="E124">
        <v>26180</v>
      </c>
      <c r="F124">
        <v>45</v>
      </c>
      <c r="G124" t="s">
        <v>14</v>
      </c>
      <c r="H124" t="s">
        <v>14</v>
      </c>
      <c r="I124" t="s">
        <v>30</v>
      </c>
      <c r="J124">
        <v>1</v>
      </c>
      <c r="K124" t="s">
        <v>16</v>
      </c>
      <c r="L124">
        <v>1843.333333333333</v>
      </c>
      <c r="M124">
        <v>1843.333333333333</v>
      </c>
    </row>
    <row r="125" spans="1:13">
      <c r="A125">
        <v>2026</v>
      </c>
      <c r="B125" t="s">
        <v>167</v>
      </c>
      <c r="C125" t="s">
        <v>39</v>
      </c>
      <c r="D125" t="s">
        <v>40</v>
      </c>
      <c r="E125">
        <v>26180</v>
      </c>
      <c r="F125">
        <v>45</v>
      </c>
      <c r="G125" t="s">
        <v>14</v>
      </c>
      <c r="H125" t="s">
        <v>14</v>
      </c>
      <c r="I125" t="s">
        <v>31</v>
      </c>
      <c r="J125">
        <v>1</v>
      </c>
      <c r="K125" t="s">
        <v>16</v>
      </c>
      <c r="L125">
        <v>2346</v>
      </c>
      <c r="M125">
        <v>2346</v>
      </c>
    </row>
    <row r="126" spans="1:13">
      <c r="A126">
        <v>2026</v>
      </c>
      <c r="B126" t="s">
        <v>167</v>
      </c>
      <c r="C126" t="s">
        <v>39</v>
      </c>
      <c r="D126" t="s">
        <v>40</v>
      </c>
      <c r="E126">
        <v>26180</v>
      </c>
      <c r="F126">
        <v>45</v>
      </c>
      <c r="G126" t="s">
        <v>32</v>
      </c>
      <c r="H126" t="s">
        <v>32</v>
      </c>
      <c r="I126" t="s">
        <v>33</v>
      </c>
      <c r="J126">
        <v>45</v>
      </c>
      <c r="K126" t="s">
        <v>34</v>
      </c>
    </row>
    <row r="127" spans="1:13">
      <c r="A127">
        <v>2026</v>
      </c>
      <c r="B127" t="s">
        <v>167</v>
      </c>
      <c r="C127" t="s">
        <v>39</v>
      </c>
      <c r="D127" t="s">
        <v>40</v>
      </c>
      <c r="E127">
        <v>26180</v>
      </c>
      <c r="F127">
        <v>45</v>
      </c>
      <c r="G127" t="s">
        <v>32</v>
      </c>
      <c r="H127" t="s">
        <v>32</v>
      </c>
      <c r="I127" t="s">
        <v>35</v>
      </c>
      <c r="J127">
        <v>45</v>
      </c>
      <c r="K127" t="s">
        <v>34</v>
      </c>
    </row>
    <row r="128" spans="1:13">
      <c r="A128">
        <v>2026</v>
      </c>
      <c r="B128" t="s">
        <v>167</v>
      </c>
      <c r="C128" t="s">
        <v>39</v>
      </c>
      <c r="D128" t="s">
        <v>40</v>
      </c>
      <c r="E128">
        <v>26180</v>
      </c>
      <c r="F128">
        <v>45</v>
      </c>
      <c r="G128" t="s">
        <v>36</v>
      </c>
      <c r="H128" t="s">
        <v>36</v>
      </c>
      <c r="I128" t="s">
        <v>37</v>
      </c>
      <c r="J128">
        <v>45</v>
      </c>
      <c r="K128" t="s">
        <v>38</v>
      </c>
      <c r="M128">
        <v>22693</v>
      </c>
    </row>
    <row r="129" spans="1:13">
      <c r="A129">
        <v>2026</v>
      </c>
      <c r="B129" t="s">
        <v>167</v>
      </c>
      <c r="C129" t="s">
        <v>39</v>
      </c>
      <c r="D129" t="s">
        <v>40</v>
      </c>
      <c r="E129">
        <v>360001</v>
      </c>
      <c r="G129" t="s">
        <v>14</v>
      </c>
      <c r="H129" t="s">
        <v>14</v>
      </c>
      <c r="I129" t="s">
        <v>63</v>
      </c>
      <c r="K129" t="s">
        <v>158</v>
      </c>
      <c r="M129">
        <v>893800</v>
      </c>
    </row>
    <row r="130" spans="1:13">
      <c r="A130">
        <v>2026</v>
      </c>
      <c r="B130" t="s">
        <v>167</v>
      </c>
      <c r="C130" t="s">
        <v>39</v>
      </c>
      <c r="D130" t="s">
        <v>40</v>
      </c>
      <c r="E130">
        <v>360102</v>
      </c>
      <c r="G130" t="s">
        <v>14</v>
      </c>
      <c r="H130" t="s">
        <v>14</v>
      </c>
      <c r="I130" t="s">
        <v>64</v>
      </c>
      <c r="K130" t="s">
        <v>158</v>
      </c>
      <c r="M130">
        <v>251100</v>
      </c>
    </row>
    <row r="131" spans="1:13">
      <c r="A131">
        <v>2026</v>
      </c>
      <c r="B131" t="s">
        <v>167</v>
      </c>
      <c r="C131" t="s">
        <v>39</v>
      </c>
      <c r="D131" t="s">
        <v>40</v>
      </c>
      <c r="E131">
        <v>360104</v>
      </c>
      <c r="G131" t="s">
        <v>14</v>
      </c>
      <c r="H131" t="s">
        <v>14</v>
      </c>
      <c r="I131" t="s">
        <v>65</v>
      </c>
      <c r="K131" t="s">
        <v>158</v>
      </c>
      <c r="M131">
        <v>261100</v>
      </c>
    </row>
    <row r="132" spans="1:13">
      <c r="A132">
        <v>2026</v>
      </c>
      <c r="B132" t="s">
        <v>167</v>
      </c>
      <c r="C132" t="s">
        <v>39</v>
      </c>
      <c r="D132" t="s">
        <v>40</v>
      </c>
      <c r="E132">
        <v>360100</v>
      </c>
      <c r="G132" t="s">
        <v>14</v>
      </c>
      <c r="H132" t="s">
        <v>14</v>
      </c>
      <c r="I132" t="s">
        <v>66</v>
      </c>
      <c r="K132" t="s">
        <v>158</v>
      </c>
      <c r="M132">
        <v>80300</v>
      </c>
    </row>
    <row r="133" spans="1:13">
      <c r="A133">
        <v>2026</v>
      </c>
      <c r="B133" t="s">
        <v>167</v>
      </c>
      <c r="C133" t="s">
        <v>39</v>
      </c>
      <c r="D133" t="s">
        <v>40</v>
      </c>
      <c r="E133">
        <v>360150</v>
      </c>
      <c r="G133" t="s">
        <v>14</v>
      </c>
      <c r="H133" t="s">
        <v>14</v>
      </c>
      <c r="I133" t="s">
        <v>67</v>
      </c>
      <c r="K133" t="s">
        <v>158</v>
      </c>
      <c r="M133">
        <v>76800</v>
      </c>
    </row>
    <row r="134" spans="1:13">
      <c r="A134">
        <v>2026</v>
      </c>
      <c r="B134" t="s">
        <v>167</v>
      </c>
      <c r="C134" t="s">
        <v>39</v>
      </c>
      <c r="D134" t="s">
        <v>40</v>
      </c>
      <c r="E134">
        <v>360101</v>
      </c>
      <c r="G134" t="s">
        <v>14</v>
      </c>
      <c r="H134" t="s">
        <v>14</v>
      </c>
      <c r="I134" t="s">
        <v>68</v>
      </c>
      <c r="K134" t="s">
        <v>158</v>
      </c>
      <c r="M134">
        <v>140600</v>
      </c>
    </row>
    <row r="135" spans="1:13">
      <c r="A135">
        <v>2026</v>
      </c>
      <c r="B135" t="s">
        <v>167</v>
      </c>
      <c r="C135" t="s">
        <v>39</v>
      </c>
      <c r="D135" t="s">
        <v>40</v>
      </c>
      <c r="E135">
        <v>360103</v>
      </c>
      <c r="G135" t="s">
        <v>14</v>
      </c>
      <c r="H135" t="s">
        <v>14</v>
      </c>
      <c r="I135" t="s">
        <v>69</v>
      </c>
      <c r="K135" t="s">
        <v>158</v>
      </c>
      <c r="M135">
        <v>150600</v>
      </c>
    </row>
    <row r="136" spans="1:13">
      <c r="A136">
        <v>2026</v>
      </c>
      <c r="B136" t="s">
        <v>167</v>
      </c>
      <c r="C136" t="s">
        <v>39</v>
      </c>
      <c r="D136" t="s">
        <v>40</v>
      </c>
      <c r="E136">
        <v>709900</v>
      </c>
      <c r="G136" t="s">
        <v>14</v>
      </c>
      <c r="H136" t="s">
        <v>14</v>
      </c>
      <c r="I136" t="s">
        <v>70</v>
      </c>
      <c r="K136" t="s">
        <v>159</v>
      </c>
      <c r="M136">
        <v>13500</v>
      </c>
    </row>
    <row r="137" spans="1:13">
      <c r="A137">
        <v>2026</v>
      </c>
      <c r="B137" t="s">
        <v>167</v>
      </c>
      <c r="C137" t="s">
        <v>39</v>
      </c>
      <c r="D137" t="s">
        <v>40</v>
      </c>
      <c r="E137">
        <v>709902</v>
      </c>
      <c r="G137" t="s">
        <v>14</v>
      </c>
      <c r="H137" t="s">
        <v>14</v>
      </c>
      <c r="I137" t="s">
        <v>71</v>
      </c>
      <c r="K137" t="s">
        <v>159</v>
      </c>
      <c r="M137">
        <v>28800</v>
      </c>
    </row>
    <row r="138" spans="1:13">
      <c r="A138">
        <v>2026</v>
      </c>
      <c r="B138" t="s">
        <v>167</v>
      </c>
      <c r="C138" t="s">
        <v>39</v>
      </c>
      <c r="D138" t="s">
        <v>40</v>
      </c>
      <c r="E138">
        <v>709903</v>
      </c>
      <c r="G138" t="s">
        <v>14</v>
      </c>
      <c r="H138" t="s">
        <v>14</v>
      </c>
      <c r="I138" t="s">
        <v>72</v>
      </c>
      <c r="K138" t="s">
        <v>159</v>
      </c>
      <c r="M138">
        <v>63400</v>
      </c>
    </row>
    <row r="139" spans="1:13">
      <c r="A139">
        <v>2026</v>
      </c>
      <c r="B139" t="s">
        <v>167</v>
      </c>
      <c r="C139" t="s">
        <v>39</v>
      </c>
      <c r="D139" t="s">
        <v>40</v>
      </c>
      <c r="E139">
        <v>709909</v>
      </c>
      <c r="G139" t="s">
        <v>14</v>
      </c>
      <c r="H139" t="s">
        <v>14</v>
      </c>
      <c r="I139" t="s">
        <v>73</v>
      </c>
      <c r="K139" t="s">
        <v>160</v>
      </c>
      <c r="M139">
        <v>38400</v>
      </c>
    </row>
    <row r="140" spans="1:13">
      <c r="A140">
        <v>2026</v>
      </c>
      <c r="B140" t="s">
        <v>167</v>
      </c>
      <c r="C140" t="s">
        <v>39</v>
      </c>
      <c r="D140" t="s">
        <v>40</v>
      </c>
      <c r="E140">
        <v>709904</v>
      </c>
      <c r="G140" t="s">
        <v>14</v>
      </c>
      <c r="H140" t="s">
        <v>14</v>
      </c>
      <c r="I140" t="s">
        <v>74</v>
      </c>
      <c r="K140" t="s">
        <v>160</v>
      </c>
      <c r="M140">
        <v>169000</v>
      </c>
    </row>
    <row r="141" spans="1:13">
      <c r="A141">
        <v>2026</v>
      </c>
      <c r="B141" t="s">
        <v>167</v>
      </c>
      <c r="C141" t="s">
        <v>39</v>
      </c>
      <c r="D141" t="s">
        <v>40</v>
      </c>
      <c r="E141">
        <v>603421</v>
      </c>
      <c r="G141" t="s">
        <v>14</v>
      </c>
      <c r="H141" t="s">
        <v>14</v>
      </c>
      <c r="I141" t="s">
        <v>75</v>
      </c>
      <c r="K141" t="s">
        <v>159</v>
      </c>
      <c r="M141">
        <v>24200</v>
      </c>
    </row>
    <row r="142" spans="1:13">
      <c r="A142">
        <v>2026</v>
      </c>
      <c r="B142" t="s">
        <v>167</v>
      </c>
      <c r="C142" t="s">
        <v>39</v>
      </c>
      <c r="D142" t="s">
        <v>40</v>
      </c>
      <c r="E142">
        <v>603422</v>
      </c>
      <c r="G142" t="s">
        <v>14</v>
      </c>
      <c r="H142" t="s">
        <v>14</v>
      </c>
      <c r="I142" t="s">
        <v>76</v>
      </c>
      <c r="K142" t="s">
        <v>159</v>
      </c>
      <c r="M142">
        <v>36700</v>
      </c>
    </row>
    <row r="143" spans="1:13">
      <c r="A143">
        <v>2026</v>
      </c>
      <c r="B143" t="s">
        <v>167</v>
      </c>
      <c r="C143" t="s">
        <v>39</v>
      </c>
      <c r="D143" t="s">
        <v>40</v>
      </c>
      <c r="E143">
        <v>603423</v>
      </c>
      <c r="G143" t="s">
        <v>14</v>
      </c>
      <c r="H143" t="s">
        <v>14</v>
      </c>
      <c r="I143" t="s">
        <v>77</v>
      </c>
      <c r="K143" t="s">
        <v>159</v>
      </c>
      <c r="M143">
        <v>91800</v>
      </c>
    </row>
    <row r="144" spans="1:13">
      <c r="A144">
        <v>2026</v>
      </c>
      <c r="B144" t="s">
        <v>167</v>
      </c>
      <c r="C144" t="s">
        <v>39</v>
      </c>
      <c r="D144" t="s">
        <v>40</v>
      </c>
      <c r="E144">
        <v>603420</v>
      </c>
      <c r="G144" t="s">
        <v>14</v>
      </c>
      <c r="H144" t="s">
        <v>14</v>
      </c>
      <c r="I144" t="s">
        <v>78</v>
      </c>
      <c r="K144" t="s">
        <v>160</v>
      </c>
      <c r="M144">
        <v>72300</v>
      </c>
    </row>
    <row r="145" spans="1:13">
      <c r="A145">
        <v>2026</v>
      </c>
      <c r="B145" t="s">
        <v>167</v>
      </c>
      <c r="C145" t="s">
        <v>39</v>
      </c>
      <c r="D145" t="s">
        <v>40</v>
      </c>
      <c r="E145">
        <v>603424</v>
      </c>
      <c r="G145" t="s">
        <v>14</v>
      </c>
      <c r="H145" t="s">
        <v>14</v>
      </c>
      <c r="I145" t="s">
        <v>79</v>
      </c>
      <c r="K145" t="s">
        <v>160</v>
      </c>
      <c r="M145">
        <v>215000</v>
      </c>
    </row>
    <row r="146" spans="1:13">
      <c r="A146">
        <v>2026</v>
      </c>
      <c r="B146" t="s">
        <v>167</v>
      </c>
      <c r="C146" t="s">
        <v>39</v>
      </c>
      <c r="D146" t="s">
        <v>40</v>
      </c>
      <c r="E146">
        <v>583300</v>
      </c>
      <c r="G146" t="s">
        <v>14</v>
      </c>
      <c r="H146" t="s">
        <v>14</v>
      </c>
      <c r="I146" t="s">
        <v>80</v>
      </c>
      <c r="K146" t="s">
        <v>161</v>
      </c>
      <c r="M146">
        <v>37700</v>
      </c>
    </row>
    <row r="147" spans="1:13">
      <c r="A147">
        <v>2026</v>
      </c>
      <c r="B147" t="s">
        <v>167</v>
      </c>
      <c r="C147" t="s">
        <v>39</v>
      </c>
      <c r="D147" t="s">
        <v>40</v>
      </c>
      <c r="E147">
        <v>583400</v>
      </c>
      <c r="G147" t="s">
        <v>14</v>
      </c>
      <c r="H147" t="s">
        <v>14</v>
      </c>
      <c r="I147" t="s">
        <v>81</v>
      </c>
      <c r="K147" t="s">
        <v>161</v>
      </c>
      <c r="M147">
        <v>38600</v>
      </c>
    </row>
    <row r="148" spans="1:13">
      <c r="A148">
        <v>2026</v>
      </c>
      <c r="B148" t="s">
        <v>167</v>
      </c>
      <c r="C148" t="s">
        <v>39</v>
      </c>
      <c r="D148" t="s">
        <v>40</v>
      </c>
      <c r="E148">
        <v>583500</v>
      </c>
      <c r="G148" t="s">
        <v>14</v>
      </c>
      <c r="H148" t="s">
        <v>14</v>
      </c>
      <c r="I148" t="s">
        <v>82</v>
      </c>
      <c r="K148" t="s">
        <v>161</v>
      </c>
      <c r="M148">
        <v>17300</v>
      </c>
    </row>
    <row r="149" spans="1:13">
      <c r="A149">
        <v>2026</v>
      </c>
      <c r="B149" t="s">
        <v>167</v>
      </c>
      <c r="C149" t="s">
        <v>39</v>
      </c>
      <c r="D149" t="s">
        <v>40</v>
      </c>
      <c r="E149">
        <v>595200</v>
      </c>
      <c r="G149" t="s">
        <v>14</v>
      </c>
      <c r="H149" t="s">
        <v>14</v>
      </c>
      <c r="I149" t="s">
        <v>83</v>
      </c>
      <c r="K149" t="s">
        <v>161</v>
      </c>
      <c r="M149">
        <v>16200</v>
      </c>
    </row>
    <row r="150" spans="1:13">
      <c r="A150">
        <v>2026</v>
      </c>
      <c r="B150" t="s">
        <v>167</v>
      </c>
      <c r="C150" t="s">
        <v>39</v>
      </c>
      <c r="D150" t="s">
        <v>40</v>
      </c>
      <c r="E150">
        <v>595300</v>
      </c>
      <c r="G150" t="s">
        <v>14</v>
      </c>
      <c r="H150" t="s">
        <v>14</v>
      </c>
      <c r="I150" t="s">
        <v>84</v>
      </c>
      <c r="K150" t="s">
        <v>161</v>
      </c>
      <c r="M150">
        <v>20300</v>
      </c>
    </row>
    <row r="151" spans="1:13">
      <c r="A151">
        <v>2026</v>
      </c>
      <c r="B151" t="s">
        <v>167</v>
      </c>
      <c r="C151" t="s">
        <v>39</v>
      </c>
      <c r="D151" t="s">
        <v>40</v>
      </c>
      <c r="E151">
        <v>595400</v>
      </c>
      <c r="G151" t="s">
        <v>14</v>
      </c>
      <c r="H151" t="s">
        <v>14</v>
      </c>
      <c r="I151" t="s">
        <v>85</v>
      </c>
      <c r="K151" t="s">
        <v>161</v>
      </c>
      <c r="M151">
        <v>29900</v>
      </c>
    </row>
    <row r="152" spans="1:13">
      <c r="A152">
        <v>2026</v>
      </c>
      <c r="B152" t="s">
        <v>167</v>
      </c>
      <c r="C152" t="s">
        <v>39</v>
      </c>
      <c r="D152" t="s">
        <v>40</v>
      </c>
      <c r="E152">
        <v>595600</v>
      </c>
      <c r="G152" t="s">
        <v>14</v>
      </c>
      <c r="H152" t="s">
        <v>14</v>
      </c>
      <c r="I152" t="s">
        <v>86</v>
      </c>
      <c r="K152" t="s">
        <v>161</v>
      </c>
      <c r="M152">
        <v>50800</v>
      </c>
    </row>
    <row r="153" spans="1:13">
      <c r="A153">
        <v>2026</v>
      </c>
      <c r="B153" t="s">
        <v>167</v>
      </c>
      <c r="C153" t="s">
        <v>39</v>
      </c>
      <c r="D153" t="s">
        <v>40</v>
      </c>
      <c r="E153">
        <v>581011</v>
      </c>
      <c r="G153" t="s">
        <v>14</v>
      </c>
      <c r="H153" t="s">
        <v>14</v>
      </c>
      <c r="I153" t="s">
        <v>87</v>
      </c>
      <c r="K153" t="s">
        <v>159</v>
      </c>
      <c r="M153">
        <v>4300</v>
      </c>
    </row>
    <row r="154" spans="1:13">
      <c r="A154">
        <v>2026</v>
      </c>
      <c r="B154" t="s">
        <v>167</v>
      </c>
      <c r="C154" t="s">
        <v>39</v>
      </c>
      <c r="D154" t="s">
        <v>40</v>
      </c>
      <c r="E154">
        <v>581100</v>
      </c>
      <c r="G154" t="s">
        <v>14</v>
      </c>
      <c r="H154" t="s">
        <v>14</v>
      </c>
      <c r="I154" t="s">
        <v>88</v>
      </c>
      <c r="K154" t="s">
        <v>159</v>
      </c>
      <c r="M154">
        <v>16400</v>
      </c>
    </row>
    <row r="155" spans="1:13">
      <c r="A155">
        <v>2026</v>
      </c>
      <c r="B155" t="s">
        <v>167</v>
      </c>
      <c r="C155" t="s">
        <v>39</v>
      </c>
      <c r="D155" t="s">
        <v>40</v>
      </c>
      <c r="E155">
        <v>581200</v>
      </c>
      <c r="G155" t="s">
        <v>14</v>
      </c>
      <c r="H155" t="s">
        <v>14</v>
      </c>
      <c r="I155" t="s">
        <v>89</v>
      </c>
      <c r="K155" t="s">
        <v>160</v>
      </c>
      <c r="M155">
        <v>13500</v>
      </c>
    </row>
    <row r="156" spans="1:13">
      <c r="A156">
        <v>2026</v>
      </c>
      <c r="B156" t="s">
        <v>167</v>
      </c>
      <c r="C156" t="s">
        <v>39</v>
      </c>
      <c r="D156" t="s">
        <v>40</v>
      </c>
      <c r="E156">
        <v>581300</v>
      </c>
      <c r="G156" t="s">
        <v>14</v>
      </c>
      <c r="H156" t="s">
        <v>14</v>
      </c>
      <c r="I156" t="s">
        <v>90</v>
      </c>
      <c r="K156" t="s">
        <v>160</v>
      </c>
      <c r="M156">
        <v>16400</v>
      </c>
    </row>
    <row r="157" spans="1:13">
      <c r="A157">
        <v>2026</v>
      </c>
      <c r="B157" t="s">
        <v>167</v>
      </c>
      <c r="C157" t="s">
        <v>39</v>
      </c>
      <c r="D157" t="s">
        <v>40</v>
      </c>
      <c r="E157">
        <v>581500</v>
      </c>
      <c r="G157" t="s">
        <v>14</v>
      </c>
      <c r="H157" t="s">
        <v>14</v>
      </c>
      <c r="I157" t="s">
        <v>91</v>
      </c>
      <c r="K157" t="s">
        <v>160</v>
      </c>
      <c r="M157">
        <v>28000</v>
      </c>
    </row>
    <row r="158" spans="1:13">
      <c r="A158">
        <v>2026</v>
      </c>
      <c r="B158" t="s">
        <v>167</v>
      </c>
      <c r="C158" t="s">
        <v>39</v>
      </c>
      <c r="D158" t="s">
        <v>40</v>
      </c>
      <c r="E158">
        <v>282790</v>
      </c>
      <c r="G158" t="s">
        <v>14</v>
      </c>
      <c r="H158" t="s">
        <v>14</v>
      </c>
      <c r="I158" t="s">
        <v>92</v>
      </c>
      <c r="K158" t="s">
        <v>162</v>
      </c>
      <c r="M158">
        <v>87800</v>
      </c>
    </row>
    <row r="159" spans="1:13">
      <c r="A159">
        <v>2026</v>
      </c>
      <c r="B159" t="s">
        <v>167</v>
      </c>
      <c r="C159" t="s">
        <v>39</v>
      </c>
      <c r="D159" t="s">
        <v>40</v>
      </c>
      <c r="E159">
        <v>282055</v>
      </c>
      <c r="G159" t="s">
        <v>14</v>
      </c>
      <c r="H159" t="s">
        <v>14</v>
      </c>
      <c r="I159" t="s">
        <v>93</v>
      </c>
      <c r="K159" t="s">
        <v>159</v>
      </c>
      <c r="M159">
        <v>62200</v>
      </c>
    </row>
    <row r="160" spans="1:13">
      <c r="A160">
        <v>2026</v>
      </c>
      <c r="B160" t="s">
        <v>167</v>
      </c>
      <c r="C160" t="s">
        <v>39</v>
      </c>
      <c r="D160" t="s">
        <v>40</v>
      </c>
      <c r="E160">
        <v>282455</v>
      </c>
      <c r="G160" t="s">
        <v>14</v>
      </c>
      <c r="H160" t="s">
        <v>14</v>
      </c>
      <c r="I160" t="s">
        <v>94</v>
      </c>
      <c r="K160" t="s">
        <v>159</v>
      </c>
      <c r="M160">
        <v>100100</v>
      </c>
    </row>
    <row r="161" spans="1:13">
      <c r="A161">
        <v>2026</v>
      </c>
      <c r="B161" t="s">
        <v>167</v>
      </c>
      <c r="C161" t="s">
        <v>39</v>
      </c>
      <c r="D161" t="s">
        <v>40</v>
      </c>
      <c r="E161">
        <v>294199</v>
      </c>
      <c r="G161" t="s">
        <v>14</v>
      </c>
      <c r="H161" t="s">
        <v>14</v>
      </c>
      <c r="I161" t="s">
        <v>95</v>
      </c>
      <c r="K161" t="s">
        <v>160</v>
      </c>
      <c r="M161">
        <v>17300</v>
      </c>
    </row>
    <row r="162" spans="1:13">
      <c r="A162">
        <v>2026</v>
      </c>
      <c r="B162" t="s">
        <v>167</v>
      </c>
      <c r="C162" t="s">
        <v>39</v>
      </c>
      <c r="D162" t="s">
        <v>40</v>
      </c>
      <c r="E162">
        <v>294299</v>
      </c>
      <c r="G162" t="s">
        <v>14</v>
      </c>
      <c r="H162" t="s">
        <v>14</v>
      </c>
      <c r="I162" t="s">
        <v>96</v>
      </c>
      <c r="K162" t="s">
        <v>160</v>
      </c>
      <c r="M162">
        <v>29000</v>
      </c>
    </row>
    <row r="163" spans="1:13">
      <c r="A163">
        <v>2026</v>
      </c>
      <c r="B163" t="s">
        <v>167</v>
      </c>
      <c r="C163" t="s">
        <v>39</v>
      </c>
      <c r="D163" t="s">
        <v>40</v>
      </c>
      <c r="E163">
        <v>294399</v>
      </c>
      <c r="G163" t="s">
        <v>14</v>
      </c>
      <c r="H163" t="s">
        <v>14</v>
      </c>
      <c r="I163" t="s">
        <v>97</v>
      </c>
      <c r="K163" t="s">
        <v>160</v>
      </c>
      <c r="M163">
        <v>36700</v>
      </c>
    </row>
    <row r="164" spans="1:13">
      <c r="A164">
        <v>2026</v>
      </c>
      <c r="B164" t="s">
        <v>167</v>
      </c>
      <c r="C164" t="s">
        <v>39</v>
      </c>
      <c r="D164" t="s">
        <v>40</v>
      </c>
      <c r="E164">
        <v>294499</v>
      </c>
      <c r="G164" t="s">
        <v>14</v>
      </c>
      <c r="H164" t="s">
        <v>14</v>
      </c>
      <c r="I164" t="s">
        <v>98</v>
      </c>
      <c r="K164" t="s">
        <v>160</v>
      </c>
      <c r="M164">
        <v>75900</v>
      </c>
    </row>
    <row r="165" spans="1:13">
      <c r="A165">
        <v>2026</v>
      </c>
      <c r="B165" t="s">
        <v>167</v>
      </c>
      <c r="C165" t="s">
        <v>39</v>
      </c>
      <c r="D165" t="s">
        <v>40</v>
      </c>
      <c r="E165">
        <v>294500</v>
      </c>
      <c r="G165" t="s">
        <v>14</v>
      </c>
      <c r="H165" t="s">
        <v>14</v>
      </c>
      <c r="I165" t="s">
        <v>99</v>
      </c>
      <c r="K165" t="s">
        <v>163</v>
      </c>
      <c r="M165">
        <v>164200</v>
      </c>
    </row>
    <row r="166" spans="1:13">
      <c r="A166">
        <v>2026</v>
      </c>
      <c r="B166" t="s">
        <v>167</v>
      </c>
      <c r="C166" t="s">
        <v>39</v>
      </c>
      <c r="D166" t="s">
        <v>40</v>
      </c>
      <c r="E166">
        <v>288100</v>
      </c>
      <c r="G166" t="s">
        <v>14</v>
      </c>
      <c r="H166" t="s">
        <v>14</v>
      </c>
      <c r="I166" t="s">
        <v>100</v>
      </c>
      <c r="K166" t="s">
        <v>160</v>
      </c>
      <c r="M166">
        <v>62800</v>
      </c>
    </row>
    <row r="167" spans="1:13">
      <c r="A167">
        <v>2026</v>
      </c>
      <c r="B167" t="s">
        <v>167</v>
      </c>
      <c r="C167" t="s">
        <v>39</v>
      </c>
      <c r="D167" t="s">
        <v>40</v>
      </c>
      <c r="E167">
        <v>284090</v>
      </c>
      <c r="G167" t="s">
        <v>14</v>
      </c>
      <c r="H167" t="s">
        <v>14</v>
      </c>
      <c r="I167" t="s">
        <v>101</v>
      </c>
      <c r="K167" t="s">
        <v>160</v>
      </c>
      <c r="M167">
        <v>15900</v>
      </c>
    </row>
    <row r="168" spans="1:13">
      <c r="A168">
        <v>2026</v>
      </c>
      <c r="B168" t="s">
        <v>167</v>
      </c>
      <c r="C168" t="s">
        <v>39</v>
      </c>
      <c r="D168" t="s">
        <v>40</v>
      </c>
      <c r="E168">
        <v>284190</v>
      </c>
      <c r="G168" t="s">
        <v>14</v>
      </c>
      <c r="H168" t="s">
        <v>14</v>
      </c>
      <c r="I168" t="s">
        <v>102</v>
      </c>
      <c r="K168" t="s">
        <v>160</v>
      </c>
      <c r="M168">
        <v>16900</v>
      </c>
    </row>
    <row r="169" spans="1:13">
      <c r="A169">
        <v>2026</v>
      </c>
      <c r="B169" t="s">
        <v>167</v>
      </c>
      <c r="C169" t="s">
        <v>39</v>
      </c>
      <c r="D169" t="s">
        <v>40</v>
      </c>
      <c r="E169">
        <v>284390</v>
      </c>
      <c r="G169" t="s">
        <v>14</v>
      </c>
      <c r="H169" t="s">
        <v>14</v>
      </c>
      <c r="I169" t="s">
        <v>103</v>
      </c>
      <c r="K169" t="s">
        <v>160</v>
      </c>
      <c r="M169">
        <v>21900</v>
      </c>
    </row>
    <row r="170" spans="1:13">
      <c r="A170">
        <v>2026</v>
      </c>
      <c r="B170" t="s">
        <v>167</v>
      </c>
      <c r="C170" t="s">
        <v>39</v>
      </c>
      <c r="D170" t="s">
        <v>40</v>
      </c>
      <c r="E170">
        <v>284599</v>
      </c>
      <c r="G170" t="s">
        <v>14</v>
      </c>
      <c r="H170" t="s">
        <v>14</v>
      </c>
      <c r="I170" t="s">
        <v>104</v>
      </c>
      <c r="K170" t="s">
        <v>164</v>
      </c>
      <c r="M170">
        <v>125300</v>
      </c>
    </row>
    <row r="171" spans="1:13">
      <c r="A171">
        <v>2026</v>
      </c>
      <c r="B171" t="s">
        <v>167</v>
      </c>
      <c r="C171" t="s">
        <v>39</v>
      </c>
      <c r="D171" t="s">
        <v>40</v>
      </c>
      <c r="E171">
        <v>287100</v>
      </c>
      <c r="G171" t="s">
        <v>14</v>
      </c>
      <c r="H171" t="s">
        <v>14</v>
      </c>
      <c r="I171" t="s">
        <v>105</v>
      </c>
      <c r="K171" t="s">
        <v>160</v>
      </c>
      <c r="M171">
        <v>38600</v>
      </c>
    </row>
    <row r="172" spans="1:13">
      <c r="A172">
        <v>2026</v>
      </c>
      <c r="B172" t="s">
        <v>167</v>
      </c>
      <c r="C172" t="s">
        <v>39</v>
      </c>
      <c r="D172" t="s">
        <v>40</v>
      </c>
      <c r="E172">
        <v>287200</v>
      </c>
      <c r="G172" t="s">
        <v>14</v>
      </c>
      <c r="H172" t="s">
        <v>14</v>
      </c>
      <c r="I172" t="s">
        <v>106</v>
      </c>
      <c r="K172" t="s">
        <v>160</v>
      </c>
      <c r="M172">
        <v>107200</v>
      </c>
    </row>
    <row r="173" spans="1:13">
      <c r="A173">
        <v>2026</v>
      </c>
      <c r="B173" t="s">
        <v>167</v>
      </c>
      <c r="C173" t="s">
        <v>39</v>
      </c>
      <c r="D173" t="s">
        <v>40</v>
      </c>
      <c r="E173">
        <v>287300</v>
      </c>
      <c r="G173" t="s">
        <v>14</v>
      </c>
      <c r="H173" t="s">
        <v>14</v>
      </c>
      <c r="I173" t="s">
        <v>107</v>
      </c>
      <c r="K173" t="s">
        <v>160</v>
      </c>
      <c r="M173">
        <v>114900</v>
      </c>
    </row>
    <row r="174" spans="1:13">
      <c r="A174">
        <v>2026</v>
      </c>
      <c r="B174" t="s">
        <v>167</v>
      </c>
      <c r="C174" t="s">
        <v>39</v>
      </c>
      <c r="D174" t="s">
        <v>40</v>
      </c>
      <c r="E174">
        <v>287400</v>
      </c>
      <c r="G174" t="s">
        <v>14</v>
      </c>
      <c r="H174" t="s">
        <v>14</v>
      </c>
      <c r="I174" t="s">
        <v>108</v>
      </c>
      <c r="K174" t="s">
        <v>160</v>
      </c>
      <c r="M174">
        <v>129400</v>
      </c>
    </row>
    <row r="175" spans="1:13">
      <c r="A175">
        <v>2026</v>
      </c>
      <c r="B175" t="s">
        <v>167</v>
      </c>
      <c r="C175" t="s">
        <v>39</v>
      </c>
      <c r="D175" t="s">
        <v>40</v>
      </c>
      <c r="E175">
        <v>287500</v>
      </c>
      <c r="G175" t="s">
        <v>14</v>
      </c>
      <c r="H175" t="s">
        <v>14</v>
      </c>
      <c r="I175" t="s">
        <v>109</v>
      </c>
      <c r="K175" t="s">
        <v>163</v>
      </c>
      <c r="M175">
        <v>338000</v>
      </c>
    </row>
    <row r="176" spans="1:13">
      <c r="A176">
        <v>2026</v>
      </c>
      <c r="B176" t="s">
        <v>167</v>
      </c>
      <c r="C176" t="s">
        <v>39</v>
      </c>
      <c r="D176" t="s">
        <v>40</v>
      </c>
      <c r="E176">
        <v>395290</v>
      </c>
      <c r="G176" t="s">
        <v>14</v>
      </c>
      <c r="H176" t="s">
        <v>14</v>
      </c>
      <c r="I176" t="s">
        <v>110</v>
      </c>
      <c r="K176" t="s">
        <v>160</v>
      </c>
      <c r="M176">
        <v>28000</v>
      </c>
    </row>
    <row r="177" spans="1:13">
      <c r="A177">
        <v>2026</v>
      </c>
      <c r="B177" t="s">
        <v>167</v>
      </c>
      <c r="C177" t="s">
        <v>39</v>
      </c>
      <c r="D177" t="s">
        <v>40</v>
      </c>
      <c r="E177">
        <v>395390</v>
      </c>
      <c r="G177" t="s">
        <v>14</v>
      </c>
      <c r="H177" t="s">
        <v>14</v>
      </c>
      <c r="I177" t="s">
        <v>111</v>
      </c>
      <c r="K177" t="s">
        <v>160</v>
      </c>
      <c r="M177">
        <v>49200</v>
      </c>
    </row>
    <row r="178" spans="1:13">
      <c r="A178">
        <v>2026</v>
      </c>
      <c r="B178" t="s">
        <v>167</v>
      </c>
      <c r="C178" t="s">
        <v>39</v>
      </c>
      <c r="D178" t="s">
        <v>40</v>
      </c>
      <c r="E178">
        <v>395890</v>
      </c>
      <c r="G178" t="s">
        <v>14</v>
      </c>
      <c r="H178" t="s">
        <v>14</v>
      </c>
      <c r="I178" t="s">
        <v>112</v>
      </c>
      <c r="K178" t="s">
        <v>160</v>
      </c>
      <c r="M178">
        <v>141600</v>
      </c>
    </row>
    <row r="179" spans="1:13">
      <c r="A179">
        <v>2026</v>
      </c>
      <c r="B179" t="s">
        <v>167</v>
      </c>
      <c r="C179" t="s">
        <v>39</v>
      </c>
      <c r="D179" t="s">
        <v>40</v>
      </c>
      <c r="E179">
        <v>395790</v>
      </c>
      <c r="G179" t="s">
        <v>14</v>
      </c>
      <c r="H179" t="s">
        <v>14</v>
      </c>
      <c r="I179" t="s">
        <v>113</v>
      </c>
      <c r="K179" t="s">
        <v>160</v>
      </c>
      <c r="M179">
        <v>174700</v>
      </c>
    </row>
    <row r="180" spans="1:13">
      <c r="A180">
        <v>2026</v>
      </c>
      <c r="B180" t="s">
        <v>167</v>
      </c>
      <c r="C180" t="s">
        <v>39</v>
      </c>
      <c r="D180" t="s">
        <v>40</v>
      </c>
      <c r="E180">
        <v>395990</v>
      </c>
      <c r="G180" t="s">
        <v>14</v>
      </c>
      <c r="H180" t="s">
        <v>14</v>
      </c>
      <c r="I180" t="s">
        <v>114</v>
      </c>
      <c r="K180" t="s">
        <v>160</v>
      </c>
      <c r="M180">
        <v>204000</v>
      </c>
    </row>
    <row r="181" spans="1:13">
      <c r="A181">
        <v>2026</v>
      </c>
      <c r="B181" t="s">
        <v>167</v>
      </c>
      <c r="C181" t="s">
        <v>39</v>
      </c>
      <c r="D181" t="s">
        <v>40</v>
      </c>
      <c r="E181">
        <v>395490</v>
      </c>
      <c r="G181" t="s">
        <v>14</v>
      </c>
      <c r="H181" t="s">
        <v>14</v>
      </c>
      <c r="I181" t="s">
        <v>115</v>
      </c>
      <c r="K181" t="s">
        <v>160</v>
      </c>
      <c r="M181">
        <v>97500</v>
      </c>
    </row>
    <row r="182" spans="1:13">
      <c r="A182">
        <v>2026</v>
      </c>
      <c r="B182" t="s">
        <v>167</v>
      </c>
      <c r="C182" t="s">
        <v>39</v>
      </c>
      <c r="D182" t="s">
        <v>40</v>
      </c>
      <c r="E182">
        <v>395690</v>
      </c>
      <c r="G182" t="s">
        <v>14</v>
      </c>
      <c r="H182" t="s">
        <v>14</v>
      </c>
      <c r="I182" t="s">
        <v>116</v>
      </c>
      <c r="K182" t="s">
        <v>160</v>
      </c>
      <c r="M182">
        <v>183500</v>
      </c>
    </row>
    <row r="183" spans="1:13">
      <c r="A183">
        <v>2026</v>
      </c>
      <c r="B183" t="s">
        <v>167</v>
      </c>
      <c r="C183" t="s">
        <v>39</v>
      </c>
      <c r="D183" t="s">
        <v>40</v>
      </c>
      <c r="E183">
        <v>382090</v>
      </c>
      <c r="G183" t="s">
        <v>14</v>
      </c>
      <c r="H183" t="s">
        <v>14</v>
      </c>
      <c r="I183" t="s">
        <v>117</v>
      </c>
      <c r="K183" t="s">
        <v>160</v>
      </c>
      <c r="M183">
        <v>208400</v>
      </c>
    </row>
    <row r="184" spans="1:13">
      <c r="A184">
        <v>2026</v>
      </c>
      <c r="B184" t="s">
        <v>167</v>
      </c>
      <c r="C184" t="s">
        <v>39</v>
      </c>
      <c r="D184" t="s">
        <v>40</v>
      </c>
      <c r="E184">
        <v>382490</v>
      </c>
      <c r="G184" t="s">
        <v>14</v>
      </c>
      <c r="H184" t="s">
        <v>14</v>
      </c>
      <c r="I184" t="s">
        <v>118</v>
      </c>
      <c r="K184" t="s">
        <v>160</v>
      </c>
      <c r="M184">
        <v>241400</v>
      </c>
    </row>
    <row r="185" spans="1:13">
      <c r="A185">
        <v>2026</v>
      </c>
      <c r="B185" t="s">
        <v>167</v>
      </c>
      <c r="C185" t="s">
        <v>39</v>
      </c>
      <c r="D185" t="s">
        <v>40</v>
      </c>
      <c r="E185">
        <v>294899</v>
      </c>
      <c r="G185" t="s">
        <v>14</v>
      </c>
      <c r="H185" t="s">
        <v>14</v>
      </c>
      <c r="I185" t="s">
        <v>119</v>
      </c>
      <c r="K185" t="s">
        <v>160</v>
      </c>
      <c r="M185">
        <v>49000</v>
      </c>
    </row>
    <row r="186" spans="1:13">
      <c r="A186">
        <v>2026</v>
      </c>
      <c r="B186" t="s">
        <v>167</v>
      </c>
      <c r="C186" t="s">
        <v>39</v>
      </c>
      <c r="D186" t="s">
        <v>40</v>
      </c>
      <c r="E186">
        <v>294599</v>
      </c>
      <c r="G186" t="s">
        <v>14</v>
      </c>
      <c r="H186" t="s">
        <v>14</v>
      </c>
      <c r="I186" t="s">
        <v>120</v>
      </c>
      <c r="K186" t="s">
        <v>164</v>
      </c>
      <c r="M186">
        <v>125000</v>
      </c>
    </row>
    <row r="187" spans="1:13">
      <c r="A187">
        <v>2026</v>
      </c>
      <c r="B187" t="s">
        <v>167</v>
      </c>
      <c r="C187" t="s">
        <v>39</v>
      </c>
      <c r="D187" t="s">
        <v>40</v>
      </c>
      <c r="E187">
        <v>394190</v>
      </c>
      <c r="G187" t="s">
        <v>14</v>
      </c>
      <c r="H187" t="s">
        <v>14</v>
      </c>
      <c r="I187" t="s">
        <v>121</v>
      </c>
      <c r="K187" t="s">
        <v>160</v>
      </c>
      <c r="M187">
        <v>114900</v>
      </c>
    </row>
    <row r="188" spans="1:13">
      <c r="A188">
        <v>2026</v>
      </c>
      <c r="B188" t="s">
        <v>167</v>
      </c>
      <c r="C188" t="s">
        <v>39</v>
      </c>
      <c r="D188" t="s">
        <v>40</v>
      </c>
      <c r="E188">
        <v>394890</v>
      </c>
      <c r="G188" t="s">
        <v>14</v>
      </c>
      <c r="H188" t="s">
        <v>14</v>
      </c>
      <c r="I188" t="s">
        <v>122</v>
      </c>
      <c r="K188" t="s">
        <v>159</v>
      </c>
      <c r="M188">
        <v>224100</v>
      </c>
    </row>
    <row r="189" spans="1:13">
      <c r="A189">
        <v>2026</v>
      </c>
      <c r="B189" t="s">
        <v>167</v>
      </c>
      <c r="C189" t="s">
        <v>39</v>
      </c>
      <c r="D189" t="s">
        <v>40</v>
      </c>
      <c r="E189">
        <v>394590</v>
      </c>
      <c r="G189" t="s">
        <v>14</v>
      </c>
      <c r="H189" t="s">
        <v>14</v>
      </c>
      <c r="I189" t="s">
        <v>123</v>
      </c>
      <c r="K189" t="s">
        <v>163</v>
      </c>
      <c r="M189">
        <v>386300</v>
      </c>
    </row>
    <row r="190" spans="1:13">
      <c r="A190">
        <v>2026</v>
      </c>
      <c r="B190" t="s">
        <v>167</v>
      </c>
      <c r="C190" t="s">
        <v>39</v>
      </c>
      <c r="D190" t="s">
        <v>40</v>
      </c>
      <c r="E190">
        <v>610000</v>
      </c>
      <c r="G190" t="s">
        <v>14</v>
      </c>
      <c r="H190" t="s">
        <v>14</v>
      </c>
      <c r="I190" t="s">
        <v>124</v>
      </c>
      <c r="K190" t="s">
        <v>159</v>
      </c>
      <c r="M190">
        <v>23000</v>
      </c>
    </row>
    <row r="191" spans="1:13">
      <c r="A191">
        <v>2026</v>
      </c>
      <c r="B191" t="s">
        <v>167</v>
      </c>
      <c r="C191" t="s">
        <v>39</v>
      </c>
      <c r="D191" t="s">
        <v>40</v>
      </c>
      <c r="E191">
        <v>610100</v>
      </c>
      <c r="G191" t="s">
        <v>14</v>
      </c>
      <c r="H191" t="s">
        <v>14</v>
      </c>
      <c r="I191" t="s">
        <v>125</v>
      </c>
      <c r="K191" t="s">
        <v>159</v>
      </c>
      <c r="M191">
        <v>27300</v>
      </c>
    </row>
    <row r="192" spans="1:13">
      <c r="A192">
        <v>2026</v>
      </c>
      <c r="B192" t="s">
        <v>167</v>
      </c>
      <c r="C192" t="s">
        <v>39</v>
      </c>
      <c r="D192" t="s">
        <v>40</v>
      </c>
      <c r="E192">
        <v>610200</v>
      </c>
      <c r="G192" t="s">
        <v>14</v>
      </c>
      <c r="H192" t="s">
        <v>14</v>
      </c>
      <c r="I192" t="s">
        <v>126</v>
      </c>
      <c r="K192" t="s">
        <v>159</v>
      </c>
      <c r="M192">
        <v>38000</v>
      </c>
    </row>
    <row r="193" spans="1:13">
      <c r="A193">
        <v>2026</v>
      </c>
      <c r="B193" t="s">
        <v>167</v>
      </c>
      <c r="C193" t="s">
        <v>39</v>
      </c>
      <c r="D193" t="s">
        <v>40</v>
      </c>
      <c r="E193">
        <v>610300</v>
      </c>
      <c r="G193" t="s">
        <v>14</v>
      </c>
      <c r="H193" t="s">
        <v>14</v>
      </c>
      <c r="I193" t="s">
        <v>127</v>
      </c>
      <c r="K193" t="s">
        <v>159</v>
      </c>
      <c r="M193">
        <v>39800</v>
      </c>
    </row>
    <row r="194" spans="1:13">
      <c r="A194">
        <v>2026</v>
      </c>
      <c r="B194" t="s">
        <v>167</v>
      </c>
      <c r="C194" t="s">
        <v>39</v>
      </c>
      <c r="D194" t="s">
        <v>40</v>
      </c>
      <c r="E194">
        <v>610400</v>
      </c>
      <c r="G194" t="s">
        <v>14</v>
      </c>
      <c r="H194" t="s">
        <v>14</v>
      </c>
      <c r="I194" t="s">
        <v>128</v>
      </c>
      <c r="K194" t="s">
        <v>159</v>
      </c>
      <c r="M194">
        <v>42200</v>
      </c>
    </row>
    <row r="195" spans="1:13">
      <c r="A195">
        <v>2026</v>
      </c>
      <c r="B195" t="s">
        <v>167</v>
      </c>
      <c r="C195" t="s">
        <v>39</v>
      </c>
      <c r="D195" t="s">
        <v>40</v>
      </c>
      <c r="E195">
        <v>610500</v>
      </c>
      <c r="G195" t="s">
        <v>14</v>
      </c>
      <c r="H195" t="s">
        <v>14</v>
      </c>
      <c r="I195" t="s">
        <v>129</v>
      </c>
      <c r="K195" t="s">
        <v>159</v>
      </c>
      <c r="M195">
        <v>51600</v>
      </c>
    </row>
    <row r="196" spans="1:13">
      <c r="A196">
        <v>2026</v>
      </c>
      <c r="B196" t="s">
        <v>167</v>
      </c>
      <c r="C196" t="s">
        <v>39</v>
      </c>
      <c r="D196" t="s">
        <v>40</v>
      </c>
      <c r="E196">
        <v>293499</v>
      </c>
      <c r="G196" t="s">
        <v>14</v>
      </c>
      <c r="H196" t="s">
        <v>14</v>
      </c>
      <c r="I196" t="s">
        <v>130</v>
      </c>
      <c r="K196" t="s">
        <v>160</v>
      </c>
      <c r="M196">
        <v>77300</v>
      </c>
    </row>
    <row r="197" spans="1:13">
      <c r="A197">
        <v>2026</v>
      </c>
      <c r="B197" t="s">
        <v>167</v>
      </c>
      <c r="C197" t="s">
        <v>39</v>
      </c>
      <c r="D197" t="s">
        <v>40</v>
      </c>
      <c r="E197">
        <v>293299</v>
      </c>
      <c r="G197" t="s">
        <v>14</v>
      </c>
      <c r="H197" t="s">
        <v>14</v>
      </c>
      <c r="I197" t="s">
        <v>131</v>
      </c>
      <c r="K197" t="s">
        <v>160</v>
      </c>
      <c r="M197">
        <v>38600</v>
      </c>
    </row>
    <row r="198" spans="1:13">
      <c r="A198">
        <v>2026</v>
      </c>
      <c r="B198" t="s">
        <v>167</v>
      </c>
      <c r="C198" t="s">
        <v>39</v>
      </c>
      <c r="D198" t="s">
        <v>40</v>
      </c>
      <c r="E198">
        <v>298300</v>
      </c>
      <c r="G198" t="s">
        <v>14</v>
      </c>
      <c r="H198" t="s">
        <v>14</v>
      </c>
      <c r="I198" t="s">
        <v>132</v>
      </c>
      <c r="K198" t="s">
        <v>165</v>
      </c>
      <c r="M198">
        <v>70700</v>
      </c>
    </row>
    <row r="199" spans="1:13">
      <c r="A199">
        <v>2026</v>
      </c>
      <c r="B199" t="s">
        <v>167</v>
      </c>
      <c r="C199" t="s">
        <v>39</v>
      </c>
      <c r="D199" t="s">
        <v>40</v>
      </c>
      <c r="E199">
        <v>298400</v>
      </c>
      <c r="G199" t="s">
        <v>14</v>
      </c>
      <c r="H199" t="s">
        <v>14</v>
      </c>
      <c r="I199" t="s">
        <v>133</v>
      </c>
      <c r="K199" t="s">
        <v>165</v>
      </c>
      <c r="M199">
        <v>64900</v>
      </c>
    </row>
    <row r="200" spans="1:13">
      <c r="A200">
        <v>2026</v>
      </c>
      <c r="B200" t="s">
        <v>167</v>
      </c>
      <c r="C200" t="s">
        <v>39</v>
      </c>
      <c r="D200" t="s">
        <v>40</v>
      </c>
      <c r="E200">
        <v>290799</v>
      </c>
      <c r="G200" t="s">
        <v>14</v>
      </c>
      <c r="H200" t="s">
        <v>14</v>
      </c>
      <c r="I200" t="s">
        <v>134</v>
      </c>
      <c r="K200" t="s">
        <v>159</v>
      </c>
      <c r="M200">
        <v>24200</v>
      </c>
    </row>
    <row r="201" spans="1:13">
      <c r="A201">
        <v>2026</v>
      </c>
      <c r="B201" t="s">
        <v>167</v>
      </c>
      <c r="C201" t="s">
        <v>39</v>
      </c>
      <c r="D201" t="s">
        <v>40</v>
      </c>
      <c r="E201">
        <v>291099</v>
      </c>
      <c r="G201" t="s">
        <v>14</v>
      </c>
      <c r="H201" t="s">
        <v>14</v>
      </c>
      <c r="I201" t="s">
        <v>135</v>
      </c>
      <c r="K201" t="s">
        <v>159</v>
      </c>
      <c r="M201">
        <v>50300</v>
      </c>
    </row>
    <row r="202" spans="1:13">
      <c r="A202">
        <v>2026</v>
      </c>
      <c r="B202" t="s">
        <v>167</v>
      </c>
      <c r="C202" t="s">
        <v>39</v>
      </c>
      <c r="D202" t="s">
        <v>40</v>
      </c>
      <c r="E202">
        <v>292005</v>
      </c>
      <c r="G202" t="s">
        <v>14</v>
      </c>
      <c r="H202" t="s">
        <v>14</v>
      </c>
      <c r="I202" t="s">
        <v>136</v>
      </c>
      <c r="K202" t="s">
        <v>160</v>
      </c>
      <c r="M202">
        <v>144800</v>
      </c>
    </row>
    <row r="203" spans="1:13">
      <c r="A203">
        <v>2026</v>
      </c>
      <c r="B203" t="s">
        <v>167</v>
      </c>
      <c r="C203" t="s">
        <v>39</v>
      </c>
      <c r="D203" t="s">
        <v>40</v>
      </c>
      <c r="E203">
        <v>290599</v>
      </c>
      <c r="G203" t="s">
        <v>14</v>
      </c>
      <c r="H203" t="s">
        <v>14</v>
      </c>
      <c r="I203" t="s">
        <v>137</v>
      </c>
      <c r="K203" t="s">
        <v>159</v>
      </c>
      <c r="M203">
        <v>14500</v>
      </c>
    </row>
    <row r="204" spans="1:13">
      <c r="A204">
        <v>2026</v>
      </c>
      <c r="B204" t="s">
        <v>167</v>
      </c>
      <c r="C204" t="s">
        <v>39</v>
      </c>
      <c r="D204" t="s">
        <v>40</v>
      </c>
      <c r="E204">
        <v>289500</v>
      </c>
      <c r="G204" t="s">
        <v>14</v>
      </c>
      <c r="H204" t="s">
        <v>14</v>
      </c>
      <c r="I204" t="s">
        <v>138</v>
      </c>
      <c r="K204" t="s">
        <v>159</v>
      </c>
      <c r="M204">
        <v>50300</v>
      </c>
    </row>
    <row r="205" spans="1:13">
      <c r="A205">
        <v>2026</v>
      </c>
      <c r="B205" t="s">
        <v>167</v>
      </c>
      <c r="C205" t="s">
        <v>39</v>
      </c>
      <c r="D205" t="s">
        <v>40</v>
      </c>
      <c r="E205">
        <v>289700</v>
      </c>
      <c r="G205" t="s">
        <v>14</v>
      </c>
      <c r="H205" t="s">
        <v>14</v>
      </c>
      <c r="I205" t="s">
        <v>139</v>
      </c>
      <c r="K205" t="s">
        <v>160</v>
      </c>
      <c r="M205">
        <v>115900</v>
      </c>
    </row>
    <row r="206" spans="1:13">
      <c r="A206">
        <v>2026</v>
      </c>
      <c r="B206" t="s">
        <v>167</v>
      </c>
      <c r="C206" t="s">
        <v>39</v>
      </c>
      <c r="D206" t="s">
        <v>40</v>
      </c>
      <c r="E206">
        <v>289100</v>
      </c>
      <c r="G206" t="s">
        <v>14</v>
      </c>
      <c r="H206" t="s">
        <v>14</v>
      </c>
      <c r="I206" t="s">
        <v>140</v>
      </c>
      <c r="K206" t="s">
        <v>159</v>
      </c>
      <c r="M206">
        <v>21900</v>
      </c>
    </row>
    <row r="207" spans="1:13">
      <c r="A207">
        <v>2026</v>
      </c>
      <c r="B207" t="s">
        <v>167</v>
      </c>
      <c r="C207" t="s">
        <v>39</v>
      </c>
      <c r="D207" t="s">
        <v>40</v>
      </c>
      <c r="E207">
        <v>289300</v>
      </c>
      <c r="G207" t="s">
        <v>14</v>
      </c>
      <c r="H207" t="s">
        <v>14</v>
      </c>
      <c r="I207" t="s">
        <v>141</v>
      </c>
      <c r="K207" t="s">
        <v>159</v>
      </c>
      <c r="M207">
        <v>27000</v>
      </c>
    </row>
    <row r="208" spans="1:13">
      <c r="A208">
        <v>2026</v>
      </c>
      <c r="B208" t="s">
        <v>167</v>
      </c>
      <c r="C208" t="s">
        <v>39</v>
      </c>
      <c r="D208" t="s">
        <v>40</v>
      </c>
      <c r="E208">
        <v>496300</v>
      </c>
      <c r="G208" t="s">
        <v>14</v>
      </c>
      <c r="H208" t="s">
        <v>14</v>
      </c>
      <c r="I208" t="s">
        <v>142</v>
      </c>
      <c r="K208" t="s">
        <v>159</v>
      </c>
      <c r="M208">
        <v>26750</v>
      </c>
    </row>
    <row r="209" spans="1:13">
      <c r="A209">
        <v>2026</v>
      </c>
      <c r="B209" t="s">
        <v>167</v>
      </c>
      <c r="C209" t="s">
        <v>39</v>
      </c>
      <c r="D209" t="s">
        <v>40</v>
      </c>
      <c r="E209">
        <v>496405</v>
      </c>
      <c r="G209" t="s">
        <v>14</v>
      </c>
      <c r="H209" t="s">
        <v>14</v>
      </c>
      <c r="I209" t="s">
        <v>143</v>
      </c>
      <c r="K209" t="s">
        <v>160</v>
      </c>
      <c r="M209">
        <v>31750</v>
      </c>
    </row>
    <row r="210" spans="1:13">
      <c r="A210">
        <v>2026</v>
      </c>
      <c r="B210" t="s">
        <v>167</v>
      </c>
      <c r="C210" t="s">
        <v>39</v>
      </c>
      <c r="D210" t="s">
        <v>40</v>
      </c>
      <c r="E210">
        <v>496455</v>
      </c>
      <c r="G210" t="s">
        <v>14</v>
      </c>
      <c r="H210" t="s">
        <v>14</v>
      </c>
      <c r="I210" t="s">
        <v>144</v>
      </c>
      <c r="K210" t="s">
        <v>160</v>
      </c>
      <c r="M210">
        <v>36750</v>
      </c>
    </row>
    <row r="211" spans="1:13">
      <c r="A211">
        <v>2026</v>
      </c>
      <c r="B211" t="s">
        <v>167</v>
      </c>
      <c r="C211" t="s">
        <v>39</v>
      </c>
      <c r="D211" t="s">
        <v>40</v>
      </c>
      <c r="E211">
        <v>496605</v>
      </c>
      <c r="G211" t="s">
        <v>14</v>
      </c>
      <c r="H211" t="s">
        <v>14</v>
      </c>
      <c r="I211" t="s">
        <v>145</v>
      </c>
      <c r="K211" t="s">
        <v>160</v>
      </c>
      <c r="M211">
        <v>41750</v>
      </c>
    </row>
    <row r="212" spans="1:13">
      <c r="A212">
        <v>2026</v>
      </c>
      <c r="B212" t="s">
        <v>167</v>
      </c>
      <c r="C212" t="s">
        <v>39</v>
      </c>
      <c r="D212" t="s">
        <v>40</v>
      </c>
      <c r="E212">
        <v>496650</v>
      </c>
      <c r="G212" t="s">
        <v>14</v>
      </c>
      <c r="H212" t="s">
        <v>14</v>
      </c>
      <c r="I212" t="s">
        <v>146</v>
      </c>
      <c r="K212" t="s">
        <v>160</v>
      </c>
      <c r="M212">
        <v>46750</v>
      </c>
    </row>
    <row r="213" spans="1:13">
      <c r="A213">
        <v>2026</v>
      </c>
      <c r="B213" t="s">
        <v>167</v>
      </c>
      <c r="C213" t="s">
        <v>39</v>
      </c>
      <c r="D213" t="s">
        <v>40</v>
      </c>
      <c r="E213">
        <v>498300</v>
      </c>
      <c r="G213" t="s">
        <v>14</v>
      </c>
      <c r="H213" t="s">
        <v>14</v>
      </c>
      <c r="I213" t="s">
        <v>147</v>
      </c>
      <c r="K213" t="s">
        <v>160</v>
      </c>
      <c r="M213">
        <v>107000</v>
      </c>
    </row>
    <row r="214" spans="1:13">
      <c r="A214">
        <v>2026</v>
      </c>
      <c r="B214" t="s">
        <v>167</v>
      </c>
      <c r="C214" t="s">
        <v>39</v>
      </c>
      <c r="D214" t="s">
        <v>40</v>
      </c>
      <c r="E214">
        <v>498400</v>
      </c>
      <c r="G214" t="s">
        <v>14</v>
      </c>
      <c r="H214" t="s">
        <v>14</v>
      </c>
      <c r="I214" t="s">
        <v>148</v>
      </c>
      <c r="K214" t="s">
        <v>160</v>
      </c>
      <c r="M214">
        <v>117700</v>
      </c>
    </row>
    <row r="215" spans="1:13">
      <c r="A215">
        <v>2026</v>
      </c>
      <c r="B215" t="s">
        <v>167</v>
      </c>
      <c r="C215" t="s">
        <v>39</v>
      </c>
      <c r="D215" t="s">
        <v>40</v>
      </c>
      <c r="E215">
        <v>498450</v>
      </c>
      <c r="G215" t="s">
        <v>14</v>
      </c>
      <c r="H215" t="s">
        <v>14</v>
      </c>
      <c r="I215" t="s">
        <v>149</v>
      </c>
      <c r="K215" t="s">
        <v>160</v>
      </c>
      <c r="M215">
        <v>144450</v>
      </c>
    </row>
    <row r="216" spans="1:13">
      <c r="A216">
        <v>2026</v>
      </c>
      <c r="B216" t="s">
        <v>167</v>
      </c>
      <c r="C216" t="s">
        <v>39</v>
      </c>
      <c r="D216" t="s">
        <v>40</v>
      </c>
      <c r="E216">
        <v>498600</v>
      </c>
      <c r="G216" t="s">
        <v>14</v>
      </c>
      <c r="H216" t="s">
        <v>14</v>
      </c>
      <c r="I216" t="s">
        <v>150</v>
      </c>
      <c r="K216" t="s">
        <v>160</v>
      </c>
      <c r="M216">
        <v>149800</v>
      </c>
    </row>
    <row r="217" spans="1:13">
      <c r="A217">
        <v>2026</v>
      </c>
      <c r="B217" t="s">
        <v>167</v>
      </c>
      <c r="C217" t="s">
        <v>39</v>
      </c>
      <c r="D217" t="s">
        <v>40</v>
      </c>
      <c r="E217">
        <v>498650</v>
      </c>
      <c r="G217" t="s">
        <v>14</v>
      </c>
      <c r="H217" t="s">
        <v>14</v>
      </c>
      <c r="I217" t="s">
        <v>151</v>
      </c>
      <c r="K217" t="s">
        <v>160</v>
      </c>
      <c r="M217">
        <v>160500</v>
      </c>
    </row>
    <row r="218" spans="1:13">
      <c r="A218">
        <v>2026</v>
      </c>
      <c r="B218" t="s">
        <v>167</v>
      </c>
      <c r="C218" t="s">
        <v>39</v>
      </c>
      <c r="D218" t="s">
        <v>40</v>
      </c>
      <c r="E218">
        <v>3505</v>
      </c>
      <c r="G218" t="s">
        <v>14</v>
      </c>
      <c r="H218" t="s">
        <v>14</v>
      </c>
      <c r="I218" t="s">
        <v>152</v>
      </c>
      <c r="K218" t="s">
        <v>158</v>
      </c>
      <c r="M218">
        <v>43500</v>
      </c>
    </row>
    <row r="219" spans="1:13">
      <c r="A219">
        <v>2026</v>
      </c>
      <c r="B219" t="s">
        <v>167</v>
      </c>
      <c r="C219" t="s">
        <v>39</v>
      </c>
      <c r="D219" t="s">
        <v>40</v>
      </c>
      <c r="E219">
        <v>2440</v>
      </c>
      <c r="G219" t="s">
        <v>14</v>
      </c>
      <c r="H219" t="s">
        <v>14</v>
      </c>
      <c r="I219" t="s">
        <v>153</v>
      </c>
      <c r="K219" t="s">
        <v>158</v>
      </c>
      <c r="M219">
        <v>89500</v>
      </c>
    </row>
    <row r="220" spans="1:13">
      <c r="A220">
        <v>2026</v>
      </c>
      <c r="B220" t="s">
        <v>167</v>
      </c>
      <c r="C220" t="s">
        <v>39</v>
      </c>
      <c r="D220" t="s">
        <v>40</v>
      </c>
      <c r="E220">
        <v>2438</v>
      </c>
      <c r="G220" t="s">
        <v>14</v>
      </c>
      <c r="H220" t="s">
        <v>14</v>
      </c>
      <c r="I220" t="s">
        <v>154</v>
      </c>
      <c r="K220" t="s">
        <v>158</v>
      </c>
      <c r="M220">
        <v>67900</v>
      </c>
    </row>
    <row r="221" spans="1:13">
      <c r="A221">
        <v>2026</v>
      </c>
      <c r="B221" t="s">
        <v>167</v>
      </c>
      <c r="C221" t="s">
        <v>39</v>
      </c>
      <c r="D221" t="s">
        <v>40</v>
      </c>
      <c r="E221">
        <v>2434</v>
      </c>
      <c r="G221" t="s">
        <v>14</v>
      </c>
      <c r="H221" t="s">
        <v>14</v>
      </c>
      <c r="I221" t="s">
        <v>155</v>
      </c>
      <c r="K221" t="s">
        <v>158</v>
      </c>
      <c r="M221">
        <v>50300</v>
      </c>
    </row>
    <row r="222" spans="1:13">
      <c r="A222">
        <v>2026</v>
      </c>
      <c r="B222" t="s">
        <v>167</v>
      </c>
      <c r="C222" t="s">
        <v>39</v>
      </c>
      <c r="D222" t="s">
        <v>40</v>
      </c>
      <c r="E222">
        <v>2436</v>
      </c>
      <c r="G222" t="s">
        <v>14</v>
      </c>
      <c r="H222" t="s">
        <v>14</v>
      </c>
      <c r="I222" t="s">
        <v>156</v>
      </c>
      <c r="K222" t="s">
        <v>158</v>
      </c>
      <c r="M222">
        <v>53300</v>
      </c>
    </row>
    <row r="223" spans="1:13">
      <c r="A223">
        <v>2026</v>
      </c>
      <c r="B223" t="s">
        <v>167</v>
      </c>
      <c r="C223" t="s">
        <v>39</v>
      </c>
      <c r="D223" t="s">
        <v>40</v>
      </c>
      <c r="E223">
        <v>2444</v>
      </c>
      <c r="G223" t="s">
        <v>14</v>
      </c>
      <c r="H223" t="s">
        <v>14</v>
      </c>
      <c r="I223" t="s">
        <v>157</v>
      </c>
      <c r="K223" t="s">
        <v>158</v>
      </c>
      <c r="M223">
        <v>200900</v>
      </c>
    </row>
    <row r="224" spans="1:13">
      <c r="A224">
        <v>2026</v>
      </c>
      <c r="B224" t="s">
        <v>167</v>
      </c>
      <c r="C224" t="s">
        <v>42</v>
      </c>
      <c r="D224" t="s">
        <v>43</v>
      </c>
      <c r="E224">
        <v>26180</v>
      </c>
      <c r="F224">
        <v>120</v>
      </c>
      <c r="G224" t="s">
        <v>14</v>
      </c>
      <c r="H224" t="s">
        <v>14</v>
      </c>
      <c r="I224" t="s">
        <v>15</v>
      </c>
      <c r="J224">
        <v>4</v>
      </c>
      <c r="K224" t="s">
        <v>16</v>
      </c>
      <c r="L224">
        <v>10948</v>
      </c>
      <c r="M224">
        <v>43792</v>
      </c>
    </row>
    <row r="225" spans="1:13">
      <c r="A225">
        <v>2026</v>
      </c>
      <c r="B225" t="s">
        <v>167</v>
      </c>
      <c r="C225" t="s">
        <v>42</v>
      </c>
      <c r="D225" t="s">
        <v>43</v>
      </c>
      <c r="E225">
        <v>26180</v>
      </c>
      <c r="F225">
        <v>120</v>
      </c>
      <c r="G225" t="s">
        <v>14</v>
      </c>
      <c r="H225" t="s">
        <v>14</v>
      </c>
      <c r="I225" t="s">
        <v>18</v>
      </c>
      <c r="J225">
        <v>2</v>
      </c>
      <c r="K225" t="s">
        <v>16</v>
      </c>
      <c r="L225">
        <v>1086.232</v>
      </c>
      <c r="M225">
        <v>2172.4639999999999</v>
      </c>
    </row>
    <row r="226" spans="1:13">
      <c r="A226">
        <v>2026</v>
      </c>
      <c r="B226" t="s">
        <v>167</v>
      </c>
      <c r="C226" t="s">
        <v>42</v>
      </c>
      <c r="D226" t="s">
        <v>43</v>
      </c>
      <c r="E226">
        <v>26180</v>
      </c>
      <c r="F226">
        <v>120</v>
      </c>
      <c r="G226" t="s">
        <v>14</v>
      </c>
      <c r="H226" t="s">
        <v>14</v>
      </c>
      <c r="I226" t="s">
        <v>20</v>
      </c>
      <c r="J226">
        <v>10</v>
      </c>
      <c r="K226" t="s">
        <v>16</v>
      </c>
      <c r="L226">
        <v>370</v>
      </c>
      <c r="M226">
        <v>3700</v>
      </c>
    </row>
    <row r="227" spans="1:13">
      <c r="A227">
        <v>2026</v>
      </c>
      <c r="B227" t="s">
        <v>167</v>
      </c>
      <c r="C227" t="s">
        <v>42</v>
      </c>
      <c r="D227" t="s">
        <v>43</v>
      </c>
      <c r="E227">
        <v>26180</v>
      </c>
      <c r="F227">
        <v>120</v>
      </c>
      <c r="G227" t="s">
        <v>14</v>
      </c>
      <c r="H227" t="s">
        <v>14</v>
      </c>
      <c r="I227" t="s">
        <v>44</v>
      </c>
      <c r="J227">
        <v>2</v>
      </c>
      <c r="K227" t="s">
        <v>16</v>
      </c>
      <c r="L227">
        <v>2643</v>
      </c>
      <c r="M227">
        <v>5286</v>
      </c>
    </row>
    <row r="228" spans="1:13">
      <c r="A228">
        <v>2026</v>
      </c>
      <c r="B228" t="s">
        <v>167</v>
      </c>
      <c r="C228" t="s">
        <v>42</v>
      </c>
      <c r="D228" t="s">
        <v>43</v>
      </c>
      <c r="E228">
        <v>26180</v>
      </c>
      <c r="F228">
        <v>120</v>
      </c>
      <c r="G228" t="s">
        <v>14</v>
      </c>
      <c r="H228" t="s">
        <v>14</v>
      </c>
      <c r="I228" t="s">
        <v>41</v>
      </c>
      <c r="J228">
        <v>1</v>
      </c>
      <c r="K228" t="s">
        <v>16</v>
      </c>
      <c r="L228">
        <v>26180</v>
      </c>
      <c r="M228">
        <v>26180</v>
      </c>
    </row>
    <row r="229" spans="1:13">
      <c r="A229">
        <v>2026</v>
      </c>
      <c r="B229" t="s">
        <v>167</v>
      </c>
      <c r="C229" t="s">
        <v>42</v>
      </c>
      <c r="D229" t="s">
        <v>43</v>
      </c>
      <c r="E229">
        <v>26180</v>
      </c>
      <c r="F229">
        <v>120</v>
      </c>
      <c r="G229" t="s">
        <v>14</v>
      </c>
      <c r="H229" t="s">
        <v>14</v>
      </c>
      <c r="I229" t="s">
        <v>24</v>
      </c>
      <c r="J229">
        <v>0.4</v>
      </c>
      <c r="K229" t="s">
        <v>16</v>
      </c>
      <c r="L229">
        <v>135.66</v>
      </c>
      <c r="M229">
        <v>54.264000000000003</v>
      </c>
    </row>
    <row r="230" spans="1:13">
      <c r="A230">
        <v>2026</v>
      </c>
      <c r="B230" t="s">
        <v>167</v>
      </c>
      <c r="C230" t="s">
        <v>42</v>
      </c>
      <c r="D230" t="s">
        <v>43</v>
      </c>
      <c r="E230">
        <v>26180</v>
      </c>
      <c r="F230">
        <v>120</v>
      </c>
      <c r="G230" t="s">
        <v>14</v>
      </c>
      <c r="H230" t="s">
        <v>14</v>
      </c>
      <c r="I230" t="s">
        <v>25</v>
      </c>
      <c r="J230">
        <v>2</v>
      </c>
      <c r="K230" t="s">
        <v>16</v>
      </c>
      <c r="L230">
        <v>3808</v>
      </c>
      <c r="M230">
        <v>7616</v>
      </c>
    </row>
    <row r="231" spans="1:13">
      <c r="A231">
        <v>2026</v>
      </c>
      <c r="B231" t="s">
        <v>167</v>
      </c>
      <c r="C231" t="s">
        <v>42</v>
      </c>
      <c r="D231" t="s">
        <v>43</v>
      </c>
      <c r="E231">
        <v>26180</v>
      </c>
      <c r="F231">
        <v>120</v>
      </c>
      <c r="G231" t="s">
        <v>14</v>
      </c>
      <c r="H231" t="s">
        <v>14</v>
      </c>
      <c r="I231" t="s">
        <v>26</v>
      </c>
      <c r="J231">
        <v>0.4</v>
      </c>
      <c r="K231" t="s">
        <v>16</v>
      </c>
      <c r="L231">
        <v>111.86</v>
      </c>
      <c r="M231">
        <v>44.744</v>
      </c>
    </row>
    <row r="232" spans="1:13">
      <c r="A232">
        <v>2026</v>
      </c>
      <c r="B232" t="s">
        <v>167</v>
      </c>
      <c r="C232" t="s">
        <v>42</v>
      </c>
      <c r="D232" t="s">
        <v>43</v>
      </c>
      <c r="E232">
        <v>26180</v>
      </c>
      <c r="F232">
        <v>120</v>
      </c>
      <c r="G232" t="s">
        <v>14</v>
      </c>
      <c r="H232" t="s">
        <v>14</v>
      </c>
      <c r="I232" t="s">
        <v>45</v>
      </c>
      <c r="J232">
        <v>2</v>
      </c>
    </row>
    <row r="233" spans="1:13">
      <c r="A233">
        <v>2026</v>
      </c>
      <c r="B233" t="s">
        <v>167</v>
      </c>
      <c r="C233" t="s">
        <v>42</v>
      </c>
      <c r="D233" t="s">
        <v>43</v>
      </c>
      <c r="E233">
        <v>26180</v>
      </c>
      <c r="F233">
        <v>120</v>
      </c>
      <c r="G233" t="s">
        <v>14</v>
      </c>
      <c r="H233" t="s">
        <v>14</v>
      </c>
      <c r="I233" t="s">
        <v>28</v>
      </c>
      <c r="J233">
        <v>2</v>
      </c>
      <c r="L233">
        <v>17888.080000000002</v>
      </c>
      <c r="M233">
        <v>357.76159999999999</v>
      </c>
    </row>
    <row r="234" spans="1:13">
      <c r="A234">
        <v>2026</v>
      </c>
      <c r="B234" t="s">
        <v>167</v>
      </c>
      <c r="C234" t="s">
        <v>42</v>
      </c>
      <c r="D234" t="s">
        <v>43</v>
      </c>
      <c r="E234">
        <v>26180</v>
      </c>
      <c r="F234">
        <v>120</v>
      </c>
      <c r="G234" t="s">
        <v>14</v>
      </c>
      <c r="H234" t="s">
        <v>14</v>
      </c>
      <c r="I234" t="s">
        <v>29</v>
      </c>
      <c r="J234">
        <v>2</v>
      </c>
      <c r="K234" t="s">
        <v>16</v>
      </c>
      <c r="L234">
        <v>337.3837894736842</v>
      </c>
      <c r="M234">
        <v>674.76757894736841</v>
      </c>
    </row>
    <row r="235" spans="1:13">
      <c r="A235">
        <v>2026</v>
      </c>
      <c r="B235" t="s">
        <v>167</v>
      </c>
      <c r="C235" t="s">
        <v>42</v>
      </c>
      <c r="D235" t="s">
        <v>43</v>
      </c>
      <c r="E235">
        <v>26180</v>
      </c>
      <c r="F235">
        <v>120</v>
      </c>
      <c r="G235" t="s">
        <v>14</v>
      </c>
      <c r="H235" t="s">
        <v>14</v>
      </c>
      <c r="I235" t="s">
        <v>30</v>
      </c>
      <c r="J235">
        <v>2</v>
      </c>
      <c r="K235" t="s">
        <v>16</v>
      </c>
      <c r="L235">
        <v>1843.333333333333</v>
      </c>
      <c r="M235">
        <v>3686.666666666667</v>
      </c>
    </row>
    <row r="236" spans="1:13">
      <c r="A236">
        <v>2026</v>
      </c>
      <c r="B236" t="s">
        <v>167</v>
      </c>
      <c r="C236" t="s">
        <v>42</v>
      </c>
      <c r="D236" t="s">
        <v>43</v>
      </c>
      <c r="E236">
        <v>26180</v>
      </c>
      <c r="F236">
        <v>120</v>
      </c>
      <c r="G236" t="s">
        <v>14</v>
      </c>
      <c r="H236" t="s">
        <v>14</v>
      </c>
      <c r="I236" t="s">
        <v>31</v>
      </c>
      <c r="J236">
        <v>2</v>
      </c>
      <c r="K236" t="s">
        <v>16</v>
      </c>
      <c r="L236">
        <v>2346</v>
      </c>
      <c r="M236">
        <v>4692</v>
      </c>
    </row>
    <row r="237" spans="1:13">
      <c r="A237">
        <v>2026</v>
      </c>
      <c r="B237" t="s">
        <v>167</v>
      </c>
      <c r="C237" t="s">
        <v>42</v>
      </c>
      <c r="D237" t="s">
        <v>43</v>
      </c>
      <c r="E237">
        <v>26180</v>
      </c>
      <c r="F237">
        <v>120</v>
      </c>
      <c r="G237" t="s">
        <v>32</v>
      </c>
      <c r="H237" t="s">
        <v>32</v>
      </c>
      <c r="I237" t="s">
        <v>33</v>
      </c>
      <c r="J237">
        <v>120</v>
      </c>
      <c r="K237" t="s">
        <v>34</v>
      </c>
    </row>
    <row r="238" spans="1:13">
      <c r="A238">
        <v>2026</v>
      </c>
      <c r="B238" t="s">
        <v>167</v>
      </c>
      <c r="C238" t="s">
        <v>42</v>
      </c>
      <c r="D238" t="s">
        <v>43</v>
      </c>
      <c r="E238">
        <v>26180</v>
      </c>
      <c r="F238">
        <v>120</v>
      </c>
      <c r="G238" t="s">
        <v>32</v>
      </c>
      <c r="H238" t="s">
        <v>32</v>
      </c>
      <c r="I238" t="s">
        <v>35</v>
      </c>
      <c r="J238">
        <v>120</v>
      </c>
      <c r="K238" t="s">
        <v>34</v>
      </c>
    </row>
    <row r="239" spans="1:13">
      <c r="A239">
        <v>2026</v>
      </c>
      <c r="B239" t="s">
        <v>167</v>
      </c>
      <c r="C239" t="s">
        <v>42</v>
      </c>
      <c r="D239" t="s">
        <v>43</v>
      </c>
      <c r="E239">
        <v>26180</v>
      </c>
      <c r="F239">
        <v>120</v>
      </c>
      <c r="G239" t="s">
        <v>36</v>
      </c>
      <c r="H239" t="s">
        <v>36</v>
      </c>
      <c r="I239" t="s">
        <v>37</v>
      </c>
      <c r="J239">
        <v>120</v>
      </c>
      <c r="K239" t="s">
        <v>38</v>
      </c>
      <c r="M239">
        <v>34619.803046399997</v>
      </c>
    </row>
    <row r="240" spans="1:13">
      <c r="A240">
        <v>2026</v>
      </c>
      <c r="B240" t="s">
        <v>167</v>
      </c>
      <c r="C240" t="s">
        <v>42</v>
      </c>
      <c r="D240" t="s">
        <v>43</v>
      </c>
      <c r="E240">
        <v>360001</v>
      </c>
      <c r="G240" t="s">
        <v>14</v>
      </c>
      <c r="H240" t="s">
        <v>14</v>
      </c>
      <c r="I240" t="s">
        <v>63</v>
      </c>
      <c r="K240" t="s">
        <v>158</v>
      </c>
      <c r="M240">
        <v>893800</v>
      </c>
    </row>
    <row r="241" spans="1:13">
      <c r="A241">
        <v>2026</v>
      </c>
      <c r="B241" t="s">
        <v>167</v>
      </c>
      <c r="C241" t="s">
        <v>42</v>
      </c>
      <c r="D241" t="s">
        <v>43</v>
      </c>
      <c r="E241">
        <v>360102</v>
      </c>
      <c r="G241" t="s">
        <v>14</v>
      </c>
      <c r="H241" t="s">
        <v>14</v>
      </c>
      <c r="I241" t="s">
        <v>64</v>
      </c>
      <c r="K241" t="s">
        <v>158</v>
      </c>
      <c r="M241">
        <v>251100</v>
      </c>
    </row>
    <row r="242" spans="1:13">
      <c r="A242">
        <v>2026</v>
      </c>
      <c r="B242" t="s">
        <v>167</v>
      </c>
      <c r="C242" t="s">
        <v>42</v>
      </c>
      <c r="D242" t="s">
        <v>43</v>
      </c>
      <c r="E242">
        <v>360104</v>
      </c>
      <c r="G242" t="s">
        <v>14</v>
      </c>
      <c r="H242" t="s">
        <v>14</v>
      </c>
      <c r="I242" t="s">
        <v>65</v>
      </c>
      <c r="K242" t="s">
        <v>158</v>
      </c>
      <c r="M242">
        <v>261100</v>
      </c>
    </row>
    <row r="243" spans="1:13">
      <c r="A243">
        <v>2026</v>
      </c>
      <c r="B243" t="s">
        <v>167</v>
      </c>
      <c r="C243" t="s">
        <v>42</v>
      </c>
      <c r="D243" t="s">
        <v>43</v>
      </c>
      <c r="E243">
        <v>360100</v>
      </c>
      <c r="G243" t="s">
        <v>14</v>
      </c>
      <c r="H243" t="s">
        <v>14</v>
      </c>
      <c r="I243" t="s">
        <v>66</v>
      </c>
      <c r="K243" t="s">
        <v>158</v>
      </c>
      <c r="M243">
        <v>80300</v>
      </c>
    </row>
    <row r="244" spans="1:13">
      <c r="A244">
        <v>2026</v>
      </c>
      <c r="B244" t="s">
        <v>167</v>
      </c>
      <c r="C244" t="s">
        <v>42</v>
      </c>
      <c r="D244" t="s">
        <v>43</v>
      </c>
      <c r="E244">
        <v>360150</v>
      </c>
      <c r="G244" t="s">
        <v>14</v>
      </c>
      <c r="H244" t="s">
        <v>14</v>
      </c>
      <c r="I244" t="s">
        <v>67</v>
      </c>
      <c r="K244" t="s">
        <v>158</v>
      </c>
      <c r="M244">
        <v>76800</v>
      </c>
    </row>
    <row r="245" spans="1:13">
      <c r="A245">
        <v>2026</v>
      </c>
      <c r="B245" t="s">
        <v>167</v>
      </c>
      <c r="C245" t="s">
        <v>42</v>
      </c>
      <c r="D245" t="s">
        <v>43</v>
      </c>
      <c r="E245">
        <v>360101</v>
      </c>
      <c r="G245" t="s">
        <v>14</v>
      </c>
      <c r="H245" t="s">
        <v>14</v>
      </c>
      <c r="I245" t="s">
        <v>68</v>
      </c>
      <c r="K245" t="s">
        <v>158</v>
      </c>
      <c r="M245">
        <v>140600</v>
      </c>
    </row>
    <row r="246" spans="1:13">
      <c r="A246">
        <v>2026</v>
      </c>
      <c r="B246" t="s">
        <v>167</v>
      </c>
      <c r="C246" t="s">
        <v>42</v>
      </c>
      <c r="D246" t="s">
        <v>43</v>
      </c>
      <c r="E246">
        <v>360103</v>
      </c>
      <c r="G246" t="s">
        <v>14</v>
      </c>
      <c r="H246" t="s">
        <v>14</v>
      </c>
      <c r="I246" t="s">
        <v>69</v>
      </c>
      <c r="K246" t="s">
        <v>158</v>
      </c>
      <c r="M246">
        <v>150600</v>
      </c>
    </row>
    <row r="247" spans="1:13">
      <c r="A247">
        <v>2026</v>
      </c>
      <c r="B247" t="s">
        <v>167</v>
      </c>
      <c r="C247" t="s">
        <v>42</v>
      </c>
      <c r="D247" t="s">
        <v>43</v>
      </c>
      <c r="E247">
        <v>709900</v>
      </c>
      <c r="G247" t="s">
        <v>14</v>
      </c>
      <c r="H247" t="s">
        <v>14</v>
      </c>
      <c r="I247" t="s">
        <v>70</v>
      </c>
      <c r="K247" t="s">
        <v>159</v>
      </c>
      <c r="M247">
        <v>13500</v>
      </c>
    </row>
    <row r="248" spans="1:13">
      <c r="A248">
        <v>2026</v>
      </c>
      <c r="B248" t="s">
        <v>167</v>
      </c>
      <c r="C248" t="s">
        <v>42</v>
      </c>
      <c r="D248" t="s">
        <v>43</v>
      </c>
      <c r="E248">
        <v>709902</v>
      </c>
      <c r="G248" t="s">
        <v>14</v>
      </c>
      <c r="H248" t="s">
        <v>14</v>
      </c>
      <c r="I248" t="s">
        <v>71</v>
      </c>
      <c r="K248" t="s">
        <v>159</v>
      </c>
      <c r="M248">
        <v>28800</v>
      </c>
    </row>
    <row r="249" spans="1:13">
      <c r="A249">
        <v>2026</v>
      </c>
      <c r="B249" t="s">
        <v>167</v>
      </c>
      <c r="C249" t="s">
        <v>42</v>
      </c>
      <c r="D249" t="s">
        <v>43</v>
      </c>
      <c r="E249">
        <v>709903</v>
      </c>
      <c r="G249" t="s">
        <v>14</v>
      </c>
      <c r="H249" t="s">
        <v>14</v>
      </c>
      <c r="I249" t="s">
        <v>72</v>
      </c>
      <c r="K249" t="s">
        <v>159</v>
      </c>
      <c r="M249">
        <v>63400</v>
      </c>
    </row>
    <row r="250" spans="1:13">
      <c r="A250">
        <v>2026</v>
      </c>
      <c r="B250" t="s">
        <v>167</v>
      </c>
      <c r="C250" t="s">
        <v>42</v>
      </c>
      <c r="D250" t="s">
        <v>43</v>
      </c>
      <c r="E250">
        <v>709909</v>
      </c>
      <c r="G250" t="s">
        <v>14</v>
      </c>
      <c r="H250" t="s">
        <v>14</v>
      </c>
      <c r="I250" t="s">
        <v>73</v>
      </c>
      <c r="K250" t="s">
        <v>160</v>
      </c>
      <c r="M250">
        <v>38400</v>
      </c>
    </row>
    <row r="251" spans="1:13">
      <c r="A251">
        <v>2026</v>
      </c>
      <c r="B251" t="s">
        <v>167</v>
      </c>
      <c r="C251" t="s">
        <v>42</v>
      </c>
      <c r="D251" t="s">
        <v>43</v>
      </c>
      <c r="E251">
        <v>709904</v>
      </c>
      <c r="G251" t="s">
        <v>14</v>
      </c>
      <c r="H251" t="s">
        <v>14</v>
      </c>
      <c r="I251" t="s">
        <v>74</v>
      </c>
      <c r="K251" t="s">
        <v>160</v>
      </c>
      <c r="M251">
        <v>169000</v>
      </c>
    </row>
    <row r="252" spans="1:13">
      <c r="A252">
        <v>2026</v>
      </c>
      <c r="B252" t="s">
        <v>167</v>
      </c>
      <c r="C252" t="s">
        <v>42</v>
      </c>
      <c r="D252" t="s">
        <v>43</v>
      </c>
      <c r="E252">
        <v>603421</v>
      </c>
      <c r="G252" t="s">
        <v>14</v>
      </c>
      <c r="H252" t="s">
        <v>14</v>
      </c>
      <c r="I252" t="s">
        <v>75</v>
      </c>
      <c r="K252" t="s">
        <v>159</v>
      </c>
      <c r="M252">
        <v>24200</v>
      </c>
    </row>
    <row r="253" spans="1:13">
      <c r="A253">
        <v>2026</v>
      </c>
      <c r="B253" t="s">
        <v>167</v>
      </c>
      <c r="C253" t="s">
        <v>42</v>
      </c>
      <c r="D253" t="s">
        <v>43</v>
      </c>
      <c r="E253">
        <v>603422</v>
      </c>
      <c r="G253" t="s">
        <v>14</v>
      </c>
      <c r="H253" t="s">
        <v>14</v>
      </c>
      <c r="I253" t="s">
        <v>76</v>
      </c>
      <c r="K253" t="s">
        <v>159</v>
      </c>
      <c r="M253">
        <v>36700</v>
      </c>
    </row>
    <row r="254" spans="1:13">
      <c r="A254">
        <v>2026</v>
      </c>
      <c r="B254" t="s">
        <v>167</v>
      </c>
      <c r="C254" t="s">
        <v>42</v>
      </c>
      <c r="D254" t="s">
        <v>43</v>
      </c>
      <c r="E254">
        <v>603423</v>
      </c>
      <c r="G254" t="s">
        <v>14</v>
      </c>
      <c r="H254" t="s">
        <v>14</v>
      </c>
      <c r="I254" t="s">
        <v>77</v>
      </c>
      <c r="K254" t="s">
        <v>159</v>
      </c>
      <c r="M254">
        <v>91800</v>
      </c>
    </row>
    <row r="255" spans="1:13">
      <c r="A255">
        <v>2026</v>
      </c>
      <c r="B255" t="s">
        <v>167</v>
      </c>
      <c r="C255" t="s">
        <v>42</v>
      </c>
      <c r="D255" t="s">
        <v>43</v>
      </c>
      <c r="E255">
        <v>603420</v>
      </c>
      <c r="G255" t="s">
        <v>14</v>
      </c>
      <c r="H255" t="s">
        <v>14</v>
      </c>
      <c r="I255" t="s">
        <v>78</v>
      </c>
      <c r="K255" t="s">
        <v>160</v>
      </c>
      <c r="M255">
        <v>72300</v>
      </c>
    </row>
    <row r="256" spans="1:13">
      <c r="A256">
        <v>2026</v>
      </c>
      <c r="B256" t="s">
        <v>167</v>
      </c>
      <c r="C256" t="s">
        <v>42</v>
      </c>
      <c r="D256" t="s">
        <v>43</v>
      </c>
      <c r="E256">
        <v>603424</v>
      </c>
      <c r="G256" t="s">
        <v>14</v>
      </c>
      <c r="H256" t="s">
        <v>14</v>
      </c>
      <c r="I256" t="s">
        <v>79</v>
      </c>
      <c r="K256" t="s">
        <v>160</v>
      </c>
      <c r="M256">
        <v>215000</v>
      </c>
    </row>
    <row r="257" spans="1:13">
      <c r="A257">
        <v>2026</v>
      </c>
      <c r="B257" t="s">
        <v>167</v>
      </c>
      <c r="C257" t="s">
        <v>42</v>
      </c>
      <c r="D257" t="s">
        <v>43</v>
      </c>
      <c r="E257">
        <v>583300</v>
      </c>
      <c r="G257" t="s">
        <v>14</v>
      </c>
      <c r="H257" t="s">
        <v>14</v>
      </c>
      <c r="I257" t="s">
        <v>80</v>
      </c>
      <c r="K257" t="s">
        <v>161</v>
      </c>
      <c r="M257">
        <v>37700</v>
      </c>
    </row>
    <row r="258" spans="1:13">
      <c r="A258">
        <v>2026</v>
      </c>
      <c r="B258" t="s">
        <v>167</v>
      </c>
      <c r="C258" t="s">
        <v>42</v>
      </c>
      <c r="D258" t="s">
        <v>43</v>
      </c>
      <c r="E258">
        <v>583400</v>
      </c>
      <c r="G258" t="s">
        <v>14</v>
      </c>
      <c r="H258" t="s">
        <v>14</v>
      </c>
      <c r="I258" t="s">
        <v>81</v>
      </c>
      <c r="K258" t="s">
        <v>161</v>
      </c>
      <c r="M258">
        <v>38600</v>
      </c>
    </row>
    <row r="259" spans="1:13">
      <c r="A259">
        <v>2026</v>
      </c>
      <c r="B259" t="s">
        <v>167</v>
      </c>
      <c r="C259" t="s">
        <v>42</v>
      </c>
      <c r="D259" t="s">
        <v>43</v>
      </c>
      <c r="E259">
        <v>583500</v>
      </c>
      <c r="G259" t="s">
        <v>14</v>
      </c>
      <c r="H259" t="s">
        <v>14</v>
      </c>
      <c r="I259" t="s">
        <v>82</v>
      </c>
      <c r="K259" t="s">
        <v>161</v>
      </c>
      <c r="M259">
        <v>17300</v>
      </c>
    </row>
    <row r="260" spans="1:13">
      <c r="A260">
        <v>2026</v>
      </c>
      <c r="B260" t="s">
        <v>167</v>
      </c>
      <c r="C260" t="s">
        <v>42</v>
      </c>
      <c r="D260" t="s">
        <v>43</v>
      </c>
      <c r="E260">
        <v>595200</v>
      </c>
      <c r="G260" t="s">
        <v>14</v>
      </c>
      <c r="H260" t="s">
        <v>14</v>
      </c>
      <c r="I260" t="s">
        <v>83</v>
      </c>
      <c r="K260" t="s">
        <v>161</v>
      </c>
      <c r="M260">
        <v>16200</v>
      </c>
    </row>
    <row r="261" spans="1:13">
      <c r="A261">
        <v>2026</v>
      </c>
      <c r="B261" t="s">
        <v>167</v>
      </c>
      <c r="C261" t="s">
        <v>42</v>
      </c>
      <c r="D261" t="s">
        <v>43</v>
      </c>
      <c r="E261">
        <v>595300</v>
      </c>
      <c r="G261" t="s">
        <v>14</v>
      </c>
      <c r="H261" t="s">
        <v>14</v>
      </c>
      <c r="I261" t="s">
        <v>84</v>
      </c>
      <c r="K261" t="s">
        <v>161</v>
      </c>
      <c r="M261">
        <v>20300</v>
      </c>
    </row>
    <row r="262" spans="1:13">
      <c r="A262">
        <v>2026</v>
      </c>
      <c r="B262" t="s">
        <v>167</v>
      </c>
      <c r="C262" t="s">
        <v>42</v>
      </c>
      <c r="D262" t="s">
        <v>43</v>
      </c>
      <c r="E262">
        <v>595400</v>
      </c>
      <c r="G262" t="s">
        <v>14</v>
      </c>
      <c r="H262" t="s">
        <v>14</v>
      </c>
      <c r="I262" t="s">
        <v>85</v>
      </c>
      <c r="K262" t="s">
        <v>161</v>
      </c>
      <c r="M262">
        <v>29900</v>
      </c>
    </row>
    <row r="263" spans="1:13">
      <c r="A263">
        <v>2026</v>
      </c>
      <c r="B263" t="s">
        <v>167</v>
      </c>
      <c r="C263" t="s">
        <v>42</v>
      </c>
      <c r="D263" t="s">
        <v>43</v>
      </c>
      <c r="E263">
        <v>595600</v>
      </c>
      <c r="G263" t="s">
        <v>14</v>
      </c>
      <c r="H263" t="s">
        <v>14</v>
      </c>
      <c r="I263" t="s">
        <v>86</v>
      </c>
      <c r="K263" t="s">
        <v>161</v>
      </c>
      <c r="M263">
        <v>50800</v>
      </c>
    </row>
    <row r="264" spans="1:13">
      <c r="A264">
        <v>2026</v>
      </c>
      <c r="B264" t="s">
        <v>167</v>
      </c>
      <c r="C264" t="s">
        <v>42</v>
      </c>
      <c r="D264" t="s">
        <v>43</v>
      </c>
      <c r="E264">
        <v>581011</v>
      </c>
      <c r="G264" t="s">
        <v>14</v>
      </c>
      <c r="H264" t="s">
        <v>14</v>
      </c>
      <c r="I264" t="s">
        <v>87</v>
      </c>
      <c r="K264" t="s">
        <v>159</v>
      </c>
      <c r="M264">
        <v>4300</v>
      </c>
    </row>
    <row r="265" spans="1:13">
      <c r="A265">
        <v>2026</v>
      </c>
      <c r="B265" t="s">
        <v>167</v>
      </c>
      <c r="C265" t="s">
        <v>42</v>
      </c>
      <c r="D265" t="s">
        <v>43</v>
      </c>
      <c r="E265">
        <v>581100</v>
      </c>
      <c r="G265" t="s">
        <v>14</v>
      </c>
      <c r="H265" t="s">
        <v>14</v>
      </c>
      <c r="I265" t="s">
        <v>88</v>
      </c>
      <c r="K265" t="s">
        <v>159</v>
      </c>
      <c r="M265">
        <v>16400</v>
      </c>
    </row>
    <row r="266" spans="1:13">
      <c r="A266">
        <v>2026</v>
      </c>
      <c r="B266" t="s">
        <v>167</v>
      </c>
      <c r="C266" t="s">
        <v>42</v>
      </c>
      <c r="D266" t="s">
        <v>43</v>
      </c>
      <c r="E266">
        <v>581200</v>
      </c>
      <c r="G266" t="s">
        <v>14</v>
      </c>
      <c r="H266" t="s">
        <v>14</v>
      </c>
      <c r="I266" t="s">
        <v>89</v>
      </c>
      <c r="K266" t="s">
        <v>160</v>
      </c>
      <c r="M266">
        <v>13500</v>
      </c>
    </row>
    <row r="267" spans="1:13">
      <c r="A267">
        <v>2026</v>
      </c>
      <c r="B267" t="s">
        <v>167</v>
      </c>
      <c r="C267" t="s">
        <v>42</v>
      </c>
      <c r="D267" t="s">
        <v>43</v>
      </c>
      <c r="E267">
        <v>581300</v>
      </c>
      <c r="G267" t="s">
        <v>14</v>
      </c>
      <c r="H267" t="s">
        <v>14</v>
      </c>
      <c r="I267" t="s">
        <v>90</v>
      </c>
      <c r="K267" t="s">
        <v>160</v>
      </c>
      <c r="M267">
        <v>16400</v>
      </c>
    </row>
    <row r="268" spans="1:13">
      <c r="A268">
        <v>2026</v>
      </c>
      <c r="B268" t="s">
        <v>167</v>
      </c>
      <c r="C268" t="s">
        <v>42</v>
      </c>
      <c r="D268" t="s">
        <v>43</v>
      </c>
      <c r="E268">
        <v>581500</v>
      </c>
      <c r="G268" t="s">
        <v>14</v>
      </c>
      <c r="H268" t="s">
        <v>14</v>
      </c>
      <c r="I268" t="s">
        <v>91</v>
      </c>
      <c r="K268" t="s">
        <v>160</v>
      </c>
      <c r="M268">
        <v>28000</v>
      </c>
    </row>
    <row r="269" spans="1:13">
      <c r="A269">
        <v>2026</v>
      </c>
      <c r="B269" t="s">
        <v>167</v>
      </c>
      <c r="C269" t="s">
        <v>42</v>
      </c>
      <c r="D269" t="s">
        <v>43</v>
      </c>
      <c r="E269">
        <v>282790</v>
      </c>
      <c r="G269" t="s">
        <v>14</v>
      </c>
      <c r="H269" t="s">
        <v>14</v>
      </c>
      <c r="I269" t="s">
        <v>92</v>
      </c>
      <c r="K269" t="s">
        <v>162</v>
      </c>
      <c r="M269">
        <v>87800</v>
      </c>
    </row>
    <row r="270" spans="1:13">
      <c r="A270">
        <v>2026</v>
      </c>
      <c r="B270" t="s">
        <v>167</v>
      </c>
      <c r="C270" t="s">
        <v>42</v>
      </c>
      <c r="D270" t="s">
        <v>43</v>
      </c>
      <c r="E270">
        <v>282055</v>
      </c>
      <c r="G270" t="s">
        <v>14</v>
      </c>
      <c r="H270" t="s">
        <v>14</v>
      </c>
      <c r="I270" t="s">
        <v>93</v>
      </c>
      <c r="K270" t="s">
        <v>159</v>
      </c>
      <c r="M270">
        <v>62200</v>
      </c>
    </row>
    <row r="271" spans="1:13">
      <c r="A271">
        <v>2026</v>
      </c>
      <c r="B271" t="s">
        <v>167</v>
      </c>
      <c r="C271" t="s">
        <v>42</v>
      </c>
      <c r="D271" t="s">
        <v>43</v>
      </c>
      <c r="E271">
        <v>282455</v>
      </c>
      <c r="G271" t="s">
        <v>14</v>
      </c>
      <c r="H271" t="s">
        <v>14</v>
      </c>
      <c r="I271" t="s">
        <v>94</v>
      </c>
      <c r="K271" t="s">
        <v>159</v>
      </c>
      <c r="M271">
        <v>100100</v>
      </c>
    </row>
    <row r="272" spans="1:13">
      <c r="A272">
        <v>2026</v>
      </c>
      <c r="B272" t="s">
        <v>167</v>
      </c>
      <c r="C272" t="s">
        <v>42</v>
      </c>
      <c r="D272" t="s">
        <v>43</v>
      </c>
      <c r="E272">
        <v>294199</v>
      </c>
      <c r="G272" t="s">
        <v>14</v>
      </c>
      <c r="H272" t="s">
        <v>14</v>
      </c>
      <c r="I272" t="s">
        <v>95</v>
      </c>
      <c r="K272" t="s">
        <v>160</v>
      </c>
      <c r="M272">
        <v>17300</v>
      </c>
    </row>
    <row r="273" spans="1:13">
      <c r="A273">
        <v>2026</v>
      </c>
      <c r="B273" t="s">
        <v>167</v>
      </c>
      <c r="C273" t="s">
        <v>42</v>
      </c>
      <c r="D273" t="s">
        <v>43</v>
      </c>
      <c r="E273">
        <v>294299</v>
      </c>
      <c r="G273" t="s">
        <v>14</v>
      </c>
      <c r="H273" t="s">
        <v>14</v>
      </c>
      <c r="I273" t="s">
        <v>96</v>
      </c>
      <c r="K273" t="s">
        <v>160</v>
      </c>
      <c r="M273">
        <v>29000</v>
      </c>
    </row>
    <row r="274" spans="1:13">
      <c r="A274">
        <v>2026</v>
      </c>
      <c r="B274" t="s">
        <v>167</v>
      </c>
      <c r="C274" t="s">
        <v>42</v>
      </c>
      <c r="D274" t="s">
        <v>43</v>
      </c>
      <c r="E274">
        <v>294399</v>
      </c>
      <c r="G274" t="s">
        <v>14</v>
      </c>
      <c r="H274" t="s">
        <v>14</v>
      </c>
      <c r="I274" t="s">
        <v>97</v>
      </c>
      <c r="K274" t="s">
        <v>160</v>
      </c>
      <c r="M274">
        <v>36700</v>
      </c>
    </row>
    <row r="275" spans="1:13">
      <c r="A275">
        <v>2026</v>
      </c>
      <c r="B275" t="s">
        <v>167</v>
      </c>
      <c r="C275" t="s">
        <v>42</v>
      </c>
      <c r="D275" t="s">
        <v>43</v>
      </c>
      <c r="E275">
        <v>294499</v>
      </c>
      <c r="G275" t="s">
        <v>14</v>
      </c>
      <c r="H275" t="s">
        <v>14</v>
      </c>
      <c r="I275" t="s">
        <v>98</v>
      </c>
      <c r="K275" t="s">
        <v>160</v>
      </c>
      <c r="M275">
        <v>75900</v>
      </c>
    </row>
    <row r="276" spans="1:13">
      <c r="A276">
        <v>2026</v>
      </c>
      <c r="B276" t="s">
        <v>167</v>
      </c>
      <c r="C276" t="s">
        <v>42</v>
      </c>
      <c r="D276" t="s">
        <v>43</v>
      </c>
      <c r="E276">
        <v>294500</v>
      </c>
      <c r="G276" t="s">
        <v>14</v>
      </c>
      <c r="H276" t="s">
        <v>14</v>
      </c>
      <c r="I276" t="s">
        <v>99</v>
      </c>
      <c r="K276" t="s">
        <v>163</v>
      </c>
      <c r="M276">
        <v>164200</v>
      </c>
    </row>
    <row r="277" spans="1:13">
      <c r="A277">
        <v>2026</v>
      </c>
      <c r="B277" t="s">
        <v>167</v>
      </c>
      <c r="C277" t="s">
        <v>42</v>
      </c>
      <c r="D277" t="s">
        <v>43</v>
      </c>
      <c r="E277">
        <v>288100</v>
      </c>
      <c r="G277" t="s">
        <v>14</v>
      </c>
      <c r="H277" t="s">
        <v>14</v>
      </c>
      <c r="I277" t="s">
        <v>100</v>
      </c>
      <c r="K277" t="s">
        <v>160</v>
      </c>
      <c r="M277">
        <v>62800</v>
      </c>
    </row>
    <row r="278" spans="1:13">
      <c r="A278">
        <v>2026</v>
      </c>
      <c r="B278" t="s">
        <v>167</v>
      </c>
      <c r="C278" t="s">
        <v>42</v>
      </c>
      <c r="D278" t="s">
        <v>43</v>
      </c>
      <c r="E278">
        <v>284090</v>
      </c>
      <c r="G278" t="s">
        <v>14</v>
      </c>
      <c r="H278" t="s">
        <v>14</v>
      </c>
      <c r="I278" t="s">
        <v>101</v>
      </c>
      <c r="K278" t="s">
        <v>160</v>
      </c>
      <c r="M278">
        <v>15900</v>
      </c>
    </row>
    <row r="279" spans="1:13">
      <c r="A279">
        <v>2026</v>
      </c>
      <c r="B279" t="s">
        <v>167</v>
      </c>
      <c r="C279" t="s">
        <v>42</v>
      </c>
      <c r="D279" t="s">
        <v>43</v>
      </c>
      <c r="E279">
        <v>284190</v>
      </c>
      <c r="G279" t="s">
        <v>14</v>
      </c>
      <c r="H279" t="s">
        <v>14</v>
      </c>
      <c r="I279" t="s">
        <v>102</v>
      </c>
      <c r="K279" t="s">
        <v>160</v>
      </c>
      <c r="M279">
        <v>16900</v>
      </c>
    </row>
    <row r="280" spans="1:13">
      <c r="A280">
        <v>2026</v>
      </c>
      <c r="B280" t="s">
        <v>167</v>
      </c>
      <c r="C280" t="s">
        <v>42</v>
      </c>
      <c r="D280" t="s">
        <v>43</v>
      </c>
      <c r="E280">
        <v>284390</v>
      </c>
      <c r="G280" t="s">
        <v>14</v>
      </c>
      <c r="H280" t="s">
        <v>14</v>
      </c>
      <c r="I280" t="s">
        <v>103</v>
      </c>
      <c r="K280" t="s">
        <v>160</v>
      </c>
      <c r="M280">
        <v>21900</v>
      </c>
    </row>
    <row r="281" spans="1:13">
      <c r="A281">
        <v>2026</v>
      </c>
      <c r="B281" t="s">
        <v>167</v>
      </c>
      <c r="C281" t="s">
        <v>42</v>
      </c>
      <c r="D281" t="s">
        <v>43</v>
      </c>
      <c r="E281">
        <v>284599</v>
      </c>
      <c r="G281" t="s">
        <v>14</v>
      </c>
      <c r="H281" t="s">
        <v>14</v>
      </c>
      <c r="I281" t="s">
        <v>104</v>
      </c>
      <c r="K281" t="s">
        <v>164</v>
      </c>
      <c r="M281">
        <v>125300</v>
      </c>
    </row>
    <row r="282" spans="1:13">
      <c r="A282">
        <v>2026</v>
      </c>
      <c r="B282" t="s">
        <v>167</v>
      </c>
      <c r="C282" t="s">
        <v>42</v>
      </c>
      <c r="D282" t="s">
        <v>43</v>
      </c>
      <c r="E282">
        <v>287100</v>
      </c>
      <c r="G282" t="s">
        <v>14</v>
      </c>
      <c r="H282" t="s">
        <v>14</v>
      </c>
      <c r="I282" t="s">
        <v>105</v>
      </c>
      <c r="K282" t="s">
        <v>160</v>
      </c>
      <c r="M282">
        <v>38600</v>
      </c>
    </row>
    <row r="283" spans="1:13">
      <c r="A283">
        <v>2026</v>
      </c>
      <c r="B283" t="s">
        <v>167</v>
      </c>
      <c r="C283" t="s">
        <v>42</v>
      </c>
      <c r="D283" t="s">
        <v>43</v>
      </c>
      <c r="E283">
        <v>287200</v>
      </c>
      <c r="G283" t="s">
        <v>14</v>
      </c>
      <c r="H283" t="s">
        <v>14</v>
      </c>
      <c r="I283" t="s">
        <v>106</v>
      </c>
      <c r="K283" t="s">
        <v>160</v>
      </c>
      <c r="M283">
        <v>107200</v>
      </c>
    </row>
    <row r="284" spans="1:13">
      <c r="A284">
        <v>2026</v>
      </c>
      <c r="B284" t="s">
        <v>167</v>
      </c>
      <c r="C284" t="s">
        <v>42</v>
      </c>
      <c r="D284" t="s">
        <v>43</v>
      </c>
      <c r="E284">
        <v>287300</v>
      </c>
      <c r="G284" t="s">
        <v>14</v>
      </c>
      <c r="H284" t="s">
        <v>14</v>
      </c>
      <c r="I284" t="s">
        <v>107</v>
      </c>
      <c r="K284" t="s">
        <v>160</v>
      </c>
      <c r="M284">
        <v>114900</v>
      </c>
    </row>
    <row r="285" spans="1:13">
      <c r="A285">
        <v>2026</v>
      </c>
      <c r="B285" t="s">
        <v>167</v>
      </c>
      <c r="C285" t="s">
        <v>42</v>
      </c>
      <c r="D285" t="s">
        <v>43</v>
      </c>
      <c r="E285">
        <v>287400</v>
      </c>
      <c r="G285" t="s">
        <v>14</v>
      </c>
      <c r="H285" t="s">
        <v>14</v>
      </c>
      <c r="I285" t="s">
        <v>108</v>
      </c>
      <c r="K285" t="s">
        <v>160</v>
      </c>
      <c r="M285">
        <v>129400</v>
      </c>
    </row>
    <row r="286" spans="1:13">
      <c r="A286">
        <v>2026</v>
      </c>
      <c r="B286" t="s">
        <v>167</v>
      </c>
      <c r="C286" t="s">
        <v>42</v>
      </c>
      <c r="D286" t="s">
        <v>43</v>
      </c>
      <c r="E286">
        <v>287500</v>
      </c>
      <c r="G286" t="s">
        <v>14</v>
      </c>
      <c r="H286" t="s">
        <v>14</v>
      </c>
      <c r="I286" t="s">
        <v>109</v>
      </c>
      <c r="K286" t="s">
        <v>163</v>
      </c>
      <c r="M286">
        <v>338000</v>
      </c>
    </row>
    <row r="287" spans="1:13">
      <c r="A287">
        <v>2026</v>
      </c>
      <c r="B287" t="s">
        <v>167</v>
      </c>
      <c r="C287" t="s">
        <v>42</v>
      </c>
      <c r="D287" t="s">
        <v>43</v>
      </c>
      <c r="E287">
        <v>395290</v>
      </c>
      <c r="G287" t="s">
        <v>14</v>
      </c>
      <c r="H287" t="s">
        <v>14</v>
      </c>
      <c r="I287" t="s">
        <v>110</v>
      </c>
      <c r="K287" t="s">
        <v>160</v>
      </c>
      <c r="M287">
        <v>28000</v>
      </c>
    </row>
    <row r="288" spans="1:13">
      <c r="A288">
        <v>2026</v>
      </c>
      <c r="B288" t="s">
        <v>167</v>
      </c>
      <c r="C288" t="s">
        <v>42</v>
      </c>
      <c r="D288" t="s">
        <v>43</v>
      </c>
      <c r="E288">
        <v>395390</v>
      </c>
      <c r="G288" t="s">
        <v>14</v>
      </c>
      <c r="H288" t="s">
        <v>14</v>
      </c>
      <c r="I288" t="s">
        <v>111</v>
      </c>
      <c r="K288" t="s">
        <v>160</v>
      </c>
      <c r="M288">
        <v>49200</v>
      </c>
    </row>
    <row r="289" spans="1:13">
      <c r="A289">
        <v>2026</v>
      </c>
      <c r="B289" t="s">
        <v>167</v>
      </c>
      <c r="C289" t="s">
        <v>42</v>
      </c>
      <c r="D289" t="s">
        <v>43</v>
      </c>
      <c r="E289">
        <v>395890</v>
      </c>
      <c r="G289" t="s">
        <v>14</v>
      </c>
      <c r="H289" t="s">
        <v>14</v>
      </c>
      <c r="I289" t="s">
        <v>112</v>
      </c>
      <c r="K289" t="s">
        <v>160</v>
      </c>
      <c r="M289">
        <v>141600</v>
      </c>
    </row>
    <row r="290" spans="1:13">
      <c r="A290">
        <v>2026</v>
      </c>
      <c r="B290" t="s">
        <v>167</v>
      </c>
      <c r="C290" t="s">
        <v>42</v>
      </c>
      <c r="D290" t="s">
        <v>43</v>
      </c>
      <c r="E290">
        <v>395790</v>
      </c>
      <c r="G290" t="s">
        <v>14</v>
      </c>
      <c r="H290" t="s">
        <v>14</v>
      </c>
      <c r="I290" t="s">
        <v>113</v>
      </c>
      <c r="K290" t="s">
        <v>160</v>
      </c>
      <c r="M290">
        <v>174700</v>
      </c>
    </row>
    <row r="291" spans="1:13">
      <c r="A291">
        <v>2026</v>
      </c>
      <c r="B291" t="s">
        <v>167</v>
      </c>
      <c r="C291" t="s">
        <v>42</v>
      </c>
      <c r="D291" t="s">
        <v>43</v>
      </c>
      <c r="E291">
        <v>395990</v>
      </c>
      <c r="G291" t="s">
        <v>14</v>
      </c>
      <c r="H291" t="s">
        <v>14</v>
      </c>
      <c r="I291" t="s">
        <v>114</v>
      </c>
      <c r="K291" t="s">
        <v>160</v>
      </c>
      <c r="M291">
        <v>204000</v>
      </c>
    </row>
    <row r="292" spans="1:13">
      <c r="A292">
        <v>2026</v>
      </c>
      <c r="B292" t="s">
        <v>167</v>
      </c>
      <c r="C292" t="s">
        <v>42</v>
      </c>
      <c r="D292" t="s">
        <v>43</v>
      </c>
      <c r="E292">
        <v>395490</v>
      </c>
      <c r="G292" t="s">
        <v>14</v>
      </c>
      <c r="H292" t="s">
        <v>14</v>
      </c>
      <c r="I292" t="s">
        <v>115</v>
      </c>
      <c r="K292" t="s">
        <v>160</v>
      </c>
      <c r="M292">
        <v>97500</v>
      </c>
    </row>
    <row r="293" spans="1:13">
      <c r="A293">
        <v>2026</v>
      </c>
      <c r="B293" t="s">
        <v>167</v>
      </c>
      <c r="C293" t="s">
        <v>42</v>
      </c>
      <c r="D293" t="s">
        <v>43</v>
      </c>
      <c r="E293">
        <v>395690</v>
      </c>
      <c r="G293" t="s">
        <v>14</v>
      </c>
      <c r="H293" t="s">
        <v>14</v>
      </c>
      <c r="I293" t="s">
        <v>116</v>
      </c>
      <c r="K293" t="s">
        <v>160</v>
      </c>
      <c r="M293">
        <v>183500</v>
      </c>
    </row>
    <row r="294" spans="1:13">
      <c r="A294">
        <v>2026</v>
      </c>
      <c r="B294" t="s">
        <v>167</v>
      </c>
      <c r="C294" t="s">
        <v>42</v>
      </c>
      <c r="D294" t="s">
        <v>43</v>
      </c>
      <c r="E294">
        <v>382090</v>
      </c>
      <c r="G294" t="s">
        <v>14</v>
      </c>
      <c r="H294" t="s">
        <v>14</v>
      </c>
      <c r="I294" t="s">
        <v>117</v>
      </c>
      <c r="K294" t="s">
        <v>160</v>
      </c>
      <c r="M294">
        <v>208400</v>
      </c>
    </row>
    <row r="295" spans="1:13">
      <c r="A295">
        <v>2026</v>
      </c>
      <c r="B295" t="s">
        <v>167</v>
      </c>
      <c r="C295" t="s">
        <v>42</v>
      </c>
      <c r="D295" t="s">
        <v>43</v>
      </c>
      <c r="E295">
        <v>382490</v>
      </c>
      <c r="G295" t="s">
        <v>14</v>
      </c>
      <c r="H295" t="s">
        <v>14</v>
      </c>
      <c r="I295" t="s">
        <v>118</v>
      </c>
      <c r="K295" t="s">
        <v>160</v>
      </c>
      <c r="M295">
        <v>241400</v>
      </c>
    </row>
    <row r="296" spans="1:13">
      <c r="A296">
        <v>2026</v>
      </c>
      <c r="B296" t="s">
        <v>167</v>
      </c>
      <c r="C296" t="s">
        <v>42</v>
      </c>
      <c r="D296" t="s">
        <v>43</v>
      </c>
      <c r="E296">
        <v>294899</v>
      </c>
      <c r="G296" t="s">
        <v>14</v>
      </c>
      <c r="H296" t="s">
        <v>14</v>
      </c>
      <c r="I296" t="s">
        <v>119</v>
      </c>
      <c r="K296" t="s">
        <v>160</v>
      </c>
      <c r="M296">
        <v>49000</v>
      </c>
    </row>
    <row r="297" spans="1:13">
      <c r="A297">
        <v>2026</v>
      </c>
      <c r="B297" t="s">
        <v>167</v>
      </c>
      <c r="C297" t="s">
        <v>42</v>
      </c>
      <c r="D297" t="s">
        <v>43</v>
      </c>
      <c r="E297">
        <v>294599</v>
      </c>
      <c r="G297" t="s">
        <v>14</v>
      </c>
      <c r="H297" t="s">
        <v>14</v>
      </c>
      <c r="I297" t="s">
        <v>120</v>
      </c>
      <c r="K297" t="s">
        <v>164</v>
      </c>
      <c r="M297">
        <v>125000</v>
      </c>
    </row>
    <row r="298" spans="1:13">
      <c r="A298">
        <v>2026</v>
      </c>
      <c r="B298" t="s">
        <v>167</v>
      </c>
      <c r="C298" t="s">
        <v>42</v>
      </c>
      <c r="D298" t="s">
        <v>43</v>
      </c>
      <c r="E298">
        <v>394190</v>
      </c>
      <c r="G298" t="s">
        <v>14</v>
      </c>
      <c r="H298" t="s">
        <v>14</v>
      </c>
      <c r="I298" t="s">
        <v>121</v>
      </c>
      <c r="K298" t="s">
        <v>160</v>
      </c>
      <c r="M298">
        <v>114900</v>
      </c>
    </row>
    <row r="299" spans="1:13">
      <c r="A299">
        <v>2026</v>
      </c>
      <c r="B299" t="s">
        <v>167</v>
      </c>
      <c r="C299" t="s">
        <v>42</v>
      </c>
      <c r="D299" t="s">
        <v>43</v>
      </c>
      <c r="E299">
        <v>394890</v>
      </c>
      <c r="G299" t="s">
        <v>14</v>
      </c>
      <c r="H299" t="s">
        <v>14</v>
      </c>
      <c r="I299" t="s">
        <v>122</v>
      </c>
      <c r="K299" t="s">
        <v>159</v>
      </c>
      <c r="M299">
        <v>224100</v>
      </c>
    </row>
    <row r="300" spans="1:13">
      <c r="A300">
        <v>2026</v>
      </c>
      <c r="B300" t="s">
        <v>167</v>
      </c>
      <c r="C300" t="s">
        <v>42</v>
      </c>
      <c r="D300" t="s">
        <v>43</v>
      </c>
      <c r="E300">
        <v>394590</v>
      </c>
      <c r="G300" t="s">
        <v>14</v>
      </c>
      <c r="H300" t="s">
        <v>14</v>
      </c>
      <c r="I300" t="s">
        <v>123</v>
      </c>
      <c r="K300" t="s">
        <v>163</v>
      </c>
      <c r="M300">
        <v>386300</v>
      </c>
    </row>
    <row r="301" spans="1:13">
      <c r="A301">
        <v>2026</v>
      </c>
      <c r="B301" t="s">
        <v>167</v>
      </c>
      <c r="C301" t="s">
        <v>42</v>
      </c>
      <c r="D301" t="s">
        <v>43</v>
      </c>
      <c r="E301">
        <v>610000</v>
      </c>
      <c r="G301" t="s">
        <v>14</v>
      </c>
      <c r="H301" t="s">
        <v>14</v>
      </c>
      <c r="I301" t="s">
        <v>124</v>
      </c>
      <c r="K301" t="s">
        <v>159</v>
      </c>
      <c r="M301">
        <v>23000</v>
      </c>
    </row>
    <row r="302" spans="1:13">
      <c r="A302">
        <v>2026</v>
      </c>
      <c r="B302" t="s">
        <v>167</v>
      </c>
      <c r="C302" t="s">
        <v>42</v>
      </c>
      <c r="D302" t="s">
        <v>43</v>
      </c>
      <c r="E302">
        <v>610100</v>
      </c>
      <c r="G302" t="s">
        <v>14</v>
      </c>
      <c r="H302" t="s">
        <v>14</v>
      </c>
      <c r="I302" t="s">
        <v>125</v>
      </c>
      <c r="K302" t="s">
        <v>159</v>
      </c>
      <c r="M302">
        <v>27300</v>
      </c>
    </row>
    <row r="303" spans="1:13">
      <c r="A303">
        <v>2026</v>
      </c>
      <c r="B303" t="s">
        <v>167</v>
      </c>
      <c r="C303" t="s">
        <v>42</v>
      </c>
      <c r="D303" t="s">
        <v>43</v>
      </c>
      <c r="E303">
        <v>610200</v>
      </c>
      <c r="G303" t="s">
        <v>14</v>
      </c>
      <c r="H303" t="s">
        <v>14</v>
      </c>
      <c r="I303" t="s">
        <v>126</v>
      </c>
      <c r="K303" t="s">
        <v>159</v>
      </c>
      <c r="M303">
        <v>38000</v>
      </c>
    </row>
    <row r="304" spans="1:13">
      <c r="A304">
        <v>2026</v>
      </c>
      <c r="B304" t="s">
        <v>167</v>
      </c>
      <c r="C304" t="s">
        <v>42</v>
      </c>
      <c r="D304" t="s">
        <v>43</v>
      </c>
      <c r="E304">
        <v>610300</v>
      </c>
      <c r="G304" t="s">
        <v>14</v>
      </c>
      <c r="H304" t="s">
        <v>14</v>
      </c>
      <c r="I304" t="s">
        <v>127</v>
      </c>
      <c r="K304" t="s">
        <v>159</v>
      </c>
      <c r="M304">
        <v>39800</v>
      </c>
    </row>
    <row r="305" spans="1:13">
      <c r="A305">
        <v>2026</v>
      </c>
      <c r="B305" t="s">
        <v>167</v>
      </c>
      <c r="C305" t="s">
        <v>42</v>
      </c>
      <c r="D305" t="s">
        <v>43</v>
      </c>
      <c r="E305">
        <v>610400</v>
      </c>
      <c r="G305" t="s">
        <v>14</v>
      </c>
      <c r="H305" t="s">
        <v>14</v>
      </c>
      <c r="I305" t="s">
        <v>128</v>
      </c>
      <c r="K305" t="s">
        <v>159</v>
      </c>
      <c r="M305">
        <v>42200</v>
      </c>
    </row>
    <row r="306" spans="1:13">
      <c r="A306">
        <v>2026</v>
      </c>
      <c r="B306" t="s">
        <v>167</v>
      </c>
      <c r="C306" t="s">
        <v>42</v>
      </c>
      <c r="D306" t="s">
        <v>43</v>
      </c>
      <c r="E306">
        <v>610500</v>
      </c>
      <c r="G306" t="s">
        <v>14</v>
      </c>
      <c r="H306" t="s">
        <v>14</v>
      </c>
      <c r="I306" t="s">
        <v>129</v>
      </c>
      <c r="K306" t="s">
        <v>159</v>
      </c>
      <c r="M306">
        <v>51600</v>
      </c>
    </row>
    <row r="307" spans="1:13">
      <c r="A307">
        <v>2026</v>
      </c>
      <c r="B307" t="s">
        <v>167</v>
      </c>
      <c r="C307" t="s">
        <v>42</v>
      </c>
      <c r="D307" t="s">
        <v>43</v>
      </c>
      <c r="E307">
        <v>293499</v>
      </c>
      <c r="G307" t="s">
        <v>14</v>
      </c>
      <c r="H307" t="s">
        <v>14</v>
      </c>
      <c r="I307" t="s">
        <v>130</v>
      </c>
      <c r="K307" t="s">
        <v>160</v>
      </c>
      <c r="M307">
        <v>77300</v>
      </c>
    </row>
    <row r="308" spans="1:13">
      <c r="A308">
        <v>2026</v>
      </c>
      <c r="B308" t="s">
        <v>167</v>
      </c>
      <c r="C308" t="s">
        <v>42</v>
      </c>
      <c r="D308" t="s">
        <v>43</v>
      </c>
      <c r="E308">
        <v>293299</v>
      </c>
      <c r="G308" t="s">
        <v>14</v>
      </c>
      <c r="H308" t="s">
        <v>14</v>
      </c>
      <c r="I308" t="s">
        <v>131</v>
      </c>
      <c r="K308" t="s">
        <v>160</v>
      </c>
      <c r="M308">
        <v>38600</v>
      </c>
    </row>
    <row r="309" spans="1:13">
      <c r="A309">
        <v>2026</v>
      </c>
      <c r="B309" t="s">
        <v>167</v>
      </c>
      <c r="C309" t="s">
        <v>42</v>
      </c>
      <c r="D309" t="s">
        <v>43</v>
      </c>
      <c r="E309">
        <v>298300</v>
      </c>
      <c r="G309" t="s">
        <v>14</v>
      </c>
      <c r="H309" t="s">
        <v>14</v>
      </c>
      <c r="I309" t="s">
        <v>132</v>
      </c>
      <c r="K309" t="s">
        <v>165</v>
      </c>
      <c r="M309">
        <v>70700</v>
      </c>
    </row>
    <row r="310" spans="1:13">
      <c r="A310">
        <v>2026</v>
      </c>
      <c r="B310" t="s">
        <v>167</v>
      </c>
      <c r="C310" t="s">
        <v>42</v>
      </c>
      <c r="D310" t="s">
        <v>43</v>
      </c>
      <c r="E310">
        <v>298400</v>
      </c>
      <c r="G310" t="s">
        <v>14</v>
      </c>
      <c r="H310" t="s">
        <v>14</v>
      </c>
      <c r="I310" t="s">
        <v>133</v>
      </c>
      <c r="K310" t="s">
        <v>165</v>
      </c>
      <c r="M310">
        <v>64900</v>
      </c>
    </row>
    <row r="311" spans="1:13">
      <c r="A311">
        <v>2026</v>
      </c>
      <c r="B311" t="s">
        <v>167</v>
      </c>
      <c r="C311" t="s">
        <v>42</v>
      </c>
      <c r="D311" t="s">
        <v>43</v>
      </c>
      <c r="E311">
        <v>290799</v>
      </c>
      <c r="G311" t="s">
        <v>14</v>
      </c>
      <c r="H311" t="s">
        <v>14</v>
      </c>
      <c r="I311" t="s">
        <v>134</v>
      </c>
      <c r="K311" t="s">
        <v>159</v>
      </c>
      <c r="M311">
        <v>24200</v>
      </c>
    </row>
    <row r="312" spans="1:13">
      <c r="A312">
        <v>2026</v>
      </c>
      <c r="B312" t="s">
        <v>167</v>
      </c>
      <c r="C312" t="s">
        <v>42</v>
      </c>
      <c r="D312" t="s">
        <v>43</v>
      </c>
      <c r="E312">
        <v>291099</v>
      </c>
      <c r="G312" t="s">
        <v>14</v>
      </c>
      <c r="H312" t="s">
        <v>14</v>
      </c>
      <c r="I312" t="s">
        <v>135</v>
      </c>
      <c r="K312" t="s">
        <v>159</v>
      </c>
      <c r="M312">
        <v>50300</v>
      </c>
    </row>
    <row r="313" spans="1:13">
      <c r="A313">
        <v>2026</v>
      </c>
      <c r="B313" t="s">
        <v>167</v>
      </c>
      <c r="C313" t="s">
        <v>42</v>
      </c>
      <c r="D313" t="s">
        <v>43</v>
      </c>
      <c r="E313">
        <v>292005</v>
      </c>
      <c r="G313" t="s">
        <v>14</v>
      </c>
      <c r="H313" t="s">
        <v>14</v>
      </c>
      <c r="I313" t="s">
        <v>136</v>
      </c>
      <c r="K313" t="s">
        <v>160</v>
      </c>
      <c r="M313">
        <v>144800</v>
      </c>
    </row>
    <row r="314" spans="1:13">
      <c r="A314">
        <v>2026</v>
      </c>
      <c r="B314" t="s">
        <v>167</v>
      </c>
      <c r="C314" t="s">
        <v>42</v>
      </c>
      <c r="D314" t="s">
        <v>43</v>
      </c>
      <c r="E314">
        <v>290599</v>
      </c>
      <c r="G314" t="s">
        <v>14</v>
      </c>
      <c r="H314" t="s">
        <v>14</v>
      </c>
      <c r="I314" t="s">
        <v>137</v>
      </c>
      <c r="K314" t="s">
        <v>159</v>
      </c>
      <c r="M314">
        <v>14500</v>
      </c>
    </row>
    <row r="315" spans="1:13">
      <c r="A315">
        <v>2026</v>
      </c>
      <c r="B315" t="s">
        <v>167</v>
      </c>
      <c r="C315" t="s">
        <v>42</v>
      </c>
      <c r="D315" t="s">
        <v>43</v>
      </c>
      <c r="E315">
        <v>289500</v>
      </c>
      <c r="G315" t="s">
        <v>14</v>
      </c>
      <c r="H315" t="s">
        <v>14</v>
      </c>
      <c r="I315" t="s">
        <v>138</v>
      </c>
      <c r="K315" t="s">
        <v>159</v>
      </c>
      <c r="M315">
        <v>50300</v>
      </c>
    </row>
    <row r="316" spans="1:13">
      <c r="A316">
        <v>2026</v>
      </c>
      <c r="B316" t="s">
        <v>167</v>
      </c>
      <c r="C316" t="s">
        <v>42</v>
      </c>
      <c r="D316" t="s">
        <v>43</v>
      </c>
      <c r="E316">
        <v>289700</v>
      </c>
      <c r="G316" t="s">
        <v>14</v>
      </c>
      <c r="H316" t="s">
        <v>14</v>
      </c>
      <c r="I316" t="s">
        <v>139</v>
      </c>
      <c r="K316" t="s">
        <v>160</v>
      </c>
      <c r="M316">
        <v>115900</v>
      </c>
    </row>
    <row r="317" spans="1:13">
      <c r="A317">
        <v>2026</v>
      </c>
      <c r="B317" t="s">
        <v>167</v>
      </c>
      <c r="C317" t="s">
        <v>42</v>
      </c>
      <c r="D317" t="s">
        <v>43</v>
      </c>
      <c r="E317">
        <v>289100</v>
      </c>
      <c r="G317" t="s">
        <v>14</v>
      </c>
      <c r="H317" t="s">
        <v>14</v>
      </c>
      <c r="I317" t="s">
        <v>140</v>
      </c>
      <c r="K317" t="s">
        <v>159</v>
      </c>
      <c r="M317">
        <v>21900</v>
      </c>
    </row>
    <row r="318" spans="1:13">
      <c r="A318">
        <v>2026</v>
      </c>
      <c r="B318" t="s">
        <v>167</v>
      </c>
      <c r="C318" t="s">
        <v>42</v>
      </c>
      <c r="D318" t="s">
        <v>43</v>
      </c>
      <c r="E318">
        <v>289300</v>
      </c>
      <c r="G318" t="s">
        <v>14</v>
      </c>
      <c r="H318" t="s">
        <v>14</v>
      </c>
      <c r="I318" t="s">
        <v>141</v>
      </c>
      <c r="K318" t="s">
        <v>159</v>
      </c>
      <c r="M318">
        <v>27000</v>
      </c>
    </row>
    <row r="319" spans="1:13">
      <c r="A319">
        <v>2026</v>
      </c>
      <c r="B319" t="s">
        <v>167</v>
      </c>
      <c r="C319" t="s">
        <v>42</v>
      </c>
      <c r="D319" t="s">
        <v>43</v>
      </c>
      <c r="E319">
        <v>496300</v>
      </c>
      <c r="G319" t="s">
        <v>14</v>
      </c>
      <c r="H319" t="s">
        <v>14</v>
      </c>
      <c r="I319" t="s">
        <v>142</v>
      </c>
      <c r="K319" t="s">
        <v>159</v>
      </c>
      <c r="M319">
        <v>26750</v>
      </c>
    </row>
    <row r="320" spans="1:13">
      <c r="A320">
        <v>2026</v>
      </c>
      <c r="B320" t="s">
        <v>167</v>
      </c>
      <c r="C320" t="s">
        <v>42</v>
      </c>
      <c r="D320" t="s">
        <v>43</v>
      </c>
      <c r="E320">
        <v>496405</v>
      </c>
      <c r="G320" t="s">
        <v>14</v>
      </c>
      <c r="H320" t="s">
        <v>14</v>
      </c>
      <c r="I320" t="s">
        <v>143</v>
      </c>
      <c r="K320" t="s">
        <v>160</v>
      </c>
      <c r="M320">
        <v>31750</v>
      </c>
    </row>
    <row r="321" spans="1:14">
      <c r="A321">
        <v>2026</v>
      </c>
      <c r="B321" t="s">
        <v>167</v>
      </c>
      <c r="C321" t="s">
        <v>42</v>
      </c>
      <c r="D321" t="s">
        <v>43</v>
      </c>
      <c r="E321">
        <v>496455</v>
      </c>
      <c r="G321" t="s">
        <v>14</v>
      </c>
      <c r="H321" t="s">
        <v>14</v>
      </c>
      <c r="I321" t="s">
        <v>144</v>
      </c>
      <c r="K321" t="s">
        <v>160</v>
      </c>
      <c r="M321">
        <v>36750</v>
      </c>
    </row>
    <row r="322" spans="1:14">
      <c r="A322">
        <v>2026</v>
      </c>
      <c r="B322" t="s">
        <v>167</v>
      </c>
      <c r="C322" t="s">
        <v>42</v>
      </c>
      <c r="D322" t="s">
        <v>43</v>
      </c>
      <c r="E322">
        <v>496605</v>
      </c>
      <c r="G322" t="s">
        <v>14</v>
      </c>
      <c r="H322" t="s">
        <v>14</v>
      </c>
      <c r="I322" t="s">
        <v>145</v>
      </c>
      <c r="K322" t="s">
        <v>160</v>
      </c>
      <c r="M322">
        <v>41750</v>
      </c>
    </row>
    <row r="323" spans="1:14">
      <c r="A323">
        <v>2026</v>
      </c>
      <c r="B323" t="s">
        <v>167</v>
      </c>
      <c r="C323" t="s">
        <v>42</v>
      </c>
      <c r="D323" t="s">
        <v>43</v>
      </c>
      <c r="E323">
        <v>496650</v>
      </c>
      <c r="G323" t="s">
        <v>14</v>
      </c>
      <c r="H323" t="s">
        <v>14</v>
      </c>
      <c r="I323" t="s">
        <v>146</v>
      </c>
      <c r="K323" t="s">
        <v>160</v>
      </c>
      <c r="M323">
        <v>46750</v>
      </c>
    </row>
    <row r="324" spans="1:14">
      <c r="A324">
        <v>2026</v>
      </c>
      <c r="B324" t="s">
        <v>167</v>
      </c>
      <c r="C324" t="s">
        <v>42</v>
      </c>
      <c r="D324" t="s">
        <v>43</v>
      </c>
      <c r="E324">
        <v>498300</v>
      </c>
      <c r="G324" t="s">
        <v>14</v>
      </c>
      <c r="H324" t="s">
        <v>14</v>
      </c>
      <c r="I324" t="s">
        <v>147</v>
      </c>
      <c r="K324" t="s">
        <v>160</v>
      </c>
      <c r="M324">
        <v>107000</v>
      </c>
    </row>
    <row r="325" spans="1:14">
      <c r="A325">
        <v>2026</v>
      </c>
      <c r="B325" t="s">
        <v>167</v>
      </c>
      <c r="C325" t="s">
        <v>42</v>
      </c>
      <c r="D325" t="s">
        <v>43</v>
      </c>
      <c r="E325">
        <v>498400</v>
      </c>
      <c r="G325" t="s">
        <v>14</v>
      </c>
      <c r="H325" t="s">
        <v>14</v>
      </c>
      <c r="I325" t="s">
        <v>148</v>
      </c>
      <c r="K325" t="s">
        <v>160</v>
      </c>
      <c r="M325">
        <v>117700</v>
      </c>
    </row>
    <row r="326" spans="1:14">
      <c r="A326">
        <v>2026</v>
      </c>
      <c r="B326" t="s">
        <v>167</v>
      </c>
      <c r="C326" t="s">
        <v>42</v>
      </c>
      <c r="D326" t="s">
        <v>43</v>
      </c>
      <c r="E326">
        <v>498450</v>
      </c>
      <c r="G326" t="s">
        <v>14</v>
      </c>
      <c r="H326" t="s">
        <v>14</v>
      </c>
      <c r="I326" t="s">
        <v>149</v>
      </c>
      <c r="K326" t="s">
        <v>160</v>
      </c>
      <c r="M326">
        <v>144450</v>
      </c>
    </row>
    <row r="327" spans="1:14">
      <c r="A327">
        <v>2026</v>
      </c>
      <c r="B327" t="s">
        <v>167</v>
      </c>
      <c r="C327" t="s">
        <v>42</v>
      </c>
      <c r="D327" t="s">
        <v>43</v>
      </c>
      <c r="E327">
        <v>498600</v>
      </c>
      <c r="G327" t="s">
        <v>14</v>
      </c>
      <c r="H327" t="s">
        <v>14</v>
      </c>
      <c r="I327" t="s">
        <v>150</v>
      </c>
      <c r="K327" t="s">
        <v>160</v>
      </c>
      <c r="M327">
        <v>149800</v>
      </c>
    </row>
    <row r="328" spans="1:14">
      <c r="A328">
        <v>2026</v>
      </c>
      <c r="B328" t="s">
        <v>167</v>
      </c>
      <c r="C328" t="s">
        <v>42</v>
      </c>
      <c r="D328" t="s">
        <v>43</v>
      </c>
      <c r="E328">
        <v>498650</v>
      </c>
      <c r="G328" t="s">
        <v>14</v>
      </c>
      <c r="H328" t="s">
        <v>14</v>
      </c>
      <c r="I328" t="s">
        <v>151</v>
      </c>
      <c r="K328" t="s">
        <v>160</v>
      </c>
      <c r="M328">
        <v>160500</v>
      </c>
    </row>
    <row r="329" spans="1:14">
      <c r="A329">
        <v>2026</v>
      </c>
      <c r="B329" t="s">
        <v>167</v>
      </c>
      <c r="C329" t="s">
        <v>42</v>
      </c>
      <c r="D329" t="s">
        <v>43</v>
      </c>
      <c r="E329">
        <v>3505</v>
      </c>
      <c r="G329" t="s">
        <v>14</v>
      </c>
      <c r="H329" t="s">
        <v>14</v>
      </c>
      <c r="I329" t="s">
        <v>152</v>
      </c>
      <c r="K329" t="s">
        <v>158</v>
      </c>
      <c r="M329">
        <v>43500</v>
      </c>
    </row>
    <row r="330" spans="1:14">
      <c r="A330">
        <v>2026</v>
      </c>
      <c r="B330" t="s">
        <v>167</v>
      </c>
      <c r="C330" t="s">
        <v>42</v>
      </c>
      <c r="D330" t="s">
        <v>43</v>
      </c>
      <c r="E330">
        <v>2440</v>
      </c>
      <c r="G330" t="s">
        <v>14</v>
      </c>
      <c r="H330" t="s">
        <v>14</v>
      </c>
      <c r="I330" t="s">
        <v>153</v>
      </c>
      <c r="K330" t="s">
        <v>158</v>
      </c>
      <c r="M330">
        <v>89500</v>
      </c>
    </row>
    <row r="331" spans="1:14">
      <c r="A331">
        <v>2026</v>
      </c>
      <c r="B331" t="s">
        <v>167</v>
      </c>
      <c r="C331" t="s">
        <v>42</v>
      </c>
      <c r="D331" t="s">
        <v>43</v>
      </c>
      <c r="E331">
        <v>2438</v>
      </c>
      <c r="G331" t="s">
        <v>14</v>
      </c>
      <c r="H331" t="s">
        <v>14</v>
      </c>
      <c r="I331" t="s">
        <v>154</v>
      </c>
      <c r="K331" t="s">
        <v>158</v>
      </c>
      <c r="M331">
        <v>67900</v>
      </c>
    </row>
    <row r="332" spans="1:14">
      <c r="A332">
        <v>2026</v>
      </c>
      <c r="B332" t="s">
        <v>167</v>
      </c>
      <c r="C332" t="s">
        <v>42</v>
      </c>
      <c r="D332" t="s">
        <v>43</v>
      </c>
      <c r="E332">
        <v>2434</v>
      </c>
      <c r="G332" t="s">
        <v>14</v>
      </c>
      <c r="H332" t="s">
        <v>14</v>
      </c>
      <c r="I332" t="s">
        <v>155</v>
      </c>
      <c r="K332" t="s">
        <v>158</v>
      </c>
      <c r="M332">
        <v>50300</v>
      </c>
    </row>
    <row r="333" spans="1:14">
      <c r="A333">
        <v>2026</v>
      </c>
      <c r="B333" t="s">
        <v>167</v>
      </c>
      <c r="C333" t="s">
        <v>42</v>
      </c>
      <c r="D333" t="s">
        <v>43</v>
      </c>
      <c r="E333">
        <v>2436</v>
      </c>
      <c r="G333" t="s">
        <v>14</v>
      </c>
      <c r="H333" t="s">
        <v>14</v>
      </c>
      <c r="I333" t="s">
        <v>156</v>
      </c>
      <c r="K333" t="s">
        <v>158</v>
      </c>
      <c r="M333">
        <v>53300</v>
      </c>
    </row>
    <row r="334" spans="1:14">
      <c r="A334">
        <v>2026</v>
      </c>
      <c r="B334" t="s">
        <v>167</v>
      </c>
      <c r="C334" t="s">
        <v>42</v>
      </c>
      <c r="D334" t="s">
        <v>43</v>
      </c>
      <c r="E334">
        <v>2444</v>
      </c>
      <c r="G334" t="s">
        <v>14</v>
      </c>
      <c r="H334" t="s">
        <v>14</v>
      </c>
      <c r="I334" t="s">
        <v>157</v>
      </c>
      <c r="K334" t="s">
        <v>158</v>
      </c>
      <c r="M334">
        <v>200900</v>
      </c>
    </row>
    <row r="335" spans="1:14">
      <c r="A335">
        <v>2026</v>
      </c>
      <c r="B335" t="s">
        <v>167</v>
      </c>
      <c r="C335" t="s">
        <v>46</v>
      </c>
      <c r="D335" t="s">
        <v>47</v>
      </c>
      <c r="E335">
        <v>10948</v>
      </c>
      <c r="F335">
        <v>90</v>
      </c>
      <c r="G335" t="s">
        <v>14</v>
      </c>
      <c r="H335" t="s">
        <v>14</v>
      </c>
      <c r="I335" t="s">
        <v>21</v>
      </c>
      <c r="J335">
        <v>1</v>
      </c>
      <c r="K335" t="s">
        <v>16</v>
      </c>
      <c r="L335">
        <v>1965</v>
      </c>
      <c r="M335">
        <v>1965</v>
      </c>
      <c r="N335" t="s">
        <v>48</v>
      </c>
    </row>
    <row r="336" spans="1:14">
      <c r="A336">
        <v>2026</v>
      </c>
      <c r="B336" t="s">
        <v>167</v>
      </c>
      <c r="C336" t="s">
        <v>46</v>
      </c>
      <c r="D336" t="s">
        <v>47</v>
      </c>
      <c r="E336">
        <v>10948</v>
      </c>
      <c r="F336">
        <v>90</v>
      </c>
      <c r="G336" t="s">
        <v>14</v>
      </c>
      <c r="H336" t="s">
        <v>14</v>
      </c>
      <c r="I336" t="s">
        <v>49</v>
      </c>
      <c r="J336">
        <v>1</v>
      </c>
    </row>
    <row r="337" spans="1:13">
      <c r="A337">
        <v>2026</v>
      </c>
      <c r="B337" t="s">
        <v>167</v>
      </c>
      <c r="C337" t="s">
        <v>46</v>
      </c>
      <c r="D337" t="s">
        <v>47</v>
      </c>
      <c r="E337">
        <v>10948</v>
      </c>
      <c r="F337">
        <v>90</v>
      </c>
      <c r="G337" t="s">
        <v>14</v>
      </c>
      <c r="H337" t="s">
        <v>14</v>
      </c>
      <c r="I337" t="s">
        <v>50</v>
      </c>
      <c r="J337">
        <v>2</v>
      </c>
      <c r="K337" t="s">
        <v>16</v>
      </c>
    </row>
    <row r="338" spans="1:13">
      <c r="A338">
        <v>2026</v>
      </c>
      <c r="B338" t="s">
        <v>167</v>
      </c>
      <c r="C338" t="s">
        <v>46</v>
      </c>
      <c r="D338" t="s">
        <v>47</v>
      </c>
      <c r="E338">
        <v>10948</v>
      </c>
      <c r="F338">
        <v>90</v>
      </c>
      <c r="G338" t="s">
        <v>14</v>
      </c>
      <c r="H338" t="s">
        <v>14</v>
      </c>
      <c r="I338" t="s">
        <v>26</v>
      </c>
      <c r="J338">
        <v>0.4</v>
      </c>
      <c r="K338" t="s">
        <v>16</v>
      </c>
      <c r="L338">
        <v>111.86</v>
      </c>
      <c r="M338">
        <v>44.744</v>
      </c>
    </row>
    <row r="339" spans="1:13">
      <c r="A339">
        <v>2026</v>
      </c>
      <c r="B339" t="s">
        <v>167</v>
      </c>
      <c r="C339" t="s">
        <v>46</v>
      </c>
      <c r="D339" t="s">
        <v>47</v>
      </c>
      <c r="E339">
        <v>10948</v>
      </c>
      <c r="F339">
        <v>90</v>
      </c>
      <c r="G339" t="s">
        <v>14</v>
      </c>
      <c r="H339" t="s">
        <v>14</v>
      </c>
      <c r="I339" t="s">
        <v>28</v>
      </c>
      <c r="J339">
        <v>0.5</v>
      </c>
      <c r="K339" t="s">
        <v>16</v>
      </c>
      <c r="L339">
        <v>17888.080000000002</v>
      </c>
      <c r="M339">
        <v>89.440400000000011</v>
      </c>
    </row>
    <row r="340" spans="1:13">
      <c r="A340">
        <v>2026</v>
      </c>
      <c r="B340" t="s">
        <v>167</v>
      </c>
      <c r="C340" t="s">
        <v>46</v>
      </c>
      <c r="D340" t="s">
        <v>47</v>
      </c>
      <c r="E340">
        <v>10948</v>
      </c>
      <c r="F340">
        <v>90</v>
      </c>
      <c r="G340" t="s">
        <v>14</v>
      </c>
      <c r="H340" t="s">
        <v>14</v>
      </c>
      <c r="I340" t="s">
        <v>15</v>
      </c>
      <c r="J340">
        <v>1</v>
      </c>
      <c r="K340" t="s">
        <v>16</v>
      </c>
      <c r="L340">
        <v>10948</v>
      </c>
      <c r="M340">
        <v>10948</v>
      </c>
    </row>
    <row r="341" spans="1:13">
      <c r="A341">
        <v>2026</v>
      </c>
      <c r="B341" t="s">
        <v>167</v>
      </c>
      <c r="C341" t="s">
        <v>46</v>
      </c>
      <c r="D341" t="s">
        <v>47</v>
      </c>
      <c r="E341">
        <v>10948</v>
      </c>
      <c r="F341">
        <v>90</v>
      </c>
      <c r="G341" t="s">
        <v>14</v>
      </c>
      <c r="H341" t="s">
        <v>14</v>
      </c>
      <c r="I341" t="s">
        <v>51</v>
      </c>
      <c r="J341">
        <v>1</v>
      </c>
    </row>
    <row r="342" spans="1:13">
      <c r="A342">
        <v>2026</v>
      </c>
      <c r="B342" t="s">
        <v>167</v>
      </c>
      <c r="C342" t="s">
        <v>46</v>
      </c>
      <c r="D342" t="s">
        <v>47</v>
      </c>
      <c r="E342">
        <v>10948</v>
      </c>
      <c r="F342">
        <v>90</v>
      </c>
      <c r="G342" t="s">
        <v>14</v>
      </c>
      <c r="H342" t="s">
        <v>14</v>
      </c>
      <c r="I342" t="s">
        <v>52</v>
      </c>
      <c r="J342">
        <v>1</v>
      </c>
    </row>
    <row r="343" spans="1:13">
      <c r="A343">
        <v>2026</v>
      </c>
      <c r="B343" t="s">
        <v>167</v>
      </c>
      <c r="C343" t="s">
        <v>46</v>
      </c>
      <c r="D343" t="s">
        <v>47</v>
      </c>
      <c r="E343">
        <v>10948</v>
      </c>
      <c r="F343">
        <v>90</v>
      </c>
      <c r="G343" t="s">
        <v>14</v>
      </c>
      <c r="H343" t="s">
        <v>14</v>
      </c>
      <c r="I343" t="s">
        <v>53</v>
      </c>
      <c r="J343">
        <v>1</v>
      </c>
    </row>
    <row r="344" spans="1:13">
      <c r="A344">
        <v>2026</v>
      </c>
      <c r="B344" t="s">
        <v>167</v>
      </c>
      <c r="C344" t="s">
        <v>46</v>
      </c>
      <c r="D344" t="s">
        <v>47</v>
      </c>
      <c r="E344">
        <v>10948</v>
      </c>
      <c r="F344">
        <v>90</v>
      </c>
      <c r="G344" t="s">
        <v>14</v>
      </c>
      <c r="H344" t="s">
        <v>14</v>
      </c>
      <c r="I344" t="s">
        <v>54</v>
      </c>
      <c r="J344">
        <v>1</v>
      </c>
    </row>
    <row r="345" spans="1:13">
      <c r="A345">
        <v>2026</v>
      </c>
      <c r="B345" t="s">
        <v>167</v>
      </c>
      <c r="C345" t="s">
        <v>46</v>
      </c>
      <c r="D345" t="s">
        <v>47</v>
      </c>
      <c r="E345">
        <v>10948</v>
      </c>
      <c r="F345">
        <v>90</v>
      </c>
      <c r="G345" t="s">
        <v>14</v>
      </c>
      <c r="H345" t="s">
        <v>14</v>
      </c>
      <c r="I345" t="s">
        <v>55</v>
      </c>
      <c r="J345">
        <v>1</v>
      </c>
    </row>
    <row r="346" spans="1:13">
      <c r="A346">
        <v>2026</v>
      </c>
      <c r="B346" t="s">
        <v>167</v>
      </c>
      <c r="C346" t="s">
        <v>46</v>
      </c>
      <c r="D346" t="s">
        <v>47</v>
      </c>
      <c r="E346">
        <v>10948</v>
      </c>
      <c r="F346">
        <v>90</v>
      </c>
      <c r="G346" t="s">
        <v>14</v>
      </c>
      <c r="H346" t="s">
        <v>14</v>
      </c>
      <c r="I346" t="s">
        <v>56</v>
      </c>
      <c r="J346">
        <v>1</v>
      </c>
    </row>
    <row r="347" spans="1:13">
      <c r="A347">
        <v>2026</v>
      </c>
      <c r="B347" t="s">
        <v>167</v>
      </c>
      <c r="C347" t="s">
        <v>46</v>
      </c>
      <c r="D347" t="s">
        <v>47</v>
      </c>
      <c r="E347">
        <v>10948</v>
      </c>
      <c r="F347">
        <v>90</v>
      </c>
      <c r="G347" t="s">
        <v>14</v>
      </c>
      <c r="H347" t="s">
        <v>14</v>
      </c>
      <c r="I347" t="s">
        <v>18</v>
      </c>
      <c r="J347">
        <v>2</v>
      </c>
      <c r="K347" t="s">
        <v>16</v>
      </c>
      <c r="L347">
        <v>1086.232</v>
      </c>
      <c r="M347">
        <v>2172.4639999999999</v>
      </c>
    </row>
    <row r="348" spans="1:13">
      <c r="A348">
        <v>2026</v>
      </c>
      <c r="B348" t="s">
        <v>167</v>
      </c>
      <c r="C348" t="s">
        <v>46</v>
      </c>
      <c r="D348" t="s">
        <v>47</v>
      </c>
      <c r="E348">
        <v>10948</v>
      </c>
      <c r="F348">
        <v>90</v>
      </c>
      <c r="G348" t="s">
        <v>14</v>
      </c>
      <c r="H348" t="s">
        <v>14</v>
      </c>
      <c r="I348" t="s">
        <v>20</v>
      </c>
      <c r="J348">
        <v>1</v>
      </c>
      <c r="K348" t="s">
        <v>16</v>
      </c>
      <c r="L348">
        <v>370</v>
      </c>
      <c r="M348">
        <v>370</v>
      </c>
    </row>
    <row r="349" spans="1:13">
      <c r="A349">
        <v>2026</v>
      </c>
      <c r="B349" t="s">
        <v>167</v>
      </c>
      <c r="C349" t="s">
        <v>46</v>
      </c>
      <c r="D349" t="s">
        <v>47</v>
      </c>
      <c r="E349">
        <v>10948</v>
      </c>
      <c r="F349">
        <v>90</v>
      </c>
      <c r="G349" t="s">
        <v>14</v>
      </c>
      <c r="H349" t="s">
        <v>14</v>
      </c>
      <c r="I349" t="s">
        <v>57</v>
      </c>
      <c r="J349">
        <v>1</v>
      </c>
    </row>
    <row r="350" spans="1:13">
      <c r="A350">
        <v>2026</v>
      </c>
      <c r="B350" t="s">
        <v>167</v>
      </c>
      <c r="C350" t="s">
        <v>46</v>
      </c>
      <c r="D350" t="s">
        <v>47</v>
      </c>
      <c r="E350">
        <v>10948</v>
      </c>
      <c r="F350">
        <v>90</v>
      </c>
      <c r="G350" t="s">
        <v>14</v>
      </c>
      <c r="H350" t="s">
        <v>14</v>
      </c>
      <c r="I350" t="s">
        <v>58</v>
      </c>
      <c r="J350">
        <v>1</v>
      </c>
    </row>
    <row r="351" spans="1:13">
      <c r="A351">
        <v>2026</v>
      </c>
      <c r="B351" t="s">
        <v>167</v>
      </c>
      <c r="C351" t="s">
        <v>46</v>
      </c>
      <c r="D351" t="s">
        <v>47</v>
      </c>
      <c r="E351">
        <v>10948</v>
      </c>
      <c r="F351">
        <v>90</v>
      </c>
      <c r="G351" t="s">
        <v>14</v>
      </c>
      <c r="H351" t="s">
        <v>14</v>
      </c>
      <c r="I351" t="s">
        <v>59</v>
      </c>
      <c r="J351">
        <v>1</v>
      </c>
    </row>
    <row r="352" spans="1:13">
      <c r="A352">
        <v>2026</v>
      </c>
      <c r="B352" t="s">
        <v>167</v>
      </c>
      <c r="C352" t="s">
        <v>46</v>
      </c>
      <c r="D352" t="s">
        <v>47</v>
      </c>
      <c r="E352">
        <v>10948</v>
      </c>
      <c r="F352">
        <v>90</v>
      </c>
      <c r="G352" t="s">
        <v>14</v>
      </c>
      <c r="H352" t="s">
        <v>14</v>
      </c>
      <c r="I352" t="s">
        <v>60</v>
      </c>
      <c r="J352">
        <v>1</v>
      </c>
    </row>
    <row r="353" spans="1:13">
      <c r="A353">
        <v>2026</v>
      </c>
      <c r="B353" t="s">
        <v>167</v>
      </c>
      <c r="C353" t="s">
        <v>46</v>
      </c>
      <c r="D353" t="s">
        <v>47</v>
      </c>
      <c r="E353">
        <v>10948</v>
      </c>
      <c r="F353">
        <v>90</v>
      </c>
      <c r="G353" t="s">
        <v>32</v>
      </c>
      <c r="H353" t="s">
        <v>32</v>
      </c>
      <c r="I353" t="s">
        <v>33</v>
      </c>
      <c r="J353">
        <v>80</v>
      </c>
      <c r="K353" t="s">
        <v>34</v>
      </c>
    </row>
    <row r="354" spans="1:13">
      <c r="A354">
        <v>2026</v>
      </c>
      <c r="B354" t="s">
        <v>167</v>
      </c>
      <c r="C354" t="s">
        <v>46</v>
      </c>
      <c r="D354" t="s">
        <v>47</v>
      </c>
      <c r="E354">
        <v>10948</v>
      </c>
      <c r="F354">
        <v>90</v>
      </c>
      <c r="G354" t="s">
        <v>32</v>
      </c>
      <c r="H354" t="s">
        <v>32</v>
      </c>
      <c r="I354" t="s">
        <v>35</v>
      </c>
      <c r="J354">
        <v>90</v>
      </c>
      <c r="K354" t="s">
        <v>34</v>
      </c>
    </row>
    <row r="355" spans="1:13">
      <c r="A355">
        <v>2026</v>
      </c>
      <c r="B355" t="s">
        <v>167</v>
      </c>
      <c r="C355" t="s">
        <v>46</v>
      </c>
      <c r="D355" t="s">
        <v>47</v>
      </c>
      <c r="E355">
        <v>10948</v>
      </c>
      <c r="F355">
        <v>90</v>
      </c>
      <c r="G355" t="s">
        <v>36</v>
      </c>
      <c r="H355" t="s">
        <v>36</v>
      </c>
      <c r="I355" t="s">
        <v>37</v>
      </c>
      <c r="J355">
        <v>90</v>
      </c>
      <c r="K355" t="s">
        <v>38</v>
      </c>
      <c r="M355">
        <v>24617.62572810534</v>
      </c>
    </row>
    <row r="356" spans="1:13">
      <c r="A356">
        <v>2026</v>
      </c>
      <c r="B356" t="s">
        <v>167</v>
      </c>
      <c r="C356" t="s">
        <v>46</v>
      </c>
      <c r="D356" t="s">
        <v>47</v>
      </c>
      <c r="E356">
        <v>360001</v>
      </c>
      <c r="G356" t="s">
        <v>14</v>
      </c>
      <c r="H356" t="s">
        <v>14</v>
      </c>
      <c r="I356" t="s">
        <v>63</v>
      </c>
      <c r="K356" t="s">
        <v>158</v>
      </c>
      <c r="M356">
        <v>893800</v>
      </c>
    </row>
    <row r="357" spans="1:13">
      <c r="A357">
        <v>2026</v>
      </c>
      <c r="B357" t="s">
        <v>167</v>
      </c>
      <c r="C357" t="s">
        <v>46</v>
      </c>
      <c r="D357" t="s">
        <v>47</v>
      </c>
      <c r="E357">
        <v>360102</v>
      </c>
      <c r="G357" t="s">
        <v>14</v>
      </c>
      <c r="H357" t="s">
        <v>14</v>
      </c>
      <c r="I357" t="s">
        <v>64</v>
      </c>
      <c r="K357" t="s">
        <v>158</v>
      </c>
      <c r="M357">
        <v>251100</v>
      </c>
    </row>
    <row r="358" spans="1:13">
      <c r="A358">
        <v>2026</v>
      </c>
      <c r="B358" t="s">
        <v>167</v>
      </c>
      <c r="C358" t="s">
        <v>46</v>
      </c>
      <c r="D358" t="s">
        <v>47</v>
      </c>
      <c r="E358">
        <v>360104</v>
      </c>
      <c r="G358" t="s">
        <v>14</v>
      </c>
      <c r="H358" t="s">
        <v>14</v>
      </c>
      <c r="I358" t="s">
        <v>65</v>
      </c>
      <c r="K358" t="s">
        <v>158</v>
      </c>
      <c r="M358">
        <v>261100</v>
      </c>
    </row>
    <row r="359" spans="1:13">
      <c r="A359">
        <v>2026</v>
      </c>
      <c r="B359" t="s">
        <v>167</v>
      </c>
      <c r="C359" t="s">
        <v>46</v>
      </c>
      <c r="D359" t="s">
        <v>47</v>
      </c>
      <c r="E359">
        <v>360100</v>
      </c>
      <c r="G359" t="s">
        <v>14</v>
      </c>
      <c r="H359" t="s">
        <v>14</v>
      </c>
      <c r="I359" t="s">
        <v>66</v>
      </c>
      <c r="K359" t="s">
        <v>158</v>
      </c>
      <c r="M359">
        <v>80300</v>
      </c>
    </row>
    <row r="360" spans="1:13">
      <c r="A360">
        <v>2026</v>
      </c>
      <c r="B360" t="s">
        <v>167</v>
      </c>
      <c r="C360" t="s">
        <v>46</v>
      </c>
      <c r="D360" t="s">
        <v>47</v>
      </c>
      <c r="E360">
        <v>360150</v>
      </c>
      <c r="G360" t="s">
        <v>14</v>
      </c>
      <c r="H360" t="s">
        <v>14</v>
      </c>
      <c r="I360" t="s">
        <v>67</v>
      </c>
      <c r="K360" t="s">
        <v>158</v>
      </c>
      <c r="M360">
        <v>76800</v>
      </c>
    </row>
    <row r="361" spans="1:13">
      <c r="A361">
        <v>2026</v>
      </c>
      <c r="B361" t="s">
        <v>167</v>
      </c>
      <c r="C361" t="s">
        <v>46</v>
      </c>
      <c r="D361" t="s">
        <v>47</v>
      </c>
      <c r="E361">
        <v>360101</v>
      </c>
      <c r="G361" t="s">
        <v>14</v>
      </c>
      <c r="H361" t="s">
        <v>14</v>
      </c>
      <c r="I361" t="s">
        <v>68</v>
      </c>
      <c r="K361" t="s">
        <v>158</v>
      </c>
      <c r="M361">
        <v>140600</v>
      </c>
    </row>
    <row r="362" spans="1:13">
      <c r="A362">
        <v>2026</v>
      </c>
      <c r="B362" t="s">
        <v>167</v>
      </c>
      <c r="C362" t="s">
        <v>46</v>
      </c>
      <c r="D362" t="s">
        <v>47</v>
      </c>
      <c r="E362">
        <v>360103</v>
      </c>
      <c r="G362" t="s">
        <v>14</v>
      </c>
      <c r="H362" t="s">
        <v>14</v>
      </c>
      <c r="I362" t="s">
        <v>69</v>
      </c>
      <c r="K362" t="s">
        <v>158</v>
      </c>
      <c r="M362">
        <v>150600</v>
      </c>
    </row>
    <row r="363" spans="1:13">
      <c r="A363">
        <v>2026</v>
      </c>
      <c r="B363" t="s">
        <v>167</v>
      </c>
      <c r="C363" t="s">
        <v>46</v>
      </c>
      <c r="D363" t="s">
        <v>47</v>
      </c>
      <c r="E363">
        <v>709900</v>
      </c>
      <c r="G363" t="s">
        <v>14</v>
      </c>
      <c r="H363" t="s">
        <v>14</v>
      </c>
      <c r="I363" t="s">
        <v>70</v>
      </c>
      <c r="K363" t="s">
        <v>159</v>
      </c>
      <c r="M363">
        <v>13500</v>
      </c>
    </row>
    <row r="364" spans="1:13">
      <c r="A364">
        <v>2026</v>
      </c>
      <c r="B364" t="s">
        <v>167</v>
      </c>
      <c r="C364" t="s">
        <v>46</v>
      </c>
      <c r="D364" t="s">
        <v>47</v>
      </c>
      <c r="E364">
        <v>709902</v>
      </c>
      <c r="G364" t="s">
        <v>14</v>
      </c>
      <c r="H364" t="s">
        <v>14</v>
      </c>
      <c r="I364" t="s">
        <v>71</v>
      </c>
      <c r="K364" t="s">
        <v>159</v>
      </c>
      <c r="M364">
        <v>28800</v>
      </c>
    </row>
    <row r="365" spans="1:13">
      <c r="A365">
        <v>2026</v>
      </c>
      <c r="B365" t="s">
        <v>167</v>
      </c>
      <c r="C365" t="s">
        <v>46</v>
      </c>
      <c r="D365" t="s">
        <v>47</v>
      </c>
      <c r="E365">
        <v>709903</v>
      </c>
      <c r="G365" t="s">
        <v>14</v>
      </c>
      <c r="H365" t="s">
        <v>14</v>
      </c>
      <c r="I365" t="s">
        <v>72</v>
      </c>
      <c r="K365" t="s">
        <v>159</v>
      </c>
      <c r="M365">
        <v>63400</v>
      </c>
    </row>
    <row r="366" spans="1:13">
      <c r="A366">
        <v>2026</v>
      </c>
      <c r="B366" t="s">
        <v>167</v>
      </c>
      <c r="C366" t="s">
        <v>46</v>
      </c>
      <c r="D366" t="s">
        <v>47</v>
      </c>
      <c r="E366">
        <v>709909</v>
      </c>
      <c r="G366" t="s">
        <v>14</v>
      </c>
      <c r="H366" t="s">
        <v>14</v>
      </c>
      <c r="I366" t="s">
        <v>73</v>
      </c>
      <c r="K366" t="s">
        <v>160</v>
      </c>
      <c r="M366">
        <v>38400</v>
      </c>
    </row>
    <row r="367" spans="1:13">
      <c r="A367">
        <v>2026</v>
      </c>
      <c r="B367" t="s">
        <v>167</v>
      </c>
      <c r="C367" t="s">
        <v>46</v>
      </c>
      <c r="D367" t="s">
        <v>47</v>
      </c>
      <c r="E367">
        <v>709904</v>
      </c>
      <c r="G367" t="s">
        <v>14</v>
      </c>
      <c r="H367" t="s">
        <v>14</v>
      </c>
      <c r="I367" t="s">
        <v>74</v>
      </c>
      <c r="K367" t="s">
        <v>160</v>
      </c>
      <c r="M367">
        <v>169000</v>
      </c>
    </row>
    <row r="368" spans="1:13">
      <c r="A368">
        <v>2026</v>
      </c>
      <c r="B368" t="s">
        <v>167</v>
      </c>
      <c r="C368" t="s">
        <v>46</v>
      </c>
      <c r="D368" t="s">
        <v>47</v>
      </c>
      <c r="E368">
        <v>603421</v>
      </c>
      <c r="G368" t="s">
        <v>14</v>
      </c>
      <c r="H368" t="s">
        <v>14</v>
      </c>
      <c r="I368" t="s">
        <v>75</v>
      </c>
      <c r="K368" t="s">
        <v>159</v>
      </c>
      <c r="M368">
        <v>24200</v>
      </c>
    </row>
    <row r="369" spans="1:13">
      <c r="A369">
        <v>2026</v>
      </c>
      <c r="B369" t="s">
        <v>167</v>
      </c>
      <c r="C369" t="s">
        <v>46</v>
      </c>
      <c r="D369" t="s">
        <v>47</v>
      </c>
      <c r="E369">
        <v>603422</v>
      </c>
      <c r="G369" t="s">
        <v>14</v>
      </c>
      <c r="H369" t="s">
        <v>14</v>
      </c>
      <c r="I369" t="s">
        <v>76</v>
      </c>
      <c r="K369" t="s">
        <v>159</v>
      </c>
      <c r="M369">
        <v>36700</v>
      </c>
    </row>
    <row r="370" spans="1:13">
      <c r="A370">
        <v>2026</v>
      </c>
      <c r="B370" t="s">
        <v>167</v>
      </c>
      <c r="C370" t="s">
        <v>46</v>
      </c>
      <c r="D370" t="s">
        <v>47</v>
      </c>
      <c r="E370">
        <v>603423</v>
      </c>
      <c r="G370" t="s">
        <v>14</v>
      </c>
      <c r="H370" t="s">
        <v>14</v>
      </c>
      <c r="I370" t="s">
        <v>77</v>
      </c>
      <c r="K370" t="s">
        <v>159</v>
      </c>
      <c r="M370">
        <v>91800</v>
      </c>
    </row>
    <row r="371" spans="1:13">
      <c r="A371">
        <v>2026</v>
      </c>
      <c r="B371" t="s">
        <v>167</v>
      </c>
      <c r="C371" t="s">
        <v>46</v>
      </c>
      <c r="D371" t="s">
        <v>47</v>
      </c>
      <c r="E371">
        <v>603420</v>
      </c>
      <c r="G371" t="s">
        <v>14</v>
      </c>
      <c r="H371" t="s">
        <v>14</v>
      </c>
      <c r="I371" t="s">
        <v>78</v>
      </c>
      <c r="K371" t="s">
        <v>160</v>
      </c>
      <c r="M371">
        <v>72300</v>
      </c>
    </row>
    <row r="372" spans="1:13">
      <c r="A372">
        <v>2026</v>
      </c>
      <c r="B372" t="s">
        <v>167</v>
      </c>
      <c r="C372" t="s">
        <v>46</v>
      </c>
      <c r="D372" t="s">
        <v>47</v>
      </c>
      <c r="E372">
        <v>603424</v>
      </c>
      <c r="G372" t="s">
        <v>14</v>
      </c>
      <c r="H372" t="s">
        <v>14</v>
      </c>
      <c r="I372" t="s">
        <v>79</v>
      </c>
      <c r="K372" t="s">
        <v>160</v>
      </c>
      <c r="M372">
        <v>215000</v>
      </c>
    </row>
    <row r="373" spans="1:13">
      <c r="A373">
        <v>2026</v>
      </c>
      <c r="B373" t="s">
        <v>167</v>
      </c>
      <c r="C373" t="s">
        <v>46</v>
      </c>
      <c r="D373" t="s">
        <v>47</v>
      </c>
      <c r="E373">
        <v>583300</v>
      </c>
      <c r="G373" t="s">
        <v>14</v>
      </c>
      <c r="H373" t="s">
        <v>14</v>
      </c>
      <c r="I373" t="s">
        <v>80</v>
      </c>
      <c r="K373" t="s">
        <v>161</v>
      </c>
      <c r="M373">
        <v>37700</v>
      </c>
    </row>
    <row r="374" spans="1:13">
      <c r="A374">
        <v>2026</v>
      </c>
      <c r="B374" t="s">
        <v>167</v>
      </c>
      <c r="C374" t="s">
        <v>46</v>
      </c>
      <c r="D374" t="s">
        <v>47</v>
      </c>
      <c r="E374">
        <v>583400</v>
      </c>
      <c r="G374" t="s">
        <v>14</v>
      </c>
      <c r="H374" t="s">
        <v>14</v>
      </c>
      <c r="I374" t="s">
        <v>81</v>
      </c>
      <c r="K374" t="s">
        <v>161</v>
      </c>
      <c r="M374">
        <v>38600</v>
      </c>
    </row>
    <row r="375" spans="1:13">
      <c r="A375">
        <v>2026</v>
      </c>
      <c r="B375" t="s">
        <v>167</v>
      </c>
      <c r="C375" t="s">
        <v>46</v>
      </c>
      <c r="D375" t="s">
        <v>47</v>
      </c>
      <c r="E375">
        <v>583500</v>
      </c>
      <c r="G375" t="s">
        <v>14</v>
      </c>
      <c r="H375" t="s">
        <v>14</v>
      </c>
      <c r="I375" t="s">
        <v>82</v>
      </c>
      <c r="K375" t="s">
        <v>161</v>
      </c>
      <c r="M375">
        <v>17300</v>
      </c>
    </row>
    <row r="376" spans="1:13">
      <c r="A376">
        <v>2026</v>
      </c>
      <c r="B376" t="s">
        <v>167</v>
      </c>
      <c r="C376" t="s">
        <v>46</v>
      </c>
      <c r="D376" t="s">
        <v>47</v>
      </c>
      <c r="E376">
        <v>595200</v>
      </c>
      <c r="G376" t="s">
        <v>14</v>
      </c>
      <c r="H376" t="s">
        <v>14</v>
      </c>
      <c r="I376" t="s">
        <v>83</v>
      </c>
      <c r="K376" t="s">
        <v>161</v>
      </c>
      <c r="M376">
        <v>16200</v>
      </c>
    </row>
    <row r="377" spans="1:13">
      <c r="A377">
        <v>2026</v>
      </c>
      <c r="B377" t="s">
        <v>167</v>
      </c>
      <c r="C377" t="s">
        <v>46</v>
      </c>
      <c r="D377" t="s">
        <v>47</v>
      </c>
      <c r="E377">
        <v>595300</v>
      </c>
      <c r="G377" t="s">
        <v>14</v>
      </c>
      <c r="H377" t="s">
        <v>14</v>
      </c>
      <c r="I377" t="s">
        <v>84</v>
      </c>
      <c r="K377" t="s">
        <v>161</v>
      </c>
      <c r="M377">
        <v>20300</v>
      </c>
    </row>
    <row r="378" spans="1:13">
      <c r="A378">
        <v>2026</v>
      </c>
      <c r="B378" t="s">
        <v>167</v>
      </c>
      <c r="C378" t="s">
        <v>46</v>
      </c>
      <c r="D378" t="s">
        <v>47</v>
      </c>
      <c r="E378">
        <v>595400</v>
      </c>
      <c r="G378" t="s">
        <v>14</v>
      </c>
      <c r="H378" t="s">
        <v>14</v>
      </c>
      <c r="I378" t="s">
        <v>85</v>
      </c>
      <c r="K378" t="s">
        <v>161</v>
      </c>
      <c r="M378">
        <v>29900</v>
      </c>
    </row>
    <row r="379" spans="1:13">
      <c r="A379">
        <v>2026</v>
      </c>
      <c r="B379" t="s">
        <v>167</v>
      </c>
      <c r="C379" t="s">
        <v>46</v>
      </c>
      <c r="D379" t="s">
        <v>47</v>
      </c>
      <c r="E379">
        <v>595600</v>
      </c>
      <c r="G379" t="s">
        <v>14</v>
      </c>
      <c r="H379" t="s">
        <v>14</v>
      </c>
      <c r="I379" t="s">
        <v>86</v>
      </c>
      <c r="K379" t="s">
        <v>161</v>
      </c>
      <c r="M379">
        <v>50800</v>
      </c>
    </row>
    <row r="380" spans="1:13">
      <c r="A380">
        <v>2026</v>
      </c>
      <c r="B380" t="s">
        <v>167</v>
      </c>
      <c r="C380" t="s">
        <v>46</v>
      </c>
      <c r="D380" t="s">
        <v>47</v>
      </c>
      <c r="E380">
        <v>581011</v>
      </c>
      <c r="G380" t="s">
        <v>14</v>
      </c>
      <c r="H380" t="s">
        <v>14</v>
      </c>
      <c r="I380" t="s">
        <v>87</v>
      </c>
      <c r="K380" t="s">
        <v>159</v>
      </c>
      <c r="M380">
        <v>4300</v>
      </c>
    </row>
    <row r="381" spans="1:13">
      <c r="A381">
        <v>2026</v>
      </c>
      <c r="B381" t="s">
        <v>167</v>
      </c>
      <c r="C381" t="s">
        <v>46</v>
      </c>
      <c r="D381" t="s">
        <v>47</v>
      </c>
      <c r="E381">
        <v>581100</v>
      </c>
      <c r="G381" t="s">
        <v>14</v>
      </c>
      <c r="H381" t="s">
        <v>14</v>
      </c>
      <c r="I381" t="s">
        <v>88</v>
      </c>
      <c r="K381" t="s">
        <v>159</v>
      </c>
      <c r="M381">
        <v>16400</v>
      </c>
    </row>
    <row r="382" spans="1:13">
      <c r="A382">
        <v>2026</v>
      </c>
      <c r="B382" t="s">
        <v>167</v>
      </c>
      <c r="C382" t="s">
        <v>46</v>
      </c>
      <c r="D382" t="s">
        <v>47</v>
      </c>
      <c r="E382">
        <v>581200</v>
      </c>
      <c r="G382" t="s">
        <v>14</v>
      </c>
      <c r="H382" t="s">
        <v>14</v>
      </c>
      <c r="I382" t="s">
        <v>89</v>
      </c>
      <c r="K382" t="s">
        <v>160</v>
      </c>
      <c r="M382">
        <v>13500</v>
      </c>
    </row>
    <row r="383" spans="1:13">
      <c r="A383">
        <v>2026</v>
      </c>
      <c r="B383" t="s">
        <v>167</v>
      </c>
      <c r="C383" t="s">
        <v>46</v>
      </c>
      <c r="D383" t="s">
        <v>47</v>
      </c>
      <c r="E383">
        <v>581300</v>
      </c>
      <c r="G383" t="s">
        <v>14</v>
      </c>
      <c r="H383" t="s">
        <v>14</v>
      </c>
      <c r="I383" t="s">
        <v>90</v>
      </c>
      <c r="K383" t="s">
        <v>160</v>
      </c>
      <c r="M383">
        <v>16400</v>
      </c>
    </row>
    <row r="384" spans="1:13">
      <c r="A384">
        <v>2026</v>
      </c>
      <c r="B384" t="s">
        <v>167</v>
      </c>
      <c r="C384" t="s">
        <v>46</v>
      </c>
      <c r="D384" t="s">
        <v>47</v>
      </c>
      <c r="E384">
        <v>581500</v>
      </c>
      <c r="G384" t="s">
        <v>14</v>
      </c>
      <c r="H384" t="s">
        <v>14</v>
      </c>
      <c r="I384" t="s">
        <v>91</v>
      </c>
      <c r="K384" t="s">
        <v>160</v>
      </c>
      <c r="M384">
        <v>28000</v>
      </c>
    </row>
    <row r="385" spans="1:13">
      <c r="A385">
        <v>2026</v>
      </c>
      <c r="B385" t="s">
        <v>167</v>
      </c>
      <c r="C385" t="s">
        <v>46</v>
      </c>
      <c r="D385" t="s">
        <v>47</v>
      </c>
      <c r="E385">
        <v>282790</v>
      </c>
      <c r="G385" t="s">
        <v>14</v>
      </c>
      <c r="H385" t="s">
        <v>14</v>
      </c>
      <c r="I385" t="s">
        <v>92</v>
      </c>
      <c r="K385" t="s">
        <v>162</v>
      </c>
      <c r="M385">
        <v>87800</v>
      </c>
    </row>
    <row r="386" spans="1:13">
      <c r="A386">
        <v>2026</v>
      </c>
      <c r="B386" t="s">
        <v>167</v>
      </c>
      <c r="C386" t="s">
        <v>46</v>
      </c>
      <c r="D386" t="s">
        <v>47</v>
      </c>
      <c r="E386">
        <v>282055</v>
      </c>
      <c r="G386" t="s">
        <v>14</v>
      </c>
      <c r="H386" t="s">
        <v>14</v>
      </c>
      <c r="I386" t="s">
        <v>93</v>
      </c>
      <c r="K386" t="s">
        <v>159</v>
      </c>
      <c r="M386">
        <v>62200</v>
      </c>
    </row>
    <row r="387" spans="1:13">
      <c r="A387">
        <v>2026</v>
      </c>
      <c r="B387" t="s">
        <v>167</v>
      </c>
      <c r="C387" t="s">
        <v>46</v>
      </c>
      <c r="D387" t="s">
        <v>47</v>
      </c>
      <c r="E387">
        <v>282455</v>
      </c>
      <c r="G387" t="s">
        <v>14</v>
      </c>
      <c r="H387" t="s">
        <v>14</v>
      </c>
      <c r="I387" t="s">
        <v>94</v>
      </c>
      <c r="K387" t="s">
        <v>159</v>
      </c>
      <c r="M387">
        <v>100100</v>
      </c>
    </row>
    <row r="388" spans="1:13">
      <c r="A388">
        <v>2026</v>
      </c>
      <c r="B388" t="s">
        <v>167</v>
      </c>
      <c r="C388" t="s">
        <v>46</v>
      </c>
      <c r="D388" t="s">
        <v>47</v>
      </c>
      <c r="E388">
        <v>294199</v>
      </c>
      <c r="G388" t="s">
        <v>14</v>
      </c>
      <c r="H388" t="s">
        <v>14</v>
      </c>
      <c r="I388" t="s">
        <v>95</v>
      </c>
      <c r="K388" t="s">
        <v>160</v>
      </c>
      <c r="M388">
        <v>17300</v>
      </c>
    </row>
    <row r="389" spans="1:13">
      <c r="A389">
        <v>2026</v>
      </c>
      <c r="B389" t="s">
        <v>167</v>
      </c>
      <c r="C389" t="s">
        <v>46</v>
      </c>
      <c r="D389" t="s">
        <v>47</v>
      </c>
      <c r="E389">
        <v>294299</v>
      </c>
      <c r="G389" t="s">
        <v>14</v>
      </c>
      <c r="H389" t="s">
        <v>14</v>
      </c>
      <c r="I389" t="s">
        <v>96</v>
      </c>
      <c r="K389" t="s">
        <v>160</v>
      </c>
      <c r="M389">
        <v>29000</v>
      </c>
    </row>
    <row r="390" spans="1:13">
      <c r="A390">
        <v>2026</v>
      </c>
      <c r="B390" t="s">
        <v>167</v>
      </c>
      <c r="C390" t="s">
        <v>46</v>
      </c>
      <c r="D390" t="s">
        <v>47</v>
      </c>
      <c r="E390">
        <v>294399</v>
      </c>
      <c r="G390" t="s">
        <v>14</v>
      </c>
      <c r="H390" t="s">
        <v>14</v>
      </c>
      <c r="I390" t="s">
        <v>97</v>
      </c>
      <c r="K390" t="s">
        <v>160</v>
      </c>
      <c r="M390">
        <v>36700</v>
      </c>
    </row>
    <row r="391" spans="1:13">
      <c r="A391">
        <v>2026</v>
      </c>
      <c r="B391" t="s">
        <v>167</v>
      </c>
      <c r="C391" t="s">
        <v>46</v>
      </c>
      <c r="D391" t="s">
        <v>47</v>
      </c>
      <c r="E391">
        <v>294499</v>
      </c>
      <c r="G391" t="s">
        <v>14</v>
      </c>
      <c r="H391" t="s">
        <v>14</v>
      </c>
      <c r="I391" t="s">
        <v>98</v>
      </c>
      <c r="K391" t="s">
        <v>160</v>
      </c>
      <c r="M391">
        <v>75900</v>
      </c>
    </row>
    <row r="392" spans="1:13">
      <c r="A392">
        <v>2026</v>
      </c>
      <c r="B392" t="s">
        <v>167</v>
      </c>
      <c r="C392" t="s">
        <v>46</v>
      </c>
      <c r="D392" t="s">
        <v>47</v>
      </c>
      <c r="E392">
        <v>294500</v>
      </c>
      <c r="G392" t="s">
        <v>14</v>
      </c>
      <c r="H392" t="s">
        <v>14</v>
      </c>
      <c r="I392" t="s">
        <v>99</v>
      </c>
      <c r="K392" t="s">
        <v>163</v>
      </c>
      <c r="M392">
        <v>164200</v>
      </c>
    </row>
    <row r="393" spans="1:13">
      <c r="A393">
        <v>2026</v>
      </c>
      <c r="B393" t="s">
        <v>167</v>
      </c>
      <c r="C393" t="s">
        <v>46</v>
      </c>
      <c r="D393" t="s">
        <v>47</v>
      </c>
      <c r="E393">
        <v>288100</v>
      </c>
      <c r="G393" t="s">
        <v>14</v>
      </c>
      <c r="H393" t="s">
        <v>14</v>
      </c>
      <c r="I393" t="s">
        <v>100</v>
      </c>
      <c r="K393" t="s">
        <v>160</v>
      </c>
      <c r="M393">
        <v>62800</v>
      </c>
    </row>
    <row r="394" spans="1:13">
      <c r="A394">
        <v>2026</v>
      </c>
      <c r="B394" t="s">
        <v>167</v>
      </c>
      <c r="C394" t="s">
        <v>46</v>
      </c>
      <c r="D394" t="s">
        <v>47</v>
      </c>
      <c r="E394">
        <v>284090</v>
      </c>
      <c r="G394" t="s">
        <v>14</v>
      </c>
      <c r="H394" t="s">
        <v>14</v>
      </c>
      <c r="I394" t="s">
        <v>101</v>
      </c>
      <c r="K394" t="s">
        <v>160</v>
      </c>
      <c r="M394">
        <v>15900</v>
      </c>
    </row>
    <row r="395" spans="1:13">
      <c r="A395">
        <v>2026</v>
      </c>
      <c r="B395" t="s">
        <v>167</v>
      </c>
      <c r="C395" t="s">
        <v>46</v>
      </c>
      <c r="D395" t="s">
        <v>47</v>
      </c>
      <c r="E395">
        <v>284190</v>
      </c>
      <c r="G395" t="s">
        <v>14</v>
      </c>
      <c r="H395" t="s">
        <v>14</v>
      </c>
      <c r="I395" t="s">
        <v>102</v>
      </c>
      <c r="K395" t="s">
        <v>160</v>
      </c>
      <c r="M395">
        <v>16900</v>
      </c>
    </row>
    <row r="396" spans="1:13">
      <c r="A396">
        <v>2026</v>
      </c>
      <c r="B396" t="s">
        <v>167</v>
      </c>
      <c r="C396" t="s">
        <v>46</v>
      </c>
      <c r="D396" t="s">
        <v>47</v>
      </c>
      <c r="E396">
        <v>284390</v>
      </c>
      <c r="G396" t="s">
        <v>14</v>
      </c>
      <c r="H396" t="s">
        <v>14</v>
      </c>
      <c r="I396" t="s">
        <v>103</v>
      </c>
      <c r="K396" t="s">
        <v>160</v>
      </c>
      <c r="M396">
        <v>21900</v>
      </c>
    </row>
    <row r="397" spans="1:13">
      <c r="A397">
        <v>2026</v>
      </c>
      <c r="B397" t="s">
        <v>167</v>
      </c>
      <c r="C397" t="s">
        <v>46</v>
      </c>
      <c r="D397" t="s">
        <v>47</v>
      </c>
      <c r="E397">
        <v>284599</v>
      </c>
      <c r="G397" t="s">
        <v>14</v>
      </c>
      <c r="H397" t="s">
        <v>14</v>
      </c>
      <c r="I397" t="s">
        <v>104</v>
      </c>
      <c r="K397" t="s">
        <v>164</v>
      </c>
      <c r="M397">
        <v>125300</v>
      </c>
    </row>
    <row r="398" spans="1:13">
      <c r="A398">
        <v>2026</v>
      </c>
      <c r="B398" t="s">
        <v>167</v>
      </c>
      <c r="C398" t="s">
        <v>46</v>
      </c>
      <c r="D398" t="s">
        <v>47</v>
      </c>
      <c r="E398">
        <v>287100</v>
      </c>
      <c r="G398" t="s">
        <v>14</v>
      </c>
      <c r="H398" t="s">
        <v>14</v>
      </c>
      <c r="I398" t="s">
        <v>105</v>
      </c>
      <c r="K398" t="s">
        <v>160</v>
      </c>
      <c r="M398">
        <v>38600</v>
      </c>
    </row>
    <row r="399" spans="1:13">
      <c r="A399">
        <v>2026</v>
      </c>
      <c r="B399" t="s">
        <v>167</v>
      </c>
      <c r="C399" t="s">
        <v>46</v>
      </c>
      <c r="D399" t="s">
        <v>47</v>
      </c>
      <c r="E399">
        <v>287200</v>
      </c>
      <c r="G399" t="s">
        <v>14</v>
      </c>
      <c r="H399" t="s">
        <v>14</v>
      </c>
      <c r="I399" t="s">
        <v>106</v>
      </c>
      <c r="K399" t="s">
        <v>160</v>
      </c>
      <c r="M399">
        <v>107200</v>
      </c>
    </row>
    <row r="400" spans="1:13">
      <c r="A400">
        <v>2026</v>
      </c>
      <c r="B400" t="s">
        <v>167</v>
      </c>
      <c r="C400" t="s">
        <v>46</v>
      </c>
      <c r="D400" t="s">
        <v>47</v>
      </c>
      <c r="E400">
        <v>287300</v>
      </c>
      <c r="G400" t="s">
        <v>14</v>
      </c>
      <c r="H400" t="s">
        <v>14</v>
      </c>
      <c r="I400" t="s">
        <v>107</v>
      </c>
      <c r="K400" t="s">
        <v>160</v>
      </c>
      <c r="M400">
        <v>114900</v>
      </c>
    </row>
    <row r="401" spans="1:13">
      <c r="A401">
        <v>2026</v>
      </c>
      <c r="B401" t="s">
        <v>167</v>
      </c>
      <c r="C401" t="s">
        <v>46</v>
      </c>
      <c r="D401" t="s">
        <v>47</v>
      </c>
      <c r="E401">
        <v>287400</v>
      </c>
      <c r="G401" t="s">
        <v>14</v>
      </c>
      <c r="H401" t="s">
        <v>14</v>
      </c>
      <c r="I401" t="s">
        <v>108</v>
      </c>
      <c r="K401" t="s">
        <v>160</v>
      </c>
      <c r="M401">
        <v>129400</v>
      </c>
    </row>
    <row r="402" spans="1:13">
      <c r="A402">
        <v>2026</v>
      </c>
      <c r="B402" t="s">
        <v>167</v>
      </c>
      <c r="C402" t="s">
        <v>46</v>
      </c>
      <c r="D402" t="s">
        <v>47</v>
      </c>
      <c r="E402">
        <v>287500</v>
      </c>
      <c r="G402" t="s">
        <v>14</v>
      </c>
      <c r="H402" t="s">
        <v>14</v>
      </c>
      <c r="I402" t="s">
        <v>109</v>
      </c>
      <c r="K402" t="s">
        <v>163</v>
      </c>
      <c r="M402">
        <v>338000</v>
      </c>
    </row>
    <row r="403" spans="1:13">
      <c r="A403">
        <v>2026</v>
      </c>
      <c r="B403" t="s">
        <v>167</v>
      </c>
      <c r="C403" t="s">
        <v>46</v>
      </c>
      <c r="D403" t="s">
        <v>47</v>
      </c>
      <c r="E403">
        <v>395290</v>
      </c>
      <c r="G403" t="s">
        <v>14</v>
      </c>
      <c r="H403" t="s">
        <v>14</v>
      </c>
      <c r="I403" t="s">
        <v>110</v>
      </c>
      <c r="K403" t="s">
        <v>160</v>
      </c>
      <c r="M403">
        <v>28000</v>
      </c>
    </row>
    <row r="404" spans="1:13">
      <c r="A404">
        <v>2026</v>
      </c>
      <c r="B404" t="s">
        <v>167</v>
      </c>
      <c r="C404" t="s">
        <v>46</v>
      </c>
      <c r="D404" t="s">
        <v>47</v>
      </c>
      <c r="E404">
        <v>395390</v>
      </c>
      <c r="G404" t="s">
        <v>14</v>
      </c>
      <c r="H404" t="s">
        <v>14</v>
      </c>
      <c r="I404" t="s">
        <v>111</v>
      </c>
      <c r="K404" t="s">
        <v>160</v>
      </c>
      <c r="M404">
        <v>49200</v>
      </c>
    </row>
    <row r="405" spans="1:13">
      <c r="A405">
        <v>2026</v>
      </c>
      <c r="B405" t="s">
        <v>167</v>
      </c>
      <c r="C405" t="s">
        <v>46</v>
      </c>
      <c r="D405" t="s">
        <v>47</v>
      </c>
      <c r="E405">
        <v>395890</v>
      </c>
      <c r="G405" t="s">
        <v>14</v>
      </c>
      <c r="H405" t="s">
        <v>14</v>
      </c>
      <c r="I405" t="s">
        <v>112</v>
      </c>
      <c r="K405" t="s">
        <v>160</v>
      </c>
      <c r="M405">
        <v>141600</v>
      </c>
    </row>
    <row r="406" spans="1:13">
      <c r="A406">
        <v>2026</v>
      </c>
      <c r="B406" t="s">
        <v>167</v>
      </c>
      <c r="C406" t="s">
        <v>46</v>
      </c>
      <c r="D406" t="s">
        <v>47</v>
      </c>
      <c r="E406">
        <v>395790</v>
      </c>
      <c r="G406" t="s">
        <v>14</v>
      </c>
      <c r="H406" t="s">
        <v>14</v>
      </c>
      <c r="I406" t="s">
        <v>113</v>
      </c>
      <c r="K406" t="s">
        <v>160</v>
      </c>
      <c r="M406">
        <v>174700</v>
      </c>
    </row>
    <row r="407" spans="1:13">
      <c r="A407">
        <v>2026</v>
      </c>
      <c r="B407" t="s">
        <v>167</v>
      </c>
      <c r="C407" t="s">
        <v>46</v>
      </c>
      <c r="D407" t="s">
        <v>47</v>
      </c>
      <c r="E407">
        <v>395990</v>
      </c>
      <c r="G407" t="s">
        <v>14</v>
      </c>
      <c r="H407" t="s">
        <v>14</v>
      </c>
      <c r="I407" t="s">
        <v>114</v>
      </c>
      <c r="K407" t="s">
        <v>160</v>
      </c>
      <c r="M407">
        <v>204000</v>
      </c>
    </row>
    <row r="408" spans="1:13">
      <c r="A408">
        <v>2026</v>
      </c>
      <c r="B408" t="s">
        <v>167</v>
      </c>
      <c r="C408" t="s">
        <v>46</v>
      </c>
      <c r="D408" t="s">
        <v>47</v>
      </c>
      <c r="E408">
        <v>395490</v>
      </c>
      <c r="G408" t="s">
        <v>14</v>
      </c>
      <c r="H408" t="s">
        <v>14</v>
      </c>
      <c r="I408" t="s">
        <v>115</v>
      </c>
      <c r="K408" t="s">
        <v>160</v>
      </c>
      <c r="M408">
        <v>97500</v>
      </c>
    </row>
    <row r="409" spans="1:13">
      <c r="A409">
        <v>2026</v>
      </c>
      <c r="B409" t="s">
        <v>167</v>
      </c>
      <c r="C409" t="s">
        <v>46</v>
      </c>
      <c r="D409" t="s">
        <v>47</v>
      </c>
      <c r="E409">
        <v>395690</v>
      </c>
      <c r="G409" t="s">
        <v>14</v>
      </c>
      <c r="H409" t="s">
        <v>14</v>
      </c>
      <c r="I409" t="s">
        <v>116</v>
      </c>
      <c r="K409" t="s">
        <v>160</v>
      </c>
      <c r="M409">
        <v>183500</v>
      </c>
    </row>
    <row r="410" spans="1:13">
      <c r="A410">
        <v>2026</v>
      </c>
      <c r="B410" t="s">
        <v>167</v>
      </c>
      <c r="C410" t="s">
        <v>46</v>
      </c>
      <c r="D410" t="s">
        <v>47</v>
      </c>
      <c r="E410">
        <v>382090</v>
      </c>
      <c r="G410" t="s">
        <v>14</v>
      </c>
      <c r="H410" t="s">
        <v>14</v>
      </c>
      <c r="I410" t="s">
        <v>117</v>
      </c>
      <c r="K410" t="s">
        <v>160</v>
      </c>
      <c r="M410">
        <v>208400</v>
      </c>
    </row>
    <row r="411" spans="1:13">
      <c r="A411">
        <v>2026</v>
      </c>
      <c r="B411" t="s">
        <v>167</v>
      </c>
      <c r="C411" t="s">
        <v>46</v>
      </c>
      <c r="D411" t="s">
        <v>47</v>
      </c>
      <c r="E411">
        <v>382490</v>
      </c>
      <c r="G411" t="s">
        <v>14</v>
      </c>
      <c r="H411" t="s">
        <v>14</v>
      </c>
      <c r="I411" t="s">
        <v>118</v>
      </c>
      <c r="K411" t="s">
        <v>160</v>
      </c>
      <c r="M411">
        <v>241400</v>
      </c>
    </row>
    <row r="412" spans="1:13">
      <c r="A412">
        <v>2026</v>
      </c>
      <c r="B412" t="s">
        <v>167</v>
      </c>
      <c r="C412" t="s">
        <v>46</v>
      </c>
      <c r="D412" t="s">
        <v>47</v>
      </c>
      <c r="E412">
        <v>294899</v>
      </c>
      <c r="G412" t="s">
        <v>14</v>
      </c>
      <c r="H412" t="s">
        <v>14</v>
      </c>
      <c r="I412" t="s">
        <v>119</v>
      </c>
      <c r="K412" t="s">
        <v>160</v>
      </c>
      <c r="M412">
        <v>49000</v>
      </c>
    </row>
    <row r="413" spans="1:13">
      <c r="A413">
        <v>2026</v>
      </c>
      <c r="B413" t="s">
        <v>167</v>
      </c>
      <c r="C413" t="s">
        <v>46</v>
      </c>
      <c r="D413" t="s">
        <v>47</v>
      </c>
      <c r="E413">
        <v>294599</v>
      </c>
      <c r="G413" t="s">
        <v>14</v>
      </c>
      <c r="H413" t="s">
        <v>14</v>
      </c>
      <c r="I413" t="s">
        <v>120</v>
      </c>
      <c r="K413" t="s">
        <v>164</v>
      </c>
      <c r="M413">
        <v>125000</v>
      </c>
    </row>
    <row r="414" spans="1:13">
      <c r="A414">
        <v>2026</v>
      </c>
      <c r="B414" t="s">
        <v>167</v>
      </c>
      <c r="C414" t="s">
        <v>46</v>
      </c>
      <c r="D414" t="s">
        <v>47</v>
      </c>
      <c r="E414">
        <v>394190</v>
      </c>
      <c r="G414" t="s">
        <v>14</v>
      </c>
      <c r="H414" t="s">
        <v>14</v>
      </c>
      <c r="I414" t="s">
        <v>121</v>
      </c>
      <c r="K414" t="s">
        <v>160</v>
      </c>
      <c r="M414">
        <v>114900</v>
      </c>
    </row>
    <row r="415" spans="1:13">
      <c r="A415">
        <v>2026</v>
      </c>
      <c r="B415" t="s">
        <v>167</v>
      </c>
      <c r="C415" t="s">
        <v>46</v>
      </c>
      <c r="D415" t="s">
        <v>47</v>
      </c>
      <c r="E415">
        <v>394890</v>
      </c>
      <c r="G415" t="s">
        <v>14</v>
      </c>
      <c r="H415" t="s">
        <v>14</v>
      </c>
      <c r="I415" t="s">
        <v>122</v>
      </c>
      <c r="K415" t="s">
        <v>159</v>
      </c>
      <c r="M415">
        <v>224100</v>
      </c>
    </row>
    <row r="416" spans="1:13">
      <c r="A416">
        <v>2026</v>
      </c>
      <c r="B416" t="s">
        <v>167</v>
      </c>
      <c r="C416" t="s">
        <v>46</v>
      </c>
      <c r="D416" t="s">
        <v>47</v>
      </c>
      <c r="E416">
        <v>394590</v>
      </c>
      <c r="G416" t="s">
        <v>14</v>
      </c>
      <c r="H416" t="s">
        <v>14</v>
      </c>
      <c r="I416" t="s">
        <v>123</v>
      </c>
      <c r="K416" t="s">
        <v>163</v>
      </c>
      <c r="M416">
        <v>386300</v>
      </c>
    </row>
    <row r="417" spans="1:13">
      <c r="A417">
        <v>2026</v>
      </c>
      <c r="B417" t="s">
        <v>167</v>
      </c>
      <c r="C417" t="s">
        <v>46</v>
      </c>
      <c r="D417" t="s">
        <v>47</v>
      </c>
      <c r="E417">
        <v>610000</v>
      </c>
      <c r="G417" t="s">
        <v>14</v>
      </c>
      <c r="H417" t="s">
        <v>14</v>
      </c>
      <c r="I417" t="s">
        <v>124</v>
      </c>
      <c r="K417" t="s">
        <v>159</v>
      </c>
      <c r="M417">
        <v>23000</v>
      </c>
    </row>
    <row r="418" spans="1:13">
      <c r="A418">
        <v>2026</v>
      </c>
      <c r="B418" t="s">
        <v>167</v>
      </c>
      <c r="C418" t="s">
        <v>46</v>
      </c>
      <c r="D418" t="s">
        <v>47</v>
      </c>
      <c r="E418">
        <v>610100</v>
      </c>
      <c r="G418" t="s">
        <v>14</v>
      </c>
      <c r="H418" t="s">
        <v>14</v>
      </c>
      <c r="I418" t="s">
        <v>125</v>
      </c>
      <c r="K418" t="s">
        <v>159</v>
      </c>
      <c r="M418">
        <v>27300</v>
      </c>
    </row>
    <row r="419" spans="1:13">
      <c r="A419">
        <v>2026</v>
      </c>
      <c r="B419" t="s">
        <v>167</v>
      </c>
      <c r="C419" t="s">
        <v>46</v>
      </c>
      <c r="D419" t="s">
        <v>47</v>
      </c>
      <c r="E419">
        <v>610200</v>
      </c>
      <c r="G419" t="s">
        <v>14</v>
      </c>
      <c r="H419" t="s">
        <v>14</v>
      </c>
      <c r="I419" t="s">
        <v>126</v>
      </c>
      <c r="K419" t="s">
        <v>159</v>
      </c>
      <c r="M419">
        <v>38000</v>
      </c>
    </row>
    <row r="420" spans="1:13">
      <c r="A420">
        <v>2026</v>
      </c>
      <c r="B420" t="s">
        <v>167</v>
      </c>
      <c r="C420" t="s">
        <v>46</v>
      </c>
      <c r="D420" t="s">
        <v>47</v>
      </c>
      <c r="E420">
        <v>610300</v>
      </c>
      <c r="G420" t="s">
        <v>14</v>
      </c>
      <c r="H420" t="s">
        <v>14</v>
      </c>
      <c r="I420" t="s">
        <v>127</v>
      </c>
      <c r="K420" t="s">
        <v>159</v>
      </c>
      <c r="M420">
        <v>39800</v>
      </c>
    </row>
    <row r="421" spans="1:13">
      <c r="A421">
        <v>2026</v>
      </c>
      <c r="B421" t="s">
        <v>167</v>
      </c>
      <c r="C421" t="s">
        <v>46</v>
      </c>
      <c r="D421" t="s">
        <v>47</v>
      </c>
      <c r="E421">
        <v>610400</v>
      </c>
      <c r="G421" t="s">
        <v>14</v>
      </c>
      <c r="H421" t="s">
        <v>14</v>
      </c>
      <c r="I421" t="s">
        <v>128</v>
      </c>
      <c r="K421" t="s">
        <v>159</v>
      </c>
      <c r="M421">
        <v>42200</v>
      </c>
    </row>
    <row r="422" spans="1:13">
      <c r="A422">
        <v>2026</v>
      </c>
      <c r="B422" t="s">
        <v>167</v>
      </c>
      <c r="C422" t="s">
        <v>46</v>
      </c>
      <c r="D422" t="s">
        <v>47</v>
      </c>
      <c r="E422">
        <v>610500</v>
      </c>
      <c r="G422" t="s">
        <v>14</v>
      </c>
      <c r="H422" t="s">
        <v>14</v>
      </c>
      <c r="I422" t="s">
        <v>129</v>
      </c>
      <c r="K422" t="s">
        <v>159</v>
      </c>
      <c r="M422">
        <v>51600</v>
      </c>
    </row>
    <row r="423" spans="1:13">
      <c r="A423">
        <v>2026</v>
      </c>
      <c r="B423" t="s">
        <v>167</v>
      </c>
      <c r="C423" t="s">
        <v>46</v>
      </c>
      <c r="D423" t="s">
        <v>47</v>
      </c>
      <c r="E423">
        <v>293499</v>
      </c>
      <c r="G423" t="s">
        <v>14</v>
      </c>
      <c r="H423" t="s">
        <v>14</v>
      </c>
      <c r="I423" t="s">
        <v>130</v>
      </c>
      <c r="K423" t="s">
        <v>160</v>
      </c>
      <c r="M423">
        <v>77300</v>
      </c>
    </row>
    <row r="424" spans="1:13">
      <c r="A424">
        <v>2026</v>
      </c>
      <c r="B424" t="s">
        <v>167</v>
      </c>
      <c r="C424" t="s">
        <v>46</v>
      </c>
      <c r="D424" t="s">
        <v>47</v>
      </c>
      <c r="E424">
        <v>293299</v>
      </c>
      <c r="G424" t="s">
        <v>14</v>
      </c>
      <c r="H424" t="s">
        <v>14</v>
      </c>
      <c r="I424" t="s">
        <v>131</v>
      </c>
      <c r="K424" t="s">
        <v>160</v>
      </c>
      <c r="M424">
        <v>38600</v>
      </c>
    </row>
    <row r="425" spans="1:13">
      <c r="A425">
        <v>2026</v>
      </c>
      <c r="B425" t="s">
        <v>167</v>
      </c>
      <c r="C425" t="s">
        <v>46</v>
      </c>
      <c r="D425" t="s">
        <v>47</v>
      </c>
      <c r="E425">
        <v>298300</v>
      </c>
      <c r="G425" t="s">
        <v>14</v>
      </c>
      <c r="H425" t="s">
        <v>14</v>
      </c>
      <c r="I425" t="s">
        <v>132</v>
      </c>
      <c r="K425" t="s">
        <v>165</v>
      </c>
      <c r="M425">
        <v>70700</v>
      </c>
    </row>
    <row r="426" spans="1:13">
      <c r="A426">
        <v>2026</v>
      </c>
      <c r="B426" t="s">
        <v>167</v>
      </c>
      <c r="C426" t="s">
        <v>46</v>
      </c>
      <c r="D426" t="s">
        <v>47</v>
      </c>
      <c r="E426">
        <v>298400</v>
      </c>
      <c r="G426" t="s">
        <v>14</v>
      </c>
      <c r="H426" t="s">
        <v>14</v>
      </c>
      <c r="I426" t="s">
        <v>133</v>
      </c>
      <c r="K426" t="s">
        <v>165</v>
      </c>
      <c r="M426">
        <v>64900</v>
      </c>
    </row>
    <row r="427" spans="1:13">
      <c r="A427">
        <v>2026</v>
      </c>
      <c r="B427" t="s">
        <v>167</v>
      </c>
      <c r="C427" t="s">
        <v>46</v>
      </c>
      <c r="D427" t="s">
        <v>47</v>
      </c>
      <c r="E427">
        <v>290799</v>
      </c>
      <c r="G427" t="s">
        <v>14</v>
      </c>
      <c r="H427" t="s">
        <v>14</v>
      </c>
      <c r="I427" t="s">
        <v>134</v>
      </c>
      <c r="K427" t="s">
        <v>159</v>
      </c>
      <c r="M427">
        <v>24200</v>
      </c>
    </row>
    <row r="428" spans="1:13">
      <c r="A428">
        <v>2026</v>
      </c>
      <c r="B428" t="s">
        <v>167</v>
      </c>
      <c r="C428" t="s">
        <v>46</v>
      </c>
      <c r="D428" t="s">
        <v>47</v>
      </c>
      <c r="E428">
        <v>291099</v>
      </c>
      <c r="G428" t="s">
        <v>14</v>
      </c>
      <c r="H428" t="s">
        <v>14</v>
      </c>
      <c r="I428" t="s">
        <v>135</v>
      </c>
      <c r="K428" t="s">
        <v>159</v>
      </c>
      <c r="M428">
        <v>50300</v>
      </c>
    </row>
    <row r="429" spans="1:13">
      <c r="A429">
        <v>2026</v>
      </c>
      <c r="B429" t="s">
        <v>167</v>
      </c>
      <c r="C429" t="s">
        <v>46</v>
      </c>
      <c r="D429" t="s">
        <v>47</v>
      </c>
      <c r="E429">
        <v>292005</v>
      </c>
      <c r="G429" t="s">
        <v>14</v>
      </c>
      <c r="H429" t="s">
        <v>14</v>
      </c>
      <c r="I429" t="s">
        <v>136</v>
      </c>
      <c r="K429" t="s">
        <v>160</v>
      </c>
      <c r="M429">
        <v>144800</v>
      </c>
    </row>
    <row r="430" spans="1:13">
      <c r="A430">
        <v>2026</v>
      </c>
      <c r="B430" t="s">
        <v>167</v>
      </c>
      <c r="C430" t="s">
        <v>46</v>
      </c>
      <c r="D430" t="s">
        <v>47</v>
      </c>
      <c r="E430">
        <v>290599</v>
      </c>
      <c r="G430" t="s">
        <v>14</v>
      </c>
      <c r="H430" t="s">
        <v>14</v>
      </c>
      <c r="I430" t="s">
        <v>137</v>
      </c>
      <c r="K430" t="s">
        <v>159</v>
      </c>
      <c r="M430">
        <v>14500</v>
      </c>
    </row>
    <row r="431" spans="1:13">
      <c r="A431">
        <v>2026</v>
      </c>
      <c r="B431" t="s">
        <v>167</v>
      </c>
      <c r="C431" t="s">
        <v>46</v>
      </c>
      <c r="D431" t="s">
        <v>47</v>
      </c>
      <c r="E431">
        <v>289500</v>
      </c>
      <c r="G431" t="s">
        <v>14</v>
      </c>
      <c r="H431" t="s">
        <v>14</v>
      </c>
      <c r="I431" t="s">
        <v>138</v>
      </c>
      <c r="K431" t="s">
        <v>159</v>
      </c>
      <c r="M431">
        <v>50300</v>
      </c>
    </row>
    <row r="432" spans="1:13">
      <c r="A432">
        <v>2026</v>
      </c>
      <c r="B432" t="s">
        <v>167</v>
      </c>
      <c r="C432" t="s">
        <v>46</v>
      </c>
      <c r="D432" t="s">
        <v>47</v>
      </c>
      <c r="E432">
        <v>289700</v>
      </c>
      <c r="G432" t="s">
        <v>14</v>
      </c>
      <c r="H432" t="s">
        <v>14</v>
      </c>
      <c r="I432" t="s">
        <v>139</v>
      </c>
      <c r="K432" t="s">
        <v>160</v>
      </c>
      <c r="M432">
        <v>115900</v>
      </c>
    </row>
    <row r="433" spans="1:13">
      <c r="A433">
        <v>2026</v>
      </c>
      <c r="B433" t="s">
        <v>167</v>
      </c>
      <c r="C433" t="s">
        <v>46</v>
      </c>
      <c r="D433" t="s">
        <v>47</v>
      </c>
      <c r="E433">
        <v>289100</v>
      </c>
      <c r="G433" t="s">
        <v>14</v>
      </c>
      <c r="H433" t="s">
        <v>14</v>
      </c>
      <c r="I433" t="s">
        <v>140</v>
      </c>
      <c r="K433" t="s">
        <v>159</v>
      </c>
      <c r="M433">
        <v>21900</v>
      </c>
    </row>
    <row r="434" spans="1:13">
      <c r="A434">
        <v>2026</v>
      </c>
      <c r="B434" t="s">
        <v>167</v>
      </c>
      <c r="C434" t="s">
        <v>46</v>
      </c>
      <c r="D434" t="s">
        <v>47</v>
      </c>
      <c r="E434">
        <v>289300</v>
      </c>
      <c r="G434" t="s">
        <v>14</v>
      </c>
      <c r="H434" t="s">
        <v>14</v>
      </c>
      <c r="I434" t="s">
        <v>141</v>
      </c>
      <c r="K434" t="s">
        <v>159</v>
      </c>
      <c r="M434">
        <v>27000</v>
      </c>
    </row>
    <row r="435" spans="1:13">
      <c r="A435">
        <v>2026</v>
      </c>
      <c r="B435" t="s">
        <v>167</v>
      </c>
      <c r="C435" t="s">
        <v>46</v>
      </c>
      <c r="D435" t="s">
        <v>47</v>
      </c>
      <c r="E435">
        <v>496300</v>
      </c>
      <c r="G435" t="s">
        <v>14</v>
      </c>
      <c r="H435" t="s">
        <v>14</v>
      </c>
      <c r="I435" t="s">
        <v>142</v>
      </c>
      <c r="K435" t="s">
        <v>159</v>
      </c>
      <c r="M435">
        <v>26750</v>
      </c>
    </row>
    <row r="436" spans="1:13">
      <c r="A436">
        <v>2026</v>
      </c>
      <c r="B436" t="s">
        <v>167</v>
      </c>
      <c r="C436" t="s">
        <v>46</v>
      </c>
      <c r="D436" t="s">
        <v>47</v>
      </c>
      <c r="E436">
        <v>496405</v>
      </c>
      <c r="G436" t="s">
        <v>14</v>
      </c>
      <c r="H436" t="s">
        <v>14</v>
      </c>
      <c r="I436" t="s">
        <v>143</v>
      </c>
      <c r="K436" t="s">
        <v>160</v>
      </c>
      <c r="M436">
        <v>31750</v>
      </c>
    </row>
    <row r="437" spans="1:13">
      <c r="A437">
        <v>2026</v>
      </c>
      <c r="B437" t="s">
        <v>167</v>
      </c>
      <c r="C437" t="s">
        <v>46</v>
      </c>
      <c r="D437" t="s">
        <v>47</v>
      </c>
      <c r="E437">
        <v>496455</v>
      </c>
      <c r="G437" t="s">
        <v>14</v>
      </c>
      <c r="H437" t="s">
        <v>14</v>
      </c>
      <c r="I437" t="s">
        <v>144</v>
      </c>
      <c r="K437" t="s">
        <v>160</v>
      </c>
      <c r="M437">
        <v>36750</v>
      </c>
    </row>
    <row r="438" spans="1:13">
      <c r="A438">
        <v>2026</v>
      </c>
      <c r="B438" t="s">
        <v>167</v>
      </c>
      <c r="C438" t="s">
        <v>46</v>
      </c>
      <c r="D438" t="s">
        <v>47</v>
      </c>
      <c r="E438">
        <v>496605</v>
      </c>
      <c r="G438" t="s">
        <v>14</v>
      </c>
      <c r="H438" t="s">
        <v>14</v>
      </c>
      <c r="I438" t="s">
        <v>145</v>
      </c>
      <c r="K438" t="s">
        <v>160</v>
      </c>
      <c r="M438">
        <v>41750</v>
      </c>
    </row>
    <row r="439" spans="1:13">
      <c r="A439">
        <v>2026</v>
      </c>
      <c r="B439" t="s">
        <v>167</v>
      </c>
      <c r="C439" t="s">
        <v>46</v>
      </c>
      <c r="D439" t="s">
        <v>47</v>
      </c>
      <c r="E439">
        <v>496650</v>
      </c>
      <c r="G439" t="s">
        <v>14</v>
      </c>
      <c r="H439" t="s">
        <v>14</v>
      </c>
      <c r="I439" t="s">
        <v>146</v>
      </c>
      <c r="K439" t="s">
        <v>160</v>
      </c>
      <c r="M439">
        <v>46750</v>
      </c>
    </row>
    <row r="440" spans="1:13">
      <c r="A440">
        <v>2026</v>
      </c>
      <c r="B440" t="s">
        <v>167</v>
      </c>
      <c r="C440" t="s">
        <v>46</v>
      </c>
      <c r="D440" t="s">
        <v>47</v>
      </c>
      <c r="E440">
        <v>498300</v>
      </c>
      <c r="G440" t="s">
        <v>14</v>
      </c>
      <c r="H440" t="s">
        <v>14</v>
      </c>
      <c r="I440" t="s">
        <v>147</v>
      </c>
      <c r="K440" t="s">
        <v>160</v>
      </c>
      <c r="M440">
        <v>107000</v>
      </c>
    </row>
    <row r="441" spans="1:13">
      <c r="A441">
        <v>2026</v>
      </c>
      <c r="B441" t="s">
        <v>167</v>
      </c>
      <c r="C441" t="s">
        <v>46</v>
      </c>
      <c r="D441" t="s">
        <v>47</v>
      </c>
      <c r="E441">
        <v>498400</v>
      </c>
      <c r="G441" t="s">
        <v>14</v>
      </c>
      <c r="H441" t="s">
        <v>14</v>
      </c>
      <c r="I441" t="s">
        <v>148</v>
      </c>
      <c r="K441" t="s">
        <v>160</v>
      </c>
      <c r="M441">
        <v>117700</v>
      </c>
    </row>
    <row r="442" spans="1:13">
      <c r="A442">
        <v>2026</v>
      </c>
      <c r="B442" t="s">
        <v>167</v>
      </c>
      <c r="C442" t="s">
        <v>46</v>
      </c>
      <c r="D442" t="s">
        <v>47</v>
      </c>
      <c r="E442">
        <v>498450</v>
      </c>
      <c r="G442" t="s">
        <v>14</v>
      </c>
      <c r="H442" t="s">
        <v>14</v>
      </c>
      <c r="I442" t="s">
        <v>149</v>
      </c>
      <c r="K442" t="s">
        <v>160</v>
      </c>
      <c r="M442">
        <v>144450</v>
      </c>
    </row>
    <row r="443" spans="1:13">
      <c r="A443">
        <v>2026</v>
      </c>
      <c r="B443" t="s">
        <v>167</v>
      </c>
      <c r="C443" t="s">
        <v>46</v>
      </c>
      <c r="D443" t="s">
        <v>47</v>
      </c>
      <c r="E443">
        <v>498600</v>
      </c>
      <c r="G443" t="s">
        <v>14</v>
      </c>
      <c r="H443" t="s">
        <v>14</v>
      </c>
      <c r="I443" t="s">
        <v>150</v>
      </c>
      <c r="K443" t="s">
        <v>160</v>
      </c>
      <c r="M443">
        <v>149800</v>
      </c>
    </row>
    <row r="444" spans="1:13">
      <c r="A444">
        <v>2026</v>
      </c>
      <c r="B444" t="s">
        <v>167</v>
      </c>
      <c r="C444" t="s">
        <v>46</v>
      </c>
      <c r="D444" t="s">
        <v>47</v>
      </c>
      <c r="E444">
        <v>498650</v>
      </c>
      <c r="G444" t="s">
        <v>14</v>
      </c>
      <c r="H444" t="s">
        <v>14</v>
      </c>
      <c r="I444" t="s">
        <v>151</v>
      </c>
      <c r="K444" t="s">
        <v>160</v>
      </c>
      <c r="M444">
        <v>160500</v>
      </c>
    </row>
    <row r="445" spans="1:13">
      <c r="A445">
        <v>2026</v>
      </c>
      <c r="B445" t="s">
        <v>167</v>
      </c>
      <c r="C445" t="s">
        <v>46</v>
      </c>
      <c r="D445" t="s">
        <v>47</v>
      </c>
      <c r="E445">
        <v>3505</v>
      </c>
      <c r="G445" t="s">
        <v>14</v>
      </c>
      <c r="H445" t="s">
        <v>14</v>
      </c>
      <c r="I445" t="s">
        <v>152</v>
      </c>
      <c r="K445" t="s">
        <v>158</v>
      </c>
      <c r="M445">
        <v>43500</v>
      </c>
    </row>
    <row r="446" spans="1:13">
      <c r="A446">
        <v>2026</v>
      </c>
      <c r="B446" t="s">
        <v>167</v>
      </c>
      <c r="C446" t="s">
        <v>46</v>
      </c>
      <c r="D446" t="s">
        <v>47</v>
      </c>
      <c r="E446">
        <v>2440</v>
      </c>
      <c r="G446" t="s">
        <v>14</v>
      </c>
      <c r="H446" t="s">
        <v>14</v>
      </c>
      <c r="I446" t="s">
        <v>153</v>
      </c>
      <c r="K446" t="s">
        <v>158</v>
      </c>
      <c r="M446">
        <v>89500</v>
      </c>
    </row>
    <row r="447" spans="1:13">
      <c r="A447">
        <v>2026</v>
      </c>
      <c r="B447" t="s">
        <v>167</v>
      </c>
      <c r="C447" t="s">
        <v>46</v>
      </c>
      <c r="D447" t="s">
        <v>47</v>
      </c>
      <c r="E447">
        <v>2438</v>
      </c>
      <c r="G447" t="s">
        <v>14</v>
      </c>
      <c r="H447" t="s">
        <v>14</v>
      </c>
      <c r="I447" t="s">
        <v>154</v>
      </c>
      <c r="K447" t="s">
        <v>158</v>
      </c>
      <c r="M447">
        <v>67900</v>
      </c>
    </row>
    <row r="448" spans="1:13">
      <c r="A448">
        <v>2026</v>
      </c>
      <c r="B448" t="s">
        <v>167</v>
      </c>
      <c r="C448" t="s">
        <v>46</v>
      </c>
      <c r="D448" t="s">
        <v>47</v>
      </c>
      <c r="E448">
        <v>2434</v>
      </c>
      <c r="G448" t="s">
        <v>14</v>
      </c>
      <c r="H448" t="s">
        <v>14</v>
      </c>
      <c r="I448" t="s">
        <v>155</v>
      </c>
      <c r="K448" t="s">
        <v>158</v>
      </c>
      <c r="M448">
        <v>50300</v>
      </c>
    </row>
    <row r="449" spans="1:13">
      <c r="A449">
        <v>2026</v>
      </c>
      <c r="B449" t="s">
        <v>167</v>
      </c>
      <c r="C449" t="s">
        <v>46</v>
      </c>
      <c r="D449" t="s">
        <v>47</v>
      </c>
      <c r="E449">
        <v>2436</v>
      </c>
      <c r="G449" t="s">
        <v>14</v>
      </c>
      <c r="H449" t="s">
        <v>14</v>
      </c>
      <c r="I449" t="s">
        <v>156</v>
      </c>
      <c r="K449" t="s">
        <v>158</v>
      </c>
      <c r="M449">
        <v>53300</v>
      </c>
    </row>
    <row r="450" spans="1:13">
      <c r="A450">
        <v>2026</v>
      </c>
      <c r="B450" t="s">
        <v>167</v>
      </c>
      <c r="C450" t="s">
        <v>46</v>
      </c>
      <c r="D450" t="s">
        <v>47</v>
      </c>
      <c r="E450">
        <v>2444</v>
      </c>
      <c r="G450" t="s">
        <v>14</v>
      </c>
      <c r="H450" t="s">
        <v>14</v>
      </c>
      <c r="I450" t="s">
        <v>157</v>
      </c>
      <c r="K450" t="s">
        <v>158</v>
      </c>
      <c r="M450">
        <v>200900</v>
      </c>
    </row>
    <row r="451" spans="1:13">
      <c r="A451">
        <v>2026</v>
      </c>
      <c r="B451" t="s">
        <v>167</v>
      </c>
      <c r="C451" t="s">
        <v>61</v>
      </c>
      <c r="D451" t="s">
        <v>62</v>
      </c>
      <c r="E451">
        <v>8127.5095999999994</v>
      </c>
      <c r="F451">
        <v>30</v>
      </c>
      <c r="G451" t="s">
        <v>14</v>
      </c>
      <c r="H451" t="s">
        <v>14</v>
      </c>
      <c r="I451" t="s">
        <v>15</v>
      </c>
      <c r="J451">
        <v>1</v>
      </c>
      <c r="K451" t="s">
        <v>16</v>
      </c>
      <c r="L451">
        <v>10948</v>
      </c>
      <c r="M451">
        <v>54.74</v>
      </c>
    </row>
    <row r="452" spans="1:13">
      <c r="A452">
        <v>2026</v>
      </c>
      <c r="B452" t="s">
        <v>167</v>
      </c>
      <c r="C452" t="s">
        <v>61</v>
      </c>
      <c r="D452" t="s">
        <v>62</v>
      </c>
      <c r="E452">
        <v>8127.5095999999994</v>
      </c>
      <c r="F452">
        <v>30</v>
      </c>
      <c r="G452" t="s">
        <v>14</v>
      </c>
      <c r="H452" t="s">
        <v>14</v>
      </c>
      <c r="I452" t="s">
        <v>24</v>
      </c>
      <c r="J452">
        <v>0.4</v>
      </c>
      <c r="K452" t="s">
        <v>16</v>
      </c>
      <c r="L452">
        <v>135.66</v>
      </c>
      <c r="M452">
        <v>54.264000000000003</v>
      </c>
    </row>
    <row r="453" spans="1:13">
      <c r="A453">
        <v>2026</v>
      </c>
      <c r="B453" t="s">
        <v>167</v>
      </c>
      <c r="C453" t="s">
        <v>61</v>
      </c>
      <c r="D453" t="s">
        <v>62</v>
      </c>
      <c r="E453">
        <v>8127.5095999999994</v>
      </c>
      <c r="F453">
        <v>30</v>
      </c>
      <c r="G453" t="s">
        <v>14</v>
      </c>
      <c r="H453" t="s">
        <v>14</v>
      </c>
      <c r="I453" t="s">
        <v>25</v>
      </c>
      <c r="J453">
        <v>2</v>
      </c>
      <c r="K453" t="s">
        <v>16</v>
      </c>
      <c r="L453">
        <v>3808</v>
      </c>
      <c r="M453">
        <v>7616</v>
      </c>
    </row>
    <row r="454" spans="1:13">
      <c r="A454">
        <v>2026</v>
      </c>
      <c r="B454" t="s">
        <v>167</v>
      </c>
      <c r="C454" t="s">
        <v>61</v>
      </c>
      <c r="D454" t="s">
        <v>62</v>
      </c>
      <c r="E454">
        <v>8127.5095999999994</v>
      </c>
      <c r="F454">
        <v>30</v>
      </c>
      <c r="G454" t="s">
        <v>14</v>
      </c>
      <c r="H454" t="s">
        <v>14</v>
      </c>
      <c r="I454" t="s">
        <v>26</v>
      </c>
      <c r="J454">
        <v>0.4</v>
      </c>
      <c r="K454" t="s">
        <v>16</v>
      </c>
      <c r="L454">
        <v>111.86</v>
      </c>
      <c r="M454">
        <v>44.744</v>
      </c>
    </row>
    <row r="455" spans="1:13">
      <c r="A455">
        <v>2026</v>
      </c>
      <c r="B455" t="s">
        <v>167</v>
      </c>
      <c r="C455" t="s">
        <v>61</v>
      </c>
      <c r="D455" t="s">
        <v>62</v>
      </c>
      <c r="E455">
        <v>8127.5095999999994</v>
      </c>
      <c r="F455">
        <v>30</v>
      </c>
      <c r="G455" t="s">
        <v>14</v>
      </c>
      <c r="H455" t="s">
        <v>14</v>
      </c>
      <c r="I455" t="s">
        <v>28</v>
      </c>
      <c r="J455">
        <v>2</v>
      </c>
      <c r="K455" t="s">
        <v>16</v>
      </c>
      <c r="L455">
        <v>17888.080000000002</v>
      </c>
      <c r="M455">
        <v>357.76159999999999</v>
      </c>
    </row>
    <row r="456" spans="1:13">
      <c r="A456">
        <v>2026</v>
      </c>
      <c r="B456" t="s">
        <v>167</v>
      </c>
      <c r="C456" t="s">
        <v>61</v>
      </c>
      <c r="D456" t="s">
        <v>62</v>
      </c>
      <c r="E456">
        <v>8127.5095999999994</v>
      </c>
      <c r="F456">
        <v>30</v>
      </c>
      <c r="G456" t="s">
        <v>32</v>
      </c>
      <c r="H456" t="s">
        <v>32</v>
      </c>
      <c r="I456" t="s">
        <v>33</v>
      </c>
      <c r="J456">
        <v>30</v>
      </c>
      <c r="K456" t="s">
        <v>34</v>
      </c>
    </row>
    <row r="457" spans="1:13">
      <c r="A457">
        <v>2026</v>
      </c>
      <c r="B457" t="s">
        <v>167</v>
      </c>
      <c r="C457" t="s">
        <v>61</v>
      </c>
      <c r="D457" t="s">
        <v>62</v>
      </c>
      <c r="E457">
        <v>8127.5095999999994</v>
      </c>
      <c r="F457">
        <v>30</v>
      </c>
      <c r="G457" t="s">
        <v>32</v>
      </c>
      <c r="H457" t="s">
        <v>32</v>
      </c>
      <c r="I457" t="s">
        <v>35</v>
      </c>
      <c r="J457">
        <v>30</v>
      </c>
      <c r="K457" t="s">
        <v>34</v>
      </c>
    </row>
    <row r="458" spans="1:13">
      <c r="A458">
        <v>2026</v>
      </c>
      <c r="B458" t="s">
        <v>167</v>
      </c>
      <c r="C458" t="s">
        <v>61</v>
      </c>
      <c r="D458" t="s">
        <v>62</v>
      </c>
      <c r="E458">
        <v>360001</v>
      </c>
      <c r="G458" t="s">
        <v>14</v>
      </c>
      <c r="H458" t="s">
        <v>14</v>
      </c>
      <c r="I458" t="s">
        <v>63</v>
      </c>
      <c r="K458" t="s">
        <v>158</v>
      </c>
      <c r="M458">
        <v>893800</v>
      </c>
    </row>
    <row r="459" spans="1:13">
      <c r="A459">
        <v>2026</v>
      </c>
      <c r="B459" t="s">
        <v>167</v>
      </c>
      <c r="C459" t="s">
        <v>61</v>
      </c>
      <c r="D459" t="s">
        <v>62</v>
      </c>
      <c r="E459">
        <v>360102</v>
      </c>
      <c r="G459" t="s">
        <v>14</v>
      </c>
      <c r="H459" t="s">
        <v>14</v>
      </c>
      <c r="I459" t="s">
        <v>64</v>
      </c>
      <c r="K459" t="s">
        <v>158</v>
      </c>
      <c r="M459">
        <v>251100</v>
      </c>
    </row>
    <row r="460" spans="1:13">
      <c r="A460">
        <v>2026</v>
      </c>
      <c r="B460" t="s">
        <v>167</v>
      </c>
      <c r="C460" t="s">
        <v>61</v>
      </c>
      <c r="D460" t="s">
        <v>62</v>
      </c>
      <c r="E460">
        <v>360104</v>
      </c>
      <c r="G460" t="s">
        <v>14</v>
      </c>
      <c r="H460" t="s">
        <v>14</v>
      </c>
      <c r="I460" t="s">
        <v>65</v>
      </c>
      <c r="K460" t="s">
        <v>158</v>
      </c>
      <c r="M460">
        <v>261100</v>
      </c>
    </row>
    <row r="461" spans="1:13">
      <c r="A461">
        <v>2026</v>
      </c>
      <c r="B461" t="s">
        <v>167</v>
      </c>
      <c r="C461" t="s">
        <v>61</v>
      </c>
      <c r="D461" t="s">
        <v>62</v>
      </c>
      <c r="E461">
        <v>360100</v>
      </c>
      <c r="G461" t="s">
        <v>14</v>
      </c>
      <c r="H461" t="s">
        <v>14</v>
      </c>
      <c r="I461" t="s">
        <v>66</v>
      </c>
      <c r="K461" t="s">
        <v>158</v>
      </c>
      <c r="M461">
        <v>80300</v>
      </c>
    </row>
    <row r="462" spans="1:13">
      <c r="A462">
        <v>2026</v>
      </c>
      <c r="B462" t="s">
        <v>167</v>
      </c>
      <c r="C462" t="s">
        <v>61</v>
      </c>
      <c r="D462" t="s">
        <v>62</v>
      </c>
      <c r="E462">
        <v>360150</v>
      </c>
      <c r="G462" t="s">
        <v>14</v>
      </c>
      <c r="H462" t="s">
        <v>14</v>
      </c>
      <c r="I462" t="s">
        <v>67</v>
      </c>
      <c r="K462" t="s">
        <v>158</v>
      </c>
      <c r="M462">
        <v>76800</v>
      </c>
    </row>
    <row r="463" spans="1:13">
      <c r="A463">
        <v>2026</v>
      </c>
      <c r="B463" t="s">
        <v>167</v>
      </c>
      <c r="C463" t="s">
        <v>61</v>
      </c>
      <c r="D463" t="s">
        <v>62</v>
      </c>
      <c r="E463">
        <v>360101</v>
      </c>
      <c r="G463" t="s">
        <v>14</v>
      </c>
      <c r="H463" t="s">
        <v>14</v>
      </c>
      <c r="I463" t="s">
        <v>68</v>
      </c>
      <c r="K463" t="s">
        <v>158</v>
      </c>
      <c r="M463">
        <v>140600</v>
      </c>
    </row>
    <row r="464" spans="1:13">
      <c r="A464">
        <v>2026</v>
      </c>
      <c r="B464" t="s">
        <v>167</v>
      </c>
      <c r="C464" t="s">
        <v>61</v>
      </c>
      <c r="D464" t="s">
        <v>62</v>
      </c>
      <c r="E464">
        <v>360103</v>
      </c>
      <c r="G464" t="s">
        <v>14</v>
      </c>
      <c r="H464" t="s">
        <v>14</v>
      </c>
      <c r="I464" t="s">
        <v>69</v>
      </c>
      <c r="K464" t="s">
        <v>158</v>
      </c>
      <c r="M464">
        <v>150600</v>
      </c>
    </row>
    <row r="465" spans="1:13">
      <c r="A465">
        <v>2026</v>
      </c>
      <c r="B465" t="s">
        <v>167</v>
      </c>
      <c r="C465" t="s">
        <v>61</v>
      </c>
      <c r="D465" t="s">
        <v>62</v>
      </c>
      <c r="E465">
        <v>709900</v>
      </c>
      <c r="G465" t="s">
        <v>14</v>
      </c>
      <c r="H465" t="s">
        <v>14</v>
      </c>
      <c r="I465" t="s">
        <v>70</v>
      </c>
      <c r="K465" t="s">
        <v>159</v>
      </c>
      <c r="M465">
        <v>13500</v>
      </c>
    </row>
    <row r="466" spans="1:13">
      <c r="A466">
        <v>2026</v>
      </c>
      <c r="B466" t="s">
        <v>167</v>
      </c>
      <c r="C466" t="s">
        <v>61</v>
      </c>
      <c r="D466" t="s">
        <v>62</v>
      </c>
      <c r="E466">
        <v>709902</v>
      </c>
      <c r="G466" t="s">
        <v>14</v>
      </c>
      <c r="H466" t="s">
        <v>14</v>
      </c>
      <c r="I466" t="s">
        <v>71</v>
      </c>
      <c r="K466" t="s">
        <v>159</v>
      </c>
      <c r="M466">
        <v>28800</v>
      </c>
    </row>
    <row r="467" spans="1:13">
      <c r="A467">
        <v>2026</v>
      </c>
      <c r="B467" t="s">
        <v>167</v>
      </c>
      <c r="C467" t="s">
        <v>61</v>
      </c>
      <c r="D467" t="s">
        <v>62</v>
      </c>
      <c r="E467">
        <v>709903</v>
      </c>
      <c r="G467" t="s">
        <v>14</v>
      </c>
      <c r="H467" t="s">
        <v>14</v>
      </c>
      <c r="I467" t="s">
        <v>72</v>
      </c>
      <c r="K467" t="s">
        <v>159</v>
      </c>
      <c r="M467">
        <v>63400</v>
      </c>
    </row>
    <row r="468" spans="1:13">
      <c r="A468">
        <v>2026</v>
      </c>
      <c r="B468" t="s">
        <v>167</v>
      </c>
      <c r="C468" t="s">
        <v>61</v>
      </c>
      <c r="D468" t="s">
        <v>62</v>
      </c>
      <c r="E468">
        <v>709909</v>
      </c>
      <c r="G468" t="s">
        <v>14</v>
      </c>
      <c r="H468" t="s">
        <v>14</v>
      </c>
      <c r="I468" t="s">
        <v>73</v>
      </c>
      <c r="K468" t="s">
        <v>160</v>
      </c>
      <c r="M468">
        <v>38400</v>
      </c>
    </row>
    <row r="469" spans="1:13">
      <c r="A469">
        <v>2026</v>
      </c>
      <c r="B469" t="s">
        <v>167</v>
      </c>
      <c r="C469" t="s">
        <v>61</v>
      </c>
      <c r="D469" t="s">
        <v>62</v>
      </c>
      <c r="E469">
        <v>709904</v>
      </c>
      <c r="G469" t="s">
        <v>14</v>
      </c>
      <c r="H469" t="s">
        <v>14</v>
      </c>
      <c r="I469" t="s">
        <v>74</v>
      </c>
      <c r="K469" t="s">
        <v>160</v>
      </c>
      <c r="M469">
        <v>169000</v>
      </c>
    </row>
    <row r="470" spans="1:13">
      <c r="A470">
        <v>2026</v>
      </c>
      <c r="B470" t="s">
        <v>167</v>
      </c>
      <c r="C470" t="s">
        <v>61</v>
      </c>
      <c r="D470" t="s">
        <v>62</v>
      </c>
      <c r="E470">
        <v>603421</v>
      </c>
      <c r="G470" t="s">
        <v>14</v>
      </c>
      <c r="H470" t="s">
        <v>14</v>
      </c>
      <c r="I470" t="s">
        <v>75</v>
      </c>
      <c r="K470" t="s">
        <v>159</v>
      </c>
      <c r="M470">
        <v>24200</v>
      </c>
    </row>
    <row r="471" spans="1:13">
      <c r="A471">
        <v>2026</v>
      </c>
      <c r="B471" t="s">
        <v>167</v>
      </c>
      <c r="C471" t="s">
        <v>61</v>
      </c>
      <c r="D471" t="s">
        <v>62</v>
      </c>
      <c r="E471">
        <v>603422</v>
      </c>
      <c r="G471" t="s">
        <v>14</v>
      </c>
      <c r="H471" t="s">
        <v>14</v>
      </c>
      <c r="I471" t="s">
        <v>76</v>
      </c>
      <c r="K471" t="s">
        <v>159</v>
      </c>
      <c r="M471">
        <v>36700</v>
      </c>
    </row>
    <row r="472" spans="1:13">
      <c r="A472">
        <v>2026</v>
      </c>
      <c r="B472" t="s">
        <v>167</v>
      </c>
      <c r="C472" t="s">
        <v>61</v>
      </c>
      <c r="D472" t="s">
        <v>62</v>
      </c>
      <c r="E472">
        <v>603423</v>
      </c>
      <c r="G472" t="s">
        <v>14</v>
      </c>
      <c r="H472" t="s">
        <v>14</v>
      </c>
      <c r="I472" t="s">
        <v>77</v>
      </c>
      <c r="K472" t="s">
        <v>159</v>
      </c>
      <c r="M472">
        <v>91800</v>
      </c>
    </row>
    <row r="473" spans="1:13">
      <c r="A473">
        <v>2026</v>
      </c>
      <c r="B473" t="s">
        <v>167</v>
      </c>
      <c r="C473" t="s">
        <v>61</v>
      </c>
      <c r="D473" t="s">
        <v>62</v>
      </c>
      <c r="E473">
        <v>603420</v>
      </c>
      <c r="G473" t="s">
        <v>14</v>
      </c>
      <c r="H473" t="s">
        <v>14</v>
      </c>
      <c r="I473" t="s">
        <v>78</v>
      </c>
      <c r="K473" t="s">
        <v>160</v>
      </c>
      <c r="M473">
        <v>72300</v>
      </c>
    </row>
    <row r="474" spans="1:13">
      <c r="A474">
        <v>2026</v>
      </c>
      <c r="B474" t="s">
        <v>167</v>
      </c>
      <c r="C474" t="s">
        <v>61</v>
      </c>
      <c r="D474" t="s">
        <v>62</v>
      </c>
      <c r="E474">
        <v>603424</v>
      </c>
      <c r="G474" t="s">
        <v>14</v>
      </c>
      <c r="H474" t="s">
        <v>14</v>
      </c>
      <c r="I474" t="s">
        <v>79</v>
      </c>
      <c r="K474" t="s">
        <v>160</v>
      </c>
      <c r="M474">
        <v>215000</v>
      </c>
    </row>
    <row r="475" spans="1:13">
      <c r="A475">
        <v>2026</v>
      </c>
      <c r="B475" t="s">
        <v>167</v>
      </c>
      <c r="C475" t="s">
        <v>61</v>
      </c>
      <c r="D475" t="s">
        <v>62</v>
      </c>
      <c r="E475">
        <v>583300</v>
      </c>
      <c r="G475" t="s">
        <v>14</v>
      </c>
      <c r="H475" t="s">
        <v>14</v>
      </c>
      <c r="I475" t="s">
        <v>80</v>
      </c>
      <c r="K475" t="s">
        <v>161</v>
      </c>
      <c r="M475">
        <v>37700</v>
      </c>
    </row>
    <row r="476" spans="1:13">
      <c r="A476">
        <v>2026</v>
      </c>
      <c r="B476" t="s">
        <v>167</v>
      </c>
      <c r="C476" t="s">
        <v>61</v>
      </c>
      <c r="D476" t="s">
        <v>62</v>
      </c>
      <c r="E476">
        <v>583400</v>
      </c>
      <c r="G476" t="s">
        <v>14</v>
      </c>
      <c r="H476" t="s">
        <v>14</v>
      </c>
      <c r="I476" t="s">
        <v>81</v>
      </c>
      <c r="K476" t="s">
        <v>161</v>
      </c>
      <c r="M476">
        <v>38600</v>
      </c>
    </row>
    <row r="477" spans="1:13">
      <c r="A477">
        <v>2026</v>
      </c>
      <c r="B477" t="s">
        <v>167</v>
      </c>
      <c r="C477" t="s">
        <v>61</v>
      </c>
      <c r="D477" t="s">
        <v>62</v>
      </c>
      <c r="E477">
        <v>583500</v>
      </c>
      <c r="G477" t="s">
        <v>14</v>
      </c>
      <c r="H477" t="s">
        <v>14</v>
      </c>
      <c r="I477" t="s">
        <v>82</v>
      </c>
      <c r="K477" t="s">
        <v>161</v>
      </c>
      <c r="M477">
        <v>17300</v>
      </c>
    </row>
    <row r="478" spans="1:13">
      <c r="A478">
        <v>2026</v>
      </c>
      <c r="B478" t="s">
        <v>167</v>
      </c>
      <c r="C478" t="s">
        <v>61</v>
      </c>
      <c r="D478" t="s">
        <v>62</v>
      </c>
      <c r="E478">
        <v>595200</v>
      </c>
      <c r="G478" t="s">
        <v>14</v>
      </c>
      <c r="H478" t="s">
        <v>14</v>
      </c>
      <c r="I478" t="s">
        <v>83</v>
      </c>
      <c r="K478" t="s">
        <v>161</v>
      </c>
      <c r="M478">
        <v>16200</v>
      </c>
    </row>
    <row r="479" spans="1:13">
      <c r="A479">
        <v>2026</v>
      </c>
      <c r="B479" t="s">
        <v>167</v>
      </c>
      <c r="C479" t="s">
        <v>61</v>
      </c>
      <c r="D479" t="s">
        <v>62</v>
      </c>
      <c r="E479">
        <v>595300</v>
      </c>
      <c r="G479" t="s">
        <v>14</v>
      </c>
      <c r="H479" t="s">
        <v>14</v>
      </c>
      <c r="I479" t="s">
        <v>84</v>
      </c>
      <c r="K479" t="s">
        <v>161</v>
      </c>
      <c r="M479">
        <v>20300</v>
      </c>
    </row>
    <row r="480" spans="1:13">
      <c r="A480">
        <v>2026</v>
      </c>
      <c r="B480" t="s">
        <v>167</v>
      </c>
      <c r="C480" t="s">
        <v>61</v>
      </c>
      <c r="D480" t="s">
        <v>62</v>
      </c>
      <c r="E480">
        <v>595400</v>
      </c>
      <c r="G480" t="s">
        <v>14</v>
      </c>
      <c r="H480" t="s">
        <v>14</v>
      </c>
      <c r="I480" t="s">
        <v>85</v>
      </c>
      <c r="K480" t="s">
        <v>161</v>
      </c>
      <c r="M480">
        <v>29900</v>
      </c>
    </row>
    <row r="481" spans="1:13">
      <c r="A481">
        <v>2026</v>
      </c>
      <c r="B481" t="s">
        <v>167</v>
      </c>
      <c r="C481" t="s">
        <v>61</v>
      </c>
      <c r="D481" t="s">
        <v>62</v>
      </c>
      <c r="E481">
        <v>595600</v>
      </c>
      <c r="G481" t="s">
        <v>14</v>
      </c>
      <c r="H481" t="s">
        <v>14</v>
      </c>
      <c r="I481" t="s">
        <v>86</v>
      </c>
      <c r="K481" t="s">
        <v>161</v>
      </c>
      <c r="M481">
        <v>50800</v>
      </c>
    </row>
    <row r="482" spans="1:13">
      <c r="A482">
        <v>2026</v>
      </c>
      <c r="B482" t="s">
        <v>167</v>
      </c>
      <c r="C482" t="s">
        <v>61</v>
      </c>
      <c r="D482" t="s">
        <v>62</v>
      </c>
      <c r="E482">
        <v>581011</v>
      </c>
      <c r="G482" t="s">
        <v>14</v>
      </c>
      <c r="H482" t="s">
        <v>14</v>
      </c>
      <c r="I482" t="s">
        <v>87</v>
      </c>
      <c r="K482" t="s">
        <v>159</v>
      </c>
      <c r="M482">
        <v>4300</v>
      </c>
    </row>
    <row r="483" spans="1:13">
      <c r="A483">
        <v>2026</v>
      </c>
      <c r="B483" t="s">
        <v>167</v>
      </c>
      <c r="C483" t="s">
        <v>61</v>
      </c>
      <c r="D483" t="s">
        <v>62</v>
      </c>
      <c r="E483">
        <v>581100</v>
      </c>
      <c r="G483" t="s">
        <v>14</v>
      </c>
      <c r="H483" t="s">
        <v>14</v>
      </c>
      <c r="I483" t="s">
        <v>88</v>
      </c>
      <c r="K483" t="s">
        <v>159</v>
      </c>
      <c r="M483">
        <v>16400</v>
      </c>
    </row>
    <row r="484" spans="1:13">
      <c r="A484">
        <v>2026</v>
      </c>
      <c r="B484" t="s">
        <v>167</v>
      </c>
      <c r="C484" t="s">
        <v>61</v>
      </c>
      <c r="D484" t="s">
        <v>62</v>
      </c>
      <c r="E484">
        <v>581200</v>
      </c>
      <c r="G484" t="s">
        <v>14</v>
      </c>
      <c r="H484" t="s">
        <v>14</v>
      </c>
      <c r="I484" t="s">
        <v>89</v>
      </c>
      <c r="K484" t="s">
        <v>160</v>
      </c>
      <c r="M484">
        <v>13500</v>
      </c>
    </row>
    <row r="485" spans="1:13">
      <c r="A485">
        <v>2026</v>
      </c>
      <c r="B485" t="s">
        <v>167</v>
      </c>
      <c r="C485" t="s">
        <v>61</v>
      </c>
      <c r="D485" t="s">
        <v>62</v>
      </c>
      <c r="E485">
        <v>581300</v>
      </c>
      <c r="G485" t="s">
        <v>14</v>
      </c>
      <c r="H485" t="s">
        <v>14</v>
      </c>
      <c r="I485" t="s">
        <v>90</v>
      </c>
      <c r="K485" t="s">
        <v>160</v>
      </c>
      <c r="M485">
        <v>16400</v>
      </c>
    </row>
    <row r="486" spans="1:13">
      <c r="A486">
        <v>2026</v>
      </c>
      <c r="B486" t="s">
        <v>167</v>
      </c>
      <c r="C486" t="s">
        <v>61</v>
      </c>
      <c r="D486" t="s">
        <v>62</v>
      </c>
      <c r="E486">
        <v>581500</v>
      </c>
      <c r="G486" t="s">
        <v>14</v>
      </c>
      <c r="H486" t="s">
        <v>14</v>
      </c>
      <c r="I486" t="s">
        <v>91</v>
      </c>
      <c r="K486" t="s">
        <v>160</v>
      </c>
      <c r="M486">
        <v>28000</v>
      </c>
    </row>
    <row r="487" spans="1:13">
      <c r="A487">
        <v>2026</v>
      </c>
      <c r="B487" t="s">
        <v>167</v>
      </c>
      <c r="C487" t="s">
        <v>61</v>
      </c>
      <c r="D487" t="s">
        <v>62</v>
      </c>
      <c r="E487">
        <v>282790</v>
      </c>
      <c r="G487" t="s">
        <v>14</v>
      </c>
      <c r="H487" t="s">
        <v>14</v>
      </c>
      <c r="I487" t="s">
        <v>92</v>
      </c>
      <c r="K487" t="s">
        <v>162</v>
      </c>
      <c r="M487">
        <v>87800</v>
      </c>
    </row>
    <row r="488" spans="1:13">
      <c r="A488">
        <v>2026</v>
      </c>
      <c r="B488" t="s">
        <v>167</v>
      </c>
      <c r="C488" t="s">
        <v>61</v>
      </c>
      <c r="D488" t="s">
        <v>62</v>
      </c>
      <c r="E488">
        <v>282055</v>
      </c>
      <c r="G488" t="s">
        <v>14</v>
      </c>
      <c r="H488" t="s">
        <v>14</v>
      </c>
      <c r="I488" t="s">
        <v>93</v>
      </c>
      <c r="K488" t="s">
        <v>159</v>
      </c>
      <c r="M488">
        <v>62200</v>
      </c>
    </row>
    <row r="489" spans="1:13">
      <c r="A489">
        <v>2026</v>
      </c>
      <c r="B489" t="s">
        <v>167</v>
      </c>
      <c r="C489" t="s">
        <v>61</v>
      </c>
      <c r="D489" t="s">
        <v>62</v>
      </c>
      <c r="E489">
        <v>282455</v>
      </c>
      <c r="G489" t="s">
        <v>14</v>
      </c>
      <c r="H489" t="s">
        <v>14</v>
      </c>
      <c r="I489" t="s">
        <v>94</v>
      </c>
      <c r="K489" t="s">
        <v>159</v>
      </c>
      <c r="M489">
        <v>100100</v>
      </c>
    </row>
    <row r="490" spans="1:13">
      <c r="A490">
        <v>2026</v>
      </c>
      <c r="B490" t="s">
        <v>167</v>
      </c>
      <c r="C490" t="s">
        <v>61</v>
      </c>
      <c r="D490" t="s">
        <v>62</v>
      </c>
      <c r="E490">
        <v>294199</v>
      </c>
      <c r="G490" t="s">
        <v>14</v>
      </c>
      <c r="H490" t="s">
        <v>14</v>
      </c>
      <c r="I490" t="s">
        <v>95</v>
      </c>
      <c r="K490" t="s">
        <v>160</v>
      </c>
      <c r="M490">
        <v>17300</v>
      </c>
    </row>
    <row r="491" spans="1:13">
      <c r="A491">
        <v>2026</v>
      </c>
      <c r="B491" t="s">
        <v>167</v>
      </c>
      <c r="C491" t="s">
        <v>61</v>
      </c>
      <c r="D491" t="s">
        <v>62</v>
      </c>
      <c r="E491">
        <v>294299</v>
      </c>
      <c r="G491" t="s">
        <v>14</v>
      </c>
      <c r="H491" t="s">
        <v>14</v>
      </c>
      <c r="I491" t="s">
        <v>96</v>
      </c>
      <c r="K491" t="s">
        <v>160</v>
      </c>
      <c r="M491">
        <v>29000</v>
      </c>
    </row>
    <row r="492" spans="1:13">
      <c r="A492">
        <v>2026</v>
      </c>
      <c r="B492" t="s">
        <v>167</v>
      </c>
      <c r="C492" t="s">
        <v>61</v>
      </c>
      <c r="D492" t="s">
        <v>62</v>
      </c>
      <c r="E492">
        <v>294399</v>
      </c>
      <c r="G492" t="s">
        <v>14</v>
      </c>
      <c r="H492" t="s">
        <v>14</v>
      </c>
      <c r="I492" t="s">
        <v>97</v>
      </c>
      <c r="K492" t="s">
        <v>160</v>
      </c>
      <c r="M492">
        <v>36700</v>
      </c>
    </row>
    <row r="493" spans="1:13">
      <c r="A493">
        <v>2026</v>
      </c>
      <c r="B493" t="s">
        <v>167</v>
      </c>
      <c r="C493" t="s">
        <v>61</v>
      </c>
      <c r="D493" t="s">
        <v>62</v>
      </c>
      <c r="E493">
        <v>294499</v>
      </c>
      <c r="G493" t="s">
        <v>14</v>
      </c>
      <c r="H493" t="s">
        <v>14</v>
      </c>
      <c r="I493" t="s">
        <v>98</v>
      </c>
      <c r="K493" t="s">
        <v>160</v>
      </c>
      <c r="M493">
        <v>75900</v>
      </c>
    </row>
    <row r="494" spans="1:13">
      <c r="A494">
        <v>2026</v>
      </c>
      <c r="B494" t="s">
        <v>167</v>
      </c>
      <c r="C494" t="s">
        <v>61</v>
      </c>
      <c r="D494" t="s">
        <v>62</v>
      </c>
      <c r="E494">
        <v>294500</v>
      </c>
      <c r="G494" t="s">
        <v>14</v>
      </c>
      <c r="H494" t="s">
        <v>14</v>
      </c>
      <c r="I494" t="s">
        <v>99</v>
      </c>
      <c r="K494" t="s">
        <v>163</v>
      </c>
      <c r="M494">
        <v>164200</v>
      </c>
    </row>
    <row r="495" spans="1:13">
      <c r="A495">
        <v>2026</v>
      </c>
      <c r="B495" t="s">
        <v>167</v>
      </c>
      <c r="C495" t="s">
        <v>61</v>
      </c>
      <c r="D495" t="s">
        <v>62</v>
      </c>
      <c r="E495">
        <v>288100</v>
      </c>
      <c r="G495" t="s">
        <v>14</v>
      </c>
      <c r="H495" t="s">
        <v>14</v>
      </c>
      <c r="I495" t="s">
        <v>100</v>
      </c>
      <c r="K495" t="s">
        <v>160</v>
      </c>
      <c r="M495">
        <v>62800</v>
      </c>
    </row>
    <row r="496" spans="1:13">
      <c r="A496">
        <v>2026</v>
      </c>
      <c r="B496" t="s">
        <v>167</v>
      </c>
      <c r="C496" t="s">
        <v>61</v>
      </c>
      <c r="D496" t="s">
        <v>62</v>
      </c>
      <c r="E496">
        <v>284090</v>
      </c>
      <c r="G496" t="s">
        <v>14</v>
      </c>
      <c r="H496" t="s">
        <v>14</v>
      </c>
      <c r="I496" t="s">
        <v>101</v>
      </c>
      <c r="K496" t="s">
        <v>160</v>
      </c>
      <c r="M496">
        <v>15900</v>
      </c>
    </row>
    <row r="497" spans="1:13">
      <c r="A497">
        <v>2026</v>
      </c>
      <c r="B497" t="s">
        <v>167</v>
      </c>
      <c r="C497" t="s">
        <v>61</v>
      </c>
      <c r="D497" t="s">
        <v>62</v>
      </c>
      <c r="E497">
        <v>284190</v>
      </c>
      <c r="G497" t="s">
        <v>14</v>
      </c>
      <c r="H497" t="s">
        <v>14</v>
      </c>
      <c r="I497" t="s">
        <v>102</v>
      </c>
      <c r="K497" t="s">
        <v>160</v>
      </c>
      <c r="M497">
        <v>16900</v>
      </c>
    </row>
    <row r="498" spans="1:13">
      <c r="A498">
        <v>2026</v>
      </c>
      <c r="B498" t="s">
        <v>167</v>
      </c>
      <c r="C498" t="s">
        <v>61</v>
      </c>
      <c r="D498" t="s">
        <v>62</v>
      </c>
      <c r="E498">
        <v>284390</v>
      </c>
      <c r="G498" t="s">
        <v>14</v>
      </c>
      <c r="H498" t="s">
        <v>14</v>
      </c>
      <c r="I498" t="s">
        <v>103</v>
      </c>
      <c r="K498" t="s">
        <v>160</v>
      </c>
      <c r="M498">
        <v>21900</v>
      </c>
    </row>
    <row r="499" spans="1:13">
      <c r="A499">
        <v>2026</v>
      </c>
      <c r="B499" t="s">
        <v>167</v>
      </c>
      <c r="C499" t="s">
        <v>61</v>
      </c>
      <c r="D499" t="s">
        <v>62</v>
      </c>
      <c r="E499">
        <v>284599</v>
      </c>
      <c r="G499" t="s">
        <v>14</v>
      </c>
      <c r="H499" t="s">
        <v>14</v>
      </c>
      <c r="I499" t="s">
        <v>104</v>
      </c>
      <c r="K499" t="s">
        <v>164</v>
      </c>
      <c r="M499">
        <v>125300</v>
      </c>
    </row>
    <row r="500" spans="1:13">
      <c r="A500">
        <v>2026</v>
      </c>
      <c r="B500" t="s">
        <v>167</v>
      </c>
      <c r="C500" t="s">
        <v>61</v>
      </c>
      <c r="D500" t="s">
        <v>62</v>
      </c>
      <c r="E500">
        <v>287100</v>
      </c>
      <c r="G500" t="s">
        <v>14</v>
      </c>
      <c r="H500" t="s">
        <v>14</v>
      </c>
      <c r="I500" t="s">
        <v>105</v>
      </c>
      <c r="K500" t="s">
        <v>160</v>
      </c>
      <c r="M500">
        <v>38600</v>
      </c>
    </row>
    <row r="501" spans="1:13">
      <c r="A501">
        <v>2026</v>
      </c>
      <c r="B501" t="s">
        <v>167</v>
      </c>
      <c r="C501" t="s">
        <v>61</v>
      </c>
      <c r="D501" t="s">
        <v>62</v>
      </c>
      <c r="E501">
        <v>287200</v>
      </c>
      <c r="G501" t="s">
        <v>14</v>
      </c>
      <c r="H501" t="s">
        <v>14</v>
      </c>
      <c r="I501" t="s">
        <v>106</v>
      </c>
      <c r="K501" t="s">
        <v>160</v>
      </c>
      <c r="M501">
        <v>107200</v>
      </c>
    </row>
    <row r="502" spans="1:13">
      <c r="A502">
        <v>2026</v>
      </c>
      <c r="B502" t="s">
        <v>167</v>
      </c>
      <c r="C502" t="s">
        <v>61</v>
      </c>
      <c r="D502" t="s">
        <v>62</v>
      </c>
      <c r="E502">
        <v>287300</v>
      </c>
      <c r="G502" t="s">
        <v>14</v>
      </c>
      <c r="H502" t="s">
        <v>14</v>
      </c>
      <c r="I502" t="s">
        <v>107</v>
      </c>
      <c r="K502" t="s">
        <v>160</v>
      </c>
      <c r="M502">
        <v>114900</v>
      </c>
    </row>
    <row r="503" spans="1:13">
      <c r="A503">
        <v>2026</v>
      </c>
      <c r="B503" t="s">
        <v>167</v>
      </c>
      <c r="C503" t="s">
        <v>61</v>
      </c>
      <c r="D503" t="s">
        <v>62</v>
      </c>
      <c r="E503">
        <v>287400</v>
      </c>
      <c r="G503" t="s">
        <v>14</v>
      </c>
      <c r="H503" t="s">
        <v>14</v>
      </c>
      <c r="I503" t="s">
        <v>108</v>
      </c>
      <c r="K503" t="s">
        <v>160</v>
      </c>
      <c r="M503">
        <v>129400</v>
      </c>
    </row>
    <row r="504" spans="1:13">
      <c r="A504">
        <v>2026</v>
      </c>
      <c r="B504" t="s">
        <v>167</v>
      </c>
      <c r="C504" t="s">
        <v>61</v>
      </c>
      <c r="D504" t="s">
        <v>62</v>
      </c>
      <c r="E504">
        <v>287500</v>
      </c>
      <c r="G504" t="s">
        <v>14</v>
      </c>
      <c r="H504" t="s">
        <v>14</v>
      </c>
      <c r="I504" t="s">
        <v>109</v>
      </c>
      <c r="K504" t="s">
        <v>163</v>
      </c>
      <c r="M504">
        <v>338000</v>
      </c>
    </row>
    <row r="505" spans="1:13">
      <c r="A505">
        <v>2026</v>
      </c>
      <c r="B505" t="s">
        <v>167</v>
      </c>
      <c r="C505" t="s">
        <v>61</v>
      </c>
      <c r="D505" t="s">
        <v>62</v>
      </c>
      <c r="E505">
        <v>395290</v>
      </c>
      <c r="G505" t="s">
        <v>14</v>
      </c>
      <c r="H505" t="s">
        <v>14</v>
      </c>
      <c r="I505" t="s">
        <v>110</v>
      </c>
      <c r="K505" t="s">
        <v>160</v>
      </c>
      <c r="M505">
        <v>28000</v>
      </c>
    </row>
    <row r="506" spans="1:13">
      <c r="A506">
        <v>2026</v>
      </c>
      <c r="B506" t="s">
        <v>167</v>
      </c>
      <c r="C506" t="s">
        <v>61</v>
      </c>
      <c r="D506" t="s">
        <v>62</v>
      </c>
      <c r="E506">
        <v>395390</v>
      </c>
      <c r="G506" t="s">
        <v>14</v>
      </c>
      <c r="H506" t="s">
        <v>14</v>
      </c>
      <c r="I506" t="s">
        <v>111</v>
      </c>
      <c r="K506" t="s">
        <v>160</v>
      </c>
      <c r="M506">
        <v>49200</v>
      </c>
    </row>
    <row r="507" spans="1:13">
      <c r="A507">
        <v>2026</v>
      </c>
      <c r="B507" t="s">
        <v>167</v>
      </c>
      <c r="C507" t="s">
        <v>61</v>
      </c>
      <c r="D507" t="s">
        <v>62</v>
      </c>
      <c r="E507">
        <v>395890</v>
      </c>
      <c r="G507" t="s">
        <v>14</v>
      </c>
      <c r="H507" t="s">
        <v>14</v>
      </c>
      <c r="I507" t="s">
        <v>112</v>
      </c>
      <c r="K507" t="s">
        <v>160</v>
      </c>
      <c r="M507">
        <v>141600</v>
      </c>
    </row>
    <row r="508" spans="1:13">
      <c r="A508">
        <v>2026</v>
      </c>
      <c r="B508" t="s">
        <v>167</v>
      </c>
      <c r="C508" t="s">
        <v>61</v>
      </c>
      <c r="D508" t="s">
        <v>62</v>
      </c>
      <c r="E508">
        <v>395790</v>
      </c>
      <c r="G508" t="s">
        <v>14</v>
      </c>
      <c r="H508" t="s">
        <v>14</v>
      </c>
      <c r="I508" t="s">
        <v>113</v>
      </c>
      <c r="K508" t="s">
        <v>160</v>
      </c>
      <c r="M508">
        <v>174700</v>
      </c>
    </row>
    <row r="509" spans="1:13">
      <c r="A509">
        <v>2026</v>
      </c>
      <c r="B509" t="s">
        <v>167</v>
      </c>
      <c r="C509" t="s">
        <v>61</v>
      </c>
      <c r="D509" t="s">
        <v>62</v>
      </c>
      <c r="E509">
        <v>395990</v>
      </c>
      <c r="G509" t="s">
        <v>14</v>
      </c>
      <c r="H509" t="s">
        <v>14</v>
      </c>
      <c r="I509" t="s">
        <v>114</v>
      </c>
      <c r="K509" t="s">
        <v>160</v>
      </c>
      <c r="M509">
        <v>204000</v>
      </c>
    </row>
    <row r="510" spans="1:13">
      <c r="A510">
        <v>2026</v>
      </c>
      <c r="B510" t="s">
        <v>167</v>
      </c>
      <c r="C510" t="s">
        <v>61</v>
      </c>
      <c r="D510" t="s">
        <v>62</v>
      </c>
      <c r="E510">
        <v>395490</v>
      </c>
      <c r="G510" t="s">
        <v>14</v>
      </c>
      <c r="H510" t="s">
        <v>14</v>
      </c>
      <c r="I510" t="s">
        <v>115</v>
      </c>
      <c r="K510" t="s">
        <v>160</v>
      </c>
      <c r="M510">
        <v>97500</v>
      </c>
    </row>
    <row r="511" spans="1:13">
      <c r="A511">
        <v>2026</v>
      </c>
      <c r="B511" t="s">
        <v>167</v>
      </c>
      <c r="C511" t="s">
        <v>61</v>
      </c>
      <c r="D511" t="s">
        <v>62</v>
      </c>
      <c r="E511">
        <v>395690</v>
      </c>
      <c r="G511" t="s">
        <v>14</v>
      </c>
      <c r="H511" t="s">
        <v>14</v>
      </c>
      <c r="I511" t="s">
        <v>116</v>
      </c>
      <c r="K511" t="s">
        <v>160</v>
      </c>
      <c r="M511">
        <v>183500</v>
      </c>
    </row>
    <row r="512" spans="1:13">
      <c r="A512">
        <v>2026</v>
      </c>
      <c r="B512" t="s">
        <v>167</v>
      </c>
      <c r="C512" t="s">
        <v>61</v>
      </c>
      <c r="D512" t="s">
        <v>62</v>
      </c>
      <c r="E512">
        <v>382090</v>
      </c>
      <c r="G512" t="s">
        <v>14</v>
      </c>
      <c r="H512" t="s">
        <v>14</v>
      </c>
      <c r="I512" t="s">
        <v>117</v>
      </c>
      <c r="K512" t="s">
        <v>160</v>
      </c>
      <c r="M512">
        <v>208400</v>
      </c>
    </row>
    <row r="513" spans="1:13">
      <c r="A513">
        <v>2026</v>
      </c>
      <c r="B513" t="s">
        <v>167</v>
      </c>
      <c r="C513" t="s">
        <v>61</v>
      </c>
      <c r="D513" t="s">
        <v>62</v>
      </c>
      <c r="E513">
        <v>382490</v>
      </c>
      <c r="G513" t="s">
        <v>14</v>
      </c>
      <c r="H513" t="s">
        <v>14</v>
      </c>
      <c r="I513" t="s">
        <v>118</v>
      </c>
      <c r="K513" t="s">
        <v>160</v>
      </c>
      <c r="M513">
        <v>241400</v>
      </c>
    </row>
    <row r="514" spans="1:13">
      <c r="A514">
        <v>2026</v>
      </c>
      <c r="B514" t="s">
        <v>167</v>
      </c>
      <c r="C514" t="s">
        <v>61</v>
      </c>
      <c r="D514" t="s">
        <v>62</v>
      </c>
      <c r="E514">
        <v>294899</v>
      </c>
      <c r="G514" t="s">
        <v>14</v>
      </c>
      <c r="H514" t="s">
        <v>14</v>
      </c>
      <c r="I514" t="s">
        <v>119</v>
      </c>
      <c r="K514" t="s">
        <v>160</v>
      </c>
      <c r="M514">
        <v>49000</v>
      </c>
    </row>
    <row r="515" spans="1:13">
      <c r="A515">
        <v>2026</v>
      </c>
      <c r="B515" t="s">
        <v>167</v>
      </c>
      <c r="C515" t="s">
        <v>61</v>
      </c>
      <c r="D515" t="s">
        <v>62</v>
      </c>
      <c r="E515">
        <v>294599</v>
      </c>
      <c r="G515" t="s">
        <v>14</v>
      </c>
      <c r="H515" t="s">
        <v>14</v>
      </c>
      <c r="I515" t="s">
        <v>120</v>
      </c>
      <c r="K515" t="s">
        <v>164</v>
      </c>
      <c r="M515">
        <v>125000</v>
      </c>
    </row>
    <row r="516" spans="1:13">
      <c r="A516">
        <v>2026</v>
      </c>
      <c r="B516" t="s">
        <v>167</v>
      </c>
      <c r="C516" t="s">
        <v>61</v>
      </c>
      <c r="D516" t="s">
        <v>62</v>
      </c>
      <c r="E516">
        <v>394190</v>
      </c>
      <c r="G516" t="s">
        <v>14</v>
      </c>
      <c r="H516" t="s">
        <v>14</v>
      </c>
      <c r="I516" t="s">
        <v>121</v>
      </c>
      <c r="K516" t="s">
        <v>160</v>
      </c>
      <c r="M516">
        <v>114900</v>
      </c>
    </row>
    <row r="517" spans="1:13">
      <c r="A517">
        <v>2026</v>
      </c>
      <c r="B517" t="s">
        <v>167</v>
      </c>
      <c r="C517" t="s">
        <v>61</v>
      </c>
      <c r="D517" t="s">
        <v>62</v>
      </c>
      <c r="E517">
        <v>394890</v>
      </c>
      <c r="G517" t="s">
        <v>14</v>
      </c>
      <c r="H517" t="s">
        <v>14</v>
      </c>
      <c r="I517" t="s">
        <v>122</v>
      </c>
      <c r="K517" t="s">
        <v>159</v>
      </c>
      <c r="M517">
        <v>224100</v>
      </c>
    </row>
    <row r="518" spans="1:13">
      <c r="A518">
        <v>2026</v>
      </c>
      <c r="B518" t="s">
        <v>167</v>
      </c>
      <c r="C518" t="s">
        <v>61</v>
      </c>
      <c r="D518" t="s">
        <v>62</v>
      </c>
      <c r="E518">
        <v>394590</v>
      </c>
      <c r="G518" t="s">
        <v>14</v>
      </c>
      <c r="H518" t="s">
        <v>14</v>
      </c>
      <c r="I518" t="s">
        <v>123</v>
      </c>
      <c r="K518" t="s">
        <v>163</v>
      </c>
      <c r="M518">
        <v>386300</v>
      </c>
    </row>
    <row r="519" spans="1:13">
      <c r="A519">
        <v>2026</v>
      </c>
      <c r="B519" t="s">
        <v>167</v>
      </c>
      <c r="C519" t="s">
        <v>61</v>
      </c>
      <c r="D519" t="s">
        <v>62</v>
      </c>
      <c r="E519">
        <v>610000</v>
      </c>
      <c r="G519" t="s">
        <v>14</v>
      </c>
      <c r="H519" t="s">
        <v>14</v>
      </c>
      <c r="I519" t="s">
        <v>124</v>
      </c>
      <c r="K519" t="s">
        <v>159</v>
      </c>
      <c r="M519">
        <v>23000</v>
      </c>
    </row>
    <row r="520" spans="1:13">
      <c r="A520">
        <v>2026</v>
      </c>
      <c r="B520" t="s">
        <v>167</v>
      </c>
      <c r="C520" t="s">
        <v>61</v>
      </c>
      <c r="D520" t="s">
        <v>62</v>
      </c>
      <c r="E520">
        <v>610100</v>
      </c>
      <c r="G520" t="s">
        <v>14</v>
      </c>
      <c r="H520" t="s">
        <v>14</v>
      </c>
      <c r="I520" t="s">
        <v>125</v>
      </c>
      <c r="K520" t="s">
        <v>159</v>
      </c>
      <c r="M520">
        <v>27300</v>
      </c>
    </row>
    <row r="521" spans="1:13">
      <c r="A521">
        <v>2026</v>
      </c>
      <c r="B521" t="s">
        <v>167</v>
      </c>
      <c r="C521" t="s">
        <v>61</v>
      </c>
      <c r="D521" t="s">
        <v>62</v>
      </c>
      <c r="E521">
        <v>610200</v>
      </c>
      <c r="G521" t="s">
        <v>14</v>
      </c>
      <c r="H521" t="s">
        <v>14</v>
      </c>
      <c r="I521" t="s">
        <v>126</v>
      </c>
      <c r="K521" t="s">
        <v>159</v>
      </c>
      <c r="M521">
        <v>38000</v>
      </c>
    </row>
    <row r="522" spans="1:13">
      <c r="A522">
        <v>2026</v>
      </c>
      <c r="B522" t="s">
        <v>167</v>
      </c>
      <c r="C522" t="s">
        <v>61</v>
      </c>
      <c r="D522" t="s">
        <v>62</v>
      </c>
      <c r="E522">
        <v>610300</v>
      </c>
      <c r="G522" t="s">
        <v>14</v>
      </c>
      <c r="H522" t="s">
        <v>14</v>
      </c>
      <c r="I522" t="s">
        <v>127</v>
      </c>
      <c r="K522" t="s">
        <v>159</v>
      </c>
      <c r="M522">
        <v>39800</v>
      </c>
    </row>
    <row r="523" spans="1:13">
      <c r="A523">
        <v>2026</v>
      </c>
      <c r="B523" t="s">
        <v>167</v>
      </c>
      <c r="C523" t="s">
        <v>61</v>
      </c>
      <c r="D523" t="s">
        <v>62</v>
      </c>
      <c r="E523">
        <v>610400</v>
      </c>
      <c r="G523" t="s">
        <v>14</v>
      </c>
      <c r="H523" t="s">
        <v>14</v>
      </c>
      <c r="I523" t="s">
        <v>128</v>
      </c>
      <c r="K523" t="s">
        <v>159</v>
      </c>
      <c r="M523">
        <v>42200</v>
      </c>
    </row>
    <row r="524" spans="1:13">
      <c r="A524">
        <v>2026</v>
      </c>
      <c r="B524" t="s">
        <v>167</v>
      </c>
      <c r="C524" t="s">
        <v>61</v>
      </c>
      <c r="D524" t="s">
        <v>62</v>
      </c>
      <c r="E524">
        <v>610500</v>
      </c>
      <c r="G524" t="s">
        <v>14</v>
      </c>
      <c r="H524" t="s">
        <v>14</v>
      </c>
      <c r="I524" t="s">
        <v>129</v>
      </c>
      <c r="K524" t="s">
        <v>159</v>
      </c>
      <c r="M524">
        <v>51600</v>
      </c>
    </row>
    <row r="525" spans="1:13">
      <c r="A525">
        <v>2026</v>
      </c>
      <c r="B525" t="s">
        <v>167</v>
      </c>
      <c r="C525" t="s">
        <v>61</v>
      </c>
      <c r="D525" t="s">
        <v>62</v>
      </c>
      <c r="E525">
        <v>293499</v>
      </c>
      <c r="G525" t="s">
        <v>14</v>
      </c>
      <c r="H525" t="s">
        <v>14</v>
      </c>
      <c r="I525" t="s">
        <v>130</v>
      </c>
      <c r="K525" t="s">
        <v>160</v>
      </c>
      <c r="M525">
        <v>77300</v>
      </c>
    </row>
    <row r="526" spans="1:13">
      <c r="A526">
        <v>2026</v>
      </c>
      <c r="B526" t="s">
        <v>167</v>
      </c>
      <c r="C526" t="s">
        <v>61</v>
      </c>
      <c r="D526" t="s">
        <v>62</v>
      </c>
      <c r="E526">
        <v>293299</v>
      </c>
      <c r="G526" t="s">
        <v>14</v>
      </c>
      <c r="H526" t="s">
        <v>14</v>
      </c>
      <c r="I526" t="s">
        <v>131</v>
      </c>
      <c r="K526" t="s">
        <v>160</v>
      </c>
      <c r="M526">
        <v>38600</v>
      </c>
    </row>
    <row r="527" spans="1:13">
      <c r="A527">
        <v>2026</v>
      </c>
      <c r="B527" t="s">
        <v>167</v>
      </c>
      <c r="C527" t="s">
        <v>61</v>
      </c>
      <c r="D527" t="s">
        <v>62</v>
      </c>
      <c r="E527">
        <v>298300</v>
      </c>
      <c r="G527" t="s">
        <v>14</v>
      </c>
      <c r="H527" t="s">
        <v>14</v>
      </c>
      <c r="I527" t="s">
        <v>132</v>
      </c>
      <c r="K527" t="s">
        <v>165</v>
      </c>
      <c r="M527">
        <v>70700</v>
      </c>
    </row>
    <row r="528" spans="1:13">
      <c r="A528">
        <v>2026</v>
      </c>
      <c r="B528" t="s">
        <v>167</v>
      </c>
      <c r="C528" t="s">
        <v>61</v>
      </c>
      <c r="D528" t="s">
        <v>62</v>
      </c>
      <c r="E528">
        <v>298400</v>
      </c>
      <c r="G528" t="s">
        <v>14</v>
      </c>
      <c r="H528" t="s">
        <v>14</v>
      </c>
      <c r="I528" t="s">
        <v>133</v>
      </c>
      <c r="K528" t="s">
        <v>165</v>
      </c>
      <c r="M528">
        <v>64900</v>
      </c>
    </row>
    <row r="529" spans="1:13">
      <c r="A529">
        <v>2026</v>
      </c>
      <c r="B529" t="s">
        <v>167</v>
      </c>
      <c r="C529" t="s">
        <v>61</v>
      </c>
      <c r="D529" t="s">
        <v>62</v>
      </c>
      <c r="E529">
        <v>290799</v>
      </c>
      <c r="G529" t="s">
        <v>14</v>
      </c>
      <c r="H529" t="s">
        <v>14</v>
      </c>
      <c r="I529" t="s">
        <v>134</v>
      </c>
      <c r="K529" t="s">
        <v>159</v>
      </c>
      <c r="M529">
        <v>24200</v>
      </c>
    </row>
    <row r="530" spans="1:13">
      <c r="A530">
        <v>2026</v>
      </c>
      <c r="B530" t="s">
        <v>167</v>
      </c>
      <c r="C530" t="s">
        <v>61</v>
      </c>
      <c r="D530" t="s">
        <v>62</v>
      </c>
      <c r="E530">
        <v>291099</v>
      </c>
      <c r="G530" t="s">
        <v>14</v>
      </c>
      <c r="H530" t="s">
        <v>14</v>
      </c>
      <c r="I530" t="s">
        <v>135</v>
      </c>
      <c r="K530" t="s">
        <v>159</v>
      </c>
      <c r="M530">
        <v>50300</v>
      </c>
    </row>
    <row r="531" spans="1:13">
      <c r="A531">
        <v>2026</v>
      </c>
      <c r="B531" t="s">
        <v>167</v>
      </c>
      <c r="C531" t="s">
        <v>61</v>
      </c>
      <c r="D531" t="s">
        <v>62</v>
      </c>
      <c r="E531">
        <v>292005</v>
      </c>
      <c r="G531" t="s">
        <v>14</v>
      </c>
      <c r="H531" t="s">
        <v>14</v>
      </c>
      <c r="I531" t="s">
        <v>136</v>
      </c>
      <c r="K531" t="s">
        <v>160</v>
      </c>
      <c r="M531">
        <v>144800</v>
      </c>
    </row>
    <row r="532" spans="1:13">
      <c r="A532">
        <v>2026</v>
      </c>
      <c r="B532" t="s">
        <v>167</v>
      </c>
      <c r="C532" t="s">
        <v>61</v>
      </c>
      <c r="D532" t="s">
        <v>62</v>
      </c>
      <c r="E532">
        <v>290599</v>
      </c>
      <c r="G532" t="s">
        <v>14</v>
      </c>
      <c r="H532" t="s">
        <v>14</v>
      </c>
      <c r="I532" t="s">
        <v>137</v>
      </c>
      <c r="K532" t="s">
        <v>159</v>
      </c>
      <c r="M532">
        <v>14500</v>
      </c>
    </row>
    <row r="533" spans="1:13">
      <c r="A533">
        <v>2026</v>
      </c>
      <c r="B533" t="s">
        <v>167</v>
      </c>
      <c r="C533" t="s">
        <v>61</v>
      </c>
      <c r="D533" t="s">
        <v>62</v>
      </c>
      <c r="E533">
        <v>289500</v>
      </c>
      <c r="G533" t="s">
        <v>14</v>
      </c>
      <c r="H533" t="s">
        <v>14</v>
      </c>
      <c r="I533" t="s">
        <v>138</v>
      </c>
      <c r="K533" t="s">
        <v>159</v>
      </c>
      <c r="M533">
        <v>50300</v>
      </c>
    </row>
    <row r="534" spans="1:13">
      <c r="A534">
        <v>2026</v>
      </c>
      <c r="B534" t="s">
        <v>167</v>
      </c>
      <c r="C534" t="s">
        <v>61</v>
      </c>
      <c r="D534" t="s">
        <v>62</v>
      </c>
      <c r="E534">
        <v>289700</v>
      </c>
      <c r="G534" t="s">
        <v>14</v>
      </c>
      <c r="H534" t="s">
        <v>14</v>
      </c>
      <c r="I534" t="s">
        <v>139</v>
      </c>
      <c r="K534" t="s">
        <v>160</v>
      </c>
      <c r="M534">
        <v>115900</v>
      </c>
    </row>
    <row r="535" spans="1:13">
      <c r="A535">
        <v>2026</v>
      </c>
      <c r="B535" t="s">
        <v>167</v>
      </c>
      <c r="C535" t="s">
        <v>61</v>
      </c>
      <c r="D535" t="s">
        <v>62</v>
      </c>
      <c r="E535">
        <v>289100</v>
      </c>
      <c r="G535" t="s">
        <v>14</v>
      </c>
      <c r="H535" t="s">
        <v>14</v>
      </c>
      <c r="I535" t="s">
        <v>140</v>
      </c>
      <c r="K535" t="s">
        <v>159</v>
      </c>
      <c r="M535">
        <v>21900</v>
      </c>
    </row>
    <row r="536" spans="1:13">
      <c r="A536">
        <v>2026</v>
      </c>
      <c r="B536" t="s">
        <v>167</v>
      </c>
      <c r="C536" t="s">
        <v>61</v>
      </c>
      <c r="D536" t="s">
        <v>62</v>
      </c>
      <c r="E536">
        <v>289300</v>
      </c>
      <c r="G536" t="s">
        <v>14</v>
      </c>
      <c r="H536" t="s">
        <v>14</v>
      </c>
      <c r="I536" t="s">
        <v>141</v>
      </c>
      <c r="K536" t="s">
        <v>159</v>
      </c>
      <c r="M536">
        <v>27000</v>
      </c>
    </row>
    <row r="537" spans="1:13">
      <c r="A537">
        <v>2026</v>
      </c>
      <c r="B537" t="s">
        <v>167</v>
      </c>
      <c r="C537" t="s">
        <v>61</v>
      </c>
      <c r="D537" t="s">
        <v>62</v>
      </c>
      <c r="E537">
        <v>496300</v>
      </c>
      <c r="G537" t="s">
        <v>14</v>
      </c>
      <c r="H537" t="s">
        <v>14</v>
      </c>
      <c r="I537" t="s">
        <v>142</v>
      </c>
      <c r="K537" t="s">
        <v>159</v>
      </c>
      <c r="M537">
        <v>26750</v>
      </c>
    </row>
    <row r="538" spans="1:13">
      <c r="A538">
        <v>2026</v>
      </c>
      <c r="B538" t="s">
        <v>167</v>
      </c>
      <c r="C538" t="s">
        <v>61</v>
      </c>
      <c r="D538" t="s">
        <v>62</v>
      </c>
      <c r="E538">
        <v>496405</v>
      </c>
      <c r="G538" t="s">
        <v>14</v>
      </c>
      <c r="H538" t="s">
        <v>14</v>
      </c>
      <c r="I538" t="s">
        <v>143</v>
      </c>
      <c r="K538" t="s">
        <v>160</v>
      </c>
      <c r="M538">
        <v>31750</v>
      </c>
    </row>
    <row r="539" spans="1:13">
      <c r="A539">
        <v>2026</v>
      </c>
      <c r="B539" t="s">
        <v>167</v>
      </c>
      <c r="C539" t="s">
        <v>61</v>
      </c>
      <c r="D539" t="s">
        <v>62</v>
      </c>
      <c r="E539">
        <v>496455</v>
      </c>
      <c r="G539" t="s">
        <v>14</v>
      </c>
      <c r="H539" t="s">
        <v>14</v>
      </c>
      <c r="I539" t="s">
        <v>144</v>
      </c>
      <c r="K539" t="s">
        <v>160</v>
      </c>
      <c r="M539">
        <v>36750</v>
      </c>
    </row>
    <row r="540" spans="1:13">
      <c r="A540">
        <v>2026</v>
      </c>
      <c r="B540" t="s">
        <v>167</v>
      </c>
      <c r="C540" t="s">
        <v>61</v>
      </c>
      <c r="D540" t="s">
        <v>62</v>
      </c>
      <c r="E540">
        <v>496605</v>
      </c>
      <c r="G540" t="s">
        <v>14</v>
      </c>
      <c r="H540" t="s">
        <v>14</v>
      </c>
      <c r="I540" t="s">
        <v>145</v>
      </c>
      <c r="K540" t="s">
        <v>160</v>
      </c>
      <c r="M540">
        <v>41750</v>
      </c>
    </row>
    <row r="541" spans="1:13">
      <c r="A541">
        <v>2026</v>
      </c>
      <c r="B541" t="s">
        <v>167</v>
      </c>
      <c r="C541" t="s">
        <v>61</v>
      </c>
      <c r="D541" t="s">
        <v>62</v>
      </c>
      <c r="E541">
        <v>496650</v>
      </c>
      <c r="G541" t="s">
        <v>14</v>
      </c>
      <c r="H541" t="s">
        <v>14</v>
      </c>
      <c r="I541" t="s">
        <v>146</v>
      </c>
      <c r="K541" t="s">
        <v>160</v>
      </c>
      <c r="M541">
        <v>46750</v>
      </c>
    </row>
    <row r="542" spans="1:13">
      <c r="A542">
        <v>2026</v>
      </c>
      <c r="B542" t="s">
        <v>167</v>
      </c>
      <c r="C542" t="s">
        <v>61</v>
      </c>
      <c r="D542" t="s">
        <v>62</v>
      </c>
      <c r="E542">
        <v>498300</v>
      </c>
      <c r="G542" t="s">
        <v>14</v>
      </c>
      <c r="H542" t="s">
        <v>14</v>
      </c>
      <c r="I542" t="s">
        <v>147</v>
      </c>
      <c r="K542" t="s">
        <v>160</v>
      </c>
      <c r="M542">
        <v>107000</v>
      </c>
    </row>
    <row r="543" spans="1:13">
      <c r="A543">
        <v>2026</v>
      </c>
      <c r="B543" t="s">
        <v>167</v>
      </c>
      <c r="C543" t="s">
        <v>61</v>
      </c>
      <c r="D543" t="s">
        <v>62</v>
      </c>
      <c r="E543">
        <v>498400</v>
      </c>
      <c r="G543" t="s">
        <v>14</v>
      </c>
      <c r="H543" t="s">
        <v>14</v>
      </c>
      <c r="I543" t="s">
        <v>148</v>
      </c>
      <c r="K543" t="s">
        <v>160</v>
      </c>
      <c r="M543">
        <v>117700</v>
      </c>
    </row>
    <row r="544" spans="1:13">
      <c r="A544">
        <v>2026</v>
      </c>
      <c r="B544" t="s">
        <v>167</v>
      </c>
      <c r="C544" t="s">
        <v>61</v>
      </c>
      <c r="D544" t="s">
        <v>62</v>
      </c>
      <c r="E544">
        <v>498450</v>
      </c>
      <c r="G544" t="s">
        <v>14</v>
      </c>
      <c r="H544" t="s">
        <v>14</v>
      </c>
      <c r="I544" t="s">
        <v>149</v>
      </c>
      <c r="K544" t="s">
        <v>160</v>
      </c>
      <c r="M544">
        <v>144450</v>
      </c>
    </row>
    <row r="545" spans="1:13">
      <c r="A545">
        <v>2026</v>
      </c>
      <c r="B545" t="s">
        <v>167</v>
      </c>
      <c r="C545" t="s">
        <v>61</v>
      </c>
      <c r="D545" t="s">
        <v>62</v>
      </c>
      <c r="E545">
        <v>498600</v>
      </c>
      <c r="G545" t="s">
        <v>14</v>
      </c>
      <c r="H545" t="s">
        <v>14</v>
      </c>
      <c r="I545" t="s">
        <v>150</v>
      </c>
      <c r="K545" t="s">
        <v>160</v>
      </c>
      <c r="M545">
        <v>149800</v>
      </c>
    </row>
    <row r="546" spans="1:13">
      <c r="A546">
        <v>2026</v>
      </c>
      <c r="B546" t="s">
        <v>167</v>
      </c>
      <c r="C546" t="s">
        <v>61</v>
      </c>
      <c r="D546" t="s">
        <v>62</v>
      </c>
      <c r="E546">
        <v>498650</v>
      </c>
      <c r="G546" t="s">
        <v>14</v>
      </c>
      <c r="H546" t="s">
        <v>14</v>
      </c>
      <c r="I546" t="s">
        <v>151</v>
      </c>
      <c r="K546" t="s">
        <v>160</v>
      </c>
      <c r="M546">
        <v>160500</v>
      </c>
    </row>
    <row r="547" spans="1:13">
      <c r="A547">
        <v>2026</v>
      </c>
      <c r="B547" t="s">
        <v>167</v>
      </c>
      <c r="C547" t="s">
        <v>61</v>
      </c>
      <c r="D547" t="s">
        <v>62</v>
      </c>
      <c r="E547">
        <v>3505</v>
      </c>
      <c r="G547" t="s">
        <v>14</v>
      </c>
      <c r="H547" t="s">
        <v>14</v>
      </c>
      <c r="I547" t="s">
        <v>152</v>
      </c>
      <c r="K547" t="s">
        <v>158</v>
      </c>
      <c r="M547">
        <v>43500</v>
      </c>
    </row>
    <row r="548" spans="1:13">
      <c r="A548">
        <v>2026</v>
      </c>
      <c r="B548" t="s">
        <v>167</v>
      </c>
      <c r="C548" t="s">
        <v>61</v>
      </c>
      <c r="D548" t="s">
        <v>62</v>
      </c>
      <c r="E548">
        <v>2440</v>
      </c>
      <c r="G548" t="s">
        <v>14</v>
      </c>
      <c r="H548" t="s">
        <v>14</v>
      </c>
      <c r="I548" t="s">
        <v>153</v>
      </c>
      <c r="K548" t="s">
        <v>158</v>
      </c>
      <c r="M548">
        <v>89500</v>
      </c>
    </row>
    <row r="549" spans="1:13">
      <c r="A549">
        <v>2026</v>
      </c>
      <c r="B549" t="s">
        <v>167</v>
      </c>
      <c r="C549" t="s">
        <v>61</v>
      </c>
      <c r="D549" t="s">
        <v>62</v>
      </c>
      <c r="E549">
        <v>2438</v>
      </c>
      <c r="G549" t="s">
        <v>14</v>
      </c>
      <c r="H549" t="s">
        <v>14</v>
      </c>
      <c r="I549" t="s">
        <v>154</v>
      </c>
      <c r="K549" t="s">
        <v>158</v>
      </c>
      <c r="M549">
        <v>67900</v>
      </c>
    </row>
    <row r="550" spans="1:13">
      <c r="A550">
        <v>2026</v>
      </c>
      <c r="B550" t="s">
        <v>167</v>
      </c>
      <c r="C550" t="s">
        <v>61</v>
      </c>
      <c r="D550" t="s">
        <v>62</v>
      </c>
      <c r="E550">
        <v>2434</v>
      </c>
      <c r="G550" t="s">
        <v>14</v>
      </c>
      <c r="H550" t="s">
        <v>14</v>
      </c>
      <c r="I550" t="s">
        <v>155</v>
      </c>
      <c r="K550" t="s">
        <v>158</v>
      </c>
      <c r="M550">
        <v>50300</v>
      </c>
    </row>
    <row r="551" spans="1:13">
      <c r="A551">
        <v>2026</v>
      </c>
      <c r="B551" t="s">
        <v>167</v>
      </c>
      <c r="C551" t="s">
        <v>61</v>
      </c>
      <c r="D551" t="s">
        <v>62</v>
      </c>
      <c r="E551">
        <v>2436</v>
      </c>
      <c r="G551" t="s">
        <v>14</v>
      </c>
      <c r="H551" t="s">
        <v>14</v>
      </c>
      <c r="I551" t="s">
        <v>156</v>
      </c>
      <c r="K551" t="s">
        <v>158</v>
      </c>
      <c r="M551">
        <v>53300</v>
      </c>
    </row>
    <row r="552" spans="1:13">
      <c r="A552">
        <v>2026</v>
      </c>
      <c r="B552" t="s">
        <v>167</v>
      </c>
      <c r="C552" t="s">
        <v>61</v>
      </c>
      <c r="D552" t="s">
        <v>62</v>
      </c>
      <c r="E552">
        <v>2444</v>
      </c>
      <c r="G552" t="s">
        <v>14</v>
      </c>
      <c r="H552" t="s">
        <v>14</v>
      </c>
      <c r="I552" t="s">
        <v>157</v>
      </c>
      <c r="K552" t="s">
        <v>158</v>
      </c>
      <c r="M552">
        <v>200900</v>
      </c>
    </row>
  </sheetData>
  <autoFilter ref="C1:N4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088-4763-4818-B385-E3E48C068BC8}">
  <dimension ref="A8:O68"/>
  <sheetViews>
    <sheetView showGridLines="0" tabSelected="1" zoomScale="130" zoomScaleNormal="130" workbookViewId="0">
      <selection activeCell="M27" sqref="M27"/>
    </sheetView>
  </sheetViews>
  <sheetFormatPr baseColWidth="10" defaultColWidth="0" defaultRowHeight="15"/>
  <cols>
    <col min="1" max="1" width="6.140625" style="9" customWidth="1"/>
    <col min="2" max="2" width="2.140625" style="14" customWidth="1"/>
    <col min="3" max="3" width="22.85546875" customWidth="1"/>
    <col min="4" max="4" width="3.85546875" customWidth="1"/>
    <col min="5" max="5" width="24.7109375" customWidth="1"/>
    <col min="6" max="6" width="4.42578125" customWidth="1"/>
    <col min="7" max="7" width="20.5703125" customWidth="1"/>
    <col min="8" max="8" width="4" customWidth="1"/>
    <col min="9" max="9" width="19.85546875" customWidth="1"/>
    <col min="10" max="10" width="2.7109375" customWidth="1"/>
    <col min="11" max="11" width="20.5703125" customWidth="1"/>
    <col min="12" max="12" width="2.5703125" customWidth="1"/>
    <col min="13" max="13" width="18.28515625" customWidth="1"/>
    <col min="14" max="14" width="2.28515625" customWidth="1"/>
    <col min="15" max="15" width="5" style="9" customWidth="1"/>
    <col min="16" max="16384" width="11.42578125" hidden="1"/>
  </cols>
  <sheetData>
    <row r="8" spans="3:13" ht="15.75" thickBot="1"/>
    <row r="9" spans="3:13" ht="26.25" customHeight="1" thickTop="1" thickBot="1">
      <c r="C9" s="7" t="s">
        <v>231</v>
      </c>
      <c r="D9" s="6"/>
      <c r="E9" s="8" t="s">
        <v>232</v>
      </c>
      <c r="G9" s="8" t="s">
        <v>172</v>
      </c>
      <c r="I9" s="8" t="s">
        <v>173</v>
      </c>
      <c r="K9" s="8" t="s">
        <v>233</v>
      </c>
      <c r="M9" s="8" t="s">
        <v>174</v>
      </c>
    </row>
    <row r="10" spans="3:13" ht="15.75" thickTop="1">
      <c r="C10" s="27">
        <f>SUM(BASE_COSTEO!M2:M680)</f>
        <v>111023124.4006315</v>
      </c>
      <c r="E10" s="27">
        <f>SUMIF(BASE_COSTEO!$G$2:$G$680,"INSUMO",BASE_COSTEO!$M$2:$M$680)/6</f>
        <v>364946.56677192962</v>
      </c>
      <c r="G10" s="27">
        <f>AVERAGE(BASE_COSTEO!M2:M680)</f>
        <v>163509.75611285935</v>
      </c>
      <c r="I10" s="27">
        <f>AVERAGEIF(BASE_COSTEO!$H$2:$H$680,"MANO_OBRA",BASE_COSTEO!$M$2:$M$680)/6</f>
        <v>178866.25925925924</v>
      </c>
      <c r="K10" s="27">
        <f>SUMIF(BASE_COSTEO!$G$2:$G$680,"GASTO_ADMINISTRATIVO",BASE_COSTEO!$M$2:$M$680)/6</f>
        <v>2616433.1666666665</v>
      </c>
      <c r="M10" s="25" t="str">
        <f>ROUND(AVERAGEIF(BASE_COSTEO!$K$2:$K$680,"MINUTOS",BASE_COSTEO!$J$2:$J$680),2) &amp; " min"</f>
        <v>48 min</v>
      </c>
    </row>
    <row r="11" spans="3:13" ht="15.75" thickBot="1">
      <c r="C11" s="28"/>
      <c r="E11" s="28"/>
      <c r="G11" s="28"/>
      <c r="I11" s="28"/>
      <c r="K11" s="28"/>
      <c r="M11" s="26"/>
    </row>
    <row r="12" spans="3:13">
      <c r="M12" s="5"/>
    </row>
    <row r="17" spans="3:13">
      <c r="F17" s="2" t="s">
        <v>169</v>
      </c>
      <c r="G17" t="s">
        <v>171</v>
      </c>
      <c r="K17" s="2" t="s">
        <v>169</v>
      </c>
      <c r="L17" t="s">
        <v>197</v>
      </c>
    </row>
    <row r="18" spans="3:13">
      <c r="F18" s="3" t="s">
        <v>12</v>
      </c>
      <c r="G18" s="5">
        <v>11294500.557052631</v>
      </c>
      <c r="K18" s="3" t="s">
        <v>32</v>
      </c>
      <c r="L18" s="5">
        <v>67611446</v>
      </c>
    </row>
    <row r="19" spans="3:13">
      <c r="F19" s="3" t="s">
        <v>36</v>
      </c>
      <c r="G19" s="5">
        <v>15610000</v>
      </c>
      <c r="K19" s="3" t="s">
        <v>209</v>
      </c>
      <c r="L19" s="5">
        <v>25523400</v>
      </c>
    </row>
    <row r="20" spans="3:13">
      <c r="F20" s="3" t="s">
        <v>39</v>
      </c>
      <c r="G20" s="5">
        <v>29680186.282526322</v>
      </c>
      <c r="K20" s="3" t="s">
        <v>36</v>
      </c>
      <c r="L20" s="5">
        <v>15698599</v>
      </c>
    </row>
    <row r="21" spans="3:13">
      <c r="F21" s="3" t="s">
        <v>42</v>
      </c>
      <c r="G21" s="5">
        <v>54438437.561052628</v>
      </c>
      <c r="K21" s="3" t="s">
        <v>14</v>
      </c>
      <c r="L21" s="5">
        <v>2189679.4006315777</v>
      </c>
    </row>
    <row r="22" spans="3:13">
      <c r="F22" s="3" t="s">
        <v>170</v>
      </c>
      <c r="G22" s="5">
        <v>111023124.40063158</v>
      </c>
      <c r="K22" s="3" t="s">
        <v>170</v>
      </c>
      <c r="L22" s="5">
        <v>111023124.40063158</v>
      </c>
    </row>
    <row r="26" spans="3:13" ht="15.75" thickBot="1"/>
    <row r="27" spans="3:13" ht="28.5" thickTop="1" thickBot="1">
      <c r="C27" s="7" t="s">
        <v>234</v>
      </c>
      <c r="D27" s="6"/>
      <c r="E27" s="8" t="s">
        <v>198</v>
      </c>
      <c r="G27" s="8" t="s">
        <v>205</v>
      </c>
      <c r="I27" s="8" t="s">
        <v>200</v>
      </c>
      <c r="K27" s="8" t="s">
        <v>199</v>
      </c>
      <c r="M27" s="8" t="s">
        <v>206</v>
      </c>
    </row>
    <row r="28" spans="3:13" ht="15.75" thickTop="1">
      <c r="C28" s="27">
        <f>SUM(BASE_COSTEO!$R$2:$R$680)+SUM(BASE_COSTEO!$V$2:$V$680)+SUM(BASE_COSTEO!$Z$2:$Z$680)</f>
        <v>116127804.40063156</v>
      </c>
      <c r="E28" s="27">
        <f>(SUM(BASE_COSTEO!$R$2:$R$680)+SUM(BASE_COSTEO!$V$2:$V$680)+SUM(BASE_COSTEO!$Z$2:$Z$680))-SUM(BASE_COSTEO!$M$2:$M$680)</f>
        <v>5104680.0000000596</v>
      </c>
      <c r="G28" s="29">
        <f>(C28-C10)/C10</f>
        <v>4.5978529496067976E-2</v>
      </c>
      <c r="I28" s="31" t="str" cm="1">
        <f t="array" ref="I28">_xlfn.LET(
_xlpm.procedimientos,_xlfn.UNIQUE(_xlfn._xlws.FILTER(BASE_COSTEO!$C$2:$C$680,BASE_COSTEO!$C$2:$C$680&lt;&gt;"")),
_xlpm.utilidades,_xlfn.MAP(_xlpm.procedimientos,_xlfn.LAMBDA(_xlpm.p,
SUMIFS(BASE_COSTEO!$R$2:$R$680,BASE_COSTEO!$C$2:$C$680,_xlpm.p)+
SUMIFS(BASE_COSTEO!$V$2:$V$680,BASE_COSTEO!$C$2:$C$680,_xlpm.p)+
SUMIFS(BASE_COSTEO!$Z$2:$Z$680,BASE_COSTEO!$C$2:$C$680,_xlpm.p)-
SUMIFS(BASE_COSTEO!$M$2:$M$680,BASE_COSTEO!$C$2:$C$680,_xlpm.p)
)),
INDEX(_xlpm.procedimientos,MATCH(MAX(_xlpm.utilidades),_xlpm.utilidades,0))
)</f>
        <v>Alta Complejidad</v>
      </c>
      <c r="K28" s="33">
        <f>((SUM(BASE_COSTEO!$R$2:$R$680)+SUM(BASE_COSTEO!$V$2:$V$680)+SUM(BASE_COSTEO!$Z$2:$Z$680)))/6</f>
        <v>19354634.066771928</v>
      </c>
      <c r="M28" s="35" t="str" cm="1">
        <f t="array" ref="M28">IFERROR(ROUNDUP(SUM(BASE_COSTEO!$M$2:$M$680)/(((SUM(BASE_COSTEO!$R$2:$R$680)+SUM(BASE_COSTEO!$V$2:$V$680)+SUM(BASE_COSTEO!$Z$2:$Z$680))-SUM(BASE_COSTEO!$M$2:$M$680))/COUNTA(_xlfn.UNIQUE(_xlfn._xlws.FILTER(BASE_COSTEO!$D$2:$D$680,BASE_COSTEO!$D$2:$D$680&lt;&gt;"")))),0),0)&amp;" Curaciones"</f>
        <v>87 Curaciones</v>
      </c>
    </row>
    <row r="29" spans="3:13" ht="15.75" thickBot="1">
      <c r="C29" s="28"/>
      <c r="E29" s="28"/>
      <c r="G29" s="30"/>
      <c r="I29" s="32"/>
      <c r="K29" s="34"/>
      <c r="M29" s="36"/>
    </row>
    <row r="30" spans="3:13">
      <c r="E30" s="13"/>
    </row>
    <row r="34" spans="4:7">
      <c r="D34" s="2" t="s">
        <v>169</v>
      </c>
      <c r="E34" t="s">
        <v>194</v>
      </c>
      <c r="F34" t="s">
        <v>195</v>
      </c>
      <c r="G34" t="s">
        <v>196</v>
      </c>
    </row>
    <row r="35" spans="4:7">
      <c r="D35" s="3" t="s">
        <v>167</v>
      </c>
      <c r="E35" s="12">
        <v>5.5000000000000018</v>
      </c>
      <c r="F35" s="12">
        <v>2.4999999999999996</v>
      </c>
      <c r="G35" s="12">
        <v>2.4999999999999996</v>
      </c>
    </row>
    <row r="36" spans="4:7">
      <c r="D36" s="3" t="s">
        <v>175</v>
      </c>
      <c r="E36" s="12">
        <v>5.5000000000000018</v>
      </c>
      <c r="F36" s="12">
        <v>2.4999999999999996</v>
      </c>
      <c r="G36" s="12">
        <v>2.4999999999999996</v>
      </c>
    </row>
    <row r="37" spans="4:7">
      <c r="D37" s="3" t="s">
        <v>176</v>
      </c>
      <c r="E37" s="12">
        <v>5.5000000000000018</v>
      </c>
      <c r="F37" s="12">
        <v>2.4999999999999996</v>
      </c>
      <c r="G37" s="12">
        <v>2.4999999999999996</v>
      </c>
    </row>
    <row r="38" spans="4:7">
      <c r="D38" s="3" t="s">
        <v>177</v>
      </c>
      <c r="E38" s="12">
        <v>5.5000000000000018</v>
      </c>
      <c r="F38" s="12">
        <v>2.4999999999999996</v>
      </c>
      <c r="G38" s="12">
        <v>2.4999999999999996</v>
      </c>
    </row>
    <row r="39" spans="4:7">
      <c r="D39" s="3" t="s">
        <v>178</v>
      </c>
      <c r="E39" s="12">
        <v>5.5000000000000018</v>
      </c>
      <c r="F39" s="12">
        <v>2.4999999999999996</v>
      </c>
      <c r="G39" s="12">
        <v>2.4999999999999996</v>
      </c>
    </row>
    <row r="40" spans="4:7">
      <c r="D40" s="3" t="s">
        <v>179</v>
      </c>
      <c r="E40" s="12">
        <v>5.5000000000000018</v>
      </c>
      <c r="F40" s="12">
        <v>2.4999999999999996</v>
      </c>
      <c r="G40" s="12">
        <v>2.4999999999999996</v>
      </c>
    </row>
    <row r="41" spans="4:7">
      <c r="D41" s="3" t="s">
        <v>180</v>
      </c>
      <c r="E41" s="12">
        <v>5.5000000000000018</v>
      </c>
      <c r="F41" s="12">
        <v>2.4999999999999996</v>
      </c>
      <c r="G41" s="12">
        <v>2.4999999999999996</v>
      </c>
    </row>
    <row r="42" spans="4:7">
      <c r="D42" s="3" t="s">
        <v>170</v>
      </c>
      <c r="E42" s="4">
        <v>38.500000000000007</v>
      </c>
      <c r="F42" s="4">
        <v>17.499999999999996</v>
      </c>
      <c r="G42" s="4">
        <v>17.499999999999996</v>
      </c>
    </row>
    <row r="48" spans="4:7">
      <c r="E48" s="2" t="s">
        <v>5</v>
      </c>
      <c r="F48" t="s">
        <v>209</v>
      </c>
    </row>
    <row r="49" spans="5:7">
      <c r="E49" s="2" t="s">
        <v>1</v>
      </c>
      <c r="F49" t="s">
        <v>13</v>
      </c>
    </row>
    <row r="50" spans="5:7">
      <c r="E50" s="2" t="s">
        <v>166</v>
      </c>
      <c r="F50" t="s">
        <v>167</v>
      </c>
    </row>
    <row r="52" spans="5:7">
      <c r="E52" s="2" t="s">
        <v>210</v>
      </c>
      <c r="F52" t="s">
        <v>212</v>
      </c>
      <c r="G52" t="s">
        <v>211</v>
      </c>
    </row>
    <row r="53" spans="5:7">
      <c r="E53" s="3" t="s">
        <v>122</v>
      </c>
      <c r="F53" s="4"/>
      <c r="G53" s="5">
        <v>224100</v>
      </c>
    </row>
    <row r="54" spans="5:7">
      <c r="E54" s="3" t="s">
        <v>114</v>
      </c>
      <c r="F54" s="4"/>
      <c r="G54" s="5">
        <v>204000</v>
      </c>
    </row>
    <row r="55" spans="5:7">
      <c r="E55" s="3" t="s">
        <v>113</v>
      </c>
      <c r="F55" s="4"/>
      <c r="G55" s="5">
        <v>174700</v>
      </c>
    </row>
    <row r="56" spans="5:7">
      <c r="E56" s="3" t="s">
        <v>112</v>
      </c>
      <c r="F56" s="4"/>
      <c r="G56" s="5">
        <v>141600</v>
      </c>
    </row>
    <row r="57" spans="5:7">
      <c r="E57" s="3" t="s">
        <v>107</v>
      </c>
      <c r="F57" s="4"/>
      <c r="G57" s="5">
        <v>114900</v>
      </c>
    </row>
    <row r="58" spans="5:7">
      <c r="E58" s="3" t="s">
        <v>111</v>
      </c>
      <c r="F58" s="4"/>
      <c r="G58" s="5">
        <v>49200</v>
      </c>
    </row>
    <row r="59" spans="5:7">
      <c r="E59" s="3" t="s">
        <v>119</v>
      </c>
      <c r="F59" s="4"/>
      <c r="G59" s="5">
        <v>49000</v>
      </c>
    </row>
    <row r="60" spans="5:7">
      <c r="E60" s="3" t="s">
        <v>127</v>
      </c>
      <c r="F60" s="4"/>
      <c r="G60" s="5">
        <v>39800</v>
      </c>
    </row>
    <row r="61" spans="5:7">
      <c r="E61" s="3" t="s">
        <v>126</v>
      </c>
      <c r="F61" s="4"/>
      <c r="G61" s="5">
        <v>38000</v>
      </c>
    </row>
    <row r="62" spans="5:7">
      <c r="E62" s="3" t="s">
        <v>76</v>
      </c>
      <c r="F62" s="4"/>
      <c r="G62" s="5">
        <v>36700</v>
      </c>
    </row>
    <row r="63" spans="5:7">
      <c r="E63" s="3" t="s">
        <v>97</v>
      </c>
      <c r="F63" s="4"/>
      <c r="G63" s="5">
        <v>36700</v>
      </c>
    </row>
    <row r="64" spans="5:7">
      <c r="E64" s="3" t="s">
        <v>71</v>
      </c>
      <c r="F64" s="4"/>
      <c r="G64" s="5">
        <v>28800</v>
      </c>
    </row>
    <row r="65" spans="5:7">
      <c r="E65" s="3" t="s">
        <v>110</v>
      </c>
      <c r="F65" s="4"/>
      <c r="G65" s="5">
        <v>28000</v>
      </c>
    </row>
    <row r="66" spans="5:7">
      <c r="E66" s="3" t="s">
        <v>91</v>
      </c>
      <c r="F66" s="4"/>
      <c r="G66" s="5">
        <v>28000</v>
      </c>
    </row>
    <row r="67" spans="5:7">
      <c r="E67" s="3" t="s">
        <v>103</v>
      </c>
      <c r="F67" s="4"/>
      <c r="G67" s="5">
        <v>21900</v>
      </c>
    </row>
    <row r="68" spans="5:7">
      <c r="E68" s="3" t="s">
        <v>170</v>
      </c>
      <c r="F68" s="4"/>
      <c r="G68" s="5">
        <v>1215400</v>
      </c>
    </row>
  </sheetData>
  <dataConsolidate/>
  <mergeCells count="12">
    <mergeCell ref="M10:M11"/>
    <mergeCell ref="E10:E11"/>
    <mergeCell ref="C28:C29"/>
    <mergeCell ref="E28:E29"/>
    <mergeCell ref="G28:G29"/>
    <mergeCell ref="I28:I29"/>
    <mergeCell ref="K28:K29"/>
    <mergeCell ref="M28:M29"/>
    <mergeCell ref="C10:C11"/>
    <mergeCell ref="G10:G11"/>
    <mergeCell ref="I10:I11"/>
    <mergeCell ref="K10:K11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0"/>
  <sheetViews>
    <sheetView topLeftCell="G1" workbookViewId="0">
      <pane ySplit="1" topLeftCell="A2" activePane="bottomLeft" state="frozen"/>
      <selection activeCell="L1" sqref="L1"/>
      <selection pane="bottomLeft" activeCell="M1" sqref="M1"/>
    </sheetView>
  </sheetViews>
  <sheetFormatPr baseColWidth="10" defaultColWidth="9.140625" defaultRowHeight="15"/>
  <cols>
    <col min="2" max="2" width="14.140625" customWidth="1"/>
    <col min="3" max="3" width="32" customWidth="1"/>
    <col min="4" max="4" width="35" customWidth="1"/>
    <col min="5" max="5" width="21" customWidth="1"/>
    <col min="6" max="6" width="18" customWidth="1"/>
    <col min="7" max="8" width="24" customWidth="1"/>
    <col min="9" max="9" width="50" customWidth="1"/>
    <col min="10" max="10" width="12" customWidth="1"/>
    <col min="11" max="11" width="17" customWidth="1"/>
    <col min="12" max="12" width="25.28515625" customWidth="1"/>
    <col min="13" max="13" width="22" style="5" customWidth="1"/>
    <col min="14" max="14" width="17" customWidth="1"/>
    <col min="15" max="15" width="12.140625" customWidth="1"/>
    <col min="16" max="16" width="25" style="5" customWidth="1"/>
    <col min="17" max="17" width="14" style="11" customWidth="1"/>
    <col min="18" max="18" width="31.140625" customWidth="1"/>
    <col min="19" max="19" width="34.5703125" style="11" customWidth="1"/>
    <col min="20" max="21" width="31" style="5" customWidth="1"/>
    <col min="22" max="22" width="33.28515625" style="5" customWidth="1"/>
    <col min="23" max="23" width="35.42578125" style="11" customWidth="1"/>
    <col min="24" max="24" width="29.5703125" style="5" bestFit="1" customWidth="1"/>
    <col min="25" max="25" width="29.5703125" style="5" customWidth="1"/>
    <col min="26" max="26" width="34.140625" style="5" bestFit="1" customWidth="1"/>
    <col min="27" max="27" width="34" style="11" bestFit="1" customWidth="1"/>
    <col min="28" max="28" width="20" customWidth="1"/>
    <col min="29" max="29" width="12.5703125" bestFit="1" customWidth="1"/>
  </cols>
  <sheetData>
    <row r="1" spans="1:35">
      <c r="A1" s="1" t="s">
        <v>168</v>
      </c>
      <c r="B1" s="1" t="s">
        <v>166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0" t="s">
        <v>229</v>
      </c>
      <c r="K1" s="17" t="s">
        <v>8</v>
      </c>
      <c r="L1" s="17" t="s">
        <v>9</v>
      </c>
      <c r="M1" s="18" t="s">
        <v>10</v>
      </c>
      <c r="N1" s="17" t="s">
        <v>11</v>
      </c>
      <c r="O1" s="17" t="s">
        <v>181</v>
      </c>
      <c r="P1" s="22" t="s">
        <v>182</v>
      </c>
      <c r="Q1" s="23" t="s">
        <v>191</v>
      </c>
      <c r="R1" s="22" t="s">
        <v>183</v>
      </c>
      <c r="S1" s="23" t="s">
        <v>184</v>
      </c>
      <c r="T1" s="20" t="s">
        <v>185</v>
      </c>
      <c r="U1" s="20" t="s">
        <v>192</v>
      </c>
      <c r="V1" s="20" t="s">
        <v>186</v>
      </c>
      <c r="W1" s="21" t="s">
        <v>187</v>
      </c>
      <c r="X1" s="24" t="s">
        <v>188</v>
      </c>
      <c r="Y1" s="24" t="s">
        <v>193</v>
      </c>
      <c r="Z1" s="24" t="s">
        <v>189</v>
      </c>
      <c r="AA1" s="19" t="s">
        <v>190</v>
      </c>
      <c r="AB1" s="10" t="s">
        <v>201</v>
      </c>
      <c r="AC1" s="1"/>
      <c r="AD1" s="1"/>
      <c r="AE1" s="1"/>
      <c r="AF1" s="1"/>
      <c r="AG1" s="1"/>
      <c r="AH1" s="1"/>
      <c r="AI1" s="1"/>
    </row>
    <row r="2" spans="1:35">
      <c r="A2">
        <v>2026</v>
      </c>
      <c r="B2" t="s">
        <v>167</v>
      </c>
      <c r="C2" t="s">
        <v>230</v>
      </c>
      <c r="D2" t="s">
        <v>230</v>
      </c>
      <c r="G2" t="s">
        <v>36</v>
      </c>
      <c r="H2" t="s">
        <v>36</v>
      </c>
      <c r="I2" t="s">
        <v>37</v>
      </c>
      <c r="J2">
        <v>10</v>
      </c>
      <c r="K2" t="s">
        <v>38</v>
      </c>
      <c r="L2">
        <v>3000</v>
      </c>
      <c r="M2" s="5">
        <v>30000</v>
      </c>
      <c r="O2" s="5">
        <f t="shared" ref="O2:O33" si="0">R2</f>
        <v>30000</v>
      </c>
      <c r="P2" s="5">
        <f t="shared" ref="P2:P65" si="1">IF(C2="Alta Complejidad",M2,0)</f>
        <v>0</v>
      </c>
      <c r="Q2" s="11">
        <v>0</v>
      </c>
      <c r="R2" s="5">
        <f t="shared" ref="R2:R33" si="2">M2+(M2*Q2)</f>
        <v>30000</v>
      </c>
      <c r="S2" s="11">
        <f t="shared" ref="S2:S65" si="3">IFERROR(((R2-P2)/R2),0)</f>
        <v>1</v>
      </c>
      <c r="T2" s="5">
        <f t="shared" ref="T2:T33" si="4">IF(C2="Mediana Complejidad",M2,0)</f>
        <v>0</v>
      </c>
      <c r="U2" s="11">
        <v>0</v>
      </c>
      <c r="V2" s="5">
        <f t="shared" ref="V2:V33" si="5">(T2)+(T2*U2)</f>
        <v>0</v>
      </c>
      <c r="W2" s="11">
        <f t="shared" ref="W2:W33" si="6">IFERROR(((V2-T2)/V2),0)</f>
        <v>0</v>
      </c>
      <c r="X2" s="5">
        <f t="shared" ref="X2:X65" si="7">IF(C2="Baja Complejidad",M2,0)</f>
        <v>0</v>
      </c>
      <c r="Y2" s="11">
        <v>0</v>
      </c>
      <c r="Z2" s="5">
        <f t="shared" ref="Z2:Z65" si="8">(X2)+(X2*Y2)</f>
        <v>0</v>
      </c>
      <c r="AA2" s="11">
        <f t="shared" ref="AA2:AA65" si="9">IFERROR(((Z2-X2)/Z2),0)</f>
        <v>0</v>
      </c>
      <c r="AB2" s="11">
        <v>0.1</v>
      </c>
    </row>
    <row r="3" spans="1:35">
      <c r="A3">
        <v>2026</v>
      </c>
      <c r="B3" t="s">
        <v>167</v>
      </c>
      <c r="C3" t="s">
        <v>230</v>
      </c>
      <c r="D3" t="s">
        <v>230</v>
      </c>
      <c r="G3" t="s">
        <v>36</v>
      </c>
      <c r="H3" t="s">
        <v>36</v>
      </c>
      <c r="I3" t="s">
        <v>207</v>
      </c>
      <c r="J3">
        <v>1</v>
      </c>
      <c r="K3" t="s">
        <v>16</v>
      </c>
      <c r="L3">
        <v>2000000</v>
      </c>
      <c r="M3" s="5">
        <v>2000000</v>
      </c>
      <c r="O3" s="5">
        <f t="shared" si="0"/>
        <v>2000000</v>
      </c>
      <c r="P3" s="5">
        <f t="shared" si="1"/>
        <v>0</v>
      </c>
      <c r="Q3" s="11">
        <v>0</v>
      </c>
      <c r="R3" s="5">
        <f t="shared" si="2"/>
        <v>2000000</v>
      </c>
      <c r="S3" s="11">
        <f t="shared" si="3"/>
        <v>1</v>
      </c>
      <c r="T3" s="5">
        <f t="shared" si="4"/>
        <v>0</v>
      </c>
      <c r="U3" s="11">
        <v>0</v>
      </c>
      <c r="V3" s="5">
        <f t="shared" si="5"/>
        <v>0</v>
      </c>
      <c r="W3" s="11">
        <f t="shared" si="6"/>
        <v>0</v>
      </c>
      <c r="X3" s="5">
        <f t="shared" si="7"/>
        <v>0</v>
      </c>
      <c r="Y3" s="11">
        <v>0</v>
      </c>
      <c r="Z3" s="5">
        <f t="shared" si="8"/>
        <v>0</v>
      </c>
      <c r="AA3" s="11">
        <f t="shared" si="9"/>
        <v>0</v>
      </c>
      <c r="AB3" s="11">
        <v>0.1</v>
      </c>
    </row>
    <row r="4" spans="1:35">
      <c r="A4">
        <v>2026</v>
      </c>
      <c r="B4" t="s">
        <v>167</v>
      </c>
      <c r="C4" t="s">
        <v>230</v>
      </c>
      <c r="D4" t="s">
        <v>230</v>
      </c>
      <c r="G4" t="s">
        <v>36</v>
      </c>
      <c r="H4" t="s">
        <v>36</v>
      </c>
      <c r="I4" t="s">
        <v>208</v>
      </c>
      <c r="J4">
        <v>1</v>
      </c>
      <c r="K4" t="s">
        <v>16</v>
      </c>
      <c r="L4">
        <v>200000</v>
      </c>
      <c r="M4" s="5">
        <v>200000</v>
      </c>
      <c r="O4" s="5">
        <f t="shared" si="0"/>
        <v>200000</v>
      </c>
      <c r="P4" s="5">
        <f t="shared" si="1"/>
        <v>0</v>
      </c>
      <c r="Q4" s="11">
        <v>0</v>
      </c>
      <c r="R4" s="5">
        <f t="shared" si="2"/>
        <v>200000</v>
      </c>
      <c r="S4" s="11">
        <f t="shared" si="3"/>
        <v>1</v>
      </c>
      <c r="T4" s="5">
        <f t="shared" si="4"/>
        <v>0</v>
      </c>
      <c r="U4" s="11">
        <v>0</v>
      </c>
      <c r="V4" s="5">
        <f t="shared" si="5"/>
        <v>0</v>
      </c>
      <c r="W4" s="11">
        <f t="shared" si="6"/>
        <v>0</v>
      </c>
      <c r="X4" s="5">
        <f t="shared" si="7"/>
        <v>0</v>
      </c>
      <c r="Y4" s="11">
        <v>0</v>
      </c>
      <c r="Z4" s="5">
        <f t="shared" si="8"/>
        <v>0</v>
      </c>
      <c r="AA4" s="11">
        <f t="shared" si="9"/>
        <v>0</v>
      </c>
      <c r="AB4" s="11">
        <v>0.1</v>
      </c>
    </row>
    <row r="5" spans="1:35">
      <c r="A5">
        <v>2026</v>
      </c>
      <c r="B5" t="s">
        <v>175</v>
      </c>
      <c r="C5" t="s">
        <v>230</v>
      </c>
      <c r="D5" t="s">
        <v>230</v>
      </c>
      <c r="G5" t="s">
        <v>36</v>
      </c>
      <c r="H5" t="s">
        <v>36</v>
      </c>
      <c r="I5" t="s">
        <v>37</v>
      </c>
      <c r="J5">
        <v>10</v>
      </c>
      <c r="K5" t="s">
        <v>38</v>
      </c>
      <c r="L5">
        <v>3000</v>
      </c>
      <c r="M5" s="5">
        <v>30000</v>
      </c>
      <c r="O5" s="5">
        <f t="shared" si="0"/>
        <v>30000</v>
      </c>
      <c r="P5" s="5">
        <f t="shared" si="1"/>
        <v>0</v>
      </c>
      <c r="Q5" s="11">
        <v>0</v>
      </c>
      <c r="R5" s="5">
        <f t="shared" si="2"/>
        <v>30000</v>
      </c>
      <c r="S5" s="11">
        <f t="shared" si="3"/>
        <v>1</v>
      </c>
      <c r="T5" s="5">
        <f t="shared" si="4"/>
        <v>0</v>
      </c>
      <c r="U5" s="11">
        <v>0</v>
      </c>
      <c r="V5" s="5">
        <f t="shared" si="5"/>
        <v>0</v>
      </c>
      <c r="W5" s="11">
        <f t="shared" si="6"/>
        <v>0</v>
      </c>
      <c r="X5" s="5">
        <f t="shared" si="7"/>
        <v>0</v>
      </c>
      <c r="Y5" s="11">
        <v>0</v>
      </c>
      <c r="Z5" s="5">
        <f t="shared" si="8"/>
        <v>0</v>
      </c>
      <c r="AA5" s="11">
        <f t="shared" si="9"/>
        <v>0</v>
      </c>
      <c r="AB5" s="11">
        <v>0.1</v>
      </c>
    </row>
    <row r="6" spans="1:35">
      <c r="A6">
        <v>2026</v>
      </c>
      <c r="B6" t="s">
        <v>175</v>
      </c>
      <c r="C6" t="s">
        <v>230</v>
      </c>
      <c r="D6" t="s">
        <v>230</v>
      </c>
      <c r="G6" t="s">
        <v>36</v>
      </c>
      <c r="H6" t="s">
        <v>36</v>
      </c>
      <c r="I6" t="s">
        <v>207</v>
      </c>
      <c r="J6">
        <v>1</v>
      </c>
      <c r="K6" t="s">
        <v>16</v>
      </c>
      <c r="L6">
        <v>2000000</v>
      </c>
      <c r="M6" s="5">
        <v>2000000</v>
      </c>
      <c r="O6" s="5">
        <f t="shared" si="0"/>
        <v>2000000</v>
      </c>
      <c r="P6" s="5">
        <f t="shared" si="1"/>
        <v>0</v>
      </c>
      <c r="Q6" s="11">
        <v>0</v>
      </c>
      <c r="R6" s="5">
        <f t="shared" si="2"/>
        <v>2000000</v>
      </c>
      <c r="S6" s="11">
        <f t="shared" si="3"/>
        <v>1</v>
      </c>
      <c r="T6" s="5">
        <f t="shared" si="4"/>
        <v>0</v>
      </c>
      <c r="U6" s="11">
        <v>0</v>
      </c>
      <c r="V6" s="5">
        <f t="shared" si="5"/>
        <v>0</v>
      </c>
      <c r="W6" s="11">
        <f t="shared" si="6"/>
        <v>0</v>
      </c>
      <c r="X6" s="5">
        <f t="shared" si="7"/>
        <v>0</v>
      </c>
      <c r="Y6" s="11">
        <v>0</v>
      </c>
      <c r="Z6" s="5">
        <f t="shared" si="8"/>
        <v>0</v>
      </c>
      <c r="AA6" s="11">
        <f t="shared" si="9"/>
        <v>0</v>
      </c>
      <c r="AB6" s="11">
        <v>0.1</v>
      </c>
    </row>
    <row r="7" spans="1:35">
      <c r="A7">
        <v>2026</v>
      </c>
      <c r="B7" t="s">
        <v>175</v>
      </c>
      <c r="C7" t="s">
        <v>230</v>
      </c>
      <c r="D7" t="s">
        <v>230</v>
      </c>
      <c r="G7" t="s">
        <v>36</v>
      </c>
      <c r="H7" t="s">
        <v>36</v>
      </c>
      <c r="I7" t="s">
        <v>208</v>
      </c>
      <c r="J7">
        <v>1</v>
      </c>
      <c r="K7" t="s">
        <v>16</v>
      </c>
      <c r="L7">
        <v>200000</v>
      </c>
      <c r="M7" s="5">
        <v>200000</v>
      </c>
      <c r="O7" s="5">
        <f t="shared" si="0"/>
        <v>200000</v>
      </c>
      <c r="P7" s="5">
        <f t="shared" si="1"/>
        <v>0</v>
      </c>
      <c r="Q7" s="11">
        <v>0</v>
      </c>
      <c r="R7" s="5">
        <f t="shared" si="2"/>
        <v>200000</v>
      </c>
      <c r="S7" s="11">
        <f t="shared" si="3"/>
        <v>1</v>
      </c>
      <c r="T7" s="5">
        <f t="shared" si="4"/>
        <v>0</v>
      </c>
      <c r="U7" s="11">
        <v>0</v>
      </c>
      <c r="V7" s="5">
        <f t="shared" si="5"/>
        <v>0</v>
      </c>
      <c r="W7" s="11">
        <f t="shared" si="6"/>
        <v>0</v>
      </c>
      <c r="X7" s="5">
        <f t="shared" si="7"/>
        <v>0</v>
      </c>
      <c r="Y7" s="11">
        <v>0</v>
      </c>
      <c r="Z7" s="5">
        <f t="shared" si="8"/>
        <v>0</v>
      </c>
      <c r="AA7" s="11">
        <f t="shared" si="9"/>
        <v>0</v>
      </c>
      <c r="AB7" s="11">
        <v>0.1</v>
      </c>
    </row>
    <row r="8" spans="1:35">
      <c r="A8">
        <v>2026</v>
      </c>
      <c r="B8" t="s">
        <v>176</v>
      </c>
      <c r="C8" t="s">
        <v>230</v>
      </c>
      <c r="D8" t="s">
        <v>230</v>
      </c>
      <c r="G8" t="s">
        <v>36</v>
      </c>
      <c r="H8" t="s">
        <v>36</v>
      </c>
      <c r="I8" t="s">
        <v>37</v>
      </c>
      <c r="J8">
        <v>10</v>
      </c>
      <c r="K8" t="s">
        <v>38</v>
      </c>
      <c r="L8">
        <v>3000</v>
      </c>
      <c r="M8" s="5">
        <v>30000</v>
      </c>
      <c r="O8" s="5">
        <f t="shared" si="0"/>
        <v>30000</v>
      </c>
      <c r="P8" s="5">
        <f t="shared" si="1"/>
        <v>0</v>
      </c>
      <c r="Q8" s="11">
        <v>0</v>
      </c>
      <c r="R8" s="5">
        <f t="shared" si="2"/>
        <v>30000</v>
      </c>
      <c r="S8" s="11">
        <f t="shared" si="3"/>
        <v>1</v>
      </c>
      <c r="T8" s="5">
        <f t="shared" si="4"/>
        <v>0</v>
      </c>
      <c r="U8" s="11">
        <v>0</v>
      </c>
      <c r="V8" s="5">
        <f t="shared" si="5"/>
        <v>0</v>
      </c>
      <c r="W8" s="11">
        <f t="shared" si="6"/>
        <v>0</v>
      </c>
      <c r="X8" s="5">
        <f t="shared" si="7"/>
        <v>0</v>
      </c>
      <c r="Y8" s="11">
        <v>0</v>
      </c>
      <c r="Z8" s="5">
        <f t="shared" si="8"/>
        <v>0</v>
      </c>
      <c r="AA8" s="11">
        <f t="shared" si="9"/>
        <v>0</v>
      </c>
      <c r="AB8" s="11">
        <v>0.1</v>
      </c>
    </row>
    <row r="9" spans="1:35">
      <c r="A9">
        <v>2026</v>
      </c>
      <c r="B9" t="s">
        <v>176</v>
      </c>
      <c r="C9" t="s">
        <v>230</v>
      </c>
      <c r="D9" t="s">
        <v>230</v>
      </c>
      <c r="G9" t="s">
        <v>36</v>
      </c>
      <c r="H9" t="s">
        <v>36</v>
      </c>
      <c r="I9" t="s">
        <v>207</v>
      </c>
      <c r="J9">
        <v>1</v>
      </c>
      <c r="K9" t="s">
        <v>16</v>
      </c>
      <c r="L9">
        <v>2000000</v>
      </c>
      <c r="M9" s="5">
        <v>2000000</v>
      </c>
      <c r="O9" s="5">
        <f t="shared" si="0"/>
        <v>2000000</v>
      </c>
      <c r="P9" s="5">
        <f t="shared" si="1"/>
        <v>0</v>
      </c>
      <c r="Q9" s="11">
        <v>0</v>
      </c>
      <c r="R9" s="5">
        <f t="shared" si="2"/>
        <v>2000000</v>
      </c>
      <c r="S9" s="11">
        <f t="shared" si="3"/>
        <v>1</v>
      </c>
      <c r="T9" s="5">
        <f t="shared" si="4"/>
        <v>0</v>
      </c>
      <c r="U9" s="11">
        <v>0</v>
      </c>
      <c r="V9" s="5">
        <f t="shared" si="5"/>
        <v>0</v>
      </c>
      <c r="W9" s="11">
        <f t="shared" si="6"/>
        <v>0</v>
      </c>
      <c r="X9" s="5">
        <f t="shared" si="7"/>
        <v>0</v>
      </c>
      <c r="Y9" s="11">
        <v>0</v>
      </c>
      <c r="Z9" s="5">
        <f t="shared" si="8"/>
        <v>0</v>
      </c>
      <c r="AA9" s="11">
        <f t="shared" si="9"/>
        <v>0</v>
      </c>
      <c r="AB9" s="11">
        <v>0.1</v>
      </c>
    </row>
    <row r="10" spans="1:35">
      <c r="A10">
        <v>2026</v>
      </c>
      <c r="B10" t="s">
        <v>176</v>
      </c>
      <c r="C10" t="s">
        <v>230</v>
      </c>
      <c r="D10" t="s">
        <v>230</v>
      </c>
      <c r="G10" t="s">
        <v>36</v>
      </c>
      <c r="H10" t="s">
        <v>36</v>
      </c>
      <c r="I10" t="s">
        <v>208</v>
      </c>
      <c r="J10">
        <v>1</v>
      </c>
      <c r="K10" t="s">
        <v>16</v>
      </c>
      <c r="L10">
        <v>200000</v>
      </c>
      <c r="M10" s="5">
        <v>200000</v>
      </c>
      <c r="O10" s="5">
        <f t="shared" si="0"/>
        <v>200000</v>
      </c>
      <c r="P10" s="5">
        <f t="shared" si="1"/>
        <v>0</v>
      </c>
      <c r="Q10" s="11">
        <v>0</v>
      </c>
      <c r="R10" s="5">
        <f t="shared" si="2"/>
        <v>200000</v>
      </c>
      <c r="S10" s="11">
        <f t="shared" si="3"/>
        <v>1</v>
      </c>
      <c r="T10" s="5">
        <f t="shared" si="4"/>
        <v>0</v>
      </c>
      <c r="U10" s="11">
        <v>0</v>
      </c>
      <c r="V10" s="5">
        <f t="shared" si="5"/>
        <v>0</v>
      </c>
      <c r="W10" s="11">
        <f t="shared" si="6"/>
        <v>0</v>
      </c>
      <c r="X10" s="5">
        <f t="shared" si="7"/>
        <v>0</v>
      </c>
      <c r="Y10" s="11">
        <v>0</v>
      </c>
      <c r="Z10" s="5">
        <f t="shared" si="8"/>
        <v>0</v>
      </c>
      <c r="AA10" s="11">
        <f t="shared" si="9"/>
        <v>0</v>
      </c>
      <c r="AB10" s="11">
        <v>0.1</v>
      </c>
    </row>
    <row r="11" spans="1:35">
      <c r="A11">
        <v>2026</v>
      </c>
      <c r="B11" t="s">
        <v>177</v>
      </c>
      <c r="C11" t="s">
        <v>230</v>
      </c>
      <c r="D11" t="s">
        <v>230</v>
      </c>
      <c r="G11" t="s">
        <v>36</v>
      </c>
      <c r="H11" t="s">
        <v>36</v>
      </c>
      <c r="I11" t="s">
        <v>37</v>
      </c>
      <c r="J11">
        <v>10</v>
      </c>
      <c r="K11" t="s">
        <v>38</v>
      </c>
      <c r="L11">
        <v>3000</v>
      </c>
      <c r="M11" s="5">
        <v>30000</v>
      </c>
      <c r="O11" s="5">
        <f t="shared" si="0"/>
        <v>30000</v>
      </c>
      <c r="P11" s="5">
        <f t="shared" si="1"/>
        <v>0</v>
      </c>
      <c r="Q11" s="11">
        <v>0</v>
      </c>
      <c r="R11" s="5">
        <f t="shared" si="2"/>
        <v>30000</v>
      </c>
      <c r="S11" s="11">
        <f t="shared" si="3"/>
        <v>1</v>
      </c>
      <c r="T11" s="5">
        <f t="shared" si="4"/>
        <v>0</v>
      </c>
      <c r="U11" s="11">
        <v>0</v>
      </c>
      <c r="V11" s="5">
        <f t="shared" si="5"/>
        <v>0</v>
      </c>
      <c r="W11" s="11">
        <f t="shared" si="6"/>
        <v>0</v>
      </c>
      <c r="X11" s="5">
        <f t="shared" si="7"/>
        <v>0</v>
      </c>
      <c r="Y11" s="11">
        <v>0</v>
      </c>
      <c r="Z11" s="5">
        <f t="shared" si="8"/>
        <v>0</v>
      </c>
      <c r="AA11" s="11">
        <f t="shared" si="9"/>
        <v>0</v>
      </c>
      <c r="AB11" s="11">
        <v>0.1</v>
      </c>
    </row>
    <row r="12" spans="1:35">
      <c r="A12">
        <v>2026</v>
      </c>
      <c r="B12" t="s">
        <v>177</v>
      </c>
      <c r="C12" t="s">
        <v>230</v>
      </c>
      <c r="D12" t="s">
        <v>230</v>
      </c>
      <c r="G12" t="s">
        <v>36</v>
      </c>
      <c r="H12" t="s">
        <v>36</v>
      </c>
      <c r="I12" t="s">
        <v>207</v>
      </c>
      <c r="J12">
        <v>1</v>
      </c>
      <c r="K12" t="s">
        <v>16</v>
      </c>
      <c r="L12">
        <v>2000000</v>
      </c>
      <c r="M12" s="5">
        <v>2000000</v>
      </c>
      <c r="O12" s="5">
        <f t="shared" si="0"/>
        <v>2000000</v>
      </c>
      <c r="P12" s="5">
        <f t="shared" si="1"/>
        <v>0</v>
      </c>
      <c r="Q12" s="11">
        <v>0</v>
      </c>
      <c r="R12" s="5">
        <f t="shared" si="2"/>
        <v>2000000</v>
      </c>
      <c r="S12" s="11">
        <f t="shared" si="3"/>
        <v>1</v>
      </c>
      <c r="T12" s="5">
        <f t="shared" si="4"/>
        <v>0</v>
      </c>
      <c r="U12" s="11">
        <v>0</v>
      </c>
      <c r="V12" s="5">
        <f t="shared" si="5"/>
        <v>0</v>
      </c>
      <c r="W12" s="11">
        <f t="shared" si="6"/>
        <v>0</v>
      </c>
      <c r="X12" s="5">
        <f t="shared" si="7"/>
        <v>0</v>
      </c>
      <c r="Y12" s="11">
        <v>0</v>
      </c>
      <c r="Z12" s="5">
        <f t="shared" si="8"/>
        <v>0</v>
      </c>
      <c r="AA12" s="11">
        <f t="shared" si="9"/>
        <v>0</v>
      </c>
      <c r="AB12" s="11">
        <v>0.1</v>
      </c>
    </row>
    <row r="13" spans="1:35">
      <c r="A13">
        <v>2026</v>
      </c>
      <c r="B13" t="s">
        <v>177</v>
      </c>
      <c r="C13" t="s">
        <v>230</v>
      </c>
      <c r="D13" t="s">
        <v>230</v>
      </c>
      <c r="G13" t="s">
        <v>36</v>
      </c>
      <c r="H13" t="s">
        <v>36</v>
      </c>
      <c r="I13" t="s">
        <v>208</v>
      </c>
      <c r="J13">
        <v>1</v>
      </c>
      <c r="K13" t="s">
        <v>16</v>
      </c>
      <c r="L13">
        <v>200000</v>
      </c>
      <c r="M13" s="5">
        <v>200000</v>
      </c>
      <c r="O13" s="5">
        <f t="shared" si="0"/>
        <v>200000</v>
      </c>
      <c r="P13" s="5">
        <f t="shared" si="1"/>
        <v>0</v>
      </c>
      <c r="Q13" s="11">
        <v>0</v>
      </c>
      <c r="R13" s="5">
        <f t="shared" si="2"/>
        <v>200000</v>
      </c>
      <c r="S13" s="11">
        <f t="shared" si="3"/>
        <v>1</v>
      </c>
      <c r="T13" s="5">
        <f t="shared" si="4"/>
        <v>0</v>
      </c>
      <c r="U13" s="11">
        <v>0</v>
      </c>
      <c r="V13" s="5">
        <f t="shared" si="5"/>
        <v>0</v>
      </c>
      <c r="W13" s="11">
        <f t="shared" si="6"/>
        <v>0</v>
      </c>
      <c r="X13" s="5">
        <f t="shared" si="7"/>
        <v>0</v>
      </c>
      <c r="Y13" s="11">
        <v>0</v>
      </c>
      <c r="Z13" s="5">
        <f t="shared" si="8"/>
        <v>0</v>
      </c>
      <c r="AA13" s="11">
        <f t="shared" si="9"/>
        <v>0</v>
      </c>
      <c r="AB13" s="11">
        <v>0.1</v>
      </c>
    </row>
    <row r="14" spans="1:35">
      <c r="A14">
        <v>2026</v>
      </c>
      <c r="B14" t="s">
        <v>178</v>
      </c>
      <c r="C14" t="s">
        <v>230</v>
      </c>
      <c r="D14" t="s">
        <v>230</v>
      </c>
      <c r="G14" t="s">
        <v>36</v>
      </c>
      <c r="H14" t="s">
        <v>36</v>
      </c>
      <c r="I14" t="s">
        <v>37</v>
      </c>
      <c r="J14">
        <v>10</v>
      </c>
      <c r="K14" t="s">
        <v>38</v>
      </c>
      <c r="L14">
        <v>3000</v>
      </c>
      <c r="M14" s="5">
        <v>30000</v>
      </c>
      <c r="O14" s="5">
        <f t="shared" si="0"/>
        <v>30000</v>
      </c>
      <c r="P14" s="5">
        <f t="shared" si="1"/>
        <v>0</v>
      </c>
      <c r="Q14" s="11">
        <v>0</v>
      </c>
      <c r="R14" s="5">
        <f t="shared" si="2"/>
        <v>30000</v>
      </c>
      <c r="S14" s="11">
        <f t="shared" si="3"/>
        <v>1</v>
      </c>
      <c r="T14" s="5">
        <f t="shared" si="4"/>
        <v>0</v>
      </c>
      <c r="U14" s="11">
        <v>0</v>
      </c>
      <c r="V14" s="5">
        <f t="shared" si="5"/>
        <v>0</v>
      </c>
      <c r="W14" s="11">
        <f t="shared" si="6"/>
        <v>0</v>
      </c>
      <c r="X14" s="5">
        <f t="shared" si="7"/>
        <v>0</v>
      </c>
      <c r="Y14" s="11">
        <v>0</v>
      </c>
      <c r="Z14" s="5">
        <f t="shared" si="8"/>
        <v>0</v>
      </c>
      <c r="AA14" s="11">
        <f t="shared" si="9"/>
        <v>0</v>
      </c>
      <c r="AB14" s="11">
        <v>0.1</v>
      </c>
    </row>
    <row r="15" spans="1:35">
      <c r="A15">
        <v>2026</v>
      </c>
      <c r="B15" t="s">
        <v>178</v>
      </c>
      <c r="C15" t="s">
        <v>230</v>
      </c>
      <c r="D15" t="s">
        <v>230</v>
      </c>
      <c r="G15" t="s">
        <v>36</v>
      </c>
      <c r="H15" t="s">
        <v>36</v>
      </c>
      <c r="I15" t="s">
        <v>207</v>
      </c>
      <c r="J15">
        <v>1</v>
      </c>
      <c r="K15" t="s">
        <v>16</v>
      </c>
      <c r="L15">
        <v>2000000</v>
      </c>
      <c r="M15" s="5">
        <v>2000000</v>
      </c>
      <c r="O15" s="5">
        <f t="shared" si="0"/>
        <v>2000000</v>
      </c>
      <c r="P15" s="5">
        <f t="shared" si="1"/>
        <v>0</v>
      </c>
      <c r="Q15" s="11">
        <v>0</v>
      </c>
      <c r="R15" s="5">
        <f t="shared" si="2"/>
        <v>2000000</v>
      </c>
      <c r="S15" s="11">
        <f t="shared" si="3"/>
        <v>1</v>
      </c>
      <c r="T15" s="5">
        <f t="shared" si="4"/>
        <v>0</v>
      </c>
      <c r="U15" s="11">
        <v>0</v>
      </c>
      <c r="V15" s="5">
        <f t="shared" si="5"/>
        <v>0</v>
      </c>
      <c r="W15" s="11">
        <f t="shared" si="6"/>
        <v>0</v>
      </c>
      <c r="X15" s="5">
        <f t="shared" si="7"/>
        <v>0</v>
      </c>
      <c r="Y15" s="11">
        <v>0</v>
      </c>
      <c r="Z15" s="5">
        <f t="shared" si="8"/>
        <v>0</v>
      </c>
      <c r="AA15" s="11">
        <f t="shared" si="9"/>
        <v>0</v>
      </c>
      <c r="AB15" s="11">
        <v>0.1</v>
      </c>
    </row>
    <row r="16" spans="1:35">
      <c r="A16">
        <v>2026</v>
      </c>
      <c r="B16" t="s">
        <v>178</v>
      </c>
      <c r="C16" t="s">
        <v>230</v>
      </c>
      <c r="D16" t="s">
        <v>230</v>
      </c>
      <c r="G16" t="s">
        <v>36</v>
      </c>
      <c r="H16" t="s">
        <v>36</v>
      </c>
      <c r="I16" t="s">
        <v>208</v>
      </c>
      <c r="J16">
        <v>1</v>
      </c>
      <c r="K16" t="s">
        <v>16</v>
      </c>
      <c r="L16">
        <v>200000</v>
      </c>
      <c r="M16" s="5">
        <v>200000</v>
      </c>
      <c r="O16" s="5">
        <f t="shared" si="0"/>
        <v>200000</v>
      </c>
      <c r="P16" s="5">
        <f t="shared" si="1"/>
        <v>0</v>
      </c>
      <c r="Q16" s="11">
        <v>0</v>
      </c>
      <c r="R16" s="5">
        <f t="shared" si="2"/>
        <v>200000</v>
      </c>
      <c r="S16" s="11">
        <f t="shared" si="3"/>
        <v>1</v>
      </c>
      <c r="T16" s="5">
        <f t="shared" si="4"/>
        <v>0</v>
      </c>
      <c r="U16" s="11">
        <v>0</v>
      </c>
      <c r="V16" s="5">
        <f t="shared" si="5"/>
        <v>0</v>
      </c>
      <c r="W16" s="11">
        <f t="shared" si="6"/>
        <v>0</v>
      </c>
      <c r="X16" s="5">
        <f t="shared" si="7"/>
        <v>0</v>
      </c>
      <c r="Y16" s="11">
        <v>0</v>
      </c>
      <c r="Z16" s="5">
        <f t="shared" si="8"/>
        <v>0</v>
      </c>
      <c r="AA16" s="11">
        <f t="shared" si="9"/>
        <v>0</v>
      </c>
      <c r="AB16" s="11">
        <v>0.1</v>
      </c>
    </row>
    <row r="17" spans="1:28">
      <c r="A17">
        <v>2026</v>
      </c>
      <c r="B17" t="s">
        <v>179</v>
      </c>
      <c r="C17" t="s">
        <v>230</v>
      </c>
      <c r="D17" t="s">
        <v>230</v>
      </c>
      <c r="G17" t="s">
        <v>36</v>
      </c>
      <c r="H17" t="s">
        <v>36</v>
      </c>
      <c r="I17" t="s">
        <v>37</v>
      </c>
      <c r="J17">
        <v>10</v>
      </c>
      <c r="K17" t="s">
        <v>38</v>
      </c>
      <c r="L17">
        <v>3000</v>
      </c>
      <c r="M17" s="5">
        <v>30000</v>
      </c>
      <c r="O17" s="5">
        <f t="shared" si="0"/>
        <v>30000</v>
      </c>
      <c r="P17" s="5">
        <f t="shared" si="1"/>
        <v>0</v>
      </c>
      <c r="Q17" s="11">
        <v>0</v>
      </c>
      <c r="R17" s="5">
        <f t="shared" si="2"/>
        <v>30000</v>
      </c>
      <c r="S17" s="11">
        <f t="shared" si="3"/>
        <v>1</v>
      </c>
      <c r="T17" s="5">
        <f t="shared" si="4"/>
        <v>0</v>
      </c>
      <c r="U17" s="11">
        <v>0</v>
      </c>
      <c r="V17" s="5">
        <f t="shared" si="5"/>
        <v>0</v>
      </c>
      <c r="W17" s="11">
        <f t="shared" si="6"/>
        <v>0</v>
      </c>
      <c r="X17" s="5">
        <f t="shared" si="7"/>
        <v>0</v>
      </c>
      <c r="Y17" s="11">
        <v>0</v>
      </c>
      <c r="Z17" s="5">
        <f t="shared" si="8"/>
        <v>0</v>
      </c>
      <c r="AA17" s="11">
        <f t="shared" si="9"/>
        <v>0</v>
      </c>
      <c r="AB17" s="11">
        <v>0.1</v>
      </c>
    </row>
    <row r="18" spans="1:28">
      <c r="A18">
        <v>2026</v>
      </c>
      <c r="B18" t="s">
        <v>179</v>
      </c>
      <c r="C18" t="s">
        <v>230</v>
      </c>
      <c r="D18" t="s">
        <v>230</v>
      </c>
      <c r="G18" t="s">
        <v>36</v>
      </c>
      <c r="H18" t="s">
        <v>36</v>
      </c>
      <c r="I18" t="s">
        <v>207</v>
      </c>
      <c r="J18">
        <v>1</v>
      </c>
      <c r="K18" t="s">
        <v>16</v>
      </c>
      <c r="L18">
        <v>2000000</v>
      </c>
      <c r="M18" s="5">
        <v>2000000</v>
      </c>
      <c r="O18" s="5">
        <f t="shared" si="0"/>
        <v>2000000</v>
      </c>
      <c r="P18" s="5">
        <f t="shared" si="1"/>
        <v>0</v>
      </c>
      <c r="Q18" s="11">
        <v>0</v>
      </c>
      <c r="R18" s="5">
        <f t="shared" si="2"/>
        <v>2000000</v>
      </c>
      <c r="S18" s="11">
        <f t="shared" si="3"/>
        <v>1</v>
      </c>
      <c r="T18" s="5">
        <f t="shared" si="4"/>
        <v>0</v>
      </c>
      <c r="U18" s="11">
        <v>0</v>
      </c>
      <c r="V18" s="5">
        <f t="shared" si="5"/>
        <v>0</v>
      </c>
      <c r="W18" s="11">
        <f t="shared" si="6"/>
        <v>0</v>
      </c>
      <c r="X18" s="5">
        <f t="shared" si="7"/>
        <v>0</v>
      </c>
      <c r="Y18" s="11">
        <v>0</v>
      </c>
      <c r="Z18" s="5">
        <f t="shared" si="8"/>
        <v>0</v>
      </c>
      <c r="AA18" s="11">
        <f t="shared" si="9"/>
        <v>0</v>
      </c>
      <c r="AB18" s="11">
        <v>0.1</v>
      </c>
    </row>
    <row r="19" spans="1:28">
      <c r="A19">
        <v>2026</v>
      </c>
      <c r="B19" t="s">
        <v>179</v>
      </c>
      <c r="C19" t="s">
        <v>230</v>
      </c>
      <c r="D19" t="s">
        <v>230</v>
      </c>
      <c r="G19" t="s">
        <v>36</v>
      </c>
      <c r="H19" t="s">
        <v>36</v>
      </c>
      <c r="I19" t="s">
        <v>208</v>
      </c>
      <c r="J19">
        <v>1</v>
      </c>
      <c r="K19" t="s">
        <v>16</v>
      </c>
      <c r="L19">
        <v>200000</v>
      </c>
      <c r="M19" s="5">
        <v>200000</v>
      </c>
      <c r="O19" s="5">
        <f t="shared" si="0"/>
        <v>200000</v>
      </c>
      <c r="P19" s="5">
        <f t="shared" si="1"/>
        <v>0</v>
      </c>
      <c r="Q19" s="11">
        <v>0</v>
      </c>
      <c r="R19" s="5">
        <f t="shared" si="2"/>
        <v>200000</v>
      </c>
      <c r="S19" s="11">
        <f t="shared" si="3"/>
        <v>1</v>
      </c>
      <c r="T19" s="5">
        <f t="shared" si="4"/>
        <v>0</v>
      </c>
      <c r="U19" s="11">
        <v>0</v>
      </c>
      <c r="V19" s="5">
        <f t="shared" si="5"/>
        <v>0</v>
      </c>
      <c r="W19" s="11">
        <f t="shared" si="6"/>
        <v>0</v>
      </c>
      <c r="X19" s="5">
        <f t="shared" si="7"/>
        <v>0</v>
      </c>
      <c r="Y19" s="11">
        <v>0</v>
      </c>
      <c r="Z19" s="5">
        <f t="shared" si="8"/>
        <v>0</v>
      </c>
      <c r="AA19" s="11">
        <f t="shared" si="9"/>
        <v>0</v>
      </c>
      <c r="AB19" s="11">
        <v>0.1</v>
      </c>
    </row>
    <row r="20" spans="1:28">
      <c r="A20">
        <v>2026</v>
      </c>
      <c r="B20" t="s">
        <v>180</v>
      </c>
      <c r="C20" t="s">
        <v>230</v>
      </c>
      <c r="D20" t="s">
        <v>230</v>
      </c>
      <c r="G20" t="s">
        <v>36</v>
      </c>
      <c r="H20" t="s">
        <v>36</v>
      </c>
      <c r="I20" t="s">
        <v>37</v>
      </c>
      <c r="J20">
        <v>10</v>
      </c>
      <c r="K20" t="s">
        <v>38</v>
      </c>
      <c r="L20">
        <v>3000</v>
      </c>
      <c r="M20" s="5">
        <v>30000</v>
      </c>
      <c r="O20" s="5">
        <f t="shared" si="0"/>
        <v>30000</v>
      </c>
      <c r="P20" s="5">
        <f t="shared" si="1"/>
        <v>0</v>
      </c>
      <c r="Q20" s="11">
        <v>0</v>
      </c>
      <c r="R20" s="5">
        <f t="shared" si="2"/>
        <v>30000</v>
      </c>
      <c r="S20" s="11">
        <f t="shared" si="3"/>
        <v>1</v>
      </c>
      <c r="T20" s="5">
        <f t="shared" si="4"/>
        <v>0</v>
      </c>
      <c r="U20" s="11">
        <v>0</v>
      </c>
      <c r="V20" s="5">
        <f t="shared" si="5"/>
        <v>0</v>
      </c>
      <c r="W20" s="11">
        <f t="shared" si="6"/>
        <v>0</v>
      </c>
      <c r="X20" s="5">
        <f t="shared" si="7"/>
        <v>0</v>
      </c>
      <c r="Y20" s="11">
        <v>0</v>
      </c>
      <c r="Z20" s="5">
        <f t="shared" si="8"/>
        <v>0</v>
      </c>
      <c r="AA20" s="11">
        <f t="shared" si="9"/>
        <v>0</v>
      </c>
      <c r="AB20" s="11">
        <v>0.1</v>
      </c>
    </row>
    <row r="21" spans="1:28">
      <c r="A21">
        <v>2026</v>
      </c>
      <c r="B21" t="s">
        <v>180</v>
      </c>
      <c r="C21" t="s">
        <v>230</v>
      </c>
      <c r="D21" t="s">
        <v>230</v>
      </c>
      <c r="G21" t="s">
        <v>36</v>
      </c>
      <c r="H21" t="s">
        <v>36</v>
      </c>
      <c r="I21" t="s">
        <v>207</v>
      </c>
      <c r="J21">
        <v>1</v>
      </c>
      <c r="K21" t="s">
        <v>16</v>
      </c>
      <c r="L21">
        <v>2000000</v>
      </c>
      <c r="M21" s="5">
        <v>2000000</v>
      </c>
      <c r="O21" s="5">
        <f t="shared" si="0"/>
        <v>2000000</v>
      </c>
      <c r="P21" s="5">
        <f t="shared" si="1"/>
        <v>0</v>
      </c>
      <c r="Q21" s="11">
        <v>0</v>
      </c>
      <c r="R21" s="5">
        <f t="shared" si="2"/>
        <v>2000000</v>
      </c>
      <c r="S21" s="11">
        <f t="shared" si="3"/>
        <v>1</v>
      </c>
      <c r="T21" s="5">
        <f t="shared" si="4"/>
        <v>0</v>
      </c>
      <c r="U21" s="11">
        <v>0</v>
      </c>
      <c r="V21" s="5">
        <f t="shared" si="5"/>
        <v>0</v>
      </c>
      <c r="W21" s="11">
        <f t="shared" si="6"/>
        <v>0</v>
      </c>
      <c r="X21" s="5">
        <f t="shared" si="7"/>
        <v>0</v>
      </c>
      <c r="Y21" s="11">
        <v>0</v>
      </c>
      <c r="Z21" s="5">
        <f t="shared" si="8"/>
        <v>0</v>
      </c>
      <c r="AA21" s="11">
        <f t="shared" si="9"/>
        <v>0</v>
      </c>
      <c r="AB21" s="11">
        <v>0.1</v>
      </c>
    </row>
    <row r="22" spans="1:28">
      <c r="A22">
        <v>2026</v>
      </c>
      <c r="B22" t="s">
        <v>180</v>
      </c>
      <c r="C22" t="s">
        <v>230</v>
      </c>
      <c r="D22" t="s">
        <v>230</v>
      </c>
      <c r="G22" t="s">
        <v>36</v>
      </c>
      <c r="H22" t="s">
        <v>36</v>
      </c>
      <c r="I22" t="s">
        <v>208</v>
      </c>
      <c r="J22">
        <v>1</v>
      </c>
      <c r="K22" t="s">
        <v>16</v>
      </c>
      <c r="L22">
        <v>200000</v>
      </c>
      <c r="M22" s="5">
        <v>200000</v>
      </c>
      <c r="O22" s="5">
        <f t="shared" si="0"/>
        <v>200000</v>
      </c>
      <c r="P22" s="5">
        <f t="shared" si="1"/>
        <v>0</v>
      </c>
      <c r="Q22" s="11">
        <v>0</v>
      </c>
      <c r="R22" s="5">
        <f t="shared" si="2"/>
        <v>200000</v>
      </c>
      <c r="S22" s="11">
        <f t="shared" si="3"/>
        <v>1</v>
      </c>
      <c r="T22" s="5">
        <f t="shared" si="4"/>
        <v>0</v>
      </c>
      <c r="U22" s="11">
        <v>0</v>
      </c>
      <c r="V22" s="5">
        <f t="shared" si="5"/>
        <v>0</v>
      </c>
      <c r="W22" s="11">
        <f t="shared" si="6"/>
        <v>0</v>
      </c>
      <c r="X22" s="5">
        <f t="shared" si="7"/>
        <v>0</v>
      </c>
      <c r="Y22" s="11">
        <v>0</v>
      </c>
      <c r="Z22" s="5">
        <f t="shared" si="8"/>
        <v>0</v>
      </c>
      <c r="AA22" s="11">
        <f t="shared" si="9"/>
        <v>0</v>
      </c>
      <c r="AB22" s="11">
        <v>0.1</v>
      </c>
    </row>
    <row r="23" spans="1:28">
      <c r="A23">
        <v>2026</v>
      </c>
      <c r="B23" t="s">
        <v>167</v>
      </c>
      <c r="C23" t="s">
        <v>42</v>
      </c>
      <c r="D23" t="s">
        <v>43</v>
      </c>
      <c r="E23" t="s">
        <v>216</v>
      </c>
      <c r="G23" t="s">
        <v>14</v>
      </c>
      <c r="H23" t="s">
        <v>14</v>
      </c>
      <c r="I23" t="s">
        <v>15</v>
      </c>
      <c r="J23">
        <v>4</v>
      </c>
      <c r="K23" t="s">
        <v>16</v>
      </c>
      <c r="L23">
        <v>266</v>
      </c>
      <c r="M23" s="5">
        <v>1064</v>
      </c>
      <c r="O23" s="5">
        <f t="shared" si="0"/>
        <v>1064</v>
      </c>
      <c r="P23" s="5">
        <f t="shared" si="1"/>
        <v>1064</v>
      </c>
      <c r="Q23" s="11">
        <v>0</v>
      </c>
      <c r="R23" s="5">
        <f t="shared" si="2"/>
        <v>1064</v>
      </c>
      <c r="S23" s="11">
        <f t="shared" si="3"/>
        <v>0</v>
      </c>
      <c r="T23" s="5">
        <f t="shared" si="4"/>
        <v>0</v>
      </c>
      <c r="U23" s="11">
        <v>0</v>
      </c>
      <c r="V23" s="5">
        <f t="shared" si="5"/>
        <v>0</v>
      </c>
      <c r="W23" s="11">
        <f t="shared" si="6"/>
        <v>0</v>
      </c>
      <c r="X23" s="5">
        <f t="shared" si="7"/>
        <v>0</v>
      </c>
      <c r="Y23" s="11">
        <v>0</v>
      </c>
      <c r="Z23" s="5">
        <f t="shared" si="8"/>
        <v>0</v>
      </c>
      <c r="AA23" s="11">
        <f t="shared" si="9"/>
        <v>0</v>
      </c>
      <c r="AB23" s="11">
        <v>0.1</v>
      </c>
    </row>
    <row r="24" spans="1:28">
      <c r="A24">
        <v>2026</v>
      </c>
      <c r="B24" t="s">
        <v>167</v>
      </c>
      <c r="C24" t="s">
        <v>42</v>
      </c>
      <c r="D24" t="s">
        <v>43</v>
      </c>
      <c r="E24" t="s">
        <v>217</v>
      </c>
      <c r="G24" t="s">
        <v>14</v>
      </c>
      <c r="H24" t="s">
        <v>14</v>
      </c>
      <c r="I24" t="s">
        <v>18</v>
      </c>
      <c r="J24">
        <v>2</v>
      </c>
      <c r="K24" t="s">
        <v>16</v>
      </c>
      <c r="L24">
        <v>1086.232</v>
      </c>
      <c r="M24" s="5">
        <v>2172.4639999999999</v>
      </c>
      <c r="O24" s="5">
        <f t="shared" si="0"/>
        <v>2172.4639999999999</v>
      </c>
      <c r="P24" s="5">
        <f t="shared" si="1"/>
        <v>2172.4639999999999</v>
      </c>
      <c r="Q24" s="11">
        <v>0</v>
      </c>
      <c r="R24" s="5">
        <f t="shared" si="2"/>
        <v>2172.4639999999999</v>
      </c>
      <c r="S24" s="11">
        <f t="shared" si="3"/>
        <v>0</v>
      </c>
      <c r="T24" s="5">
        <f t="shared" si="4"/>
        <v>0</v>
      </c>
      <c r="U24" s="11">
        <v>0</v>
      </c>
      <c r="V24" s="5">
        <f t="shared" si="5"/>
        <v>0</v>
      </c>
      <c r="W24" s="11">
        <f t="shared" si="6"/>
        <v>0</v>
      </c>
      <c r="X24" s="5">
        <f t="shared" si="7"/>
        <v>0</v>
      </c>
      <c r="Y24" s="11">
        <v>0</v>
      </c>
      <c r="Z24" s="5">
        <f t="shared" si="8"/>
        <v>0</v>
      </c>
      <c r="AA24" s="11">
        <f t="shared" si="9"/>
        <v>0</v>
      </c>
      <c r="AB24" s="11">
        <v>0.1</v>
      </c>
    </row>
    <row r="25" spans="1:28">
      <c r="A25">
        <v>2026</v>
      </c>
      <c r="B25" t="s">
        <v>167</v>
      </c>
      <c r="C25" t="s">
        <v>42</v>
      </c>
      <c r="D25" t="s">
        <v>43</v>
      </c>
      <c r="E25" t="s">
        <v>218</v>
      </c>
      <c r="G25" t="s">
        <v>14</v>
      </c>
      <c r="H25" t="s">
        <v>14</v>
      </c>
      <c r="I25" t="s">
        <v>20</v>
      </c>
      <c r="J25">
        <v>10</v>
      </c>
      <c r="K25" t="s">
        <v>16</v>
      </c>
      <c r="L25">
        <v>370</v>
      </c>
      <c r="M25" s="5">
        <v>3700</v>
      </c>
      <c r="O25" s="5">
        <f t="shared" si="0"/>
        <v>3700</v>
      </c>
      <c r="P25" s="5">
        <f t="shared" si="1"/>
        <v>3700</v>
      </c>
      <c r="Q25" s="11">
        <v>0</v>
      </c>
      <c r="R25" s="5">
        <f t="shared" si="2"/>
        <v>3700</v>
      </c>
      <c r="S25" s="11">
        <f t="shared" si="3"/>
        <v>0</v>
      </c>
      <c r="T25" s="5">
        <f t="shared" si="4"/>
        <v>0</v>
      </c>
      <c r="U25" s="11">
        <v>0</v>
      </c>
      <c r="V25" s="5">
        <f t="shared" si="5"/>
        <v>0</v>
      </c>
      <c r="W25" s="11">
        <f t="shared" si="6"/>
        <v>0</v>
      </c>
      <c r="X25" s="5">
        <f t="shared" si="7"/>
        <v>0</v>
      </c>
      <c r="Y25" s="11">
        <v>0</v>
      </c>
      <c r="Z25" s="5">
        <f t="shared" si="8"/>
        <v>0</v>
      </c>
      <c r="AA25" s="11">
        <f t="shared" si="9"/>
        <v>0</v>
      </c>
      <c r="AB25" s="11">
        <v>0.1</v>
      </c>
    </row>
    <row r="26" spans="1:28">
      <c r="A26">
        <v>2026</v>
      </c>
      <c r="B26" t="s">
        <v>167</v>
      </c>
      <c r="C26" t="s">
        <v>42</v>
      </c>
      <c r="D26" t="s">
        <v>43</v>
      </c>
      <c r="E26" t="s">
        <v>219</v>
      </c>
      <c r="G26" t="s">
        <v>14</v>
      </c>
      <c r="H26" t="s">
        <v>14</v>
      </c>
      <c r="I26" t="s">
        <v>44</v>
      </c>
      <c r="J26">
        <v>2</v>
      </c>
      <c r="K26" t="s">
        <v>16</v>
      </c>
      <c r="L26">
        <v>2643</v>
      </c>
      <c r="M26" s="5">
        <v>5286</v>
      </c>
      <c r="O26" s="5">
        <f t="shared" si="0"/>
        <v>5286</v>
      </c>
      <c r="P26" s="5">
        <f t="shared" si="1"/>
        <v>5286</v>
      </c>
      <c r="Q26" s="11">
        <v>0</v>
      </c>
      <c r="R26" s="5">
        <f t="shared" si="2"/>
        <v>5286</v>
      </c>
      <c r="S26" s="11">
        <f t="shared" si="3"/>
        <v>0</v>
      </c>
      <c r="T26" s="5">
        <f t="shared" si="4"/>
        <v>0</v>
      </c>
      <c r="U26" s="11">
        <v>0</v>
      </c>
      <c r="V26" s="5">
        <f t="shared" si="5"/>
        <v>0</v>
      </c>
      <c r="W26" s="11">
        <f t="shared" si="6"/>
        <v>0</v>
      </c>
      <c r="X26" s="5">
        <f t="shared" si="7"/>
        <v>0</v>
      </c>
      <c r="Y26" s="11">
        <v>0</v>
      </c>
      <c r="Z26" s="5">
        <f t="shared" si="8"/>
        <v>0</v>
      </c>
      <c r="AA26" s="11">
        <f t="shared" si="9"/>
        <v>0</v>
      </c>
      <c r="AB26" s="11">
        <v>0.1</v>
      </c>
    </row>
    <row r="27" spans="1:28">
      <c r="A27">
        <v>2026</v>
      </c>
      <c r="B27" t="s">
        <v>167</v>
      </c>
      <c r="C27" t="s">
        <v>42</v>
      </c>
      <c r="D27" t="s">
        <v>43</v>
      </c>
      <c r="E27" t="s">
        <v>220</v>
      </c>
      <c r="G27" t="s">
        <v>14</v>
      </c>
      <c r="H27" t="s">
        <v>14</v>
      </c>
      <c r="I27" t="s">
        <v>24</v>
      </c>
      <c r="J27">
        <v>5</v>
      </c>
      <c r="K27" t="s">
        <v>16</v>
      </c>
      <c r="L27">
        <v>135.66</v>
      </c>
      <c r="M27" s="5">
        <v>678.3</v>
      </c>
      <c r="O27" s="5">
        <f t="shared" si="0"/>
        <v>678.3</v>
      </c>
      <c r="P27" s="5">
        <f t="shared" si="1"/>
        <v>678.3</v>
      </c>
      <c r="Q27" s="11">
        <v>0</v>
      </c>
      <c r="R27" s="5">
        <f t="shared" si="2"/>
        <v>678.3</v>
      </c>
      <c r="S27" s="11">
        <f t="shared" si="3"/>
        <v>0</v>
      </c>
      <c r="T27" s="5">
        <f t="shared" si="4"/>
        <v>0</v>
      </c>
      <c r="U27" s="11">
        <v>0</v>
      </c>
      <c r="V27" s="5">
        <f t="shared" si="5"/>
        <v>0</v>
      </c>
      <c r="W27" s="11">
        <f t="shared" si="6"/>
        <v>0</v>
      </c>
      <c r="X27" s="5">
        <f t="shared" si="7"/>
        <v>0</v>
      </c>
      <c r="Y27" s="11">
        <v>0</v>
      </c>
      <c r="Z27" s="5">
        <f t="shared" si="8"/>
        <v>0</v>
      </c>
      <c r="AA27" s="11">
        <f t="shared" si="9"/>
        <v>0</v>
      </c>
      <c r="AB27" s="11">
        <v>0.1</v>
      </c>
    </row>
    <row r="28" spans="1:28">
      <c r="A28">
        <v>2026</v>
      </c>
      <c r="B28" t="s">
        <v>167</v>
      </c>
      <c r="C28" t="s">
        <v>42</v>
      </c>
      <c r="D28" t="s">
        <v>43</v>
      </c>
      <c r="E28" t="s">
        <v>221</v>
      </c>
      <c r="G28" t="s">
        <v>14</v>
      </c>
      <c r="H28" t="s">
        <v>14</v>
      </c>
      <c r="I28" t="s">
        <v>25</v>
      </c>
      <c r="J28">
        <v>2</v>
      </c>
      <c r="K28" t="s">
        <v>16</v>
      </c>
      <c r="L28">
        <v>3808</v>
      </c>
      <c r="M28" s="5">
        <v>7616</v>
      </c>
      <c r="O28" s="5">
        <f t="shared" si="0"/>
        <v>7616</v>
      </c>
      <c r="P28" s="5">
        <f t="shared" si="1"/>
        <v>7616</v>
      </c>
      <c r="Q28" s="11">
        <v>0</v>
      </c>
      <c r="R28" s="5">
        <f t="shared" si="2"/>
        <v>7616</v>
      </c>
      <c r="S28" s="11">
        <f t="shared" si="3"/>
        <v>0</v>
      </c>
      <c r="T28" s="5">
        <f t="shared" si="4"/>
        <v>0</v>
      </c>
      <c r="U28" s="11">
        <v>0</v>
      </c>
      <c r="V28" s="5">
        <f t="shared" si="5"/>
        <v>0</v>
      </c>
      <c r="W28" s="11">
        <f t="shared" si="6"/>
        <v>0</v>
      </c>
      <c r="X28" s="5">
        <f t="shared" si="7"/>
        <v>0</v>
      </c>
      <c r="Y28" s="11">
        <v>0</v>
      </c>
      <c r="Z28" s="5">
        <f t="shared" si="8"/>
        <v>0</v>
      </c>
      <c r="AA28" s="11">
        <f t="shared" si="9"/>
        <v>0</v>
      </c>
      <c r="AB28" s="11">
        <v>0.1</v>
      </c>
    </row>
    <row r="29" spans="1:28">
      <c r="A29">
        <v>2026</v>
      </c>
      <c r="B29" t="s">
        <v>167</v>
      </c>
      <c r="C29" t="s">
        <v>42</v>
      </c>
      <c r="D29" t="s">
        <v>43</v>
      </c>
      <c r="E29" t="s">
        <v>222</v>
      </c>
      <c r="G29" t="s">
        <v>14</v>
      </c>
      <c r="H29" t="s">
        <v>14</v>
      </c>
      <c r="I29" t="s">
        <v>26</v>
      </c>
      <c r="J29">
        <v>2</v>
      </c>
      <c r="K29" t="s">
        <v>16</v>
      </c>
      <c r="L29">
        <v>111.86</v>
      </c>
      <c r="M29" s="5">
        <v>223.72</v>
      </c>
      <c r="O29" s="5">
        <f t="shared" si="0"/>
        <v>223.72</v>
      </c>
      <c r="P29" s="5">
        <f t="shared" si="1"/>
        <v>223.72</v>
      </c>
      <c r="Q29" s="11">
        <v>0</v>
      </c>
      <c r="R29" s="5">
        <f t="shared" si="2"/>
        <v>223.72</v>
      </c>
      <c r="S29" s="11">
        <f t="shared" si="3"/>
        <v>0</v>
      </c>
      <c r="T29" s="5">
        <f t="shared" si="4"/>
        <v>0</v>
      </c>
      <c r="U29" s="11">
        <v>0</v>
      </c>
      <c r="V29" s="5">
        <f t="shared" si="5"/>
        <v>0</v>
      </c>
      <c r="W29" s="11">
        <f t="shared" si="6"/>
        <v>0</v>
      </c>
      <c r="X29" s="5">
        <f t="shared" si="7"/>
        <v>0</v>
      </c>
      <c r="Y29" s="11">
        <v>0</v>
      </c>
      <c r="Z29" s="5">
        <f t="shared" si="8"/>
        <v>0</v>
      </c>
      <c r="AA29" s="11">
        <f t="shared" si="9"/>
        <v>0</v>
      </c>
      <c r="AB29" s="11">
        <v>0.1</v>
      </c>
    </row>
    <row r="30" spans="1:28">
      <c r="A30">
        <v>2026</v>
      </c>
      <c r="B30" t="s">
        <v>167</v>
      </c>
      <c r="C30" t="s">
        <v>42</v>
      </c>
      <c r="D30" t="s">
        <v>43</v>
      </c>
      <c r="E30" t="s">
        <v>223</v>
      </c>
      <c r="G30" t="s">
        <v>14</v>
      </c>
      <c r="H30" t="s">
        <v>14</v>
      </c>
      <c r="I30" t="s">
        <v>66</v>
      </c>
      <c r="J30">
        <v>10</v>
      </c>
      <c r="K30" t="s">
        <v>16</v>
      </c>
      <c r="L30">
        <v>80300</v>
      </c>
      <c r="M30" s="5">
        <v>3212</v>
      </c>
      <c r="O30" s="5">
        <f t="shared" si="0"/>
        <v>3212</v>
      </c>
      <c r="P30" s="5">
        <f t="shared" si="1"/>
        <v>3212</v>
      </c>
      <c r="Q30" s="11">
        <v>0</v>
      </c>
      <c r="R30" s="5">
        <f t="shared" si="2"/>
        <v>3212</v>
      </c>
      <c r="S30" s="11">
        <f t="shared" si="3"/>
        <v>0</v>
      </c>
      <c r="T30" s="5">
        <f t="shared" si="4"/>
        <v>0</v>
      </c>
      <c r="U30" s="11">
        <v>0</v>
      </c>
      <c r="V30" s="5">
        <f t="shared" si="5"/>
        <v>0</v>
      </c>
      <c r="W30" s="11">
        <f t="shared" si="6"/>
        <v>0</v>
      </c>
      <c r="X30" s="5">
        <f t="shared" si="7"/>
        <v>0</v>
      </c>
      <c r="Y30" s="11">
        <v>0</v>
      </c>
      <c r="Z30" s="5">
        <f t="shared" si="8"/>
        <v>0</v>
      </c>
      <c r="AA30" s="11">
        <f t="shared" si="9"/>
        <v>0</v>
      </c>
      <c r="AB30" s="11">
        <v>0.1</v>
      </c>
    </row>
    <row r="31" spans="1:28">
      <c r="A31">
        <v>2026</v>
      </c>
      <c r="B31" t="s">
        <v>167</v>
      </c>
      <c r="C31" t="s">
        <v>42</v>
      </c>
      <c r="D31" t="s">
        <v>43</v>
      </c>
      <c r="E31" t="s">
        <v>224</v>
      </c>
      <c r="G31" t="s">
        <v>14</v>
      </c>
      <c r="H31" t="s">
        <v>14</v>
      </c>
      <c r="I31" t="s">
        <v>28</v>
      </c>
      <c r="J31">
        <v>5</v>
      </c>
      <c r="K31" t="s">
        <v>16</v>
      </c>
      <c r="L31">
        <v>17888.080000000002</v>
      </c>
      <c r="M31" s="5">
        <v>89440.400000000009</v>
      </c>
      <c r="O31" s="5">
        <f t="shared" si="0"/>
        <v>89440.400000000009</v>
      </c>
      <c r="P31" s="5">
        <f t="shared" si="1"/>
        <v>89440.400000000009</v>
      </c>
      <c r="Q31" s="11">
        <v>0</v>
      </c>
      <c r="R31" s="5">
        <f t="shared" si="2"/>
        <v>89440.400000000009</v>
      </c>
      <c r="S31" s="11">
        <f t="shared" si="3"/>
        <v>0</v>
      </c>
      <c r="T31" s="5">
        <f t="shared" si="4"/>
        <v>0</v>
      </c>
      <c r="U31" s="11">
        <v>0</v>
      </c>
      <c r="V31" s="5">
        <f t="shared" si="5"/>
        <v>0</v>
      </c>
      <c r="W31" s="11">
        <f t="shared" si="6"/>
        <v>0</v>
      </c>
      <c r="X31" s="5">
        <f t="shared" si="7"/>
        <v>0</v>
      </c>
      <c r="Y31" s="11">
        <v>0</v>
      </c>
      <c r="Z31" s="5">
        <f t="shared" si="8"/>
        <v>0</v>
      </c>
      <c r="AA31" s="11">
        <f t="shared" si="9"/>
        <v>0</v>
      </c>
      <c r="AB31" s="11">
        <v>0.1</v>
      </c>
    </row>
    <row r="32" spans="1:28">
      <c r="A32">
        <v>2026</v>
      </c>
      <c r="B32" t="s">
        <v>167</v>
      </c>
      <c r="C32" t="s">
        <v>42</v>
      </c>
      <c r="D32" t="s">
        <v>43</v>
      </c>
      <c r="E32" t="s">
        <v>225</v>
      </c>
      <c r="G32" t="s">
        <v>14</v>
      </c>
      <c r="H32" t="s">
        <v>14</v>
      </c>
      <c r="I32" t="s">
        <v>29</v>
      </c>
      <c r="J32">
        <v>2</v>
      </c>
      <c r="K32" t="s">
        <v>16</v>
      </c>
      <c r="L32">
        <v>337.3837894736842</v>
      </c>
      <c r="M32" s="5">
        <v>674.76757894736841</v>
      </c>
      <c r="O32" s="5">
        <f t="shared" si="0"/>
        <v>674.76757894736841</v>
      </c>
      <c r="P32" s="5">
        <f t="shared" si="1"/>
        <v>674.76757894736841</v>
      </c>
      <c r="Q32" s="11">
        <v>0</v>
      </c>
      <c r="R32" s="5">
        <f t="shared" si="2"/>
        <v>674.76757894736841</v>
      </c>
      <c r="S32" s="11">
        <f t="shared" si="3"/>
        <v>0</v>
      </c>
      <c r="T32" s="5">
        <f t="shared" si="4"/>
        <v>0</v>
      </c>
      <c r="U32" s="11">
        <v>0</v>
      </c>
      <c r="V32" s="5">
        <f t="shared" si="5"/>
        <v>0</v>
      </c>
      <c r="W32" s="11">
        <f t="shared" si="6"/>
        <v>0</v>
      </c>
      <c r="X32" s="5">
        <f t="shared" si="7"/>
        <v>0</v>
      </c>
      <c r="Y32" s="11">
        <v>0</v>
      </c>
      <c r="Z32" s="5">
        <f t="shared" si="8"/>
        <v>0</v>
      </c>
      <c r="AA32" s="11">
        <f t="shared" si="9"/>
        <v>0</v>
      </c>
      <c r="AB32" s="11">
        <v>0.1</v>
      </c>
    </row>
    <row r="33" spans="1:28">
      <c r="A33">
        <v>2026</v>
      </c>
      <c r="B33" t="s">
        <v>167</v>
      </c>
      <c r="C33" t="s">
        <v>42</v>
      </c>
      <c r="D33" t="s">
        <v>43</v>
      </c>
      <c r="E33" t="s">
        <v>226</v>
      </c>
      <c r="G33" t="s">
        <v>14</v>
      </c>
      <c r="H33" t="s">
        <v>14</v>
      </c>
      <c r="I33" t="s">
        <v>154</v>
      </c>
      <c r="J33">
        <v>2</v>
      </c>
      <c r="K33" t="s">
        <v>16</v>
      </c>
      <c r="L33">
        <v>67900</v>
      </c>
      <c r="M33" s="5">
        <v>13580</v>
      </c>
      <c r="O33" s="5">
        <f t="shared" si="0"/>
        <v>13580</v>
      </c>
      <c r="P33" s="5">
        <f t="shared" si="1"/>
        <v>13580</v>
      </c>
      <c r="Q33" s="11">
        <v>0</v>
      </c>
      <c r="R33" s="5">
        <f t="shared" si="2"/>
        <v>13580</v>
      </c>
      <c r="S33" s="11">
        <f t="shared" si="3"/>
        <v>0</v>
      </c>
      <c r="T33" s="5">
        <f t="shared" si="4"/>
        <v>0</v>
      </c>
      <c r="U33" s="11">
        <v>0</v>
      </c>
      <c r="V33" s="5">
        <f t="shared" si="5"/>
        <v>0</v>
      </c>
      <c r="W33" s="11">
        <f t="shared" si="6"/>
        <v>0</v>
      </c>
      <c r="X33" s="5">
        <f t="shared" si="7"/>
        <v>0</v>
      </c>
      <c r="Y33" s="11">
        <v>0</v>
      </c>
      <c r="Z33" s="5">
        <f t="shared" si="8"/>
        <v>0</v>
      </c>
      <c r="AA33" s="11">
        <f t="shared" si="9"/>
        <v>0</v>
      </c>
      <c r="AB33" s="11">
        <v>0.1</v>
      </c>
    </row>
    <row r="34" spans="1:28">
      <c r="A34">
        <v>2026</v>
      </c>
      <c r="B34" t="s">
        <v>167</v>
      </c>
      <c r="C34" t="s">
        <v>42</v>
      </c>
      <c r="D34" t="s">
        <v>43</v>
      </c>
      <c r="E34" t="s">
        <v>227</v>
      </c>
      <c r="G34" t="s">
        <v>14</v>
      </c>
      <c r="H34" t="s">
        <v>14</v>
      </c>
      <c r="I34" t="s">
        <v>155</v>
      </c>
      <c r="J34">
        <v>2</v>
      </c>
      <c r="K34" t="s">
        <v>16</v>
      </c>
      <c r="L34">
        <v>50300</v>
      </c>
      <c r="M34" s="5">
        <v>10060</v>
      </c>
      <c r="O34" s="5">
        <f t="shared" ref="O34:O65" si="10">R34</f>
        <v>10060</v>
      </c>
      <c r="P34" s="5">
        <f t="shared" si="1"/>
        <v>10060</v>
      </c>
      <c r="Q34" s="11">
        <v>0</v>
      </c>
      <c r="R34" s="5">
        <f t="shared" ref="R34:R65" si="11">M34+(M34*Q34)</f>
        <v>10060</v>
      </c>
      <c r="S34" s="11">
        <f t="shared" si="3"/>
        <v>0</v>
      </c>
      <c r="T34" s="5">
        <f t="shared" ref="T34:T65" si="12">IF(C34="Mediana Complejidad",M34,0)</f>
        <v>0</v>
      </c>
      <c r="U34" s="11">
        <v>0</v>
      </c>
      <c r="V34" s="5">
        <f t="shared" ref="V34:V65" si="13">(T34)+(T34*U34)</f>
        <v>0</v>
      </c>
      <c r="W34" s="11">
        <f t="shared" ref="W34:W65" si="14">IFERROR(((V34-T34)/V34),0)</f>
        <v>0</v>
      </c>
      <c r="X34" s="5">
        <f t="shared" si="7"/>
        <v>0</v>
      </c>
      <c r="Y34" s="11">
        <v>0</v>
      </c>
      <c r="Z34" s="5">
        <f t="shared" si="8"/>
        <v>0</v>
      </c>
      <c r="AA34" s="11">
        <f t="shared" si="9"/>
        <v>0</v>
      </c>
      <c r="AB34" s="11">
        <v>0.1</v>
      </c>
    </row>
    <row r="35" spans="1:28">
      <c r="A35">
        <v>2026</v>
      </c>
      <c r="B35" t="s">
        <v>167</v>
      </c>
      <c r="C35" t="s">
        <v>42</v>
      </c>
      <c r="D35" t="s">
        <v>43</v>
      </c>
      <c r="E35" t="s">
        <v>228</v>
      </c>
      <c r="G35" t="s">
        <v>14</v>
      </c>
      <c r="H35" t="s">
        <v>14</v>
      </c>
      <c r="I35" t="s">
        <v>152</v>
      </c>
      <c r="J35">
        <v>2</v>
      </c>
      <c r="K35" t="s">
        <v>16</v>
      </c>
      <c r="L35">
        <v>43500</v>
      </c>
      <c r="M35" s="5">
        <v>7250</v>
      </c>
      <c r="O35" s="5">
        <f t="shared" si="10"/>
        <v>7250</v>
      </c>
      <c r="P35" s="5">
        <f t="shared" si="1"/>
        <v>7250</v>
      </c>
      <c r="Q35" s="11">
        <v>0</v>
      </c>
      <c r="R35" s="5">
        <f t="shared" si="11"/>
        <v>7250</v>
      </c>
      <c r="S35" s="11">
        <f t="shared" si="3"/>
        <v>0</v>
      </c>
      <c r="T35" s="5">
        <f t="shared" si="12"/>
        <v>0</v>
      </c>
      <c r="U35" s="11">
        <v>0</v>
      </c>
      <c r="V35" s="5">
        <f t="shared" si="13"/>
        <v>0</v>
      </c>
      <c r="W35" s="11">
        <f t="shared" si="14"/>
        <v>0</v>
      </c>
      <c r="X35" s="5">
        <f t="shared" si="7"/>
        <v>0</v>
      </c>
      <c r="Y35" s="11">
        <v>0</v>
      </c>
      <c r="Z35" s="5">
        <f t="shared" si="8"/>
        <v>0</v>
      </c>
      <c r="AA35" s="11">
        <f t="shared" si="9"/>
        <v>0</v>
      </c>
      <c r="AB35" s="11">
        <v>0.1</v>
      </c>
    </row>
    <row r="36" spans="1:28">
      <c r="A36">
        <v>2026</v>
      </c>
      <c r="B36" t="s">
        <v>167</v>
      </c>
      <c r="C36" t="s">
        <v>42</v>
      </c>
      <c r="D36" t="s">
        <v>43</v>
      </c>
      <c r="F36">
        <v>1800</v>
      </c>
      <c r="G36" t="s">
        <v>32</v>
      </c>
      <c r="H36" t="s">
        <v>32</v>
      </c>
      <c r="I36" t="s">
        <v>33</v>
      </c>
      <c r="J36">
        <v>60</v>
      </c>
      <c r="K36" t="s">
        <v>38</v>
      </c>
      <c r="L36" s="16">
        <v>20894.400000000001</v>
      </c>
      <c r="M36" s="5">
        <f>+L36*J36</f>
        <v>1253664</v>
      </c>
      <c r="O36" s="5">
        <f t="shared" si="10"/>
        <v>1253664</v>
      </c>
      <c r="P36" s="5">
        <f t="shared" si="1"/>
        <v>1253664</v>
      </c>
      <c r="Q36" s="11">
        <v>0</v>
      </c>
      <c r="R36" s="5">
        <f t="shared" si="11"/>
        <v>1253664</v>
      </c>
      <c r="S36" s="11">
        <f t="shared" si="3"/>
        <v>0</v>
      </c>
      <c r="T36" s="5">
        <f t="shared" si="12"/>
        <v>0</v>
      </c>
      <c r="U36" s="11">
        <v>0</v>
      </c>
      <c r="V36" s="5">
        <f t="shared" si="13"/>
        <v>0</v>
      </c>
      <c r="W36" s="11">
        <f t="shared" si="14"/>
        <v>0</v>
      </c>
      <c r="X36" s="5">
        <f t="shared" si="7"/>
        <v>0</v>
      </c>
      <c r="Y36" s="11">
        <v>0</v>
      </c>
      <c r="Z36" s="5">
        <f t="shared" si="8"/>
        <v>0</v>
      </c>
      <c r="AA36" s="11">
        <f t="shared" si="9"/>
        <v>0</v>
      </c>
      <c r="AB36" s="11">
        <v>0.1</v>
      </c>
    </row>
    <row r="37" spans="1:28">
      <c r="A37">
        <v>2026</v>
      </c>
      <c r="B37" t="s">
        <v>167</v>
      </c>
      <c r="C37" t="s">
        <v>42</v>
      </c>
      <c r="D37" t="s">
        <v>43</v>
      </c>
      <c r="F37">
        <v>900</v>
      </c>
      <c r="G37" t="s">
        <v>32</v>
      </c>
      <c r="H37" t="s">
        <v>32</v>
      </c>
      <c r="I37" t="s">
        <v>35</v>
      </c>
      <c r="J37">
        <v>60</v>
      </c>
      <c r="K37" t="s">
        <v>38</v>
      </c>
      <c r="L37" s="16">
        <v>6048.3</v>
      </c>
      <c r="M37" s="5">
        <f>+L37*J37</f>
        <v>362898</v>
      </c>
      <c r="O37" s="5">
        <f t="shared" si="10"/>
        <v>362898</v>
      </c>
      <c r="P37" s="5">
        <f t="shared" si="1"/>
        <v>362898</v>
      </c>
      <c r="Q37" s="11">
        <v>0</v>
      </c>
      <c r="R37" s="5">
        <f t="shared" si="11"/>
        <v>362898</v>
      </c>
      <c r="S37" s="11">
        <f t="shared" si="3"/>
        <v>0</v>
      </c>
      <c r="T37" s="5">
        <f t="shared" si="12"/>
        <v>0</v>
      </c>
      <c r="U37" s="11">
        <v>0</v>
      </c>
      <c r="V37" s="5">
        <f t="shared" si="13"/>
        <v>0</v>
      </c>
      <c r="W37" s="11">
        <f t="shared" si="14"/>
        <v>0</v>
      </c>
      <c r="X37" s="5">
        <f t="shared" si="7"/>
        <v>0</v>
      </c>
      <c r="Y37" s="11">
        <v>0</v>
      </c>
      <c r="Z37" s="5">
        <f t="shared" si="8"/>
        <v>0</v>
      </c>
      <c r="AA37" s="11">
        <f t="shared" si="9"/>
        <v>0</v>
      </c>
      <c r="AB37" s="11">
        <v>0.1</v>
      </c>
    </row>
    <row r="38" spans="1:28">
      <c r="A38">
        <v>2026</v>
      </c>
      <c r="B38" t="s">
        <v>167</v>
      </c>
      <c r="C38" t="s">
        <v>42</v>
      </c>
      <c r="D38" t="s">
        <v>43</v>
      </c>
      <c r="F38">
        <v>600</v>
      </c>
      <c r="G38" t="s">
        <v>32</v>
      </c>
      <c r="H38" t="s">
        <v>32</v>
      </c>
      <c r="I38" t="s">
        <v>213</v>
      </c>
      <c r="J38">
        <v>60</v>
      </c>
      <c r="K38" t="s">
        <v>38</v>
      </c>
      <c r="L38">
        <v>35000</v>
      </c>
      <c r="M38" s="5">
        <f>+L38*J38</f>
        <v>2100000</v>
      </c>
      <c r="O38" s="5">
        <f t="shared" si="10"/>
        <v>2100000</v>
      </c>
      <c r="P38" s="5">
        <f t="shared" si="1"/>
        <v>2100000</v>
      </c>
      <c r="Q38" s="11">
        <v>0</v>
      </c>
      <c r="R38" s="5">
        <f t="shared" si="11"/>
        <v>2100000</v>
      </c>
      <c r="S38" s="11">
        <f t="shared" si="3"/>
        <v>0</v>
      </c>
      <c r="T38" s="5">
        <f t="shared" si="12"/>
        <v>0</v>
      </c>
      <c r="U38" s="11">
        <v>0</v>
      </c>
      <c r="V38" s="5">
        <f t="shared" si="13"/>
        <v>0</v>
      </c>
      <c r="W38" s="11">
        <f t="shared" si="14"/>
        <v>0</v>
      </c>
      <c r="X38" s="5">
        <f t="shared" si="7"/>
        <v>0</v>
      </c>
      <c r="Y38" s="11">
        <v>0</v>
      </c>
      <c r="Z38" s="5">
        <f t="shared" si="8"/>
        <v>0</v>
      </c>
      <c r="AA38" s="11">
        <f t="shared" si="9"/>
        <v>0</v>
      </c>
      <c r="AB38" s="11">
        <v>0.1</v>
      </c>
    </row>
    <row r="39" spans="1:28">
      <c r="A39">
        <v>2026</v>
      </c>
      <c r="B39" t="s">
        <v>167</v>
      </c>
      <c r="C39" t="s">
        <v>42</v>
      </c>
      <c r="D39" t="s">
        <v>43</v>
      </c>
      <c r="F39">
        <v>600</v>
      </c>
      <c r="G39" t="s">
        <v>32</v>
      </c>
      <c r="H39" t="s">
        <v>32</v>
      </c>
      <c r="I39" t="s">
        <v>214</v>
      </c>
      <c r="J39">
        <v>60</v>
      </c>
      <c r="K39" t="s">
        <v>38</v>
      </c>
      <c r="L39">
        <v>25000</v>
      </c>
      <c r="M39" s="5">
        <f>+L39*J39</f>
        <v>1500000</v>
      </c>
      <c r="O39" s="5">
        <f t="shared" si="10"/>
        <v>1500000</v>
      </c>
      <c r="P39" s="5">
        <f t="shared" si="1"/>
        <v>1500000</v>
      </c>
      <c r="Q39" s="11">
        <v>0</v>
      </c>
      <c r="R39" s="5">
        <f t="shared" si="11"/>
        <v>1500000</v>
      </c>
      <c r="S39" s="11">
        <f t="shared" si="3"/>
        <v>0</v>
      </c>
      <c r="T39" s="5">
        <f t="shared" si="12"/>
        <v>0</v>
      </c>
      <c r="U39" s="11">
        <v>0</v>
      </c>
      <c r="V39" s="5">
        <f t="shared" si="13"/>
        <v>0</v>
      </c>
      <c r="W39" s="11">
        <f t="shared" si="14"/>
        <v>0</v>
      </c>
      <c r="X39" s="5">
        <f t="shared" si="7"/>
        <v>0</v>
      </c>
      <c r="Y39" s="11">
        <v>0</v>
      </c>
      <c r="Z39" s="5">
        <f t="shared" si="8"/>
        <v>0</v>
      </c>
      <c r="AA39" s="11">
        <f t="shared" si="9"/>
        <v>0</v>
      </c>
      <c r="AB39" s="11">
        <v>0.1</v>
      </c>
    </row>
    <row r="40" spans="1:28">
      <c r="A40">
        <v>2026</v>
      </c>
      <c r="B40" t="s">
        <v>167</v>
      </c>
      <c r="C40" t="s">
        <v>42</v>
      </c>
      <c r="D40" t="s">
        <v>43</v>
      </c>
      <c r="F40">
        <v>600</v>
      </c>
      <c r="G40" t="s">
        <v>32</v>
      </c>
      <c r="H40" t="s">
        <v>32</v>
      </c>
      <c r="I40" t="s">
        <v>215</v>
      </c>
      <c r="J40">
        <v>60</v>
      </c>
      <c r="K40" t="s">
        <v>38</v>
      </c>
      <c r="L40">
        <v>20000</v>
      </c>
      <c r="M40" s="5">
        <f>+L40*J40</f>
        <v>1200000</v>
      </c>
      <c r="O40" s="5">
        <f t="shared" si="10"/>
        <v>1200000</v>
      </c>
      <c r="P40" s="5">
        <f t="shared" si="1"/>
        <v>1200000</v>
      </c>
      <c r="Q40" s="11">
        <v>0</v>
      </c>
      <c r="R40" s="5">
        <f t="shared" si="11"/>
        <v>1200000</v>
      </c>
      <c r="S40" s="11">
        <f t="shared" si="3"/>
        <v>0</v>
      </c>
      <c r="T40" s="5">
        <f t="shared" si="12"/>
        <v>0</v>
      </c>
      <c r="U40" s="11">
        <v>0</v>
      </c>
      <c r="V40" s="5">
        <f t="shared" si="13"/>
        <v>0</v>
      </c>
      <c r="W40" s="11">
        <f t="shared" si="14"/>
        <v>0</v>
      </c>
      <c r="X40" s="5">
        <f t="shared" si="7"/>
        <v>0</v>
      </c>
      <c r="Y40" s="11">
        <v>0</v>
      </c>
      <c r="Z40" s="5">
        <f t="shared" si="8"/>
        <v>0</v>
      </c>
      <c r="AA40" s="11">
        <f t="shared" si="9"/>
        <v>0</v>
      </c>
      <c r="AB40" s="11">
        <v>0.1</v>
      </c>
    </row>
    <row r="41" spans="1:28">
      <c r="A41">
        <v>2026</v>
      </c>
      <c r="B41" t="s">
        <v>175</v>
      </c>
      <c r="C41" t="s">
        <v>42</v>
      </c>
      <c r="D41" t="s">
        <v>43</v>
      </c>
      <c r="E41" t="s">
        <v>216</v>
      </c>
      <c r="G41" t="s">
        <v>14</v>
      </c>
      <c r="H41" t="s">
        <v>14</v>
      </c>
      <c r="I41" t="s">
        <v>15</v>
      </c>
      <c r="J41">
        <v>4</v>
      </c>
      <c r="K41" t="s">
        <v>16</v>
      </c>
      <c r="L41">
        <v>266</v>
      </c>
      <c r="M41" s="5">
        <v>1064</v>
      </c>
      <c r="O41" s="5">
        <f t="shared" si="10"/>
        <v>1064</v>
      </c>
      <c r="P41" s="5">
        <f t="shared" si="1"/>
        <v>1064</v>
      </c>
      <c r="Q41" s="11">
        <v>0</v>
      </c>
      <c r="R41" s="5">
        <f t="shared" si="11"/>
        <v>1064</v>
      </c>
      <c r="S41" s="11">
        <f t="shared" si="3"/>
        <v>0</v>
      </c>
      <c r="T41" s="5">
        <f t="shared" si="12"/>
        <v>0</v>
      </c>
      <c r="U41" s="11">
        <v>0</v>
      </c>
      <c r="V41" s="5">
        <f t="shared" si="13"/>
        <v>0</v>
      </c>
      <c r="W41" s="11">
        <f t="shared" si="14"/>
        <v>0</v>
      </c>
      <c r="X41" s="5">
        <f t="shared" si="7"/>
        <v>0</v>
      </c>
      <c r="Y41" s="11">
        <v>0</v>
      </c>
      <c r="Z41" s="5">
        <f t="shared" si="8"/>
        <v>0</v>
      </c>
      <c r="AA41" s="11">
        <f t="shared" si="9"/>
        <v>0</v>
      </c>
      <c r="AB41" s="11">
        <v>0.1</v>
      </c>
    </row>
    <row r="42" spans="1:28">
      <c r="A42">
        <v>2026</v>
      </c>
      <c r="B42" t="s">
        <v>175</v>
      </c>
      <c r="C42" t="s">
        <v>42</v>
      </c>
      <c r="D42" t="s">
        <v>43</v>
      </c>
      <c r="E42" t="s">
        <v>217</v>
      </c>
      <c r="G42" t="s">
        <v>14</v>
      </c>
      <c r="H42" t="s">
        <v>14</v>
      </c>
      <c r="I42" t="s">
        <v>18</v>
      </c>
      <c r="J42">
        <v>2</v>
      </c>
      <c r="K42" t="s">
        <v>16</v>
      </c>
      <c r="L42">
        <v>1086.232</v>
      </c>
      <c r="M42" s="5">
        <v>2172.4639999999999</v>
      </c>
      <c r="O42" s="5">
        <f t="shared" si="10"/>
        <v>2172.4639999999999</v>
      </c>
      <c r="P42" s="5">
        <f t="shared" si="1"/>
        <v>2172.4639999999999</v>
      </c>
      <c r="Q42" s="11">
        <v>0</v>
      </c>
      <c r="R42" s="5">
        <f t="shared" si="11"/>
        <v>2172.4639999999999</v>
      </c>
      <c r="S42" s="11">
        <f t="shared" si="3"/>
        <v>0</v>
      </c>
      <c r="T42" s="5">
        <f t="shared" si="12"/>
        <v>0</v>
      </c>
      <c r="U42" s="11">
        <v>0</v>
      </c>
      <c r="V42" s="5">
        <f t="shared" si="13"/>
        <v>0</v>
      </c>
      <c r="W42" s="11">
        <f t="shared" si="14"/>
        <v>0</v>
      </c>
      <c r="X42" s="5">
        <f t="shared" si="7"/>
        <v>0</v>
      </c>
      <c r="Y42" s="11">
        <v>0</v>
      </c>
      <c r="Z42" s="5">
        <f t="shared" si="8"/>
        <v>0</v>
      </c>
      <c r="AA42" s="11">
        <f t="shared" si="9"/>
        <v>0</v>
      </c>
      <c r="AB42" s="11">
        <v>0.1</v>
      </c>
    </row>
    <row r="43" spans="1:28">
      <c r="A43">
        <v>2026</v>
      </c>
      <c r="B43" t="s">
        <v>175</v>
      </c>
      <c r="C43" t="s">
        <v>42</v>
      </c>
      <c r="D43" t="s">
        <v>43</v>
      </c>
      <c r="E43" t="s">
        <v>218</v>
      </c>
      <c r="G43" t="s">
        <v>14</v>
      </c>
      <c r="H43" t="s">
        <v>14</v>
      </c>
      <c r="I43" t="s">
        <v>20</v>
      </c>
      <c r="J43">
        <v>10</v>
      </c>
      <c r="K43" t="s">
        <v>16</v>
      </c>
      <c r="L43">
        <v>370</v>
      </c>
      <c r="M43" s="5">
        <v>3700</v>
      </c>
      <c r="O43" s="5">
        <f t="shared" si="10"/>
        <v>3700</v>
      </c>
      <c r="P43" s="5">
        <f t="shared" si="1"/>
        <v>3700</v>
      </c>
      <c r="Q43" s="11">
        <v>0</v>
      </c>
      <c r="R43" s="5">
        <f t="shared" si="11"/>
        <v>3700</v>
      </c>
      <c r="S43" s="11">
        <f t="shared" si="3"/>
        <v>0</v>
      </c>
      <c r="T43" s="5">
        <f t="shared" si="12"/>
        <v>0</v>
      </c>
      <c r="U43" s="11">
        <v>0</v>
      </c>
      <c r="V43" s="5">
        <f t="shared" si="13"/>
        <v>0</v>
      </c>
      <c r="W43" s="11">
        <f t="shared" si="14"/>
        <v>0</v>
      </c>
      <c r="X43" s="5">
        <f t="shared" si="7"/>
        <v>0</v>
      </c>
      <c r="Y43" s="11">
        <v>0</v>
      </c>
      <c r="Z43" s="5">
        <f t="shared" si="8"/>
        <v>0</v>
      </c>
      <c r="AA43" s="11">
        <f t="shared" si="9"/>
        <v>0</v>
      </c>
      <c r="AB43" s="11">
        <v>0.1</v>
      </c>
    </row>
    <row r="44" spans="1:28">
      <c r="A44">
        <v>2026</v>
      </c>
      <c r="B44" t="s">
        <v>175</v>
      </c>
      <c r="C44" t="s">
        <v>42</v>
      </c>
      <c r="D44" t="s">
        <v>43</v>
      </c>
      <c r="E44" t="s">
        <v>219</v>
      </c>
      <c r="G44" t="s">
        <v>14</v>
      </c>
      <c r="H44" t="s">
        <v>14</v>
      </c>
      <c r="I44" t="s">
        <v>44</v>
      </c>
      <c r="J44">
        <v>2</v>
      </c>
      <c r="K44" t="s">
        <v>16</v>
      </c>
      <c r="L44">
        <v>2643</v>
      </c>
      <c r="M44" s="5">
        <v>5286</v>
      </c>
      <c r="O44" s="5">
        <f t="shared" si="10"/>
        <v>5286</v>
      </c>
      <c r="P44" s="5">
        <f t="shared" si="1"/>
        <v>5286</v>
      </c>
      <c r="Q44" s="11">
        <v>0</v>
      </c>
      <c r="R44" s="5">
        <f t="shared" si="11"/>
        <v>5286</v>
      </c>
      <c r="S44" s="11">
        <f t="shared" si="3"/>
        <v>0</v>
      </c>
      <c r="T44" s="5">
        <f t="shared" si="12"/>
        <v>0</v>
      </c>
      <c r="U44" s="11">
        <v>0</v>
      </c>
      <c r="V44" s="5">
        <f t="shared" si="13"/>
        <v>0</v>
      </c>
      <c r="W44" s="11">
        <f t="shared" si="14"/>
        <v>0</v>
      </c>
      <c r="X44" s="5">
        <f t="shared" si="7"/>
        <v>0</v>
      </c>
      <c r="Y44" s="11">
        <v>0</v>
      </c>
      <c r="Z44" s="5">
        <f t="shared" si="8"/>
        <v>0</v>
      </c>
      <c r="AA44" s="11">
        <f t="shared" si="9"/>
        <v>0</v>
      </c>
      <c r="AB44" s="11">
        <v>0.1</v>
      </c>
    </row>
    <row r="45" spans="1:28">
      <c r="A45">
        <v>2026</v>
      </c>
      <c r="B45" t="s">
        <v>175</v>
      </c>
      <c r="C45" t="s">
        <v>42</v>
      </c>
      <c r="D45" t="s">
        <v>43</v>
      </c>
      <c r="E45" t="s">
        <v>220</v>
      </c>
      <c r="G45" t="s">
        <v>14</v>
      </c>
      <c r="H45" t="s">
        <v>14</v>
      </c>
      <c r="I45" t="s">
        <v>24</v>
      </c>
      <c r="J45">
        <v>5</v>
      </c>
      <c r="K45" t="s">
        <v>16</v>
      </c>
      <c r="L45">
        <v>135.66</v>
      </c>
      <c r="M45" s="5">
        <v>678.3</v>
      </c>
      <c r="O45" s="5">
        <f t="shared" si="10"/>
        <v>678.3</v>
      </c>
      <c r="P45" s="5">
        <f t="shared" si="1"/>
        <v>678.3</v>
      </c>
      <c r="Q45" s="11">
        <v>0</v>
      </c>
      <c r="R45" s="5">
        <f t="shared" si="11"/>
        <v>678.3</v>
      </c>
      <c r="S45" s="11">
        <f t="shared" si="3"/>
        <v>0</v>
      </c>
      <c r="T45" s="5">
        <f t="shared" si="12"/>
        <v>0</v>
      </c>
      <c r="U45" s="11">
        <v>0</v>
      </c>
      <c r="V45" s="5">
        <f t="shared" si="13"/>
        <v>0</v>
      </c>
      <c r="W45" s="11">
        <f t="shared" si="14"/>
        <v>0</v>
      </c>
      <c r="X45" s="5">
        <f t="shared" si="7"/>
        <v>0</v>
      </c>
      <c r="Y45" s="11">
        <v>0</v>
      </c>
      <c r="Z45" s="5">
        <f t="shared" si="8"/>
        <v>0</v>
      </c>
      <c r="AA45" s="11">
        <f t="shared" si="9"/>
        <v>0</v>
      </c>
      <c r="AB45" s="11">
        <v>0.1</v>
      </c>
    </row>
    <row r="46" spans="1:28">
      <c r="A46">
        <v>2026</v>
      </c>
      <c r="B46" t="s">
        <v>175</v>
      </c>
      <c r="C46" t="s">
        <v>42</v>
      </c>
      <c r="D46" t="s">
        <v>43</v>
      </c>
      <c r="E46" t="s">
        <v>221</v>
      </c>
      <c r="G46" t="s">
        <v>14</v>
      </c>
      <c r="H46" t="s">
        <v>14</v>
      </c>
      <c r="I46" t="s">
        <v>25</v>
      </c>
      <c r="J46">
        <v>2</v>
      </c>
      <c r="K46" t="s">
        <v>16</v>
      </c>
      <c r="L46">
        <v>3808</v>
      </c>
      <c r="M46" s="5">
        <v>7616</v>
      </c>
      <c r="O46" s="5">
        <f t="shared" si="10"/>
        <v>7616</v>
      </c>
      <c r="P46" s="5">
        <f t="shared" si="1"/>
        <v>7616</v>
      </c>
      <c r="Q46" s="11">
        <v>0</v>
      </c>
      <c r="R46" s="5">
        <f t="shared" si="11"/>
        <v>7616</v>
      </c>
      <c r="S46" s="11">
        <f t="shared" si="3"/>
        <v>0</v>
      </c>
      <c r="T46" s="5">
        <f t="shared" si="12"/>
        <v>0</v>
      </c>
      <c r="U46" s="11">
        <v>0</v>
      </c>
      <c r="V46" s="5">
        <f t="shared" si="13"/>
        <v>0</v>
      </c>
      <c r="W46" s="11">
        <f t="shared" si="14"/>
        <v>0</v>
      </c>
      <c r="X46" s="5">
        <f t="shared" si="7"/>
        <v>0</v>
      </c>
      <c r="Y46" s="11">
        <v>0</v>
      </c>
      <c r="Z46" s="5">
        <f t="shared" si="8"/>
        <v>0</v>
      </c>
      <c r="AA46" s="11">
        <f t="shared" si="9"/>
        <v>0</v>
      </c>
      <c r="AB46" s="11">
        <v>0.1</v>
      </c>
    </row>
    <row r="47" spans="1:28">
      <c r="A47">
        <v>2026</v>
      </c>
      <c r="B47" t="s">
        <v>175</v>
      </c>
      <c r="C47" t="s">
        <v>42</v>
      </c>
      <c r="D47" t="s">
        <v>43</v>
      </c>
      <c r="E47" t="s">
        <v>222</v>
      </c>
      <c r="G47" t="s">
        <v>14</v>
      </c>
      <c r="H47" t="s">
        <v>14</v>
      </c>
      <c r="I47" t="s">
        <v>26</v>
      </c>
      <c r="J47">
        <v>2</v>
      </c>
      <c r="K47" t="s">
        <v>16</v>
      </c>
      <c r="L47">
        <v>111.86</v>
      </c>
      <c r="M47" s="5">
        <v>223.72</v>
      </c>
      <c r="O47" s="5">
        <f t="shared" si="10"/>
        <v>223.72</v>
      </c>
      <c r="P47" s="5">
        <f t="shared" si="1"/>
        <v>223.72</v>
      </c>
      <c r="Q47" s="11">
        <v>0</v>
      </c>
      <c r="R47" s="5">
        <f t="shared" si="11"/>
        <v>223.72</v>
      </c>
      <c r="S47" s="11">
        <f t="shared" si="3"/>
        <v>0</v>
      </c>
      <c r="T47" s="5">
        <f t="shared" si="12"/>
        <v>0</v>
      </c>
      <c r="U47" s="11">
        <v>0</v>
      </c>
      <c r="V47" s="5">
        <f t="shared" si="13"/>
        <v>0</v>
      </c>
      <c r="W47" s="11">
        <f t="shared" si="14"/>
        <v>0</v>
      </c>
      <c r="X47" s="5">
        <f t="shared" si="7"/>
        <v>0</v>
      </c>
      <c r="Y47" s="11">
        <v>0</v>
      </c>
      <c r="Z47" s="5">
        <f t="shared" si="8"/>
        <v>0</v>
      </c>
      <c r="AA47" s="11">
        <f t="shared" si="9"/>
        <v>0</v>
      </c>
      <c r="AB47" s="11">
        <v>0.1</v>
      </c>
    </row>
    <row r="48" spans="1:28">
      <c r="A48">
        <v>2026</v>
      </c>
      <c r="B48" t="s">
        <v>175</v>
      </c>
      <c r="C48" t="s">
        <v>42</v>
      </c>
      <c r="D48" t="s">
        <v>43</v>
      </c>
      <c r="E48" t="s">
        <v>223</v>
      </c>
      <c r="G48" t="s">
        <v>14</v>
      </c>
      <c r="H48" t="s">
        <v>14</v>
      </c>
      <c r="I48" t="s">
        <v>66</v>
      </c>
      <c r="J48">
        <v>10</v>
      </c>
      <c r="K48" t="s">
        <v>16</v>
      </c>
      <c r="L48">
        <v>80300</v>
      </c>
      <c r="M48" s="5">
        <v>3212</v>
      </c>
      <c r="O48" s="5">
        <f t="shared" si="10"/>
        <v>3212</v>
      </c>
      <c r="P48" s="5">
        <f t="shared" si="1"/>
        <v>3212</v>
      </c>
      <c r="Q48" s="11">
        <v>0</v>
      </c>
      <c r="R48" s="5">
        <f t="shared" si="11"/>
        <v>3212</v>
      </c>
      <c r="S48" s="11">
        <f t="shared" si="3"/>
        <v>0</v>
      </c>
      <c r="T48" s="5">
        <f t="shared" si="12"/>
        <v>0</v>
      </c>
      <c r="U48" s="11">
        <v>0</v>
      </c>
      <c r="V48" s="5">
        <f t="shared" si="13"/>
        <v>0</v>
      </c>
      <c r="W48" s="11">
        <f t="shared" si="14"/>
        <v>0</v>
      </c>
      <c r="X48" s="5">
        <f t="shared" si="7"/>
        <v>0</v>
      </c>
      <c r="Y48" s="11">
        <v>0</v>
      </c>
      <c r="Z48" s="5">
        <f t="shared" si="8"/>
        <v>0</v>
      </c>
      <c r="AA48" s="11">
        <f t="shared" si="9"/>
        <v>0</v>
      </c>
      <c r="AB48" s="11">
        <v>0.1</v>
      </c>
    </row>
    <row r="49" spans="1:28">
      <c r="A49">
        <v>2026</v>
      </c>
      <c r="B49" t="s">
        <v>175</v>
      </c>
      <c r="C49" t="s">
        <v>42</v>
      </c>
      <c r="D49" t="s">
        <v>43</v>
      </c>
      <c r="E49" t="s">
        <v>224</v>
      </c>
      <c r="G49" t="s">
        <v>14</v>
      </c>
      <c r="H49" t="s">
        <v>14</v>
      </c>
      <c r="I49" t="s">
        <v>28</v>
      </c>
      <c r="J49">
        <v>5</v>
      </c>
      <c r="K49" t="s">
        <v>16</v>
      </c>
      <c r="L49">
        <v>17888.080000000002</v>
      </c>
      <c r="M49" s="5">
        <v>89440.400000000009</v>
      </c>
      <c r="O49" s="5">
        <f t="shared" si="10"/>
        <v>89440.400000000009</v>
      </c>
      <c r="P49" s="5">
        <f t="shared" si="1"/>
        <v>89440.400000000009</v>
      </c>
      <c r="Q49" s="11">
        <v>0</v>
      </c>
      <c r="R49" s="5">
        <f t="shared" si="11"/>
        <v>89440.400000000009</v>
      </c>
      <c r="S49" s="11">
        <f t="shared" si="3"/>
        <v>0</v>
      </c>
      <c r="T49" s="5">
        <f t="shared" si="12"/>
        <v>0</v>
      </c>
      <c r="U49" s="11">
        <v>0</v>
      </c>
      <c r="V49" s="5">
        <f t="shared" si="13"/>
        <v>0</v>
      </c>
      <c r="W49" s="11">
        <f t="shared" si="14"/>
        <v>0</v>
      </c>
      <c r="X49" s="5">
        <f t="shared" si="7"/>
        <v>0</v>
      </c>
      <c r="Y49" s="11">
        <v>0</v>
      </c>
      <c r="Z49" s="5">
        <f t="shared" si="8"/>
        <v>0</v>
      </c>
      <c r="AA49" s="11">
        <f t="shared" si="9"/>
        <v>0</v>
      </c>
      <c r="AB49" s="11">
        <v>0.1</v>
      </c>
    </row>
    <row r="50" spans="1:28">
      <c r="A50">
        <v>2026</v>
      </c>
      <c r="B50" t="s">
        <v>175</v>
      </c>
      <c r="C50" t="s">
        <v>42</v>
      </c>
      <c r="D50" t="s">
        <v>43</v>
      </c>
      <c r="E50" t="s">
        <v>225</v>
      </c>
      <c r="G50" t="s">
        <v>14</v>
      </c>
      <c r="H50" t="s">
        <v>14</v>
      </c>
      <c r="I50" t="s">
        <v>29</v>
      </c>
      <c r="J50">
        <v>2</v>
      </c>
      <c r="K50" t="s">
        <v>16</v>
      </c>
      <c r="L50">
        <v>337.3837894736842</v>
      </c>
      <c r="M50" s="5">
        <v>674.76757894736841</v>
      </c>
      <c r="O50" s="5">
        <f t="shared" si="10"/>
        <v>674.76757894736841</v>
      </c>
      <c r="P50" s="5">
        <f t="shared" si="1"/>
        <v>674.76757894736841</v>
      </c>
      <c r="Q50" s="11">
        <v>0</v>
      </c>
      <c r="R50" s="5">
        <f t="shared" si="11"/>
        <v>674.76757894736841</v>
      </c>
      <c r="S50" s="11">
        <f t="shared" si="3"/>
        <v>0</v>
      </c>
      <c r="T50" s="5">
        <f t="shared" si="12"/>
        <v>0</v>
      </c>
      <c r="U50" s="11">
        <v>0</v>
      </c>
      <c r="V50" s="5">
        <f t="shared" si="13"/>
        <v>0</v>
      </c>
      <c r="W50" s="11">
        <f t="shared" si="14"/>
        <v>0</v>
      </c>
      <c r="X50" s="5">
        <f t="shared" si="7"/>
        <v>0</v>
      </c>
      <c r="Y50" s="11">
        <v>0</v>
      </c>
      <c r="Z50" s="5">
        <f t="shared" si="8"/>
        <v>0</v>
      </c>
      <c r="AA50" s="11">
        <f t="shared" si="9"/>
        <v>0</v>
      </c>
      <c r="AB50" s="11">
        <v>0.1</v>
      </c>
    </row>
    <row r="51" spans="1:28">
      <c r="A51">
        <v>2026</v>
      </c>
      <c r="B51" t="s">
        <v>175</v>
      </c>
      <c r="C51" t="s">
        <v>42</v>
      </c>
      <c r="D51" t="s">
        <v>43</v>
      </c>
      <c r="E51" t="s">
        <v>226</v>
      </c>
      <c r="G51" t="s">
        <v>14</v>
      </c>
      <c r="H51" t="s">
        <v>14</v>
      </c>
      <c r="I51" t="s">
        <v>154</v>
      </c>
      <c r="J51">
        <v>2</v>
      </c>
      <c r="K51" t="s">
        <v>16</v>
      </c>
      <c r="L51">
        <v>67900</v>
      </c>
      <c r="M51" s="5">
        <v>13580</v>
      </c>
      <c r="O51" s="5">
        <f t="shared" si="10"/>
        <v>13580</v>
      </c>
      <c r="P51" s="5">
        <f t="shared" si="1"/>
        <v>13580</v>
      </c>
      <c r="Q51" s="11">
        <v>0</v>
      </c>
      <c r="R51" s="5">
        <f t="shared" si="11"/>
        <v>13580</v>
      </c>
      <c r="S51" s="11">
        <f t="shared" si="3"/>
        <v>0</v>
      </c>
      <c r="T51" s="5">
        <f t="shared" si="12"/>
        <v>0</v>
      </c>
      <c r="U51" s="11">
        <v>0</v>
      </c>
      <c r="V51" s="5">
        <f t="shared" si="13"/>
        <v>0</v>
      </c>
      <c r="W51" s="11">
        <f t="shared" si="14"/>
        <v>0</v>
      </c>
      <c r="X51" s="5">
        <f t="shared" si="7"/>
        <v>0</v>
      </c>
      <c r="Y51" s="11">
        <v>0</v>
      </c>
      <c r="Z51" s="5">
        <f t="shared" si="8"/>
        <v>0</v>
      </c>
      <c r="AA51" s="11">
        <f t="shared" si="9"/>
        <v>0</v>
      </c>
      <c r="AB51" s="11">
        <v>0.1</v>
      </c>
    </row>
    <row r="52" spans="1:28">
      <c r="A52">
        <v>2026</v>
      </c>
      <c r="B52" t="s">
        <v>175</v>
      </c>
      <c r="C52" t="s">
        <v>42</v>
      </c>
      <c r="D52" t="s">
        <v>43</v>
      </c>
      <c r="E52" t="s">
        <v>227</v>
      </c>
      <c r="G52" t="s">
        <v>14</v>
      </c>
      <c r="H52" t="s">
        <v>14</v>
      </c>
      <c r="I52" t="s">
        <v>155</v>
      </c>
      <c r="J52">
        <v>2</v>
      </c>
      <c r="K52" t="s">
        <v>16</v>
      </c>
      <c r="L52">
        <v>50300</v>
      </c>
      <c r="M52" s="5">
        <v>10060</v>
      </c>
      <c r="O52" s="5">
        <f t="shared" si="10"/>
        <v>10060</v>
      </c>
      <c r="P52" s="5">
        <f t="shared" si="1"/>
        <v>10060</v>
      </c>
      <c r="Q52" s="11">
        <v>0</v>
      </c>
      <c r="R52" s="5">
        <f t="shared" si="11"/>
        <v>10060</v>
      </c>
      <c r="S52" s="11">
        <f t="shared" si="3"/>
        <v>0</v>
      </c>
      <c r="T52" s="5">
        <f t="shared" si="12"/>
        <v>0</v>
      </c>
      <c r="U52" s="11">
        <v>0</v>
      </c>
      <c r="V52" s="5">
        <f t="shared" si="13"/>
        <v>0</v>
      </c>
      <c r="W52" s="11">
        <f t="shared" si="14"/>
        <v>0</v>
      </c>
      <c r="X52" s="5">
        <f t="shared" si="7"/>
        <v>0</v>
      </c>
      <c r="Y52" s="11">
        <v>0</v>
      </c>
      <c r="Z52" s="5">
        <f t="shared" si="8"/>
        <v>0</v>
      </c>
      <c r="AA52" s="11">
        <f t="shared" si="9"/>
        <v>0</v>
      </c>
      <c r="AB52" s="11">
        <v>0.1</v>
      </c>
    </row>
    <row r="53" spans="1:28">
      <c r="A53">
        <v>2026</v>
      </c>
      <c r="B53" t="s">
        <v>175</v>
      </c>
      <c r="C53" t="s">
        <v>42</v>
      </c>
      <c r="D53" t="s">
        <v>43</v>
      </c>
      <c r="E53" t="s">
        <v>228</v>
      </c>
      <c r="G53" t="s">
        <v>14</v>
      </c>
      <c r="H53" t="s">
        <v>14</v>
      </c>
      <c r="I53" t="s">
        <v>152</v>
      </c>
      <c r="J53">
        <v>2</v>
      </c>
      <c r="K53" t="s">
        <v>16</v>
      </c>
      <c r="L53">
        <v>43500</v>
      </c>
      <c r="M53" s="5">
        <v>7250</v>
      </c>
      <c r="O53" s="5">
        <f t="shared" si="10"/>
        <v>7250</v>
      </c>
      <c r="P53" s="5">
        <f t="shared" si="1"/>
        <v>7250</v>
      </c>
      <c r="Q53" s="11">
        <v>0</v>
      </c>
      <c r="R53" s="5">
        <f t="shared" si="11"/>
        <v>7250</v>
      </c>
      <c r="S53" s="11">
        <f t="shared" si="3"/>
        <v>0</v>
      </c>
      <c r="T53" s="5">
        <f t="shared" si="12"/>
        <v>0</v>
      </c>
      <c r="U53" s="11">
        <v>0</v>
      </c>
      <c r="V53" s="5">
        <f t="shared" si="13"/>
        <v>0</v>
      </c>
      <c r="W53" s="11">
        <f t="shared" si="14"/>
        <v>0</v>
      </c>
      <c r="X53" s="5">
        <f t="shared" si="7"/>
        <v>0</v>
      </c>
      <c r="Y53" s="11">
        <v>0</v>
      </c>
      <c r="Z53" s="5">
        <f t="shared" si="8"/>
        <v>0</v>
      </c>
      <c r="AA53" s="11">
        <f t="shared" si="9"/>
        <v>0</v>
      </c>
      <c r="AB53" s="11">
        <v>0.1</v>
      </c>
    </row>
    <row r="54" spans="1:28">
      <c r="A54">
        <v>2026</v>
      </c>
      <c r="B54" t="s">
        <v>175</v>
      </c>
      <c r="C54" t="s">
        <v>42</v>
      </c>
      <c r="D54" t="s">
        <v>43</v>
      </c>
      <c r="F54">
        <v>1800</v>
      </c>
      <c r="G54" t="s">
        <v>32</v>
      </c>
      <c r="H54" t="s">
        <v>32</v>
      </c>
      <c r="I54" t="s">
        <v>33</v>
      </c>
      <c r="J54">
        <v>60</v>
      </c>
      <c r="K54" t="s">
        <v>38</v>
      </c>
      <c r="L54" s="16">
        <v>20894.400000000001</v>
      </c>
      <c r="M54" s="5">
        <f>+L54*J54</f>
        <v>1253664</v>
      </c>
      <c r="O54" s="5">
        <f t="shared" si="10"/>
        <v>1253664</v>
      </c>
      <c r="P54" s="5">
        <f t="shared" si="1"/>
        <v>1253664</v>
      </c>
      <c r="Q54" s="11">
        <v>0</v>
      </c>
      <c r="R54" s="5">
        <f t="shared" si="11"/>
        <v>1253664</v>
      </c>
      <c r="S54" s="11">
        <f t="shared" si="3"/>
        <v>0</v>
      </c>
      <c r="T54" s="5">
        <f t="shared" si="12"/>
        <v>0</v>
      </c>
      <c r="U54" s="11">
        <v>0</v>
      </c>
      <c r="V54" s="5">
        <f t="shared" si="13"/>
        <v>0</v>
      </c>
      <c r="W54" s="11">
        <f t="shared" si="14"/>
        <v>0</v>
      </c>
      <c r="X54" s="5">
        <f t="shared" si="7"/>
        <v>0</v>
      </c>
      <c r="Y54" s="11">
        <v>0</v>
      </c>
      <c r="Z54" s="5">
        <f t="shared" si="8"/>
        <v>0</v>
      </c>
      <c r="AA54" s="11">
        <f t="shared" si="9"/>
        <v>0</v>
      </c>
      <c r="AB54" s="11">
        <v>0.1</v>
      </c>
    </row>
    <row r="55" spans="1:28">
      <c r="A55">
        <v>2026</v>
      </c>
      <c r="B55" t="s">
        <v>175</v>
      </c>
      <c r="C55" t="s">
        <v>42</v>
      </c>
      <c r="D55" t="s">
        <v>43</v>
      </c>
      <c r="F55">
        <v>900</v>
      </c>
      <c r="G55" t="s">
        <v>32</v>
      </c>
      <c r="H55" t="s">
        <v>32</v>
      </c>
      <c r="I55" t="s">
        <v>35</v>
      </c>
      <c r="J55">
        <v>60</v>
      </c>
      <c r="K55" t="s">
        <v>38</v>
      </c>
      <c r="L55" s="16">
        <v>6048.3</v>
      </c>
      <c r="M55" s="5">
        <f>+L55*J55</f>
        <v>362898</v>
      </c>
      <c r="O55" s="5">
        <f t="shared" si="10"/>
        <v>362898</v>
      </c>
      <c r="P55" s="5">
        <f t="shared" si="1"/>
        <v>362898</v>
      </c>
      <c r="Q55" s="11">
        <v>0</v>
      </c>
      <c r="R55" s="5">
        <f t="shared" si="11"/>
        <v>362898</v>
      </c>
      <c r="S55" s="11">
        <f t="shared" si="3"/>
        <v>0</v>
      </c>
      <c r="T55" s="5">
        <f t="shared" si="12"/>
        <v>0</v>
      </c>
      <c r="U55" s="11">
        <v>0</v>
      </c>
      <c r="V55" s="5">
        <f t="shared" si="13"/>
        <v>0</v>
      </c>
      <c r="W55" s="11">
        <f t="shared" si="14"/>
        <v>0</v>
      </c>
      <c r="X55" s="5">
        <f t="shared" si="7"/>
        <v>0</v>
      </c>
      <c r="Y55" s="11">
        <v>0</v>
      </c>
      <c r="Z55" s="5">
        <f t="shared" si="8"/>
        <v>0</v>
      </c>
      <c r="AA55" s="11">
        <f t="shared" si="9"/>
        <v>0</v>
      </c>
      <c r="AB55" s="11">
        <v>0.1</v>
      </c>
    </row>
    <row r="56" spans="1:28">
      <c r="A56">
        <v>2026</v>
      </c>
      <c r="B56" t="s">
        <v>175</v>
      </c>
      <c r="C56" t="s">
        <v>42</v>
      </c>
      <c r="D56" t="s">
        <v>43</v>
      </c>
      <c r="F56">
        <v>600</v>
      </c>
      <c r="G56" t="s">
        <v>32</v>
      </c>
      <c r="H56" t="s">
        <v>32</v>
      </c>
      <c r="I56" t="s">
        <v>213</v>
      </c>
      <c r="J56">
        <v>60</v>
      </c>
      <c r="K56" t="s">
        <v>38</v>
      </c>
      <c r="L56">
        <v>35000</v>
      </c>
      <c r="M56" s="5">
        <f>+L56*J56</f>
        <v>2100000</v>
      </c>
      <c r="O56" s="5">
        <f t="shared" si="10"/>
        <v>2100000</v>
      </c>
      <c r="P56" s="5">
        <f t="shared" si="1"/>
        <v>2100000</v>
      </c>
      <c r="Q56" s="11">
        <v>0</v>
      </c>
      <c r="R56" s="5">
        <f t="shared" si="11"/>
        <v>2100000</v>
      </c>
      <c r="S56" s="11">
        <f t="shared" si="3"/>
        <v>0</v>
      </c>
      <c r="T56" s="5">
        <f t="shared" si="12"/>
        <v>0</v>
      </c>
      <c r="U56" s="11">
        <v>0</v>
      </c>
      <c r="V56" s="5">
        <f t="shared" si="13"/>
        <v>0</v>
      </c>
      <c r="W56" s="11">
        <f t="shared" si="14"/>
        <v>0</v>
      </c>
      <c r="X56" s="5">
        <f t="shared" si="7"/>
        <v>0</v>
      </c>
      <c r="Y56" s="11">
        <v>0</v>
      </c>
      <c r="Z56" s="5">
        <f t="shared" si="8"/>
        <v>0</v>
      </c>
      <c r="AA56" s="11">
        <f t="shared" si="9"/>
        <v>0</v>
      </c>
      <c r="AB56" s="11">
        <v>0.1</v>
      </c>
    </row>
    <row r="57" spans="1:28">
      <c r="A57">
        <v>2026</v>
      </c>
      <c r="B57" t="s">
        <v>175</v>
      </c>
      <c r="C57" t="s">
        <v>42</v>
      </c>
      <c r="D57" t="s">
        <v>43</v>
      </c>
      <c r="F57">
        <v>600</v>
      </c>
      <c r="G57" t="s">
        <v>32</v>
      </c>
      <c r="H57" t="s">
        <v>32</v>
      </c>
      <c r="I57" t="s">
        <v>214</v>
      </c>
      <c r="J57">
        <v>60</v>
      </c>
      <c r="K57" t="s">
        <v>38</v>
      </c>
      <c r="L57">
        <v>25000</v>
      </c>
      <c r="M57" s="5">
        <f>+L57*J57</f>
        <v>1500000</v>
      </c>
      <c r="O57" s="5">
        <f t="shared" si="10"/>
        <v>1500000</v>
      </c>
      <c r="P57" s="5">
        <f t="shared" si="1"/>
        <v>1500000</v>
      </c>
      <c r="Q57" s="11">
        <v>0</v>
      </c>
      <c r="R57" s="5">
        <f t="shared" si="11"/>
        <v>1500000</v>
      </c>
      <c r="S57" s="11">
        <f t="shared" si="3"/>
        <v>0</v>
      </c>
      <c r="T57" s="5">
        <f t="shared" si="12"/>
        <v>0</v>
      </c>
      <c r="U57" s="11">
        <v>0</v>
      </c>
      <c r="V57" s="5">
        <f t="shared" si="13"/>
        <v>0</v>
      </c>
      <c r="W57" s="11">
        <f t="shared" si="14"/>
        <v>0</v>
      </c>
      <c r="X57" s="5">
        <f t="shared" si="7"/>
        <v>0</v>
      </c>
      <c r="Y57" s="11">
        <v>0</v>
      </c>
      <c r="Z57" s="5">
        <f t="shared" si="8"/>
        <v>0</v>
      </c>
      <c r="AA57" s="11">
        <f t="shared" si="9"/>
        <v>0</v>
      </c>
      <c r="AB57" s="11">
        <v>0.1</v>
      </c>
    </row>
    <row r="58" spans="1:28">
      <c r="A58">
        <v>2026</v>
      </c>
      <c r="B58" t="s">
        <v>175</v>
      </c>
      <c r="C58" t="s">
        <v>42</v>
      </c>
      <c r="D58" t="s">
        <v>43</v>
      </c>
      <c r="F58">
        <v>600</v>
      </c>
      <c r="G58" t="s">
        <v>32</v>
      </c>
      <c r="H58" t="s">
        <v>32</v>
      </c>
      <c r="I58" t="s">
        <v>215</v>
      </c>
      <c r="J58">
        <v>60</v>
      </c>
      <c r="K58" t="s">
        <v>38</v>
      </c>
      <c r="L58">
        <v>20000</v>
      </c>
      <c r="M58" s="5">
        <f>+L58*J58</f>
        <v>1200000</v>
      </c>
      <c r="O58" s="5">
        <f t="shared" si="10"/>
        <v>1200000</v>
      </c>
      <c r="P58" s="5">
        <f t="shared" si="1"/>
        <v>1200000</v>
      </c>
      <c r="Q58" s="11">
        <v>0</v>
      </c>
      <c r="R58" s="5">
        <f t="shared" si="11"/>
        <v>1200000</v>
      </c>
      <c r="S58" s="11">
        <f t="shared" si="3"/>
        <v>0</v>
      </c>
      <c r="T58" s="5">
        <f t="shared" si="12"/>
        <v>0</v>
      </c>
      <c r="U58" s="11">
        <v>0</v>
      </c>
      <c r="V58" s="5">
        <f t="shared" si="13"/>
        <v>0</v>
      </c>
      <c r="W58" s="11">
        <f t="shared" si="14"/>
        <v>0</v>
      </c>
      <c r="X58" s="5">
        <f t="shared" si="7"/>
        <v>0</v>
      </c>
      <c r="Y58" s="11">
        <v>0</v>
      </c>
      <c r="Z58" s="5">
        <f t="shared" si="8"/>
        <v>0</v>
      </c>
      <c r="AA58" s="11">
        <f t="shared" si="9"/>
        <v>0</v>
      </c>
      <c r="AB58" s="11">
        <v>0.1</v>
      </c>
    </row>
    <row r="59" spans="1:28">
      <c r="A59">
        <v>2026</v>
      </c>
      <c r="B59" t="s">
        <v>176</v>
      </c>
      <c r="C59" t="s">
        <v>42</v>
      </c>
      <c r="D59" t="s">
        <v>43</v>
      </c>
      <c r="E59" t="s">
        <v>216</v>
      </c>
      <c r="G59" t="s">
        <v>14</v>
      </c>
      <c r="H59" t="s">
        <v>14</v>
      </c>
      <c r="I59" t="s">
        <v>15</v>
      </c>
      <c r="J59">
        <v>4</v>
      </c>
      <c r="K59" t="s">
        <v>16</v>
      </c>
      <c r="L59">
        <v>266</v>
      </c>
      <c r="M59" s="5">
        <v>1064</v>
      </c>
      <c r="O59" s="5">
        <f t="shared" si="10"/>
        <v>1064</v>
      </c>
      <c r="P59" s="5">
        <f t="shared" si="1"/>
        <v>1064</v>
      </c>
      <c r="Q59" s="11">
        <v>0</v>
      </c>
      <c r="R59" s="5">
        <f t="shared" si="11"/>
        <v>1064</v>
      </c>
      <c r="S59" s="11">
        <f t="shared" si="3"/>
        <v>0</v>
      </c>
      <c r="T59" s="5">
        <f t="shared" si="12"/>
        <v>0</v>
      </c>
      <c r="U59" s="11">
        <v>0</v>
      </c>
      <c r="V59" s="5">
        <f t="shared" si="13"/>
        <v>0</v>
      </c>
      <c r="W59" s="11">
        <f t="shared" si="14"/>
        <v>0</v>
      </c>
      <c r="X59" s="5">
        <f t="shared" si="7"/>
        <v>0</v>
      </c>
      <c r="Y59" s="11">
        <v>0</v>
      </c>
      <c r="Z59" s="5">
        <f t="shared" si="8"/>
        <v>0</v>
      </c>
      <c r="AA59" s="11">
        <f t="shared" si="9"/>
        <v>0</v>
      </c>
      <c r="AB59" s="11">
        <v>0.1</v>
      </c>
    </row>
    <row r="60" spans="1:28">
      <c r="A60">
        <v>2026</v>
      </c>
      <c r="B60" t="s">
        <v>176</v>
      </c>
      <c r="C60" t="s">
        <v>42</v>
      </c>
      <c r="D60" t="s">
        <v>43</v>
      </c>
      <c r="E60" t="s">
        <v>217</v>
      </c>
      <c r="G60" t="s">
        <v>14</v>
      </c>
      <c r="H60" t="s">
        <v>14</v>
      </c>
      <c r="I60" t="s">
        <v>18</v>
      </c>
      <c r="J60">
        <v>2</v>
      </c>
      <c r="K60" t="s">
        <v>16</v>
      </c>
      <c r="L60">
        <v>1086.232</v>
      </c>
      <c r="M60" s="5">
        <v>2172.4639999999999</v>
      </c>
      <c r="O60" s="5">
        <f t="shared" si="10"/>
        <v>2172.4639999999999</v>
      </c>
      <c r="P60" s="5">
        <f t="shared" si="1"/>
        <v>2172.4639999999999</v>
      </c>
      <c r="Q60" s="11">
        <v>0</v>
      </c>
      <c r="R60" s="5">
        <f t="shared" si="11"/>
        <v>2172.4639999999999</v>
      </c>
      <c r="S60" s="11">
        <f t="shared" si="3"/>
        <v>0</v>
      </c>
      <c r="T60" s="5">
        <f t="shared" si="12"/>
        <v>0</v>
      </c>
      <c r="U60" s="11">
        <v>0</v>
      </c>
      <c r="V60" s="5">
        <f t="shared" si="13"/>
        <v>0</v>
      </c>
      <c r="W60" s="11">
        <f t="shared" si="14"/>
        <v>0</v>
      </c>
      <c r="X60" s="5">
        <f t="shared" si="7"/>
        <v>0</v>
      </c>
      <c r="Y60" s="11">
        <v>0</v>
      </c>
      <c r="Z60" s="5">
        <f t="shared" si="8"/>
        <v>0</v>
      </c>
      <c r="AA60" s="11">
        <f t="shared" si="9"/>
        <v>0</v>
      </c>
      <c r="AB60" s="11">
        <v>0.1</v>
      </c>
    </row>
    <row r="61" spans="1:28">
      <c r="A61">
        <v>2026</v>
      </c>
      <c r="B61" t="s">
        <v>176</v>
      </c>
      <c r="C61" t="s">
        <v>42</v>
      </c>
      <c r="D61" t="s">
        <v>43</v>
      </c>
      <c r="E61" t="s">
        <v>218</v>
      </c>
      <c r="G61" t="s">
        <v>14</v>
      </c>
      <c r="H61" t="s">
        <v>14</v>
      </c>
      <c r="I61" t="s">
        <v>20</v>
      </c>
      <c r="J61">
        <v>10</v>
      </c>
      <c r="K61" t="s">
        <v>16</v>
      </c>
      <c r="L61">
        <v>370</v>
      </c>
      <c r="M61" s="5">
        <v>3700</v>
      </c>
      <c r="O61" s="5">
        <f t="shared" si="10"/>
        <v>3700</v>
      </c>
      <c r="P61" s="5">
        <f t="shared" si="1"/>
        <v>3700</v>
      </c>
      <c r="Q61" s="11">
        <v>0</v>
      </c>
      <c r="R61" s="5">
        <f t="shared" si="11"/>
        <v>3700</v>
      </c>
      <c r="S61" s="11">
        <f t="shared" si="3"/>
        <v>0</v>
      </c>
      <c r="T61" s="5">
        <f t="shared" si="12"/>
        <v>0</v>
      </c>
      <c r="U61" s="11">
        <v>0</v>
      </c>
      <c r="V61" s="5">
        <f t="shared" si="13"/>
        <v>0</v>
      </c>
      <c r="W61" s="11">
        <f t="shared" si="14"/>
        <v>0</v>
      </c>
      <c r="X61" s="5">
        <f t="shared" si="7"/>
        <v>0</v>
      </c>
      <c r="Y61" s="11">
        <v>0</v>
      </c>
      <c r="Z61" s="5">
        <f t="shared" si="8"/>
        <v>0</v>
      </c>
      <c r="AA61" s="11">
        <f t="shared" si="9"/>
        <v>0</v>
      </c>
      <c r="AB61" s="11">
        <v>0.1</v>
      </c>
    </row>
    <row r="62" spans="1:28">
      <c r="A62">
        <v>2026</v>
      </c>
      <c r="B62" t="s">
        <v>176</v>
      </c>
      <c r="C62" t="s">
        <v>42</v>
      </c>
      <c r="D62" t="s">
        <v>43</v>
      </c>
      <c r="E62" t="s">
        <v>219</v>
      </c>
      <c r="G62" t="s">
        <v>14</v>
      </c>
      <c r="H62" t="s">
        <v>14</v>
      </c>
      <c r="I62" t="s">
        <v>44</v>
      </c>
      <c r="J62">
        <v>2</v>
      </c>
      <c r="K62" t="s">
        <v>16</v>
      </c>
      <c r="L62">
        <v>2643</v>
      </c>
      <c r="M62" s="5">
        <v>5286</v>
      </c>
      <c r="O62" s="5">
        <f t="shared" si="10"/>
        <v>5286</v>
      </c>
      <c r="P62" s="5">
        <f t="shared" si="1"/>
        <v>5286</v>
      </c>
      <c r="Q62" s="11">
        <v>0</v>
      </c>
      <c r="R62" s="5">
        <f t="shared" si="11"/>
        <v>5286</v>
      </c>
      <c r="S62" s="11">
        <f t="shared" si="3"/>
        <v>0</v>
      </c>
      <c r="T62" s="5">
        <f t="shared" si="12"/>
        <v>0</v>
      </c>
      <c r="U62" s="11">
        <v>0</v>
      </c>
      <c r="V62" s="5">
        <f t="shared" si="13"/>
        <v>0</v>
      </c>
      <c r="W62" s="11">
        <f t="shared" si="14"/>
        <v>0</v>
      </c>
      <c r="X62" s="5">
        <f t="shared" si="7"/>
        <v>0</v>
      </c>
      <c r="Y62" s="11">
        <v>0</v>
      </c>
      <c r="Z62" s="5">
        <f t="shared" si="8"/>
        <v>0</v>
      </c>
      <c r="AA62" s="11">
        <f t="shared" si="9"/>
        <v>0</v>
      </c>
      <c r="AB62" s="11">
        <v>0.1</v>
      </c>
    </row>
    <row r="63" spans="1:28">
      <c r="A63">
        <v>2026</v>
      </c>
      <c r="B63" t="s">
        <v>176</v>
      </c>
      <c r="C63" t="s">
        <v>42</v>
      </c>
      <c r="D63" t="s">
        <v>43</v>
      </c>
      <c r="E63" t="s">
        <v>220</v>
      </c>
      <c r="G63" t="s">
        <v>14</v>
      </c>
      <c r="H63" t="s">
        <v>14</v>
      </c>
      <c r="I63" t="s">
        <v>24</v>
      </c>
      <c r="J63">
        <v>5</v>
      </c>
      <c r="K63" t="s">
        <v>16</v>
      </c>
      <c r="L63">
        <v>135.66</v>
      </c>
      <c r="M63" s="5">
        <v>678.3</v>
      </c>
      <c r="O63" s="5">
        <f t="shared" si="10"/>
        <v>678.3</v>
      </c>
      <c r="P63" s="5">
        <f t="shared" si="1"/>
        <v>678.3</v>
      </c>
      <c r="Q63" s="11">
        <v>0</v>
      </c>
      <c r="R63" s="5">
        <f t="shared" si="11"/>
        <v>678.3</v>
      </c>
      <c r="S63" s="11">
        <f t="shared" si="3"/>
        <v>0</v>
      </c>
      <c r="T63" s="5">
        <f t="shared" si="12"/>
        <v>0</v>
      </c>
      <c r="U63" s="11">
        <v>0</v>
      </c>
      <c r="V63" s="5">
        <f t="shared" si="13"/>
        <v>0</v>
      </c>
      <c r="W63" s="11">
        <f t="shared" si="14"/>
        <v>0</v>
      </c>
      <c r="X63" s="5">
        <f t="shared" si="7"/>
        <v>0</v>
      </c>
      <c r="Y63" s="11">
        <v>0</v>
      </c>
      <c r="Z63" s="5">
        <f t="shared" si="8"/>
        <v>0</v>
      </c>
      <c r="AA63" s="11">
        <f t="shared" si="9"/>
        <v>0</v>
      </c>
      <c r="AB63" s="11">
        <v>0.1</v>
      </c>
    </row>
    <row r="64" spans="1:28">
      <c r="A64">
        <v>2026</v>
      </c>
      <c r="B64" t="s">
        <v>176</v>
      </c>
      <c r="C64" t="s">
        <v>42</v>
      </c>
      <c r="D64" t="s">
        <v>43</v>
      </c>
      <c r="E64" t="s">
        <v>221</v>
      </c>
      <c r="G64" t="s">
        <v>14</v>
      </c>
      <c r="H64" t="s">
        <v>14</v>
      </c>
      <c r="I64" t="s">
        <v>25</v>
      </c>
      <c r="J64">
        <v>2</v>
      </c>
      <c r="K64" t="s">
        <v>16</v>
      </c>
      <c r="L64">
        <v>3808</v>
      </c>
      <c r="M64" s="5">
        <v>7616</v>
      </c>
      <c r="O64" s="5">
        <f t="shared" si="10"/>
        <v>7616</v>
      </c>
      <c r="P64" s="5">
        <f t="shared" si="1"/>
        <v>7616</v>
      </c>
      <c r="Q64" s="11">
        <v>0</v>
      </c>
      <c r="R64" s="5">
        <f t="shared" si="11"/>
        <v>7616</v>
      </c>
      <c r="S64" s="11">
        <f t="shared" si="3"/>
        <v>0</v>
      </c>
      <c r="T64" s="5">
        <f t="shared" si="12"/>
        <v>0</v>
      </c>
      <c r="U64" s="11">
        <v>0</v>
      </c>
      <c r="V64" s="5">
        <f t="shared" si="13"/>
        <v>0</v>
      </c>
      <c r="W64" s="11">
        <f t="shared" si="14"/>
        <v>0</v>
      </c>
      <c r="X64" s="5">
        <f t="shared" si="7"/>
        <v>0</v>
      </c>
      <c r="Y64" s="11">
        <v>0</v>
      </c>
      <c r="Z64" s="5">
        <f t="shared" si="8"/>
        <v>0</v>
      </c>
      <c r="AA64" s="11">
        <f t="shared" si="9"/>
        <v>0</v>
      </c>
      <c r="AB64" s="11">
        <v>0.1</v>
      </c>
    </row>
    <row r="65" spans="1:28">
      <c r="A65">
        <v>2026</v>
      </c>
      <c r="B65" t="s">
        <v>176</v>
      </c>
      <c r="C65" t="s">
        <v>42</v>
      </c>
      <c r="D65" t="s">
        <v>43</v>
      </c>
      <c r="E65" t="s">
        <v>222</v>
      </c>
      <c r="G65" t="s">
        <v>14</v>
      </c>
      <c r="H65" t="s">
        <v>14</v>
      </c>
      <c r="I65" t="s">
        <v>26</v>
      </c>
      <c r="J65">
        <v>2</v>
      </c>
      <c r="K65" t="s">
        <v>16</v>
      </c>
      <c r="L65">
        <v>111.86</v>
      </c>
      <c r="M65" s="5">
        <v>223.72</v>
      </c>
      <c r="O65" s="5">
        <f t="shared" si="10"/>
        <v>223.72</v>
      </c>
      <c r="P65" s="5">
        <f t="shared" si="1"/>
        <v>223.72</v>
      </c>
      <c r="Q65" s="11">
        <v>0</v>
      </c>
      <c r="R65" s="5">
        <f t="shared" si="11"/>
        <v>223.72</v>
      </c>
      <c r="S65" s="11">
        <f t="shared" si="3"/>
        <v>0</v>
      </c>
      <c r="T65" s="5">
        <f t="shared" si="12"/>
        <v>0</v>
      </c>
      <c r="U65" s="11">
        <v>0</v>
      </c>
      <c r="V65" s="5">
        <f t="shared" si="13"/>
        <v>0</v>
      </c>
      <c r="W65" s="11">
        <f t="shared" si="14"/>
        <v>0</v>
      </c>
      <c r="X65" s="5">
        <f t="shared" si="7"/>
        <v>0</v>
      </c>
      <c r="Y65" s="11">
        <v>0</v>
      </c>
      <c r="Z65" s="5">
        <f t="shared" si="8"/>
        <v>0</v>
      </c>
      <c r="AA65" s="11">
        <f t="shared" si="9"/>
        <v>0</v>
      </c>
      <c r="AB65" s="11">
        <v>0.1</v>
      </c>
    </row>
    <row r="66" spans="1:28">
      <c r="A66">
        <v>2026</v>
      </c>
      <c r="B66" t="s">
        <v>176</v>
      </c>
      <c r="C66" t="s">
        <v>42</v>
      </c>
      <c r="D66" t="s">
        <v>43</v>
      </c>
      <c r="E66" t="s">
        <v>223</v>
      </c>
      <c r="G66" t="s">
        <v>14</v>
      </c>
      <c r="H66" t="s">
        <v>14</v>
      </c>
      <c r="I66" t="s">
        <v>66</v>
      </c>
      <c r="J66">
        <v>10</v>
      </c>
      <c r="K66" t="s">
        <v>16</v>
      </c>
      <c r="L66">
        <v>80300</v>
      </c>
      <c r="M66" s="5">
        <v>3212</v>
      </c>
      <c r="O66" s="5">
        <f t="shared" ref="O66:O97" si="15">R66</f>
        <v>3212</v>
      </c>
      <c r="P66" s="5">
        <f t="shared" ref="P66:P129" si="16">IF(C66="Alta Complejidad",M66,0)</f>
        <v>3212</v>
      </c>
      <c r="Q66" s="11">
        <v>0</v>
      </c>
      <c r="R66" s="5">
        <f t="shared" ref="R66:R97" si="17">M66+(M66*Q66)</f>
        <v>3212</v>
      </c>
      <c r="S66" s="11">
        <f t="shared" ref="S66:S129" si="18">IFERROR(((R66-P66)/R66),0)</f>
        <v>0</v>
      </c>
      <c r="T66" s="5">
        <f t="shared" ref="T66:T97" si="19">IF(C66="Mediana Complejidad",M66,0)</f>
        <v>0</v>
      </c>
      <c r="U66" s="11">
        <v>0</v>
      </c>
      <c r="V66" s="5">
        <f t="shared" ref="V66:V97" si="20">(T66)+(T66*U66)</f>
        <v>0</v>
      </c>
      <c r="W66" s="11">
        <f t="shared" ref="W66:W97" si="21">IFERROR(((V66-T66)/V66),0)</f>
        <v>0</v>
      </c>
      <c r="X66" s="5">
        <f t="shared" ref="X66:X129" si="22">IF(C66="Baja Complejidad",M66,0)</f>
        <v>0</v>
      </c>
      <c r="Y66" s="11">
        <v>0</v>
      </c>
      <c r="Z66" s="5">
        <f t="shared" ref="Z66:Z129" si="23">(X66)+(X66*Y66)</f>
        <v>0</v>
      </c>
      <c r="AA66" s="11">
        <f t="shared" ref="AA66:AA129" si="24">IFERROR(((Z66-X66)/Z66),0)</f>
        <v>0</v>
      </c>
      <c r="AB66" s="11">
        <v>0.1</v>
      </c>
    </row>
    <row r="67" spans="1:28">
      <c r="A67">
        <v>2026</v>
      </c>
      <c r="B67" t="s">
        <v>176</v>
      </c>
      <c r="C67" t="s">
        <v>42</v>
      </c>
      <c r="D67" t="s">
        <v>43</v>
      </c>
      <c r="E67" t="s">
        <v>224</v>
      </c>
      <c r="G67" t="s">
        <v>14</v>
      </c>
      <c r="H67" t="s">
        <v>14</v>
      </c>
      <c r="I67" t="s">
        <v>28</v>
      </c>
      <c r="J67">
        <v>5</v>
      </c>
      <c r="K67" t="s">
        <v>16</v>
      </c>
      <c r="L67">
        <v>17888.080000000002</v>
      </c>
      <c r="M67" s="5">
        <v>89440.400000000009</v>
      </c>
      <c r="O67" s="5">
        <f t="shared" si="15"/>
        <v>89440.400000000009</v>
      </c>
      <c r="P67" s="5">
        <f t="shared" si="16"/>
        <v>89440.400000000009</v>
      </c>
      <c r="Q67" s="11">
        <v>0</v>
      </c>
      <c r="R67" s="5">
        <f t="shared" si="17"/>
        <v>89440.400000000009</v>
      </c>
      <c r="S67" s="11">
        <f t="shared" si="18"/>
        <v>0</v>
      </c>
      <c r="T67" s="5">
        <f t="shared" si="19"/>
        <v>0</v>
      </c>
      <c r="U67" s="11">
        <v>0</v>
      </c>
      <c r="V67" s="5">
        <f t="shared" si="20"/>
        <v>0</v>
      </c>
      <c r="W67" s="11">
        <f t="shared" si="21"/>
        <v>0</v>
      </c>
      <c r="X67" s="5">
        <f t="shared" si="22"/>
        <v>0</v>
      </c>
      <c r="Y67" s="11">
        <v>0</v>
      </c>
      <c r="Z67" s="5">
        <f t="shared" si="23"/>
        <v>0</v>
      </c>
      <c r="AA67" s="11">
        <f t="shared" si="24"/>
        <v>0</v>
      </c>
      <c r="AB67" s="11">
        <v>0.1</v>
      </c>
    </row>
    <row r="68" spans="1:28">
      <c r="A68">
        <v>2026</v>
      </c>
      <c r="B68" t="s">
        <v>176</v>
      </c>
      <c r="C68" t="s">
        <v>42</v>
      </c>
      <c r="D68" t="s">
        <v>43</v>
      </c>
      <c r="E68" t="s">
        <v>225</v>
      </c>
      <c r="G68" t="s">
        <v>14</v>
      </c>
      <c r="H68" t="s">
        <v>14</v>
      </c>
      <c r="I68" t="s">
        <v>29</v>
      </c>
      <c r="J68">
        <v>2</v>
      </c>
      <c r="K68" t="s">
        <v>16</v>
      </c>
      <c r="L68">
        <v>337.3837894736842</v>
      </c>
      <c r="M68" s="5">
        <v>674.76757894736841</v>
      </c>
      <c r="O68" s="5">
        <f t="shared" si="15"/>
        <v>674.76757894736841</v>
      </c>
      <c r="P68" s="5">
        <f t="shared" si="16"/>
        <v>674.76757894736841</v>
      </c>
      <c r="Q68" s="11">
        <v>0</v>
      </c>
      <c r="R68" s="5">
        <f t="shared" si="17"/>
        <v>674.76757894736841</v>
      </c>
      <c r="S68" s="11">
        <f t="shared" si="18"/>
        <v>0</v>
      </c>
      <c r="T68" s="5">
        <f t="shared" si="19"/>
        <v>0</v>
      </c>
      <c r="U68" s="11">
        <v>0</v>
      </c>
      <c r="V68" s="5">
        <f t="shared" si="20"/>
        <v>0</v>
      </c>
      <c r="W68" s="11">
        <f t="shared" si="21"/>
        <v>0</v>
      </c>
      <c r="X68" s="5">
        <f t="shared" si="22"/>
        <v>0</v>
      </c>
      <c r="Y68" s="11">
        <v>0</v>
      </c>
      <c r="Z68" s="5">
        <f t="shared" si="23"/>
        <v>0</v>
      </c>
      <c r="AA68" s="11">
        <f t="shared" si="24"/>
        <v>0</v>
      </c>
      <c r="AB68" s="11">
        <v>0.1</v>
      </c>
    </row>
    <row r="69" spans="1:28">
      <c r="A69">
        <v>2026</v>
      </c>
      <c r="B69" t="s">
        <v>176</v>
      </c>
      <c r="C69" t="s">
        <v>42</v>
      </c>
      <c r="D69" t="s">
        <v>43</v>
      </c>
      <c r="E69" t="s">
        <v>226</v>
      </c>
      <c r="G69" t="s">
        <v>14</v>
      </c>
      <c r="H69" t="s">
        <v>14</v>
      </c>
      <c r="I69" t="s">
        <v>154</v>
      </c>
      <c r="J69">
        <v>2</v>
      </c>
      <c r="K69" t="s">
        <v>16</v>
      </c>
      <c r="L69">
        <v>67900</v>
      </c>
      <c r="M69" s="5">
        <v>13580</v>
      </c>
      <c r="O69" s="5">
        <f t="shared" si="15"/>
        <v>13580</v>
      </c>
      <c r="P69" s="5">
        <f t="shared" si="16"/>
        <v>13580</v>
      </c>
      <c r="Q69" s="11">
        <v>0</v>
      </c>
      <c r="R69" s="5">
        <f t="shared" si="17"/>
        <v>13580</v>
      </c>
      <c r="S69" s="11">
        <f t="shared" si="18"/>
        <v>0</v>
      </c>
      <c r="T69" s="5">
        <f t="shared" si="19"/>
        <v>0</v>
      </c>
      <c r="U69" s="11">
        <v>0</v>
      </c>
      <c r="V69" s="5">
        <f t="shared" si="20"/>
        <v>0</v>
      </c>
      <c r="W69" s="11">
        <f t="shared" si="21"/>
        <v>0</v>
      </c>
      <c r="X69" s="5">
        <f t="shared" si="22"/>
        <v>0</v>
      </c>
      <c r="Y69" s="11">
        <v>0</v>
      </c>
      <c r="Z69" s="5">
        <f t="shared" si="23"/>
        <v>0</v>
      </c>
      <c r="AA69" s="11">
        <f t="shared" si="24"/>
        <v>0</v>
      </c>
      <c r="AB69" s="11">
        <v>0.1</v>
      </c>
    </row>
    <row r="70" spans="1:28">
      <c r="A70">
        <v>2026</v>
      </c>
      <c r="B70" t="s">
        <v>176</v>
      </c>
      <c r="C70" t="s">
        <v>42</v>
      </c>
      <c r="D70" t="s">
        <v>43</v>
      </c>
      <c r="E70" t="s">
        <v>227</v>
      </c>
      <c r="G70" t="s">
        <v>14</v>
      </c>
      <c r="H70" t="s">
        <v>14</v>
      </c>
      <c r="I70" t="s">
        <v>155</v>
      </c>
      <c r="J70">
        <v>2</v>
      </c>
      <c r="K70" t="s">
        <v>16</v>
      </c>
      <c r="L70">
        <v>50300</v>
      </c>
      <c r="M70" s="5">
        <v>10060</v>
      </c>
      <c r="O70" s="5">
        <f t="shared" si="15"/>
        <v>10060</v>
      </c>
      <c r="P70" s="5">
        <f t="shared" si="16"/>
        <v>10060</v>
      </c>
      <c r="Q70" s="11">
        <v>0</v>
      </c>
      <c r="R70" s="5">
        <f t="shared" si="17"/>
        <v>10060</v>
      </c>
      <c r="S70" s="11">
        <f t="shared" si="18"/>
        <v>0</v>
      </c>
      <c r="T70" s="5">
        <f t="shared" si="19"/>
        <v>0</v>
      </c>
      <c r="U70" s="11">
        <v>0</v>
      </c>
      <c r="V70" s="5">
        <f t="shared" si="20"/>
        <v>0</v>
      </c>
      <c r="W70" s="11">
        <f t="shared" si="21"/>
        <v>0</v>
      </c>
      <c r="X70" s="5">
        <f t="shared" si="22"/>
        <v>0</v>
      </c>
      <c r="Y70" s="11">
        <v>0</v>
      </c>
      <c r="Z70" s="5">
        <f t="shared" si="23"/>
        <v>0</v>
      </c>
      <c r="AA70" s="11">
        <f t="shared" si="24"/>
        <v>0</v>
      </c>
      <c r="AB70" s="11">
        <v>0.1</v>
      </c>
    </row>
    <row r="71" spans="1:28">
      <c r="A71">
        <v>2026</v>
      </c>
      <c r="B71" t="s">
        <v>176</v>
      </c>
      <c r="C71" t="s">
        <v>42</v>
      </c>
      <c r="D71" t="s">
        <v>43</v>
      </c>
      <c r="E71" t="s">
        <v>228</v>
      </c>
      <c r="G71" t="s">
        <v>14</v>
      </c>
      <c r="H71" t="s">
        <v>14</v>
      </c>
      <c r="I71" t="s">
        <v>152</v>
      </c>
      <c r="J71">
        <v>2</v>
      </c>
      <c r="K71" t="s">
        <v>16</v>
      </c>
      <c r="L71">
        <v>43500</v>
      </c>
      <c r="M71" s="5">
        <v>7250</v>
      </c>
      <c r="O71" s="5">
        <f t="shared" si="15"/>
        <v>7250</v>
      </c>
      <c r="P71" s="5">
        <f t="shared" si="16"/>
        <v>7250</v>
      </c>
      <c r="Q71" s="11">
        <v>0</v>
      </c>
      <c r="R71" s="5">
        <f t="shared" si="17"/>
        <v>7250</v>
      </c>
      <c r="S71" s="11">
        <f t="shared" si="18"/>
        <v>0</v>
      </c>
      <c r="T71" s="5">
        <f t="shared" si="19"/>
        <v>0</v>
      </c>
      <c r="U71" s="11">
        <v>0</v>
      </c>
      <c r="V71" s="5">
        <f t="shared" si="20"/>
        <v>0</v>
      </c>
      <c r="W71" s="11">
        <f t="shared" si="21"/>
        <v>0</v>
      </c>
      <c r="X71" s="5">
        <f t="shared" si="22"/>
        <v>0</v>
      </c>
      <c r="Y71" s="11">
        <v>0</v>
      </c>
      <c r="Z71" s="5">
        <f t="shared" si="23"/>
        <v>0</v>
      </c>
      <c r="AA71" s="11">
        <f t="shared" si="24"/>
        <v>0</v>
      </c>
      <c r="AB71" s="11">
        <v>0.1</v>
      </c>
    </row>
    <row r="72" spans="1:28">
      <c r="A72">
        <v>2026</v>
      </c>
      <c r="B72" t="s">
        <v>176</v>
      </c>
      <c r="C72" t="s">
        <v>42</v>
      </c>
      <c r="D72" t="s">
        <v>43</v>
      </c>
      <c r="F72">
        <v>1800</v>
      </c>
      <c r="G72" t="s">
        <v>32</v>
      </c>
      <c r="H72" t="s">
        <v>32</v>
      </c>
      <c r="I72" t="s">
        <v>33</v>
      </c>
      <c r="J72">
        <v>60</v>
      </c>
      <c r="K72" t="s">
        <v>38</v>
      </c>
      <c r="L72" s="16">
        <v>20894.400000000001</v>
      </c>
      <c r="M72" s="5">
        <f>+L72*J72</f>
        <v>1253664</v>
      </c>
      <c r="O72" s="5">
        <f t="shared" si="15"/>
        <v>1253664</v>
      </c>
      <c r="P72" s="5">
        <f t="shared" si="16"/>
        <v>1253664</v>
      </c>
      <c r="Q72" s="11">
        <v>0</v>
      </c>
      <c r="R72" s="5">
        <f t="shared" si="17"/>
        <v>1253664</v>
      </c>
      <c r="S72" s="11">
        <f t="shared" si="18"/>
        <v>0</v>
      </c>
      <c r="T72" s="5">
        <f t="shared" si="19"/>
        <v>0</v>
      </c>
      <c r="U72" s="11">
        <v>0</v>
      </c>
      <c r="V72" s="5">
        <f t="shared" si="20"/>
        <v>0</v>
      </c>
      <c r="W72" s="11">
        <f t="shared" si="21"/>
        <v>0</v>
      </c>
      <c r="X72" s="5">
        <f t="shared" si="22"/>
        <v>0</v>
      </c>
      <c r="Y72" s="11">
        <v>0</v>
      </c>
      <c r="Z72" s="5">
        <f t="shared" si="23"/>
        <v>0</v>
      </c>
      <c r="AA72" s="11">
        <f t="shared" si="24"/>
        <v>0</v>
      </c>
      <c r="AB72" s="11">
        <v>0.1</v>
      </c>
    </row>
    <row r="73" spans="1:28">
      <c r="A73">
        <v>2026</v>
      </c>
      <c r="B73" t="s">
        <v>176</v>
      </c>
      <c r="C73" t="s">
        <v>42</v>
      </c>
      <c r="D73" t="s">
        <v>43</v>
      </c>
      <c r="F73">
        <v>900</v>
      </c>
      <c r="G73" t="s">
        <v>32</v>
      </c>
      <c r="H73" t="s">
        <v>32</v>
      </c>
      <c r="I73" t="s">
        <v>35</v>
      </c>
      <c r="J73">
        <v>60</v>
      </c>
      <c r="K73" t="s">
        <v>38</v>
      </c>
      <c r="L73" s="16">
        <v>6048.3</v>
      </c>
      <c r="M73" s="5">
        <f>+L73*J73</f>
        <v>362898</v>
      </c>
      <c r="O73" s="5">
        <f t="shared" si="15"/>
        <v>362898</v>
      </c>
      <c r="P73" s="5">
        <f t="shared" si="16"/>
        <v>362898</v>
      </c>
      <c r="Q73" s="11">
        <v>0</v>
      </c>
      <c r="R73" s="5">
        <f t="shared" si="17"/>
        <v>362898</v>
      </c>
      <c r="S73" s="11">
        <f t="shared" si="18"/>
        <v>0</v>
      </c>
      <c r="T73" s="5">
        <f t="shared" si="19"/>
        <v>0</v>
      </c>
      <c r="U73" s="11">
        <v>0</v>
      </c>
      <c r="V73" s="5">
        <f t="shared" si="20"/>
        <v>0</v>
      </c>
      <c r="W73" s="11">
        <f t="shared" si="21"/>
        <v>0</v>
      </c>
      <c r="X73" s="5">
        <f t="shared" si="22"/>
        <v>0</v>
      </c>
      <c r="Y73" s="11">
        <v>0</v>
      </c>
      <c r="Z73" s="5">
        <f t="shared" si="23"/>
        <v>0</v>
      </c>
      <c r="AA73" s="11">
        <f t="shared" si="24"/>
        <v>0</v>
      </c>
      <c r="AB73" s="11">
        <v>0.1</v>
      </c>
    </row>
    <row r="74" spans="1:28">
      <c r="A74">
        <v>2026</v>
      </c>
      <c r="B74" t="s">
        <v>176</v>
      </c>
      <c r="C74" t="s">
        <v>42</v>
      </c>
      <c r="D74" t="s">
        <v>43</v>
      </c>
      <c r="F74">
        <v>600</v>
      </c>
      <c r="G74" t="s">
        <v>32</v>
      </c>
      <c r="H74" t="s">
        <v>32</v>
      </c>
      <c r="I74" t="s">
        <v>213</v>
      </c>
      <c r="J74">
        <v>60</v>
      </c>
      <c r="K74" t="s">
        <v>38</v>
      </c>
      <c r="L74">
        <v>35000</v>
      </c>
      <c r="M74" s="5">
        <f>+L74*J74</f>
        <v>2100000</v>
      </c>
      <c r="O74" s="5">
        <f t="shared" si="15"/>
        <v>2100000</v>
      </c>
      <c r="P74" s="5">
        <f t="shared" si="16"/>
        <v>2100000</v>
      </c>
      <c r="Q74" s="11">
        <v>0</v>
      </c>
      <c r="R74" s="5">
        <f t="shared" si="17"/>
        <v>2100000</v>
      </c>
      <c r="S74" s="11">
        <f t="shared" si="18"/>
        <v>0</v>
      </c>
      <c r="T74" s="5">
        <f t="shared" si="19"/>
        <v>0</v>
      </c>
      <c r="U74" s="11">
        <v>0</v>
      </c>
      <c r="V74" s="5">
        <f t="shared" si="20"/>
        <v>0</v>
      </c>
      <c r="W74" s="11">
        <f t="shared" si="21"/>
        <v>0</v>
      </c>
      <c r="X74" s="5">
        <f t="shared" si="22"/>
        <v>0</v>
      </c>
      <c r="Y74" s="11">
        <v>0</v>
      </c>
      <c r="Z74" s="5">
        <f t="shared" si="23"/>
        <v>0</v>
      </c>
      <c r="AA74" s="11">
        <f t="shared" si="24"/>
        <v>0</v>
      </c>
      <c r="AB74" s="11">
        <v>0.1</v>
      </c>
    </row>
    <row r="75" spans="1:28">
      <c r="A75">
        <v>2026</v>
      </c>
      <c r="B75" t="s">
        <v>176</v>
      </c>
      <c r="C75" t="s">
        <v>42</v>
      </c>
      <c r="D75" t="s">
        <v>43</v>
      </c>
      <c r="F75">
        <v>600</v>
      </c>
      <c r="G75" t="s">
        <v>32</v>
      </c>
      <c r="H75" t="s">
        <v>32</v>
      </c>
      <c r="I75" t="s">
        <v>214</v>
      </c>
      <c r="J75">
        <v>60</v>
      </c>
      <c r="K75" t="s">
        <v>38</v>
      </c>
      <c r="L75">
        <v>25000</v>
      </c>
      <c r="M75" s="5">
        <f>+L75*J75</f>
        <v>1500000</v>
      </c>
      <c r="O75" s="5">
        <f t="shared" si="15"/>
        <v>1500000</v>
      </c>
      <c r="P75" s="5">
        <f t="shared" si="16"/>
        <v>1500000</v>
      </c>
      <c r="Q75" s="11">
        <v>0</v>
      </c>
      <c r="R75" s="5">
        <f t="shared" si="17"/>
        <v>1500000</v>
      </c>
      <c r="S75" s="11">
        <f t="shared" si="18"/>
        <v>0</v>
      </c>
      <c r="T75" s="5">
        <f t="shared" si="19"/>
        <v>0</v>
      </c>
      <c r="U75" s="11">
        <v>0</v>
      </c>
      <c r="V75" s="5">
        <f t="shared" si="20"/>
        <v>0</v>
      </c>
      <c r="W75" s="11">
        <f t="shared" si="21"/>
        <v>0</v>
      </c>
      <c r="X75" s="5">
        <f t="shared" si="22"/>
        <v>0</v>
      </c>
      <c r="Y75" s="11">
        <v>0</v>
      </c>
      <c r="Z75" s="5">
        <f t="shared" si="23"/>
        <v>0</v>
      </c>
      <c r="AA75" s="11">
        <f t="shared" si="24"/>
        <v>0</v>
      </c>
      <c r="AB75" s="11">
        <v>0.1</v>
      </c>
    </row>
    <row r="76" spans="1:28">
      <c r="A76">
        <v>2026</v>
      </c>
      <c r="B76" t="s">
        <v>176</v>
      </c>
      <c r="C76" t="s">
        <v>42</v>
      </c>
      <c r="D76" t="s">
        <v>43</v>
      </c>
      <c r="F76">
        <v>600</v>
      </c>
      <c r="G76" t="s">
        <v>32</v>
      </c>
      <c r="H76" t="s">
        <v>32</v>
      </c>
      <c r="I76" t="s">
        <v>215</v>
      </c>
      <c r="J76">
        <v>60</v>
      </c>
      <c r="K76" t="s">
        <v>38</v>
      </c>
      <c r="L76">
        <v>20000</v>
      </c>
      <c r="M76" s="5">
        <f>+L76*J76</f>
        <v>1200000</v>
      </c>
      <c r="O76" s="5">
        <f t="shared" si="15"/>
        <v>1200000</v>
      </c>
      <c r="P76" s="5">
        <f t="shared" si="16"/>
        <v>1200000</v>
      </c>
      <c r="Q76" s="11">
        <v>0</v>
      </c>
      <c r="R76" s="5">
        <f t="shared" si="17"/>
        <v>1200000</v>
      </c>
      <c r="S76" s="11">
        <f t="shared" si="18"/>
        <v>0</v>
      </c>
      <c r="T76" s="5">
        <f t="shared" si="19"/>
        <v>0</v>
      </c>
      <c r="U76" s="11">
        <v>0</v>
      </c>
      <c r="V76" s="5">
        <f t="shared" si="20"/>
        <v>0</v>
      </c>
      <c r="W76" s="11">
        <f t="shared" si="21"/>
        <v>0</v>
      </c>
      <c r="X76" s="5">
        <f t="shared" si="22"/>
        <v>0</v>
      </c>
      <c r="Y76" s="11">
        <v>0</v>
      </c>
      <c r="Z76" s="5">
        <f t="shared" si="23"/>
        <v>0</v>
      </c>
      <c r="AA76" s="11">
        <f t="shared" si="24"/>
        <v>0</v>
      </c>
      <c r="AB76" s="11">
        <v>0.1</v>
      </c>
    </row>
    <row r="77" spans="1:28">
      <c r="A77">
        <v>2026</v>
      </c>
      <c r="B77" t="s">
        <v>177</v>
      </c>
      <c r="C77" t="s">
        <v>42</v>
      </c>
      <c r="D77" t="s">
        <v>43</v>
      </c>
      <c r="E77" t="s">
        <v>216</v>
      </c>
      <c r="G77" t="s">
        <v>14</v>
      </c>
      <c r="H77" t="s">
        <v>14</v>
      </c>
      <c r="I77" t="s">
        <v>15</v>
      </c>
      <c r="J77">
        <v>4</v>
      </c>
      <c r="K77" t="s">
        <v>16</v>
      </c>
      <c r="L77">
        <v>266</v>
      </c>
      <c r="M77" s="5">
        <v>1064</v>
      </c>
      <c r="O77" s="5">
        <f t="shared" si="15"/>
        <v>1064</v>
      </c>
      <c r="P77" s="5">
        <f t="shared" si="16"/>
        <v>1064</v>
      </c>
      <c r="Q77" s="11">
        <v>0</v>
      </c>
      <c r="R77" s="5">
        <f t="shared" si="17"/>
        <v>1064</v>
      </c>
      <c r="S77" s="11">
        <f t="shared" si="18"/>
        <v>0</v>
      </c>
      <c r="T77" s="5">
        <f t="shared" si="19"/>
        <v>0</v>
      </c>
      <c r="U77" s="11">
        <v>0</v>
      </c>
      <c r="V77" s="5">
        <f t="shared" si="20"/>
        <v>0</v>
      </c>
      <c r="W77" s="11">
        <f t="shared" si="21"/>
        <v>0</v>
      </c>
      <c r="X77" s="5">
        <f t="shared" si="22"/>
        <v>0</v>
      </c>
      <c r="Y77" s="11">
        <v>0</v>
      </c>
      <c r="Z77" s="5">
        <f t="shared" si="23"/>
        <v>0</v>
      </c>
      <c r="AA77" s="11">
        <f t="shared" si="24"/>
        <v>0</v>
      </c>
      <c r="AB77" s="11">
        <v>0.1</v>
      </c>
    </row>
    <row r="78" spans="1:28">
      <c r="A78">
        <v>2026</v>
      </c>
      <c r="B78" t="s">
        <v>177</v>
      </c>
      <c r="C78" t="s">
        <v>42</v>
      </c>
      <c r="D78" t="s">
        <v>43</v>
      </c>
      <c r="E78" t="s">
        <v>217</v>
      </c>
      <c r="G78" t="s">
        <v>14</v>
      </c>
      <c r="H78" t="s">
        <v>14</v>
      </c>
      <c r="I78" t="s">
        <v>18</v>
      </c>
      <c r="J78">
        <v>2</v>
      </c>
      <c r="K78" t="s">
        <v>16</v>
      </c>
      <c r="L78">
        <v>1086.232</v>
      </c>
      <c r="M78" s="5">
        <v>2172.4639999999999</v>
      </c>
      <c r="O78" s="5">
        <f t="shared" si="15"/>
        <v>2172.4639999999999</v>
      </c>
      <c r="P78" s="5">
        <f t="shared" si="16"/>
        <v>2172.4639999999999</v>
      </c>
      <c r="Q78" s="11">
        <v>0</v>
      </c>
      <c r="R78" s="5">
        <f t="shared" si="17"/>
        <v>2172.4639999999999</v>
      </c>
      <c r="S78" s="11">
        <f t="shared" si="18"/>
        <v>0</v>
      </c>
      <c r="T78" s="5">
        <f t="shared" si="19"/>
        <v>0</v>
      </c>
      <c r="U78" s="11">
        <v>0</v>
      </c>
      <c r="V78" s="5">
        <f t="shared" si="20"/>
        <v>0</v>
      </c>
      <c r="W78" s="11">
        <f t="shared" si="21"/>
        <v>0</v>
      </c>
      <c r="X78" s="5">
        <f t="shared" si="22"/>
        <v>0</v>
      </c>
      <c r="Y78" s="11">
        <v>0</v>
      </c>
      <c r="Z78" s="5">
        <f t="shared" si="23"/>
        <v>0</v>
      </c>
      <c r="AA78" s="11">
        <f t="shared" si="24"/>
        <v>0</v>
      </c>
      <c r="AB78" s="11">
        <v>0.1</v>
      </c>
    </row>
    <row r="79" spans="1:28">
      <c r="A79">
        <v>2026</v>
      </c>
      <c r="B79" t="s">
        <v>177</v>
      </c>
      <c r="C79" t="s">
        <v>42</v>
      </c>
      <c r="D79" t="s">
        <v>43</v>
      </c>
      <c r="E79" t="s">
        <v>218</v>
      </c>
      <c r="G79" t="s">
        <v>14</v>
      </c>
      <c r="H79" t="s">
        <v>14</v>
      </c>
      <c r="I79" t="s">
        <v>20</v>
      </c>
      <c r="J79">
        <v>10</v>
      </c>
      <c r="K79" t="s">
        <v>16</v>
      </c>
      <c r="L79">
        <v>370</v>
      </c>
      <c r="M79" s="5">
        <v>3700</v>
      </c>
      <c r="O79" s="5">
        <f t="shared" si="15"/>
        <v>3700</v>
      </c>
      <c r="P79" s="5">
        <f t="shared" si="16"/>
        <v>3700</v>
      </c>
      <c r="Q79" s="11">
        <v>0</v>
      </c>
      <c r="R79" s="5">
        <f t="shared" si="17"/>
        <v>3700</v>
      </c>
      <c r="S79" s="11">
        <f t="shared" si="18"/>
        <v>0</v>
      </c>
      <c r="T79" s="5">
        <f t="shared" si="19"/>
        <v>0</v>
      </c>
      <c r="U79" s="11">
        <v>0</v>
      </c>
      <c r="V79" s="5">
        <f t="shared" si="20"/>
        <v>0</v>
      </c>
      <c r="W79" s="11">
        <f t="shared" si="21"/>
        <v>0</v>
      </c>
      <c r="X79" s="5">
        <f t="shared" si="22"/>
        <v>0</v>
      </c>
      <c r="Y79" s="11">
        <v>0</v>
      </c>
      <c r="Z79" s="5">
        <f t="shared" si="23"/>
        <v>0</v>
      </c>
      <c r="AA79" s="11">
        <f t="shared" si="24"/>
        <v>0</v>
      </c>
      <c r="AB79" s="11">
        <v>0.1</v>
      </c>
    </row>
    <row r="80" spans="1:28">
      <c r="A80">
        <v>2026</v>
      </c>
      <c r="B80" t="s">
        <v>177</v>
      </c>
      <c r="C80" t="s">
        <v>42</v>
      </c>
      <c r="D80" t="s">
        <v>43</v>
      </c>
      <c r="E80" t="s">
        <v>219</v>
      </c>
      <c r="G80" t="s">
        <v>14</v>
      </c>
      <c r="H80" t="s">
        <v>14</v>
      </c>
      <c r="I80" t="s">
        <v>44</v>
      </c>
      <c r="J80">
        <v>2</v>
      </c>
      <c r="K80" t="s">
        <v>16</v>
      </c>
      <c r="L80">
        <v>2643</v>
      </c>
      <c r="M80" s="5">
        <v>5286</v>
      </c>
      <c r="O80" s="5">
        <f t="shared" si="15"/>
        <v>5286</v>
      </c>
      <c r="P80" s="5">
        <f t="shared" si="16"/>
        <v>5286</v>
      </c>
      <c r="Q80" s="11">
        <v>0</v>
      </c>
      <c r="R80" s="5">
        <f t="shared" si="17"/>
        <v>5286</v>
      </c>
      <c r="S80" s="11">
        <f t="shared" si="18"/>
        <v>0</v>
      </c>
      <c r="T80" s="5">
        <f t="shared" si="19"/>
        <v>0</v>
      </c>
      <c r="U80" s="11">
        <v>0</v>
      </c>
      <c r="V80" s="5">
        <f t="shared" si="20"/>
        <v>0</v>
      </c>
      <c r="W80" s="11">
        <f t="shared" si="21"/>
        <v>0</v>
      </c>
      <c r="X80" s="5">
        <f t="shared" si="22"/>
        <v>0</v>
      </c>
      <c r="Y80" s="11">
        <v>0</v>
      </c>
      <c r="Z80" s="5">
        <f t="shared" si="23"/>
        <v>0</v>
      </c>
      <c r="AA80" s="11">
        <f t="shared" si="24"/>
        <v>0</v>
      </c>
      <c r="AB80" s="11">
        <v>0.1</v>
      </c>
    </row>
    <row r="81" spans="1:28">
      <c r="A81">
        <v>2026</v>
      </c>
      <c r="B81" t="s">
        <v>177</v>
      </c>
      <c r="C81" t="s">
        <v>42</v>
      </c>
      <c r="D81" t="s">
        <v>43</v>
      </c>
      <c r="E81" t="s">
        <v>220</v>
      </c>
      <c r="G81" t="s">
        <v>14</v>
      </c>
      <c r="H81" t="s">
        <v>14</v>
      </c>
      <c r="I81" t="s">
        <v>24</v>
      </c>
      <c r="J81">
        <v>5</v>
      </c>
      <c r="K81" t="s">
        <v>16</v>
      </c>
      <c r="L81">
        <v>135.66</v>
      </c>
      <c r="M81" s="5">
        <v>678.3</v>
      </c>
      <c r="O81" s="5">
        <f t="shared" si="15"/>
        <v>678.3</v>
      </c>
      <c r="P81" s="5">
        <f t="shared" si="16"/>
        <v>678.3</v>
      </c>
      <c r="Q81" s="11">
        <v>0</v>
      </c>
      <c r="R81" s="5">
        <f t="shared" si="17"/>
        <v>678.3</v>
      </c>
      <c r="S81" s="11">
        <f t="shared" si="18"/>
        <v>0</v>
      </c>
      <c r="T81" s="5">
        <f t="shared" si="19"/>
        <v>0</v>
      </c>
      <c r="U81" s="11">
        <v>0</v>
      </c>
      <c r="V81" s="5">
        <f t="shared" si="20"/>
        <v>0</v>
      </c>
      <c r="W81" s="11">
        <f t="shared" si="21"/>
        <v>0</v>
      </c>
      <c r="X81" s="5">
        <f t="shared" si="22"/>
        <v>0</v>
      </c>
      <c r="Y81" s="11">
        <v>0</v>
      </c>
      <c r="Z81" s="5">
        <f t="shared" si="23"/>
        <v>0</v>
      </c>
      <c r="AA81" s="11">
        <f t="shared" si="24"/>
        <v>0</v>
      </c>
      <c r="AB81" s="11">
        <v>0.1</v>
      </c>
    </row>
    <row r="82" spans="1:28">
      <c r="A82">
        <v>2026</v>
      </c>
      <c r="B82" t="s">
        <v>177</v>
      </c>
      <c r="C82" t="s">
        <v>42</v>
      </c>
      <c r="D82" t="s">
        <v>43</v>
      </c>
      <c r="E82" t="s">
        <v>221</v>
      </c>
      <c r="G82" t="s">
        <v>14</v>
      </c>
      <c r="H82" t="s">
        <v>14</v>
      </c>
      <c r="I82" t="s">
        <v>25</v>
      </c>
      <c r="J82">
        <v>2</v>
      </c>
      <c r="K82" t="s">
        <v>16</v>
      </c>
      <c r="L82">
        <v>3808</v>
      </c>
      <c r="M82" s="5">
        <v>7616</v>
      </c>
      <c r="O82" s="5">
        <f t="shared" si="15"/>
        <v>7616</v>
      </c>
      <c r="P82" s="5">
        <f t="shared" si="16"/>
        <v>7616</v>
      </c>
      <c r="Q82" s="11">
        <v>0</v>
      </c>
      <c r="R82" s="5">
        <f t="shared" si="17"/>
        <v>7616</v>
      </c>
      <c r="S82" s="11">
        <f t="shared" si="18"/>
        <v>0</v>
      </c>
      <c r="T82" s="5">
        <f t="shared" si="19"/>
        <v>0</v>
      </c>
      <c r="U82" s="11">
        <v>0</v>
      </c>
      <c r="V82" s="5">
        <f t="shared" si="20"/>
        <v>0</v>
      </c>
      <c r="W82" s="11">
        <f t="shared" si="21"/>
        <v>0</v>
      </c>
      <c r="X82" s="5">
        <f t="shared" si="22"/>
        <v>0</v>
      </c>
      <c r="Y82" s="11">
        <v>0</v>
      </c>
      <c r="Z82" s="5">
        <f t="shared" si="23"/>
        <v>0</v>
      </c>
      <c r="AA82" s="11">
        <f t="shared" si="24"/>
        <v>0</v>
      </c>
      <c r="AB82" s="11">
        <v>0.1</v>
      </c>
    </row>
    <row r="83" spans="1:28">
      <c r="A83">
        <v>2026</v>
      </c>
      <c r="B83" t="s">
        <v>177</v>
      </c>
      <c r="C83" t="s">
        <v>42</v>
      </c>
      <c r="D83" t="s">
        <v>43</v>
      </c>
      <c r="E83" t="s">
        <v>222</v>
      </c>
      <c r="G83" t="s">
        <v>14</v>
      </c>
      <c r="H83" t="s">
        <v>14</v>
      </c>
      <c r="I83" t="s">
        <v>26</v>
      </c>
      <c r="J83">
        <v>2</v>
      </c>
      <c r="K83" t="s">
        <v>16</v>
      </c>
      <c r="L83">
        <v>111.86</v>
      </c>
      <c r="M83" s="5">
        <v>223.72</v>
      </c>
      <c r="O83" s="5">
        <f t="shared" si="15"/>
        <v>223.72</v>
      </c>
      <c r="P83" s="5">
        <f t="shared" si="16"/>
        <v>223.72</v>
      </c>
      <c r="Q83" s="11">
        <v>0</v>
      </c>
      <c r="R83" s="5">
        <f t="shared" si="17"/>
        <v>223.72</v>
      </c>
      <c r="S83" s="11">
        <f t="shared" si="18"/>
        <v>0</v>
      </c>
      <c r="T83" s="5">
        <f t="shared" si="19"/>
        <v>0</v>
      </c>
      <c r="U83" s="11">
        <v>0</v>
      </c>
      <c r="V83" s="5">
        <f t="shared" si="20"/>
        <v>0</v>
      </c>
      <c r="W83" s="11">
        <f t="shared" si="21"/>
        <v>0</v>
      </c>
      <c r="X83" s="5">
        <f t="shared" si="22"/>
        <v>0</v>
      </c>
      <c r="Y83" s="11">
        <v>0</v>
      </c>
      <c r="Z83" s="5">
        <f t="shared" si="23"/>
        <v>0</v>
      </c>
      <c r="AA83" s="11">
        <f t="shared" si="24"/>
        <v>0</v>
      </c>
      <c r="AB83" s="11">
        <v>0.1</v>
      </c>
    </row>
    <row r="84" spans="1:28">
      <c r="A84">
        <v>2026</v>
      </c>
      <c r="B84" t="s">
        <v>177</v>
      </c>
      <c r="C84" t="s">
        <v>42</v>
      </c>
      <c r="D84" t="s">
        <v>43</v>
      </c>
      <c r="E84" t="s">
        <v>223</v>
      </c>
      <c r="G84" t="s">
        <v>14</v>
      </c>
      <c r="H84" t="s">
        <v>14</v>
      </c>
      <c r="I84" t="s">
        <v>66</v>
      </c>
      <c r="J84">
        <v>10</v>
      </c>
      <c r="K84" t="s">
        <v>16</v>
      </c>
      <c r="L84">
        <v>80300</v>
      </c>
      <c r="M84" s="5">
        <v>3212</v>
      </c>
      <c r="O84" s="5">
        <f t="shared" si="15"/>
        <v>3212</v>
      </c>
      <c r="P84" s="5">
        <f t="shared" si="16"/>
        <v>3212</v>
      </c>
      <c r="Q84" s="11">
        <v>0</v>
      </c>
      <c r="R84" s="5">
        <f t="shared" si="17"/>
        <v>3212</v>
      </c>
      <c r="S84" s="11">
        <f t="shared" si="18"/>
        <v>0</v>
      </c>
      <c r="T84" s="5">
        <f t="shared" si="19"/>
        <v>0</v>
      </c>
      <c r="U84" s="11">
        <v>0</v>
      </c>
      <c r="V84" s="5">
        <f t="shared" si="20"/>
        <v>0</v>
      </c>
      <c r="W84" s="11">
        <f t="shared" si="21"/>
        <v>0</v>
      </c>
      <c r="X84" s="5">
        <f t="shared" si="22"/>
        <v>0</v>
      </c>
      <c r="Y84" s="11">
        <v>0</v>
      </c>
      <c r="Z84" s="5">
        <f t="shared" si="23"/>
        <v>0</v>
      </c>
      <c r="AA84" s="11">
        <f t="shared" si="24"/>
        <v>0</v>
      </c>
      <c r="AB84" s="11">
        <v>0.1</v>
      </c>
    </row>
    <row r="85" spans="1:28">
      <c r="A85">
        <v>2026</v>
      </c>
      <c r="B85" t="s">
        <v>177</v>
      </c>
      <c r="C85" t="s">
        <v>42</v>
      </c>
      <c r="D85" t="s">
        <v>43</v>
      </c>
      <c r="E85" t="s">
        <v>224</v>
      </c>
      <c r="G85" t="s">
        <v>14</v>
      </c>
      <c r="H85" t="s">
        <v>14</v>
      </c>
      <c r="I85" t="s">
        <v>28</v>
      </c>
      <c r="J85">
        <v>5</v>
      </c>
      <c r="K85" t="s">
        <v>16</v>
      </c>
      <c r="L85">
        <v>17888.080000000002</v>
      </c>
      <c r="M85" s="5">
        <v>89440.400000000009</v>
      </c>
      <c r="O85" s="5">
        <f t="shared" si="15"/>
        <v>89440.400000000009</v>
      </c>
      <c r="P85" s="5">
        <f t="shared" si="16"/>
        <v>89440.400000000009</v>
      </c>
      <c r="Q85" s="11">
        <v>0</v>
      </c>
      <c r="R85" s="5">
        <f t="shared" si="17"/>
        <v>89440.400000000009</v>
      </c>
      <c r="S85" s="11">
        <f t="shared" si="18"/>
        <v>0</v>
      </c>
      <c r="T85" s="5">
        <f t="shared" si="19"/>
        <v>0</v>
      </c>
      <c r="U85" s="11">
        <v>0</v>
      </c>
      <c r="V85" s="5">
        <f t="shared" si="20"/>
        <v>0</v>
      </c>
      <c r="W85" s="11">
        <f t="shared" si="21"/>
        <v>0</v>
      </c>
      <c r="X85" s="5">
        <f t="shared" si="22"/>
        <v>0</v>
      </c>
      <c r="Y85" s="11">
        <v>0</v>
      </c>
      <c r="Z85" s="5">
        <f t="shared" si="23"/>
        <v>0</v>
      </c>
      <c r="AA85" s="11">
        <f t="shared" si="24"/>
        <v>0</v>
      </c>
      <c r="AB85" s="11">
        <v>0.1</v>
      </c>
    </row>
    <row r="86" spans="1:28">
      <c r="A86">
        <v>2026</v>
      </c>
      <c r="B86" t="s">
        <v>177</v>
      </c>
      <c r="C86" t="s">
        <v>42</v>
      </c>
      <c r="D86" t="s">
        <v>43</v>
      </c>
      <c r="E86" t="s">
        <v>225</v>
      </c>
      <c r="G86" t="s">
        <v>14</v>
      </c>
      <c r="H86" t="s">
        <v>14</v>
      </c>
      <c r="I86" t="s">
        <v>29</v>
      </c>
      <c r="J86">
        <v>2</v>
      </c>
      <c r="K86" t="s">
        <v>16</v>
      </c>
      <c r="L86">
        <v>337.3837894736842</v>
      </c>
      <c r="M86" s="5">
        <v>674.76757894736841</v>
      </c>
      <c r="O86" s="5">
        <f t="shared" si="15"/>
        <v>674.76757894736841</v>
      </c>
      <c r="P86" s="5">
        <f t="shared" si="16"/>
        <v>674.76757894736841</v>
      </c>
      <c r="Q86" s="11">
        <v>0</v>
      </c>
      <c r="R86" s="5">
        <f t="shared" si="17"/>
        <v>674.76757894736841</v>
      </c>
      <c r="S86" s="11">
        <f t="shared" si="18"/>
        <v>0</v>
      </c>
      <c r="T86" s="5">
        <f t="shared" si="19"/>
        <v>0</v>
      </c>
      <c r="U86" s="11">
        <v>0</v>
      </c>
      <c r="V86" s="5">
        <f t="shared" si="20"/>
        <v>0</v>
      </c>
      <c r="W86" s="11">
        <f t="shared" si="21"/>
        <v>0</v>
      </c>
      <c r="X86" s="5">
        <f t="shared" si="22"/>
        <v>0</v>
      </c>
      <c r="Y86" s="11">
        <v>0</v>
      </c>
      <c r="Z86" s="5">
        <f t="shared" si="23"/>
        <v>0</v>
      </c>
      <c r="AA86" s="11">
        <f t="shared" si="24"/>
        <v>0</v>
      </c>
      <c r="AB86" s="11">
        <v>0.1</v>
      </c>
    </row>
    <row r="87" spans="1:28">
      <c r="A87">
        <v>2026</v>
      </c>
      <c r="B87" t="s">
        <v>177</v>
      </c>
      <c r="C87" t="s">
        <v>42</v>
      </c>
      <c r="D87" t="s">
        <v>43</v>
      </c>
      <c r="E87" t="s">
        <v>226</v>
      </c>
      <c r="G87" t="s">
        <v>14</v>
      </c>
      <c r="H87" t="s">
        <v>14</v>
      </c>
      <c r="I87" t="s">
        <v>154</v>
      </c>
      <c r="J87">
        <v>2</v>
      </c>
      <c r="K87" t="s">
        <v>16</v>
      </c>
      <c r="L87">
        <v>67900</v>
      </c>
      <c r="M87" s="5">
        <v>13580</v>
      </c>
      <c r="O87" s="5">
        <f t="shared" si="15"/>
        <v>13580</v>
      </c>
      <c r="P87" s="5">
        <f t="shared" si="16"/>
        <v>13580</v>
      </c>
      <c r="Q87" s="11">
        <v>0</v>
      </c>
      <c r="R87" s="5">
        <f t="shared" si="17"/>
        <v>13580</v>
      </c>
      <c r="S87" s="11">
        <f t="shared" si="18"/>
        <v>0</v>
      </c>
      <c r="T87" s="5">
        <f t="shared" si="19"/>
        <v>0</v>
      </c>
      <c r="U87" s="11">
        <v>0</v>
      </c>
      <c r="V87" s="5">
        <f t="shared" si="20"/>
        <v>0</v>
      </c>
      <c r="W87" s="11">
        <f t="shared" si="21"/>
        <v>0</v>
      </c>
      <c r="X87" s="5">
        <f t="shared" si="22"/>
        <v>0</v>
      </c>
      <c r="Y87" s="11">
        <v>0</v>
      </c>
      <c r="Z87" s="5">
        <f t="shared" si="23"/>
        <v>0</v>
      </c>
      <c r="AA87" s="11">
        <f t="shared" si="24"/>
        <v>0</v>
      </c>
      <c r="AB87" s="11">
        <v>0.1</v>
      </c>
    </row>
    <row r="88" spans="1:28">
      <c r="A88">
        <v>2026</v>
      </c>
      <c r="B88" t="s">
        <v>177</v>
      </c>
      <c r="C88" t="s">
        <v>42</v>
      </c>
      <c r="D88" t="s">
        <v>43</v>
      </c>
      <c r="E88" t="s">
        <v>227</v>
      </c>
      <c r="G88" t="s">
        <v>14</v>
      </c>
      <c r="H88" t="s">
        <v>14</v>
      </c>
      <c r="I88" t="s">
        <v>155</v>
      </c>
      <c r="J88">
        <v>2</v>
      </c>
      <c r="K88" t="s">
        <v>16</v>
      </c>
      <c r="L88">
        <v>50300</v>
      </c>
      <c r="M88" s="5">
        <v>10060</v>
      </c>
      <c r="O88" s="5">
        <f t="shared" si="15"/>
        <v>10060</v>
      </c>
      <c r="P88" s="5">
        <f t="shared" si="16"/>
        <v>10060</v>
      </c>
      <c r="Q88" s="11">
        <v>0</v>
      </c>
      <c r="R88" s="5">
        <f t="shared" si="17"/>
        <v>10060</v>
      </c>
      <c r="S88" s="11">
        <f t="shared" si="18"/>
        <v>0</v>
      </c>
      <c r="T88" s="5">
        <f t="shared" si="19"/>
        <v>0</v>
      </c>
      <c r="U88" s="11">
        <v>0</v>
      </c>
      <c r="V88" s="5">
        <f t="shared" si="20"/>
        <v>0</v>
      </c>
      <c r="W88" s="11">
        <f t="shared" si="21"/>
        <v>0</v>
      </c>
      <c r="X88" s="5">
        <f t="shared" si="22"/>
        <v>0</v>
      </c>
      <c r="Y88" s="11">
        <v>0</v>
      </c>
      <c r="Z88" s="5">
        <f t="shared" si="23"/>
        <v>0</v>
      </c>
      <c r="AA88" s="11">
        <f t="shared" si="24"/>
        <v>0</v>
      </c>
      <c r="AB88" s="11">
        <v>0.1</v>
      </c>
    </row>
    <row r="89" spans="1:28">
      <c r="A89">
        <v>2026</v>
      </c>
      <c r="B89" t="s">
        <v>177</v>
      </c>
      <c r="C89" t="s">
        <v>42</v>
      </c>
      <c r="D89" t="s">
        <v>43</v>
      </c>
      <c r="E89" t="s">
        <v>228</v>
      </c>
      <c r="G89" t="s">
        <v>14</v>
      </c>
      <c r="H89" t="s">
        <v>14</v>
      </c>
      <c r="I89" t="s">
        <v>152</v>
      </c>
      <c r="J89">
        <v>2</v>
      </c>
      <c r="K89" t="s">
        <v>16</v>
      </c>
      <c r="L89">
        <v>43500</v>
      </c>
      <c r="M89" s="5">
        <v>7250</v>
      </c>
      <c r="O89" s="5">
        <f t="shared" si="15"/>
        <v>7250</v>
      </c>
      <c r="P89" s="5">
        <f t="shared" si="16"/>
        <v>7250</v>
      </c>
      <c r="Q89" s="11">
        <v>0</v>
      </c>
      <c r="R89" s="5">
        <f t="shared" si="17"/>
        <v>7250</v>
      </c>
      <c r="S89" s="11">
        <f t="shared" si="18"/>
        <v>0</v>
      </c>
      <c r="T89" s="5">
        <f t="shared" si="19"/>
        <v>0</v>
      </c>
      <c r="U89" s="11">
        <v>0</v>
      </c>
      <c r="V89" s="5">
        <f t="shared" si="20"/>
        <v>0</v>
      </c>
      <c r="W89" s="11">
        <f t="shared" si="21"/>
        <v>0</v>
      </c>
      <c r="X89" s="5">
        <f t="shared" si="22"/>
        <v>0</v>
      </c>
      <c r="Y89" s="11">
        <v>0</v>
      </c>
      <c r="Z89" s="5">
        <f t="shared" si="23"/>
        <v>0</v>
      </c>
      <c r="AA89" s="11">
        <f t="shared" si="24"/>
        <v>0</v>
      </c>
      <c r="AB89" s="11">
        <v>0.1</v>
      </c>
    </row>
    <row r="90" spans="1:28">
      <c r="A90">
        <v>2026</v>
      </c>
      <c r="B90" t="s">
        <v>177</v>
      </c>
      <c r="C90" t="s">
        <v>42</v>
      </c>
      <c r="D90" t="s">
        <v>43</v>
      </c>
      <c r="F90">
        <v>1800</v>
      </c>
      <c r="G90" t="s">
        <v>32</v>
      </c>
      <c r="H90" t="s">
        <v>32</v>
      </c>
      <c r="I90" t="s">
        <v>33</v>
      </c>
      <c r="J90">
        <v>60</v>
      </c>
      <c r="K90" t="s">
        <v>38</v>
      </c>
      <c r="L90" s="16">
        <v>20894.400000000001</v>
      </c>
      <c r="M90" s="5">
        <f>+L90*J90</f>
        <v>1253664</v>
      </c>
      <c r="O90" s="5">
        <f t="shared" si="15"/>
        <v>1253664</v>
      </c>
      <c r="P90" s="5">
        <f t="shared" si="16"/>
        <v>1253664</v>
      </c>
      <c r="Q90" s="11">
        <v>0</v>
      </c>
      <c r="R90" s="5">
        <f t="shared" si="17"/>
        <v>1253664</v>
      </c>
      <c r="S90" s="11">
        <f t="shared" si="18"/>
        <v>0</v>
      </c>
      <c r="T90" s="5">
        <f t="shared" si="19"/>
        <v>0</v>
      </c>
      <c r="U90" s="11">
        <v>0</v>
      </c>
      <c r="V90" s="5">
        <f t="shared" si="20"/>
        <v>0</v>
      </c>
      <c r="W90" s="11">
        <f t="shared" si="21"/>
        <v>0</v>
      </c>
      <c r="X90" s="5">
        <f t="shared" si="22"/>
        <v>0</v>
      </c>
      <c r="Y90" s="11">
        <v>0</v>
      </c>
      <c r="Z90" s="5">
        <f t="shared" si="23"/>
        <v>0</v>
      </c>
      <c r="AA90" s="11">
        <f t="shared" si="24"/>
        <v>0</v>
      </c>
      <c r="AB90" s="11">
        <v>0.1</v>
      </c>
    </row>
    <row r="91" spans="1:28">
      <c r="A91">
        <v>2026</v>
      </c>
      <c r="B91" t="s">
        <v>177</v>
      </c>
      <c r="C91" t="s">
        <v>42</v>
      </c>
      <c r="D91" t="s">
        <v>43</v>
      </c>
      <c r="F91">
        <v>900</v>
      </c>
      <c r="G91" t="s">
        <v>32</v>
      </c>
      <c r="H91" t="s">
        <v>32</v>
      </c>
      <c r="I91" t="s">
        <v>35</v>
      </c>
      <c r="J91">
        <v>60</v>
      </c>
      <c r="K91" t="s">
        <v>38</v>
      </c>
      <c r="L91" s="16">
        <v>6048.3</v>
      </c>
      <c r="M91" s="5">
        <f>+L91*J91</f>
        <v>362898</v>
      </c>
      <c r="O91" s="5">
        <f t="shared" si="15"/>
        <v>362898</v>
      </c>
      <c r="P91" s="5">
        <f t="shared" si="16"/>
        <v>362898</v>
      </c>
      <c r="Q91" s="11">
        <v>0</v>
      </c>
      <c r="R91" s="5">
        <f t="shared" si="17"/>
        <v>362898</v>
      </c>
      <c r="S91" s="11">
        <f t="shared" si="18"/>
        <v>0</v>
      </c>
      <c r="T91" s="5">
        <f t="shared" si="19"/>
        <v>0</v>
      </c>
      <c r="U91" s="11">
        <v>0</v>
      </c>
      <c r="V91" s="5">
        <f t="shared" si="20"/>
        <v>0</v>
      </c>
      <c r="W91" s="11">
        <f t="shared" si="21"/>
        <v>0</v>
      </c>
      <c r="X91" s="5">
        <f t="shared" si="22"/>
        <v>0</v>
      </c>
      <c r="Y91" s="11">
        <v>0</v>
      </c>
      <c r="Z91" s="5">
        <f t="shared" si="23"/>
        <v>0</v>
      </c>
      <c r="AA91" s="11">
        <f t="shared" si="24"/>
        <v>0</v>
      </c>
      <c r="AB91" s="11">
        <v>0.1</v>
      </c>
    </row>
    <row r="92" spans="1:28">
      <c r="A92">
        <v>2026</v>
      </c>
      <c r="B92" t="s">
        <v>177</v>
      </c>
      <c r="C92" t="s">
        <v>42</v>
      </c>
      <c r="D92" t="s">
        <v>43</v>
      </c>
      <c r="F92">
        <v>600</v>
      </c>
      <c r="G92" t="s">
        <v>32</v>
      </c>
      <c r="H92" t="s">
        <v>32</v>
      </c>
      <c r="I92" t="s">
        <v>213</v>
      </c>
      <c r="J92">
        <v>60</v>
      </c>
      <c r="K92" t="s">
        <v>38</v>
      </c>
      <c r="L92">
        <v>35000</v>
      </c>
      <c r="M92" s="5">
        <f>+L92*J92</f>
        <v>2100000</v>
      </c>
      <c r="O92" s="5">
        <f t="shared" si="15"/>
        <v>2100000</v>
      </c>
      <c r="P92" s="5">
        <f t="shared" si="16"/>
        <v>2100000</v>
      </c>
      <c r="Q92" s="11">
        <v>0</v>
      </c>
      <c r="R92" s="5">
        <f t="shared" si="17"/>
        <v>2100000</v>
      </c>
      <c r="S92" s="11">
        <f t="shared" si="18"/>
        <v>0</v>
      </c>
      <c r="T92" s="5">
        <f t="shared" si="19"/>
        <v>0</v>
      </c>
      <c r="U92" s="11">
        <v>0</v>
      </c>
      <c r="V92" s="5">
        <f t="shared" si="20"/>
        <v>0</v>
      </c>
      <c r="W92" s="11">
        <f t="shared" si="21"/>
        <v>0</v>
      </c>
      <c r="X92" s="5">
        <f t="shared" si="22"/>
        <v>0</v>
      </c>
      <c r="Y92" s="11">
        <v>0</v>
      </c>
      <c r="Z92" s="5">
        <f t="shared" si="23"/>
        <v>0</v>
      </c>
      <c r="AA92" s="11">
        <f t="shared" si="24"/>
        <v>0</v>
      </c>
      <c r="AB92" s="11">
        <v>0.1</v>
      </c>
    </row>
    <row r="93" spans="1:28">
      <c r="A93">
        <v>2026</v>
      </c>
      <c r="B93" t="s">
        <v>177</v>
      </c>
      <c r="C93" t="s">
        <v>42</v>
      </c>
      <c r="D93" t="s">
        <v>43</v>
      </c>
      <c r="F93">
        <v>600</v>
      </c>
      <c r="G93" t="s">
        <v>32</v>
      </c>
      <c r="H93" t="s">
        <v>32</v>
      </c>
      <c r="I93" t="s">
        <v>214</v>
      </c>
      <c r="J93">
        <v>60</v>
      </c>
      <c r="K93" t="s">
        <v>38</v>
      </c>
      <c r="L93">
        <v>25000</v>
      </c>
      <c r="M93" s="5">
        <f>+L93*J93</f>
        <v>1500000</v>
      </c>
      <c r="O93" s="5">
        <f t="shared" si="15"/>
        <v>1500000</v>
      </c>
      <c r="P93" s="5">
        <f t="shared" si="16"/>
        <v>1500000</v>
      </c>
      <c r="Q93" s="11">
        <v>0</v>
      </c>
      <c r="R93" s="5">
        <f t="shared" si="17"/>
        <v>1500000</v>
      </c>
      <c r="S93" s="11">
        <f t="shared" si="18"/>
        <v>0</v>
      </c>
      <c r="T93" s="5">
        <f t="shared" si="19"/>
        <v>0</v>
      </c>
      <c r="U93" s="11">
        <v>0</v>
      </c>
      <c r="V93" s="5">
        <f t="shared" si="20"/>
        <v>0</v>
      </c>
      <c r="W93" s="11">
        <f t="shared" si="21"/>
        <v>0</v>
      </c>
      <c r="X93" s="5">
        <f t="shared" si="22"/>
        <v>0</v>
      </c>
      <c r="Y93" s="11">
        <v>0</v>
      </c>
      <c r="Z93" s="5">
        <f t="shared" si="23"/>
        <v>0</v>
      </c>
      <c r="AA93" s="11">
        <f t="shared" si="24"/>
        <v>0</v>
      </c>
      <c r="AB93" s="11">
        <v>0.1</v>
      </c>
    </row>
    <row r="94" spans="1:28">
      <c r="A94">
        <v>2026</v>
      </c>
      <c r="B94" t="s">
        <v>177</v>
      </c>
      <c r="C94" t="s">
        <v>42</v>
      </c>
      <c r="D94" t="s">
        <v>43</v>
      </c>
      <c r="F94">
        <v>600</v>
      </c>
      <c r="G94" t="s">
        <v>32</v>
      </c>
      <c r="H94" t="s">
        <v>32</v>
      </c>
      <c r="I94" t="s">
        <v>215</v>
      </c>
      <c r="J94">
        <v>60</v>
      </c>
      <c r="K94" t="s">
        <v>38</v>
      </c>
      <c r="L94">
        <v>20000</v>
      </c>
      <c r="M94" s="5">
        <f>+L94*J94</f>
        <v>1200000</v>
      </c>
      <c r="O94" s="5">
        <f t="shared" si="15"/>
        <v>1200000</v>
      </c>
      <c r="P94" s="5">
        <f t="shared" si="16"/>
        <v>1200000</v>
      </c>
      <c r="Q94" s="11">
        <v>0</v>
      </c>
      <c r="R94" s="5">
        <f t="shared" si="17"/>
        <v>1200000</v>
      </c>
      <c r="S94" s="11">
        <f t="shared" si="18"/>
        <v>0</v>
      </c>
      <c r="T94" s="5">
        <f t="shared" si="19"/>
        <v>0</v>
      </c>
      <c r="U94" s="11">
        <v>0</v>
      </c>
      <c r="V94" s="5">
        <f t="shared" si="20"/>
        <v>0</v>
      </c>
      <c r="W94" s="11">
        <f t="shared" si="21"/>
        <v>0</v>
      </c>
      <c r="X94" s="5">
        <f t="shared" si="22"/>
        <v>0</v>
      </c>
      <c r="Y94" s="11">
        <v>0</v>
      </c>
      <c r="Z94" s="5">
        <f t="shared" si="23"/>
        <v>0</v>
      </c>
      <c r="AA94" s="11">
        <f t="shared" si="24"/>
        <v>0</v>
      </c>
      <c r="AB94" s="11">
        <v>0.1</v>
      </c>
    </row>
    <row r="95" spans="1:28">
      <c r="A95">
        <v>2026</v>
      </c>
      <c r="B95" t="s">
        <v>178</v>
      </c>
      <c r="C95" t="s">
        <v>42</v>
      </c>
      <c r="D95" t="s">
        <v>43</v>
      </c>
      <c r="E95" t="s">
        <v>216</v>
      </c>
      <c r="G95" t="s">
        <v>14</v>
      </c>
      <c r="H95" t="s">
        <v>14</v>
      </c>
      <c r="I95" t="s">
        <v>15</v>
      </c>
      <c r="J95">
        <v>4</v>
      </c>
      <c r="K95" t="s">
        <v>16</v>
      </c>
      <c r="L95">
        <v>266</v>
      </c>
      <c r="M95" s="5">
        <v>1064</v>
      </c>
      <c r="O95" s="5">
        <f t="shared" si="15"/>
        <v>1064</v>
      </c>
      <c r="P95" s="5">
        <f t="shared" si="16"/>
        <v>1064</v>
      </c>
      <c r="Q95" s="11">
        <v>0</v>
      </c>
      <c r="R95" s="5">
        <f t="shared" si="17"/>
        <v>1064</v>
      </c>
      <c r="S95" s="11">
        <f t="shared" si="18"/>
        <v>0</v>
      </c>
      <c r="T95" s="5">
        <f t="shared" si="19"/>
        <v>0</v>
      </c>
      <c r="U95" s="11">
        <v>0</v>
      </c>
      <c r="V95" s="5">
        <f t="shared" si="20"/>
        <v>0</v>
      </c>
      <c r="W95" s="11">
        <f t="shared" si="21"/>
        <v>0</v>
      </c>
      <c r="X95" s="5">
        <f t="shared" si="22"/>
        <v>0</v>
      </c>
      <c r="Y95" s="11">
        <v>0</v>
      </c>
      <c r="Z95" s="5">
        <f t="shared" si="23"/>
        <v>0</v>
      </c>
      <c r="AA95" s="11">
        <f t="shared" si="24"/>
        <v>0</v>
      </c>
      <c r="AB95" s="11">
        <v>0.1</v>
      </c>
    </row>
    <row r="96" spans="1:28">
      <c r="A96">
        <v>2026</v>
      </c>
      <c r="B96" t="s">
        <v>178</v>
      </c>
      <c r="C96" t="s">
        <v>42</v>
      </c>
      <c r="D96" t="s">
        <v>43</v>
      </c>
      <c r="E96" t="s">
        <v>217</v>
      </c>
      <c r="G96" t="s">
        <v>14</v>
      </c>
      <c r="H96" t="s">
        <v>14</v>
      </c>
      <c r="I96" t="s">
        <v>18</v>
      </c>
      <c r="J96">
        <v>2</v>
      </c>
      <c r="K96" t="s">
        <v>16</v>
      </c>
      <c r="L96">
        <v>1086.232</v>
      </c>
      <c r="M96" s="5">
        <v>2172.4639999999999</v>
      </c>
      <c r="O96" s="5">
        <f t="shared" si="15"/>
        <v>2172.4639999999999</v>
      </c>
      <c r="P96" s="5">
        <f t="shared" si="16"/>
        <v>2172.4639999999999</v>
      </c>
      <c r="Q96" s="11">
        <v>0</v>
      </c>
      <c r="R96" s="5">
        <f t="shared" si="17"/>
        <v>2172.4639999999999</v>
      </c>
      <c r="S96" s="11">
        <f t="shared" si="18"/>
        <v>0</v>
      </c>
      <c r="T96" s="5">
        <f t="shared" si="19"/>
        <v>0</v>
      </c>
      <c r="U96" s="11">
        <v>0</v>
      </c>
      <c r="V96" s="5">
        <f t="shared" si="20"/>
        <v>0</v>
      </c>
      <c r="W96" s="11">
        <f t="shared" si="21"/>
        <v>0</v>
      </c>
      <c r="X96" s="5">
        <f t="shared" si="22"/>
        <v>0</v>
      </c>
      <c r="Y96" s="11">
        <v>0</v>
      </c>
      <c r="Z96" s="5">
        <f t="shared" si="23"/>
        <v>0</v>
      </c>
      <c r="AA96" s="11">
        <f t="shared" si="24"/>
        <v>0</v>
      </c>
      <c r="AB96" s="11">
        <v>0.1</v>
      </c>
    </row>
    <row r="97" spans="1:28">
      <c r="A97">
        <v>2026</v>
      </c>
      <c r="B97" t="s">
        <v>178</v>
      </c>
      <c r="C97" t="s">
        <v>42</v>
      </c>
      <c r="D97" t="s">
        <v>43</v>
      </c>
      <c r="E97" t="s">
        <v>218</v>
      </c>
      <c r="G97" t="s">
        <v>14</v>
      </c>
      <c r="H97" t="s">
        <v>14</v>
      </c>
      <c r="I97" t="s">
        <v>20</v>
      </c>
      <c r="J97">
        <v>10</v>
      </c>
      <c r="K97" t="s">
        <v>16</v>
      </c>
      <c r="L97">
        <v>370</v>
      </c>
      <c r="M97" s="5">
        <v>3700</v>
      </c>
      <c r="O97" s="5">
        <f t="shared" si="15"/>
        <v>3700</v>
      </c>
      <c r="P97" s="5">
        <f t="shared" si="16"/>
        <v>3700</v>
      </c>
      <c r="Q97" s="11">
        <v>0</v>
      </c>
      <c r="R97" s="5">
        <f t="shared" si="17"/>
        <v>3700</v>
      </c>
      <c r="S97" s="11">
        <f t="shared" si="18"/>
        <v>0</v>
      </c>
      <c r="T97" s="5">
        <f t="shared" si="19"/>
        <v>0</v>
      </c>
      <c r="U97" s="11">
        <v>0</v>
      </c>
      <c r="V97" s="5">
        <f t="shared" si="20"/>
        <v>0</v>
      </c>
      <c r="W97" s="11">
        <f t="shared" si="21"/>
        <v>0</v>
      </c>
      <c r="X97" s="5">
        <f t="shared" si="22"/>
        <v>0</v>
      </c>
      <c r="Y97" s="11">
        <v>0</v>
      </c>
      <c r="Z97" s="5">
        <f t="shared" si="23"/>
        <v>0</v>
      </c>
      <c r="AA97" s="11">
        <f t="shared" si="24"/>
        <v>0</v>
      </c>
      <c r="AB97" s="11">
        <v>0.1</v>
      </c>
    </row>
    <row r="98" spans="1:28">
      <c r="A98">
        <v>2026</v>
      </c>
      <c r="B98" t="s">
        <v>178</v>
      </c>
      <c r="C98" t="s">
        <v>42</v>
      </c>
      <c r="D98" t="s">
        <v>43</v>
      </c>
      <c r="E98" t="s">
        <v>219</v>
      </c>
      <c r="G98" t="s">
        <v>14</v>
      </c>
      <c r="H98" t="s">
        <v>14</v>
      </c>
      <c r="I98" t="s">
        <v>44</v>
      </c>
      <c r="J98">
        <v>2</v>
      </c>
      <c r="K98" t="s">
        <v>16</v>
      </c>
      <c r="L98">
        <v>2643</v>
      </c>
      <c r="M98" s="5">
        <v>5286</v>
      </c>
      <c r="O98" s="5">
        <f t="shared" ref="O98:O129" si="25">R98</f>
        <v>5286</v>
      </c>
      <c r="P98" s="5">
        <f t="shared" si="16"/>
        <v>5286</v>
      </c>
      <c r="Q98" s="11">
        <v>0</v>
      </c>
      <c r="R98" s="5">
        <f t="shared" ref="R98:R129" si="26">M98+(M98*Q98)</f>
        <v>5286</v>
      </c>
      <c r="S98" s="11">
        <f t="shared" si="18"/>
        <v>0</v>
      </c>
      <c r="T98" s="5">
        <f t="shared" ref="T98:T129" si="27">IF(C98="Mediana Complejidad",M98,0)</f>
        <v>0</v>
      </c>
      <c r="U98" s="11">
        <v>0</v>
      </c>
      <c r="V98" s="5">
        <f t="shared" ref="V98:V129" si="28">(T98)+(T98*U98)</f>
        <v>0</v>
      </c>
      <c r="W98" s="11">
        <f t="shared" ref="W98:W129" si="29">IFERROR(((V98-T98)/V98),0)</f>
        <v>0</v>
      </c>
      <c r="X98" s="5">
        <f t="shared" si="22"/>
        <v>0</v>
      </c>
      <c r="Y98" s="11">
        <v>0</v>
      </c>
      <c r="Z98" s="5">
        <f t="shared" si="23"/>
        <v>0</v>
      </c>
      <c r="AA98" s="11">
        <f t="shared" si="24"/>
        <v>0</v>
      </c>
      <c r="AB98" s="11">
        <v>0.1</v>
      </c>
    </row>
    <row r="99" spans="1:28">
      <c r="A99">
        <v>2026</v>
      </c>
      <c r="B99" t="s">
        <v>178</v>
      </c>
      <c r="C99" t="s">
        <v>42</v>
      </c>
      <c r="D99" t="s">
        <v>43</v>
      </c>
      <c r="E99" t="s">
        <v>220</v>
      </c>
      <c r="G99" t="s">
        <v>14</v>
      </c>
      <c r="H99" t="s">
        <v>14</v>
      </c>
      <c r="I99" t="s">
        <v>24</v>
      </c>
      <c r="J99">
        <v>5</v>
      </c>
      <c r="K99" t="s">
        <v>16</v>
      </c>
      <c r="L99">
        <v>135.66</v>
      </c>
      <c r="M99" s="5">
        <v>678.3</v>
      </c>
      <c r="O99" s="5">
        <f t="shared" si="25"/>
        <v>678.3</v>
      </c>
      <c r="P99" s="5">
        <f t="shared" si="16"/>
        <v>678.3</v>
      </c>
      <c r="Q99" s="11">
        <v>0</v>
      </c>
      <c r="R99" s="5">
        <f t="shared" si="26"/>
        <v>678.3</v>
      </c>
      <c r="S99" s="11">
        <f t="shared" si="18"/>
        <v>0</v>
      </c>
      <c r="T99" s="5">
        <f t="shared" si="27"/>
        <v>0</v>
      </c>
      <c r="U99" s="11">
        <v>0</v>
      </c>
      <c r="V99" s="5">
        <f t="shared" si="28"/>
        <v>0</v>
      </c>
      <c r="W99" s="11">
        <f t="shared" si="29"/>
        <v>0</v>
      </c>
      <c r="X99" s="5">
        <f t="shared" si="22"/>
        <v>0</v>
      </c>
      <c r="Y99" s="11">
        <v>0</v>
      </c>
      <c r="Z99" s="5">
        <f t="shared" si="23"/>
        <v>0</v>
      </c>
      <c r="AA99" s="11">
        <f t="shared" si="24"/>
        <v>0</v>
      </c>
      <c r="AB99" s="11">
        <v>0.1</v>
      </c>
    </row>
    <row r="100" spans="1:28">
      <c r="A100">
        <v>2026</v>
      </c>
      <c r="B100" t="s">
        <v>178</v>
      </c>
      <c r="C100" t="s">
        <v>42</v>
      </c>
      <c r="D100" t="s">
        <v>43</v>
      </c>
      <c r="E100" t="s">
        <v>221</v>
      </c>
      <c r="G100" t="s">
        <v>14</v>
      </c>
      <c r="H100" t="s">
        <v>14</v>
      </c>
      <c r="I100" t="s">
        <v>25</v>
      </c>
      <c r="J100">
        <v>2</v>
      </c>
      <c r="K100" t="s">
        <v>16</v>
      </c>
      <c r="L100">
        <v>3808</v>
      </c>
      <c r="M100" s="5">
        <v>7616</v>
      </c>
      <c r="O100" s="5">
        <f t="shared" si="25"/>
        <v>7616</v>
      </c>
      <c r="P100" s="5">
        <f t="shared" si="16"/>
        <v>7616</v>
      </c>
      <c r="Q100" s="11">
        <v>0</v>
      </c>
      <c r="R100" s="5">
        <f t="shared" si="26"/>
        <v>7616</v>
      </c>
      <c r="S100" s="11">
        <f t="shared" si="18"/>
        <v>0</v>
      </c>
      <c r="T100" s="5">
        <f t="shared" si="27"/>
        <v>0</v>
      </c>
      <c r="U100" s="11">
        <v>0</v>
      </c>
      <c r="V100" s="5">
        <f t="shared" si="28"/>
        <v>0</v>
      </c>
      <c r="W100" s="11">
        <f t="shared" si="29"/>
        <v>0</v>
      </c>
      <c r="X100" s="5">
        <f t="shared" si="22"/>
        <v>0</v>
      </c>
      <c r="Y100" s="11">
        <v>0</v>
      </c>
      <c r="Z100" s="5">
        <f t="shared" si="23"/>
        <v>0</v>
      </c>
      <c r="AA100" s="11">
        <f t="shared" si="24"/>
        <v>0</v>
      </c>
      <c r="AB100" s="11">
        <v>0.1</v>
      </c>
    </row>
    <row r="101" spans="1:28">
      <c r="A101">
        <v>2026</v>
      </c>
      <c r="B101" t="s">
        <v>178</v>
      </c>
      <c r="C101" t="s">
        <v>42</v>
      </c>
      <c r="D101" t="s">
        <v>43</v>
      </c>
      <c r="E101" t="s">
        <v>222</v>
      </c>
      <c r="G101" t="s">
        <v>14</v>
      </c>
      <c r="H101" t="s">
        <v>14</v>
      </c>
      <c r="I101" t="s">
        <v>26</v>
      </c>
      <c r="J101">
        <v>2</v>
      </c>
      <c r="K101" t="s">
        <v>16</v>
      </c>
      <c r="L101">
        <v>111.86</v>
      </c>
      <c r="M101" s="5">
        <v>223.72</v>
      </c>
      <c r="O101" s="5">
        <f t="shared" si="25"/>
        <v>223.72</v>
      </c>
      <c r="P101" s="5">
        <f t="shared" si="16"/>
        <v>223.72</v>
      </c>
      <c r="Q101" s="11">
        <v>0</v>
      </c>
      <c r="R101" s="5">
        <f t="shared" si="26"/>
        <v>223.72</v>
      </c>
      <c r="S101" s="11">
        <f t="shared" si="18"/>
        <v>0</v>
      </c>
      <c r="T101" s="5">
        <f t="shared" si="27"/>
        <v>0</v>
      </c>
      <c r="U101" s="11">
        <v>0</v>
      </c>
      <c r="V101" s="5">
        <f t="shared" si="28"/>
        <v>0</v>
      </c>
      <c r="W101" s="11">
        <f t="shared" si="29"/>
        <v>0</v>
      </c>
      <c r="X101" s="5">
        <f t="shared" si="22"/>
        <v>0</v>
      </c>
      <c r="Y101" s="11">
        <v>0</v>
      </c>
      <c r="Z101" s="5">
        <f t="shared" si="23"/>
        <v>0</v>
      </c>
      <c r="AA101" s="11">
        <f t="shared" si="24"/>
        <v>0</v>
      </c>
      <c r="AB101" s="11">
        <v>0.1</v>
      </c>
    </row>
    <row r="102" spans="1:28">
      <c r="A102">
        <v>2026</v>
      </c>
      <c r="B102" t="s">
        <v>178</v>
      </c>
      <c r="C102" t="s">
        <v>42</v>
      </c>
      <c r="D102" t="s">
        <v>43</v>
      </c>
      <c r="E102" t="s">
        <v>223</v>
      </c>
      <c r="G102" t="s">
        <v>14</v>
      </c>
      <c r="H102" t="s">
        <v>14</v>
      </c>
      <c r="I102" t="s">
        <v>66</v>
      </c>
      <c r="J102">
        <v>10</v>
      </c>
      <c r="K102" t="s">
        <v>16</v>
      </c>
      <c r="L102">
        <v>80300</v>
      </c>
      <c r="M102" s="5">
        <v>3212</v>
      </c>
      <c r="O102" s="5">
        <f t="shared" si="25"/>
        <v>3212</v>
      </c>
      <c r="P102" s="5">
        <f t="shared" si="16"/>
        <v>3212</v>
      </c>
      <c r="Q102" s="11">
        <v>0</v>
      </c>
      <c r="R102" s="5">
        <f t="shared" si="26"/>
        <v>3212</v>
      </c>
      <c r="S102" s="11">
        <f t="shared" si="18"/>
        <v>0</v>
      </c>
      <c r="T102" s="5">
        <f t="shared" si="27"/>
        <v>0</v>
      </c>
      <c r="U102" s="11">
        <v>0</v>
      </c>
      <c r="V102" s="5">
        <f t="shared" si="28"/>
        <v>0</v>
      </c>
      <c r="W102" s="11">
        <f t="shared" si="29"/>
        <v>0</v>
      </c>
      <c r="X102" s="5">
        <f t="shared" si="22"/>
        <v>0</v>
      </c>
      <c r="Y102" s="11">
        <v>0</v>
      </c>
      <c r="Z102" s="5">
        <f t="shared" si="23"/>
        <v>0</v>
      </c>
      <c r="AA102" s="11">
        <f t="shared" si="24"/>
        <v>0</v>
      </c>
      <c r="AB102" s="11">
        <v>0.1</v>
      </c>
    </row>
    <row r="103" spans="1:28">
      <c r="A103">
        <v>2026</v>
      </c>
      <c r="B103" t="s">
        <v>178</v>
      </c>
      <c r="C103" t="s">
        <v>42</v>
      </c>
      <c r="D103" t="s">
        <v>43</v>
      </c>
      <c r="E103" t="s">
        <v>224</v>
      </c>
      <c r="G103" t="s">
        <v>14</v>
      </c>
      <c r="H103" t="s">
        <v>14</v>
      </c>
      <c r="I103" t="s">
        <v>28</v>
      </c>
      <c r="J103">
        <v>5</v>
      </c>
      <c r="K103" t="s">
        <v>16</v>
      </c>
      <c r="L103">
        <v>17888.080000000002</v>
      </c>
      <c r="M103" s="5">
        <v>89440.400000000009</v>
      </c>
      <c r="O103" s="5">
        <f t="shared" si="25"/>
        <v>89440.400000000009</v>
      </c>
      <c r="P103" s="5">
        <f t="shared" si="16"/>
        <v>89440.400000000009</v>
      </c>
      <c r="Q103" s="11">
        <v>0</v>
      </c>
      <c r="R103" s="5">
        <f t="shared" si="26"/>
        <v>89440.400000000009</v>
      </c>
      <c r="S103" s="11">
        <f t="shared" si="18"/>
        <v>0</v>
      </c>
      <c r="T103" s="5">
        <f t="shared" si="27"/>
        <v>0</v>
      </c>
      <c r="U103" s="11">
        <v>0</v>
      </c>
      <c r="V103" s="5">
        <f t="shared" si="28"/>
        <v>0</v>
      </c>
      <c r="W103" s="11">
        <f t="shared" si="29"/>
        <v>0</v>
      </c>
      <c r="X103" s="5">
        <f t="shared" si="22"/>
        <v>0</v>
      </c>
      <c r="Y103" s="11">
        <v>0</v>
      </c>
      <c r="Z103" s="5">
        <f t="shared" si="23"/>
        <v>0</v>
      </c>
      <c r="AA103" s="11">
        <f t="shared" si="24"/>
        <v>0</v>
      </c>
      <c r="AB103" s="11">
        <v>0.1</v>
      </c>
    </row>
    <row r="104" spans="1:28">
      <c r="A104">
        <v>2026</v>
      </c>
      <c r="B104" t="s">
        <v>178</v>
      </c>
      <c r="C104" t="s">
        <v>42</v>
      </c>
      <c r="D104" t="s">
        <v>43</v>
      </c>
      <c r="E104" t="s">
        <v>225</v>
      </c>
      <c r="G104" t="s">
        <v>14</v>
      </c>
      <c r="H104" t="s">
        <v>14</v>
      </c>
      <c r="I104" t="s">
        <v>29</v>
      </c>
      <c r="J104">
        <v>2</v>
      </c>
      <c r="K104" t="s">
        <v>16</v>
      </c>
      <c r="L104">
        <v>337.3837894736842</v>
      </c>
      <c r="M104" s="5">
        <v>674.76757894736841</v>
      </c>
      <c r="O104" s="5">
        <f t="shared" si="25"/>
        <v>674.76757894736841</v>
      </c>
      <c r="P104" s="5">
        <f t="shared" si="16"/>
        <v>674.76757894736841</v>
      </c>
      <c r="Q104" s="11">
        <v>0</v>
      </c>
      <c r="R104" s="5">
        <f t="shared" si="26"/>
        <v>674.76757894736841</v>
      </c>
      <c r="S104" s="11">
        <f t="shared" si="18"/>
        <v>0</v>
      </c>
      <c r="T104" s="5">
        <f t="shared" si="27"/>
        <v>0</v>
      </c>
      <c r="U104" s="11">
        <v>0</v>
      </c>
      <c r="V104" s="5">
        <f t="shared" si="28"/>
        <v>0</v>
      </c>
      <c r="W104" s="11">
        <f t="shared" si="29"/>
        <v>0</v>
      </c>
      <c r="X104" s="5">
        <f t="shared" si="22"/>
        <v>0</v>
      </c>
      <c r="Y104" s="11">
        <v>0</v>
      </c>
      <c r="Z104" s="5">
        <f t="shared" si="23"/>
        <v>0</v>
      </c>
      <c r="AA104" s="11">
        <f t="shared" si="24"/>
        <v>0</v>
      </c>
      <c r="AB104" s="11">
        <v>0.1</v>
      </c>
    </row>
    <row r="105" spans="1:28">
      <c r="A105">
        <v>2026</v>
      </c>
      <c r="B105" t="s">
        <v>178</v>
      </c>
      <c r="C105" t="s">
        <v>42</v>
      </c>
      <c r="D105" t="s">
        <v>43</v>
      </c>
      <c r="E105" t="s">
        <v>226</v>
      </c>
      <c r="G105" t="s">
        <v>14</v>
      </c>
      <c r="H105" t="s">
        <v>14</v>
      </c>
      <c r="I105" t="s">
        <v>154</v>
      </c>
      <c r="J105">
        <v>2</v>
      </c>
      <c r="K105" t="s">
        <v>16</v>
      </c>
      <c r="L105">
        <v>67900</v>
      </c>
      <c r="M105" s="5">
        <v>13580</v>
      </c>
      <c r="O105" s="5">
        <f t="shared" si="25"/>
        <v>13580</v>
      </c>
      <c r="P105" s="5">
        <f t="shared" si="16"/>
        <v>13580</v>
      </c>
      <c r="Q105" s="11">
        <v>0</v>
      </c>
      <c r="R105" s="5">
        <f t="shared" si="26"/>
        <v>13580</v>
      </c>
      <c r="S105" s="11">
        <f t="shared" si="18"/>
        <v>0</v>
      </c>
      <c r="T105" s="5">
        <f t="shared" si="27"/>
        <v>0</v>
      </c>
      <c r="U105" s="11">
        <v>0</v>
      </c>
      <c r="V105" s="5">
        <f t="shared" si="28"/>
        <v>0</v>
      </c>
      <c r="W105" s="11">
        <f t="shared" si="29"/>
        <v>0</v>
      </c>
      <c r="X105" s="5">
        <f t="shared" si="22"/>
        <v>0</v>
      </c>
      <c r="Y105" s="11">
        <v>0</v>
      </c>
      <c r="Z105" s="5">
        <f t="shared" si="23"/>
        <v>0</v>
      </c>
      <c r="AA105" s="11">
        <f t="shared" si="24"/>
        <v>0</v>
      </c>
      <c r="AB105" s="11">
        <v>0.1</v>
      </c>
    </row>
    <row r="106" spans="1:28">
      <c r="A106">
        <v>2026</v>
      </c>
      <c r="B106" t="s">
        <v>178</v>
      </c>
      <c r="C106" t="s">
        <v>42</v>
      </c>
      <c r="D106" t="s">
        <v>43</v>
      </c>
      <c r="E106" t="s">
        <v>227</v>
      </c>
      <c r="G106" t="s">
        <v>14</v>
      </c>
      <c r="H106" t="s">
        <v>14</v>
      </c>
      <c r="I106" t="s">
        <v>155</v>
      </c>
      <c r="J106">
        <v>2</v>
      </c>
      <c r="K106" t="s">
        <v>16</v>
      </c>
      <c r="L106">
        <v>50300</v>
      </c>
      <c r="M106" s="5">
        <v>10060</v>
      </c>
      <c r="O106" s="5">
        <f t="shared" si="25"/>
        <v>10060</v>
      </c>
      <c r="P106" s="5">
        <f t="shared" si="16"/>
        <v>10060</v>
      </c>
      <c r="Q106" s="11">
        <v>0</v>
      </c>
      <c r="R106" s="5">
        <f t="shared" si="26"/>
        <v>10060</v>
      </c>
      <c r="S106" s="11">
        <f t="shared" si="18"/>
        <v>0</v>
      </c>
      <c r="T106" s="5">
        <f t="shared" si="27"/>
        <v>0</v>
      </c>
      <c r="U106" s="11">
        <v>0</v>
      </c>
      <c r="V106" s="5">
        <f t="shared" si="28"/>
        <v>0</v>
      </c>
      <c r="W106" s="11">
        <f t="shared" si="29"/>
        <v>0</v>
      </c>
      <c r="X106" s="5">
        <f t="shared" si="22"/>
        <v>0</v>
      </c>
      <c r="Y106" s="11">
        <v>0</v>
      </c>
      <c r="Z106" s="5">
        <f t="shared" si="23"/>
        <v>0</v>
      </c>
      <c r="AA106" s="11">
        <f t="shared" si="24"/>
        <v>0</v>
      </c>
      <c r="AB106" s="11">
        <v>0.1</v>
      </c>
    </row>
    <row r="107" spans="1:28">
      <c r="A107">
        <v>2026</v>
      </c>
      <c r="B107" t="s">
        <v>178</v>
      </c>
      <c r="C107" t="s">
        <v>42</v>
      </c>
      <c r="D107" t="s">
        <v>43</v>
      </c>
      <c r="E107" t="s">
        <v>228</v>
      </c>
      <c r="G107" t="s">
        <v>14</v>
      </c>
      <c r="H107" t="s">
        <v>14</v>
      </c>
      <c r="I107" t="s">
        <v>152</v>
      </c>
      <c r="J107">
        <v>2</v>
      </c>
      <c r="K107" t="s">
        <v>16</v>
      </c>
      <c r="L107">
        <v>43500</v>
      </c>
      <c r="M107" s="5">
        <v>7250</v>
      </c>
      <c r="O107" s="5">
        <f t="shared" si="25"/>
        <v>7250</v>
      </c>
      <c r="P107" s="5">
        <f t="shared" si="16"/>
        <v>7250</v>
      </c>
      <c r="Q107" s="11">
        <v>0</v>
      </c>
      <c r="R107" s="5">
        <f t="shared" si="26"/>
        <v>7250</v>
      </c>
      <c r="S107" s="11">
        <f t="shared" si="18"/>
        <v>0</v>
      </c>
      <c r="T107" s="5">
        <f t="shared" si="27"/>
        <v>0</v>
      </c>
      <c r="U107" s="11">
        <v>0</v>
      </c>
      <c r="V107" s="5">
        <f t="shared" si="28"/>
        <v>0</v>
      </c>
      <c r="W107" s="11">
        <f t="shared" si="29"/>
        <v>0</v>
      </c>
      <c r="X107" s="5">
        <f t="shared" si="22"/>
        <v>0</v>
      </c>
      <c r="Y107" s="11">
        <v>0</v>
      </c>
      <c r="Z107" s="5">
        <f t="shared" si="23"/>
        <v>0</v>
      </c>
      <c r="AA107" s="11">
        <f t="shared" si="24"/>
        <v>0</v>
      </c>
      <c r="AB107" s="11">
        <v>0.1</v>
      </c>
    </row>
    <row r="108" spans="1:28">
      <c r="A108">
        <v>2026</v>
      </c>
      <c r="B108" t="s">
        <v>178</v>
      </c>
      <c r="C108" t="s">
        <v>42</v>
      </c>
      <c r="D108" t="s">
        <v>43</v>
      </c>
      <c r="F108">
        <v>1800</v>
      </c>
      <c r="G108" t="s">
        <v>32</v>
      </c>
      <c r="H108" t="s">
        <v>32</v>
      </c>
      <c r="I108" t="s">
        <v>33</v>
      </c>
      <c r="J108">
        <v>60</v>
      </c>
      <c r="K108" t="s">
        <v>38</v>
      </c>
      <c r="L108" s="16">
        <v>20894.400000000001</v>
      </c>
      <c r="M108" s="5">
        <f>+L108*J108</f>
        <v>1253664</v>
      </c>
      <c r="O108" s="5">
        <f t="shared" si="25"/>
        <v>1253664</v>
      </c>
      <c r="P108" s="5">
        <f t="shared" si="16"/>
        <v>1253664</v>
      </c>
      <c r="Q108" s="11">
        <v>0</v>
      </c>
      <c r="R108" s="5">
        <f t="shared" si="26"/>
        <v>1253664</v>
      </c>
      <c r="S108" s="11">
        <f t="shared" si="18"/>
        <v>0</v>
      </c>
      <c r="T108" s="5">
        <f t="shared" si="27"/>
        <v>0</v>
      </c>
      <c r="U108" s="11">
        <v>0</v>
      </c>
      <c r="V108" s="5">
        <f t="shared" si="28"/>
        <v>0</v>
      </c>
      <c r="W108" s="11">
        <f t="shared" si="29"/>
        <v>0</v>
      </c>
      <c r="X108" s="5">
        <f t="shared" si="22"/>
        <v>0</v>
      </c>
      <c r="Y108" s="11">
        <v>0</v>
      </c>
      <c r="Z108" s="5">
        <f t="shared" si="23"/>
        <v>0</v>
      </c>
      <c r="AA108" s="11">
        <f t="shared" si="24"/>
        <v>0</v>
      </c>
      <c r="AB108" s="11">
        <v>0.1</v>
      </c>
    </row>
    <row r="109" spans="1:28">
      <c r="A109">
        <v>2026</v>
      </c>
      <c r="B109" t="s">
        <v>178</v>
      </c>
      <c r="C109" t="s">
        <v>42</v>
      </c>
      <c r="D109" t="s">
        <v>43</v>
      </c>
      <c r="F109">
        <v>900</v>
      </c>
      <c r="G109" t="s">
        <v>32</v>
      </c>
      <c r="H109" t="s">
        <v>32</v>
      </c>
      <c r="I109" t="s">
        <v>35</v>
      </c>
      <c r="J109">
        <v>60</v>
      </c>
      <c r="K109" t="s">
        <v>38</v>
      </c>
      <c r="L109" s="16">
        <v>6048.3</v>
      </c>
      <c r="M109" s="5">
        <f>+L109*J109</f>
        <v>362898</v>
      </c>
      <c r="O109" s="5">
        <f t="shared" si="25"/>
        <v>362898</v>
      </c>
      <c r="P109" s="5">
        <f t="shared" si="16"/>
        <v>362898</v>
      </c>
      <c r="Q109" s="11">
        <v>0</v>
      </c>
      <c r="R109" s="5">
        <f t="shared" si="26"/>
        <v>362898</v>
      </c>
      <c r="S109" s="11">
        <f t="shared" si="18"/>
        <v>0</v>
      </c>
      <c r="T109" s="5">
        <f t="shared" si="27"/>
        <v>0</v>
      </c>
      <c r="U109" s="11">
        <v>0</v>
      </c>
      <c r="V109" s="5">
        <f t="shared" si="28"/>
        <v>0</v>
      </c>
      <c r="W109" s="11">
        <f t="shared" si="29"/>
        <v>0</v>
      </c>
      <c r="X109" s="5">
        <f t="shared" si="22"/>
        <v>0</v>
      </c>
      <c r="Y109" s="11">
        <v>0</v>
      </c>
      <c r="Z109" s="5">
        <f t="shared" si="23"/>
        <v>0</v>
      </c>
      <c r="AA109" s="11">
        <f t="shared" si="24"/>
        <v>0</v>
      </c>
      <c r="AB109" s="11">
        <v>0.1</v>
      </c>
    </row>
    <row r="110" spans="1:28">
      <c r="A110">
        <v>2026</v>
      </c>
      <c r="B110" t="s">
        <v>178</v>
      </c>
      <c r="C110" t="s">
        <v>42</v>
      </c>
      <c r="D110" t="s">
        <v>43</v>
      </c>
      <c r="F110">
        <v>600</v>
      </c>
      <c r="G110" t="s">
        <v>32</v>
      </c>
      <c r="H110" t="s">
        <v>32</v>
      </c>
      <c r="I110" t="s">
        <v>213</v>
      </c>
      <c r="J110">
        <v>60</v>
      </c>
      <c r="K110" t="s">
        <v>38</v>
      </c>
      <c r="L110">
        <v>35000</v>
      </c>
      <c r="M110" s="5">
        <f>+L110*J110</f>
        <v>2100000</v>
      </c>
      <c r="O110" s="5">
        <f t="shared" si="25"/>
        <v>2100000</v>
      </c>
      <c r="P110" s="5">
        <f t="shared" si="16"/>
        <v>2100000</v>
      </c>
      <c r="Q110" s="11">
        <v>0</v>
      </c>
      <c r="R110" s="5">
        <f t="shared" si="26"/>
        <v>2100000</v>
      </c>
      <c r="S110" s="11">
        <f t="shared" si="18"/>
        <v>0</v>
      </c>
      <c r="T110" s="5">
        <f t="shared" si="27"/>
        <v>0</v>
      </c>
      <c r="U110" s="11">
        <v>0</v>
      </c>
      <c r="V110" s="5">
        <f t="shared" si="28"/>
        <v>0</v>
      </c>
      <c r="W110" s="11">
        <f t="shared" si="29"/>
        <v>0</v>
      </c>
      <c r="X110" s="5">
        <f t="shared" si="22"/>
        <v>0</v>
      </c>
      <c r="Y110" s="11">
        <v>0</v>
      </c>
      <c r="Z110" s="5">
        <f t="shared" si="23"/>
        <v>0</v>
      </c>
      <c r="AA110" s="11">
        <f t="shared" si="24"/>
        <v>0</v>
      </c>
      <c r="AB110" s="11">
        <v>0.1</v>
      </c>
    </row>
    <row r="111" spans="1:28">
      <c r="A111">
        <v>2026</v>
      </c>
      <c r="B111" t="s">
        <v>178</v>
      </c>
      <c r="C111" t="s">
        <v>42</v>
      </c>
      <c r="D111" t="s">
        <v>43</v>
      </c>
      <c r="F111">
        <v>600</v>
      </c>
      <c r="G111" t="s">
        <v>32</v>
      </c>
      <c r="H111" t="s">
        <v>32</v>
      </c>
      <c r="I111" t="s">
        <v>214</v>
      </c>
      <c r="J111">
        <v>60</v>
      </c>
      <c r="K111" t="s">
        <v>38</v>
      </c>
      <c r="L111">
        <v>25000</v>
      </c>
      <c r="M111" s="5">
        <f>+L111*J111</f>
        <v>1500000</v>
      </c>
      <c r="O111" s="5">
        <f t="shared" si="25"/>
        <v>1500000</v>
      </c>
      <c r="P111" s="5">
        <f t="shared" si="16"/>
        <v>1500000</v>
      </c>
      <c r="Q111" s="11">
        <v>0</v>
      </c>
      <c r="R111" s="5">
        <f t="shared" si="26"/>
        <v>1500000</v>
      </c>
      <c r="S111" s="11">
        <f t="shared" si="18"/>
        <v>0</v>
      </c>
      <c r="T111" s="5">
        <f t="shared" si="27"/>
        <v>0</v>
      </c>
      <c r="U111" s="11">
        <v>0</v>
      </c>
      <c r="V111" s="5">
        <f t="shared" si="28"/>
        <v>0</v>
      </c>
      <c r="W111" s="11">
        <f t="shared" si="29"/>
        <v>0</v>
      </c>
      <c r="X111" s="5">
        <f t="shared" si="22"/>
        <v>0</v>
      </c>
      <c r="Y111" s="11">
        <v>0</v>
      </c>
      <c r="Z111" s="5">
        <f t="shared" si="23"/>
        <v>0</v>
      </c>
      <c r="AA111" s="11">
        <f t="shared" si="24"/>
        <v>0</v>
      </c>
      <c r="AB111" s="11">
        <v>0.1</v>
      </c>
    </row>
    <row r="112" spans="1:28">
      <c r="A112">
        <v>2026</v>
      </c>
      <c r="B112" t="s">
        <v>178</v>
      </c>
      <c r="C112" t="s">
        <v>42</v>
      </c>
      <c r="D112" t="s">
        <v>43</v>
      </c>
      <c r="F112">
        <v>600</v>
      </c>
      <c r="G112" t="s">
        <v>32</v>
      </c>
      <c r="H112" t="s">
        <v>32</v>
      </c>
      <c r="I112" t="s">
        <v>215</v>
      </c>
      <c r="J112">
        <v>60</v>
      </c>
      <c r="K112" t="s">
        <v>38</v>
      </c>
      <c r="L112">
        <v>20000</v>
      </c>
      <c r="M112" s="5">
        <f>+L112*J112</f>
        <v>1200000</v>
      </c>
      <c r="O112" s="5">
        <f t="shared" si="25"/>
        <v>1200000</v>
      </c>
      <c r="P112" s="5">
        <f t="shared" si="16"/>
        <v>1200000</v>
      </c>
      <c r="Q112" s="11">
        <v>0</v>
      </c>
      <c r="R112" s="5">
        <f t="shared" si="26"/>
        <v>1200000</v>
      </c>
      <c r="S112" s="11">
        <f t="shared" si="18"/>
        <v>0</v>
      </c>
      <c r="T112" s="5">
        <f t="shared" si="27"/>
        <v>0</v>
      </c>
      <c r="U112" s="11">
        <v>0</v>
      </c>
      <c r="V112" s="5">
        <f t="shared" si="28"/>
        <v>0</v>
      </c>
      <c r="W112" s="11">
        <f t="shared" si="29"/>
        <v>0</v>
      </c>
      <c r="X112" s="5">
        <f t="shared" si="22"/>
        <v>0</v>
      </c>
      <c r="Y112" s="11">
        <v>0</v>
      </c>
      <c r="Z112" s="5">
        <f t="shared" si="23"/>
        <v>0</v>
      </c>
      <c r="AA112" s="11">
        <f t="shared" si="24"/>
        <v>0</v>
      </c>
      <c r="AB112" s="11">
        <v>0.1</v>
      </c>
    </row>
    <row r="113" spans="1:28">
      <c r="A113">
        <v>2026</v>
      </c>
      <c r="B113" t="s">
        <v>179</v>
      </c>
      <c r="C113" t="s">
        <v>42</v>
      </c>
      <c r="D113" t="s">
        <v>43</v>
      </c>
      <c r="E113" t="s">
        <v>216</v>
      </c>
      <c r="G113" t="s">
        <v>14</v>
      </c>
      <c r="H113" t="s">
        <v>14</v>
      </c>
      <c r="I113" t="s">
        <v>15</v>
      </c>
      <c r="J113">
        <v>4</v>
      </c>
      <c r="K113" t="s">
        <v>16</v>
      </c>
      <c r="L113">
        <v>266</v>
      </c>
      <c r="M113" s="5">
        <v>1064</v>
      </c>
      <c r="O113" s="5">
        <f t="shared" si="25"/>
        <v>1064</v>
      </c>
      <c r="P113" s="5">
        <f t="shared" si="16"/>
        <v>1064</v>
      </c>
      <c r="Q113" s="11">
        <v>0</v>
      </c>
      <c r="R113" s="5">
        <f t="shared" si="26"/>
        <v>1064</v>
      </c>
      <c r="S113" s="11">
        <f t="shared" si="18"/>
        <v>0</v>
      </c>
      <c r="T113" s="5">
        <f t="shared" si="27"/>
        <v>0</v>
      </c>
      <c r="U113" s="11">
        <v>0</v>
      </c>
      <c r="V113" s="5">
        <f t="shared" si="28"/>
        <v>0</v>
      </c>
      <c r="W113" s="11">
        <f t="shared" si="29"/>
        <v>0</v>
      </c>
      <c r="X113" s="5">
        <f t="shared" si="22"/>
        <v>0</v>
      </c>
      <c r="Y113" s="11">
        <v>0</v>
      </c>
      <c r="Z113" s="5">
        <f t="shared" si="23"/>
        <v>0</v>
      </c>
      <c r="AA113" s="11">
        <f t="shared" si="24"/>
        <v>0</v>
      </c>
      <c r="AB113" s="11">
        <v>0.1</v>
      </c>
    </row>
    <row r="114" spans="1:28">
      <c r="A114">
        <v>2026</v>
      </c>
      <c r="B114" t="s">
        <v>179</v>
      </c>
      <c r="C114" t="s">
        <v>42</v>
      </c>
      <c r="D114" t="s">
        <v>43</v>
      </c>
      <c r="E114" t="s">
        <v>217</v>
      </c>
      <c r="G114" t="s">
        <v>14</v>
      </c>
      <c r="H114" t="s">
        <v>14</v>
      </c>
      <c r="I114" t="s">
        <v>18</v>
      </c>
      <c r="J114">
        <v>2</v>
      </c>
      <c r="K114" t="s">
        <v>16</v>
      </c>
      <c r="L114">
        <v>1086.232</v>
      </c>
      <c r="M114" s="5">
        <v>2172.4639999999999</v>
      </c>
      <c r="O114" s="5">
        <f t="shared" si="25"/>
        <v>2172.4639999999999</v>
      </c>
      <c r="P114" s="5">
        <f t="shared" si="16"/>
        <v>2172.4639999999999</v>
      </c>
      <c r="Q114" s="11">
        <v>0</v>
      </c>
      <c r="R114" s="5">
        <f t="shared" si="26"/>
        <v>2172.4639999999999</v>
      </c>
      <c r="S114" s="11">
        <f t="shared" si="18"/>
        <v>0</v>
      </c>
      <c r="T114" s="5">
        <f t="shared" si="27"/>
        <v>0</v>
      </c>
      <c r="U114" s="11">
        <v>0</v>
      </c>
      <c r="V114" s="5">
        <f t="shared" si="28"/>
        <v>0</v>
      </c>
      <c r="W114" s="11">
        <f t="shared" si="29"/>
        <v>0</v>
      </c>
      <c r="X114" s="5">
        <f t="shared" si="22"/>
        <v>0</v>
      </c>
      <c r="Y114" s="11">
        <v>0</v>
      </c>
      <c r="Z114" s="5">
        <f t="shared" si="23"/>
        <v>0</v>
      </c>
      <c r="AA114" s="11">
        <f t="shared" si="24"/>
        <v>0</v>
      </c>
      <c r="AB114" s="11">
        <v>0.1</v>
      </c>
    </row>
    <row r="115" spans="1:28">
      <c r="A115">
        <v>2026</v>
      </c>
      <c r="B115" t="s">
        <v>179</v>
      </c>
      <c r="C115" t="s">
        <v>42</v>
      </c>
      <c r="D115" t="s">
        <v>43</v>
      </c>
      <c r="E115" t="s">
        <v>218</v>
      </c>
      <c r="G115" t="s">
        <v>14</v>
      </c>
      <c r="H115" t="s">
        <v>14</v>
      </c>
      <c r="I115" t="s">
        <v>20</v>
      </c>
      <c r="J115">
        <v>10</v>
      </c>
      <c r="K115" t="s">
        <v>16</v>
      </c>
      <c r="L115">
        <v>370</v>
      </c>
      <c r="M115" s="5">
        <v>3700</v>
      </c>
      <c r="O115" s="5">
        <f t="shared" si="25"/>
        <v>3700</v>
      </c>
      <c r="P115" s="5">
        <f t="shared" si="16"/>
        <v>3700</v>
      </c>
      <c r="Q115" s="11">
        <v>0</v>
      </c>
      <c r="R115" s="5">
        <f t="shared" si="26"/>
        <v>3700</v>
      </c>
      <c r="S115" s="11">
        <f t="shared" si="18"/>
        <v>0</v>
      </c>
      <c r="T115" s="5">
        <f t="shared" si="27"/>
        <v>0</v>
      </c>
      <c r="U115" s="11">
        <v>0</v>
      </c>
      <c r="V115" s="5">
        <f t="shared" si="28"/>
        <v>0</v>
      </c>
      <c r="W115" s="11">
        <f t="shared" si="29"/>
        <v>0</v>
      </c>
      <c r="X115" s="5">
        <f t="shared" si="22"/>
        <v>0</v>
      </c>
      <c r="Y115" s="11">
        <v>0</v>
      </c>
      <c r="Z115" s="5">
        <f t="shared" si="23"/>
        <v>0</v>
      </c>
      <c r="AA115" s="11">
        <f t="shared" si="24"/>
        <v>0</v>
      </c>
      <c r="AB115" s="11">
        <v>0.1</v>
      </c>
    </row>
    <row r="116" spans="1:28">
      <c r="A116">
        <v>2026</v>
      </c>
      <c r="B116" t="s">
        <v>179</v>
      </c>
      <c r="C116" t="s">
        <v>42</v>
      </c>
      <c r="D116" t="s">
        <v>43</v>
      </c>
      <c r="E116" t="s">
        <v>219</v>
      </c>
      <c r="G116" t="s">
        <v>14</v>
      </c>
      <c r="H116" t="s">
        <v>14</v>
      </c>
      <c r="I116" t="s">
        <v>44</v>
      </c>
      <c r="J116">
        <v>2</v>
      </c>
      <c r="K116" t="s">
        <v>16</v>
      </c>
      <c r="L116">
        <v>2643</v>
      </c>
      <c r="M116" s="5">
        <v>5286</v>
      </c>
      <c r="O116" s="5">
        <f t="shared" si="25"/>
        <v>5286</v>
      </c>
      <c r="P116" s="5">
        <f t="shared" si="16"/>
        <v>5286</v>
      </c>
      <c r="Q116" s="11">
        <v>0</v>
      </c>
      <c r="R116" s="5">
        <f t="shared" si="26"/>
        <v>5286</v>
      </c>
      <c r="S116" s="11">
        <f t="shared" si="18"/>
        <v>0</v>
      </c>
      <c r="T116" s="5">
        <f t="shared" si="27"/>
        <v>0</v>
      </c>
      <c r="U116" s="11">
        <v>0</v>
      </c>
      <c r="V116" s="5">
        <f t="shared" si="28"/>
        <v>0</v>
      </c>
      <c r="W116" s="11">
        <f t="shared" si="29"/>
        <v>0</v>
      </c>
      <c r="X116" s="5">
        <f t="shared" si="22"/>
        <v>0</v>
      </c>
      <c r="Y116" s="11">
        <v>0</v>
      </c>
      <c r="Z116" s="5">
        <f t="shared" si="23"/>
        <v>0</v>
      </c>
      <c r="AA116" s="11">
        <f t="shared" si="24"/>
        <v>0</v>
      </c>
      <c r="AB116" s="11">
        <v>0.1</v>
      </c>
    </row>
    <row r="117" spans="1:28">
      <c r="A117">
        <v>2026</v>
      </c>
      <c r="B117" t="s">
        <v>179</v>
      </c>
      <c r="C117" t="s">
        <v>42</v>
      </c>
      <c r="D117" t="s">
        <v>43</v>
      </c>
      <c r="E117" t="s">
        <v>220</v>
      </c>
      <c r="G117" t="s">
        <v>14</v>
      </c>
      <c r="H117" t="s">
        <v>14</v>
      </c>
      <c r="I117" t="s">
        <v>24</v>
      </c>
      <c r="J117">
        <v>5</v>
      </c>
      <c r="K117" t="s">
        <v>16</v>
      </c>
      <c r="L117">
        <v>135.66</v>
      </c>
      <c r="M117" s="5">
        <v>678.3</v>
      </c>
      <c r="O117" s="5">
        <f t="shared" si="25"/>
        <v>678.3</v>
      </c>
      <c r="P117" s="5">
        <f t="shared" si="16"/>
        <v>678.3</v>
      </c>
      <c r="Q117" s="11">
        <v>0</v>
      </c>
      <c r="R117" s="5">
        <f t="shared" si="26"/>
        <v>678.3</v>
      </c>
      <c r="S117" s="11">
        <f t="shared" si="18"/>
        <v>0</v>
      </c>
      <c r="T117" s="5">
        <f t="shared" si="27"/>
        <v>0</v>
      </c>
      <c r="U117" s="11">
        <v>0</v>
      </c>
      <c r="V117" s="5">
        <f t="shared" si="28"/>
        <v>0</v>
      </c>
      <c r="W117" s="11">
        <f t="shared" si="29"/>
        <v>0</v>
      </c>
      <c r="X117" s="5">
        <f t="shared" si="22"/>
        <v>0</v>
      </c>
      <c r="Y117" s="11">
        <v>0</v>
      </c>
      <c r="Z117" s="5">
        <f t="shared" si="23"/>
        <v>0</v>
      </c>
      <c r="AA117" s="11">
        <f t="shared" si="24"/>
        <v>0</v>
      </c>
      <c r="AB117" s="11">
        <v>0.1</v>
      </c>
    </row>
    <row r="118" spans="1:28">
      <c r="A118">
        <v>2026</v>
      </c>
      <c r="B118" t="s">
        <v>179</v>
      </c>
      <c r="C118" t="s">
        <v>42</v>
      </c>
      <c r="D118" t="s">
        <v>43</v>
      </c>
      <c r="E118" t="s">
        <v>221</v>
      </c>
      <c r="G118" t="s">
        <v>14</v>
      </c>
      <c r="H118" t="s">
        <v>14</v>
      </c>
      <c r="I118" t="s">
        <v>25</v>
      </c>
      <c r="J118">
        <v>2</v>
      </c>
      <c r="K118" t="s">
        <v>16</v>
      </c>
      <c r="L118">
        <v>3808</v>
      </c>
      <c r="M118" s="5">
        <v>7616</v>
      </c>
      <c r="O118" s="5">
        <f t="shared" si="25"/>
        <v>7616</v>
      </c>
      <c r="P118" s="5">
        <f t="shared" si="16"/>
        <v>7616</v>
      </c>
      <c r="Q118" s="11">
        <v>0</v>
      </c>
      <c r="R118" s="5">
        <f t="shared" si="26"/>
        <v>7616</v>
      </c>
      <c r="S118" s="11">
        <f t="shared" si="18"/>
        <v>0</v>
      </c>
      <c r="T118" s="5">
        <f t="shared" si="27"/>
        <v>0</v>
      </c>
      <c r="U118" s="11">
        <v>0</v>
      </c>
      <c r="V118" s="5">
        <f t="shared" si="28"/>
        <v>0</v>
      </c>
      <c r="W118" s="11">
        <f t="shared" si="29"/>
        <v>0</v>
      </c>
      <c r="X118" s="5">
        <f t="shared" si="22"/>
        <v>0</v>
      </c>
      <c r="Y118" s="11">
        <v>0</v>
      </c>
      <c r="Z118" s="5">
        <f t="shared" si="23"/>
        <v>0</v>
      </c>
      <c r="AA118" s="11">
        <f t="shared" si="24"/>
        <v>0</v>
      </c>
      <c r="AB118" s="11">
        <v>0.1</v>
      </c>
    </row>
    <row r="119" spans="1:28">
      <c r="A119">
        <v>2026</v>
      </c>
      <c r="B119" t="s">
        <v>179</v>
      </c>
      <c r="C119" t="s">
        <v>42</v>
      </c>
      <c r="D119" t="s">
        <v>43</v>
      </c>
      <c r="E119" t="s">
        <v>222</v>
      </c>
      <c r="G119" t="s">
        <v>14</v>
      </c>
      <c r="H119" t="s">
        <v>14</v>
      </c>
      <c r="I119" t="s">
        <v>26</v>
      </c>
      <c r="J119">
        <v>2</v>
      </c>
      <c r="K119" t="s">
        <v>16</v>
      </c>
      <c r="L119">
        <v>111.86</v>
      </c>
      <c r="M119" s="5">
        <v>223.72</v>
      </c>
      <c r="O119" s="5">
        <f t="shared" si="25"/>
        <v>223.72</v>
      </c>
      <c r="P119" s="5">
        <f t="shared" si="16"/>
        <v>223.72</v>
      </c>
      <c r="Q119" s="11">
        <v>0</v>
      </c>
      <c r="R119" s="5">
        <f t="shared" si="26"/>
        <v>223.72</v>
      </c>
      <c r="S119" s="11">
        <f t="shared" si="18"/>
        <v>0</v>
      </c>
      <c r="T119" s="5">
        <f t="shared" si="27"/>
        <v>0</v>
      </c>
      <c r="U119" s="11">
        <v>0</v>
      </c>
      <c r="V119" s="5">
        <f t="shared" si="28"/>
        <v>0</v>
      </c>
      <c r="W119" s="11">
        <f t="shared" si="29"/>
        <v>0</v>
      </c>
      <c r="X119" s="5">
        <f t="shared" si="22"/>
        <v>0</v>
      </c>
      <c r="Y119" s="11">
        <v>0</v>
      </c>
      <c r="Z119" s="5">
        <f t="shared" si="23"/>
        <v>0</v>
      </c>
      <c r="AA119" s="11">
        <f t="shared" si="24"/>
        <v>0</v>
      </c>
      <c r="AB119" s="11">
        <v>0.1</v>
      </c>
    </row>
    <row r="120" spans="1:28">
      <c r="A120">
        <v>2026</v>
      </c>
      <c r="B120" t="s">
        <v>179</v>
      </c>
      <c r="C120" t="s">
        <v>42</v>
      </c>
      <c r="D120" t="s">
        <v>43</v>
      </c>
      <c r="E120" t="s">
        <v>223</v>
      </c>
      <c r="G120" t="s">
        <v>14</v>
      </c>
      <c r="H120" t="s">
        <v>14</v>
      </c>
      <c r="I120" t="s">
        <v>66</v>
      </c>
      <c r="J120">
        <v>10</v>
      </c>
      <c r="K120" t="s">
        <v>16</v>
      </c>
      <c r="L120">
        <v>80300</v>
      </c>
      <c r="M120" s="5">
        <v>3212</v>
      </c>
      <c r="O120" s="5">
        <f t="shared" si="25"/>
        <v>3212</v>
      </c>
      <c r="P120" s="5">
        <f t="shared" si="16"/>
        <v>3212</v>
      </c>
      <c r="Q120" s="11">
        <v>0</v>
      </c>
      <c r="R120" s="5">
        <f t="shared" si="26"/>
        <v>3212</v>
      </c>
      <c r="S120" s="11">
        <f t="shared" si="18"/>
        <v>0</v>
      </c>
      <c r="T120" s="5">
        <f t="shared" si="27"/>
        <v>0</v>
      </c>
      <c r="U120" s="11">
        <v>0</v>
      </c>
      <c r="V120" s="5">
        <f t="shared" si="28"/>
        <v>0</v>
      </c>
      <c r="W120" s="11">
        <f t="shared" si="29"/>
        <v>0</v>
      </c>
      <c r="X120" s="5">
        <f t="shared" si="22"/>
        <v>0</v>
      </c>
      <c r="Y120" s="11">
        <v>0</v>
      </c>
      <c r="Z120" s="5">
        <f t="shared" si="23"/>
        <v>0</v>
      </c>
      <c r="AA120" s="11">
        <f t="shared" si="24"/>
        <v>0</v>
      </c>
      <c r="AB120" s="11">
        <v>0.1</v>
      </c>
    </row>
    <row r="121" spans="1:28">
      <c r="A121">
        <v>2026</v>
      </c>
      <c r="B121" t="s">
        <v>179</v>
      </c>
      <c r="C121" t="s">
        <v>42</v>
      </c>
      <c r="D121" t="s">
        <v>43</v>
      </c>
      <c r="E121" t="s">
        <v>224</v>
      </c>
      <c r="G121" t="s">
        <v>14</v>
      </c>
      <c r="H121" t="s">
        <v>14</v>
      </c>
      <c r="I121" t="s">
        <v>28</v>
      </c>
      <c r="J121">
        <v>5</v>
      </c>
      <c r="K121" t="s">
        <v>16</v>
      </c>
      <c r="L121">
        <v>17888.080000000002</v>
      </c>
      <c r="M121" s="5">
        <v>89440.400000000009</v>
      </c>
      <c r="O121" s="5">
        <f t="shared" si="25"/>
        <v>89440.400000000009</v>
      </c>
      <c r="P121" s="5">
        <f t="shared" si="16"/>
        <v>89440.400000000009</v>
      </c>
      <c r="Q121" s="11">
        <v>0</v>
      </c>
      <c r="R121" s="5">
        <f t="shared" si="26"/>
        <v>89440.400000000009</v>
      </c>
      <c r="S121" s="11">
        <f t="shared" si="18"/>
        <v>0</v>
      </c>
      <c r="T121" s="5">
        <f t="shared" si="27"/>
        <v>0</v>
      </c>
      <c r="U121" s="11">
        <v>0</v>
      </c>
      <c r="V121" s="5">
        <f t="shared" si="28"/>
        <v>0</v>
      </c>
      <c r="W121" s="11">
        <f t="shared" si="29"/>
        <v>0</v>
      </c>
      <c r="X121" s="5">
        <f t="shared" si="22"/>
        <v>0</v>
      </c>
      <c r="Y121" s="11">
        <v>0</v>
      </c>
      <c r="Z121" s="5">
        <f t="shared" si="23"/>
        <v>0</v>
      </c>
      <c r="AA121" s="11">
        <f t="shared" si="24"/>
        <v>0</v>
      </c>
      <c r="AB121" s="11">
        <v>0.1</v>
      </c>
    </row>
    <row r="122" spans="1:28">
      <c r="A122">
        <v>2026</v>
      </c>
      <c r="B122" t="s">
        <v>179</v>
      </c>
      <c r="C122" t="s">
        <v>42</v>
      </c>
      <c r="D122" t="s">
        <v>43</v>
      </c>
      <c r="E122" t="s">
        <v>225</v>
      </c>
      <c r="G122" t="s">
        <v>14</v>
      </c>
      <c r="H122" t="s">
        <v>14</v>
      </c>
      <c r="I122" t="s">
        <v>29</v>
      </c>
      <c r="J122">
        <v>2</v>
      </c>
      <c r="K122" t="s">
        <v>16</v>
      </c>
      <c r="L122">
        <v>337.3837894736842</v>
      </c>
      <c r="M122" s="5">
        <v>674.76757894736841</v>
      </c>
      <c r="O122" s="5">
        <f t="shared" si="25"/>
        <v>674.76757894736841</v>
      </c>
      <c r="P122" s="5">
        <f t="shared" si="16"/>
        <v>674.76757894736841</v>
      </c>
      <c r="Q122" s="11">
        <v>0</v>
      </c>
      <c r="R122" s="5">
        <f t="shared" si="26"/>
        <v>674.76757894736841</v>
      </c>
      <c r="S122" s="11">
        <f t="shared" si="18"/>
        <v>0</v>
      </c>
      <c r="T122" s="5">
        <f t="shared" si="27"/>
        <v>0</v>
      </c>
      <c r="U122" s="11">
        <v>0</v>
      </c>
      <c r="V122" s="5">
        <f t="shared" si="28"/>
        <v>0</v>
      </c>
      <c r="W122" s="11">
        <f t="shared" si="29"/>
        <v>0</v>
      </c>
      <c r="X122" s="5">
        <f t="shared" si="22"/>
        <v>0</v>
      </c>
      <c r="Y122" s="11">
        <v>0</v>
      </c>
      <c r="Z122" s="5">
        <f t="shared" si="23"/>
        <v>0</v>
      </c>
      <c r="AA122" s="11">
        <f t="shared" si="24"/>
        <v>0</v>
      </c>
      <c r="AB122" s="11">
        <v>0.1</v>
      </c>
    </row>
    <row r="123" spans="1:28">
      <c r="A123">
        <v>2026</v>
      </c>
      <c r="B123" t="s">
        <v>179</v>
      </c>
      <c r="C123" t="s">
        <v>42</v>
      </c>
      <c r="D123" t="s">
        <v>43</v>
      </c>
      <c r="E123" t="s">
        <v>226</v>
      </c>
      <c r="G123" t="s">
        <v>14</v>
      </c>
      <c r="H123" t="s">
        <v>14</v>
      </c>
      <c r="I123" t="s">
        <v>154</v>
      </c>
      <c r="J123">
        <v>2</v>
      </c>
      <c r="K123" t="s">
        <v>16</v>
      </c>
      <c r="L123">
        <v>67900</v>
      </c>
      <c r="M123" s="5">
        <v>13580</v>
      </c>
      <c r="O123" s="5">
        <f t="shared" si="25"/>
        <v>13580</v>
      </c>
      <c r="P123" s="5">
        <f t="shared" si="16"/>
        <v>13580</v>
      </c>
      <c r="Q123" s="11">
        <v>0</v>
      </c>
      <c r="R123" s="5">
        <f t="shared" si="26"/>
        <v>13580</v>
      </c>
      <c r="S123" s="11">
        <f t="shared" si="18"/>
        <v>0</v>
      </c>
      <c r="T123" s="5">
        <f t="shared" si="27"/>
        <v>0</v>
      </c>
      <c r="U123" s="11">
        <v>0</v>
      </c>
      <c r="V123" s="5">
        <f t="shared" si="28"/>
        <v>0</v>
      </c>
      <c r="W123" s="11">
        <f t="shared" si="29"/>
        <v>0</v>
      </c>
      <c r="X123" s="5">
        <f t="shared" si="22"/>
        <v>0</v>
      </c>
      <c r="Y123" s="11">
        <v>0</v>
      </c>
      <c r="Z123" s="5">
        <f t="shared" si="23"/>
        <v>0</v>
      </c>
      <c r="AA123" s="11">
        <f t="shared" si="24"/>
        <v>0</v>
      </c>
      <c r="AB123" s="11">
        <v>0.1</v>
      </c>
    </row>
    <row r="124" spans="1:28">
      <c r="A124">
        <v>2026</v>
      </c>
      <c r="B124" t="s">
        <v>179</v>
      </c>
      <c r="C124" t="s">
        <v>42</v>
      </c>
      <c r="D124" t="s">
        <v>43</v>
      </c>
      <c r="E124" t="s">
        <v>227</v>
      </c>
      <c r="G124" t="s">
        <v>14</v>
      </c>
      <c r="H124" t="s">
        <v>14</v>
      </c>
      <c r="I124" t="s">
        <v>155</v>
      </c>
      <c r="J124">
        <v>2</v>
      </c>
      <c r="K124" t="s">
        <v>16</v>
      </c>
      <c r="L124">
        <v>50300</v>
      </c>
      <c r="M124" s="5">
        <v>10060</v>
      </c>
      <c r="O124" s="5">
        <f t="shared" si="25"/>
        <v>10060</v>
      </c>
      <c r="P124" s="5">
        <f t="shared" si="16"/>
        <v>10060</v>
      </c>
      <c r="Q124" s="11">
        <v>0</v>
      </c>
      <c r="R124" s="5">
        <f t="shared" si="26"/>
        <v>10060</v>
      </c>
      <c r="S124" s="11">
        <f t="shared" si="18"/>
        <v>0</v>
      </c>
      <c r="T124" s="5">
        <f t="shared" si="27"/>
        <v>0</v>
      </c>
      <c r="U124" s="11">
        <v>0</v>
      </c>
      <c r="V124" s="5">
        <f t="shared" si="28"/>
        <v>0</v>
      </c>
      <c r="W124" s="11">
        <f t="shared" si="29"/>
        <v>0</v>
      </c>
      <c r="X124" s="5">
        <f t="shared" si="22"/>
        <v>0</v>
      </c>
      <c r="Y124" s="11">
        <v>0</v>
      </c>
      <c r="Z124" s="5">
        <f t="shared" si="23"/>
        <v>0</v>
      </c>
      <c r="AA124" s="11">
        <f t="shared" si="24"/>
        <v>0</v>
      </c>
      <c r="AB124" s="11">
        <v>0.1</v>
      </c>
    </row>
    <row r="125" spans="1:28">
      <c r="A125">
        <v>2026</v>
      </c>
      <c r="B125" t="s">
        <v>179</v>
      </c>
      <c r="C125" t="s">
        <v>42</v>
      </c>
      <c r="D125" t="s">
        <v>43</v>
      </c>
      <c r="E125" t="s">
        <v>228</v>
      </c>
      <c r="G125" t="s">
        <v>14</v>
      </c>
      <c r="H125" t="s">
        <v>14</v>
      </c>
      <c r="I125" t="s">
        <v>152</v>
      </c>
      <c r="J125">
        <v>2</v>
      </c>
      <c r="K125" t="s">
        <v>16</v>
      </c>
      <c r="L125">
        <v>43500</v>
      </c>
      <c r="M125" s="5">
        <v>7250</v>
      </c>
      <c r="O125" s="5">
        <f t="shared" si="25"/>
        <v>7250</v>
      </c>
      <c r="P125" s="5">
        <f t="shared" si="16"/>
        <v>7250</v>
      </c>
      <c r="Q125" s="11">
        <v>0</v>
      </c>
      <c r="R125" s="5">
        <f t="shared" si="26"/>
        <v>7250</v>
      </c>
      <c r="S125" s="11">
        <f t="shared" si="18"/>
        <v>0</v>
      </c>
      <c r="T125" s="5">
        <f t="shared" si="27"/>
        <v>0</v>
      </c>
      <c r="U125" s="11">
        <v>0</v>
      </c>
      <c r="V125" s="5">
        <f t="shared" si="28"/>
        <v>0</v>
      </c>
      <c r="W125" s="11">
        <f t="shared" si="29"/>
        <v>0</v>
      </c>
      <c r="X125" s="5">
        <f t="shared" si="22"/>
        <v>0</v>
      </c>
      <c r="Y125" s="11">
        <v>0</v>
      </c>
      <c r="Z125" s="5">
        <f t="shared" si="23"/>
        <v>0</v>
      </c>
      <c r="AA125" s="11">
        <f t="shared" si="24"/>
        <v>0</v>
      </c>
      <c r="AB125" s="11">
        <v>0.1</v>
      </c>
    </row>
    <row r="126" spans="1:28">
      <c r="A126">
        <v>2026</v>
      </c>
      <c r="B126" t="s">
        <v>179</v>
      </c>
      <c r="C126" t="s">
        <v>42</v>
      </c>
      <c r="D126" t="s">
        <v>43</v>
      </c>
      <c r="F126">
        <v>1800</v>
      </c>
      <c r="G126" t="s">
        <v>32</v>
      </c>
      <c r="H126" t="s">
        <v>32</v>
      </c>
      <c r="I126" t="s">
        <v>33</v>
      </c>
      <c r="J126">
        <v>60</v>
      </c>
      <c r="K126" t="s">
        <v>38</v>
      </c>
      <c r="L126" s="16">
        <v>20894.400000000001</v>
      </c>
      <c r="M126" s="5">
        <f>+L126*J126</f>
        <v>1253664</v>
      </c>
      <c r="O126" s="5">
        <f t="shared" si="25"/>
        <v>1253664</v>
      </c>
      <c r="P126" s="5">
        <f t="shared" si="16"/>
        <v>1253664</v>
      </c>
      <c r="Q126" s="11">
        <v>0</v>
      </c>
      <c r="R126" s="5">
        <f t="shared" si="26"/>
        <v>1253664</v>
      </c>
      <c r="S126" s="11">
        <f t="shared" si="18"/>
        <v>0</v>
      </c>
      <c r="T126" s="5">
        <f t="shared" si="27"/>
        <v>0</v>
      </c>
      <c r="U126" s="11">
        <v>0</v>
      </c>
      <c r="V126" s="5">
        <f t="shared" si="28"/>
        <v>0</v>
      </c>
      <c r="W126" s="11">
        <f t="shared" si="29"/>
        <v>0</v>
      </c>
      <c r="X126" s="5">
        <f t="shared" si="22"/>
        <v>0</v>
      </c>
      <c r="Y126" s="11">
        <v>0</v>
      </c>
      <c r="Z126" s="5">
        <f t="shared" si="23"/>
        <v>0</v>
      </c>
      <c r="AA126" s="11">
        <f t="shared" si="24"/>
        <v>0</v>
      </c>
      <c r="AB126" s="11">
        <v>0.1</v>
      </c>
    </row>
    <row r="127" spans="1:28">
      <c r="A127">
        <v>2026</v>
      </c>
      <c r="B127" t="s">
        <v>179</v>
      </c>
      <c r="C127" t="s">
        <v>42</v>
      </c>
      <c r="D127" t="s">
        <v>43</v>
      </c>
      <c r="F127">
        <v>900</v>
      </c>
      <c r="G127" t="s">
        <v>32</v>
      </c>
      <c r="H127" t="s">
        <v>32</v>
      </c>
      <c r="I127" t="s">
        <v>35</v>
      </c>
      <c r="J127">
        <v>60</v>
      </c>
      <c r="K127" t="s">
        <v>38</v>
      </c>
      <c r="L127" s="16">
        <v>6048.3</v>
      </c>
      <c r="M127" s="5">
        <f>+L127*J127</f>
        <v>362898</v>
      </c>
      <c r="O127" s="5">
        <f t="shared" si="25"/>
        <v>362898</v>
      </c>
      <c r="P127" s="5">
        <f t="shared" si="16"/>
        <v>362898</v>
      </c>
      <c r="Q127" s="11">
        <v>0</v>
      </c>
      <c r="R127" s="5">
        <f t="shared" si="26"/>
        <v>362898</v>
      </c>
      <c r="S127" s="11">
        <f t="shared" si="18"/>
        <v>0</v>
      </c>
      <c r="T127" s="5">
        <f t="shared" si="27"/>
        <v>0</v>
      </c>
      <c r="U127" s="11">
        <v>0</v>
      </c>
      <c r="V127" s="5">
        <f t="shared" si="28"/>
        <v>0</v>
      </c>
      <c r="W127" s="11">
        <f t="shared" si="29"/>
        <v>0</v>
      </c>
      <c r="X127" s="5">
        <f t="shared" si="22"/>
        <v>0</v>
      </c>
      <c r="Y127" s="11">
        <v>0</v>
      </c>
      <c r="Z127" s="5">
        <f t="shared" si="23"/>
        <v>0</v>
      </c>
      <c r="AA127" s="11">
        <f t="shared" si="24"/>
        <v>0</v>
      </c>
      <c r="AB127" s="11">
        <v>0.1</v>
      </c>
    </row>
    <row r="128" spans="1:28">
      <c r="A128">
        <v>2026</v>
      </c>
      <c r="B128" t="s">
        <v>179</v>
      </c>
      <c r="C128" t="s">
        <v>42</v>
      </c>
      <c r="D128" t="s">
        <v>43</v>
      </c>
      <c r="F128">
        <v>600</v>
      </c>
      <c r="G128" t="s">
        <v>32</v>
      </c>
      <c r="H128" t="s">
        <v>32</v>
      </c>
      <c r="I128" t="s">
        <v>213</v>
      </c>
      <c r="J128">
        <v>60</v>
      </c>
      <c r="K128" t="s">
        <v>38</v>
      </c>
      <c r="L128">
        <v>35000</v>
      </c>
      <c r="M128" s="5">
        <f>+L128*J128</f>
        <v>2100000</v>
      </c>
      <c r="O128" s="5">
        <f t="shared" si="25"/>
        <v>2100000</v>
      </c>
      <c r="P128" s="5">
        <f t="shared" si="16"/>
        <v>2100000</v>
      </c>
      <c r="Q128" s="11">
        <v>0</v>
      </c>
      <c r="R128" s="5">
        <f t="shared" si="26"/>
        <v>2100000</v>
      </c>
      <c r="S128" s="11">
        <f t="shared" si="18"/>
        <v>0</v>
      </c>
      <c r="T128" s="5">
        <f t="shared" si="27"/>
        <v>0</v>
      </c>
      <c r="U128" s="11">
        <v>0</v>
      </c>
      <c r="V128" s="5">
        <f t="shared" si="28"/>
        <v>0</v>
      </c>
      <c r="W128" s="11">
        <f t="shared" si="29"/>
        <v>0</v>
      </c>
      <c r="X128" s="5">
        <f t="shared" si="22"/>
        <v>0</v>
      </c>
      <c r="Y128" s="11">
        <v>0</v>
      </c>
      <c r="Z128" s="5">
        <f t="shared" si="23"/>
        <v>0</v>
      </c>
      <c r="AA128" s="11">
        <f t="shared" si="24"/>
        <v>0</v>
      </c>
      <c r="AB128" s="11">
        <v>0.1</v>
      </c>
    </row>
    <row r="129" spans="1:28">
      <c r="A129">
        <v>2026</v>
      </c>
      <c r="B129" t="s">
        <v>179</v>
      </c>
      <c r="C129" t="s">
        <v>42</v>
      </c>
      <c r="D129" t="s">
        <v>43</v>
      </c>
      <c r="F129">
        <v>600</v>
      </c>
      <c r="G129" t="s">
        <v>32</v>
      </c>
      <c r="H129" t="s">
        <v>32</v>
      </c>
      <c r="I129" t="s">
        <v>214</v>
      </c>
      <c r="J129">
        <v>60</v>
      </c>
      <c r="K129" t="s">
        <v>38</v>
      </c>
      <c r="L129">
        <v>25000</v>
      </c>
      <c r="M129" s="5">
        <f>+L129*J129</f>
        <v>1500000</v>
      </c>
      <c r="O129" s="5">
        <f t="shared" si="25"/>
        <v>1500000</v>
      </c>
      <c r="P129" s="5">
        <f t="shared" si="16"/>
        <v>1500000</v>
      </c>
      <c r="Q129" s="11">
        <v>0</v>
      </c>
      <c r="R129" s="5">
        <f t="shared" si="26"/>
        <v>1500000</v>
      </c>
      <c r="S129" s="11">
        <f t="shared" si="18"/>
        <v>0</v>
      </c>
      <c r="T129" s="5">
        <f t="shared" si="27"/>
        <v>0</v>
      </c>
      <c r="U129" s="11">
        <v>0</v>
      </c>
      <c r="V129" s="5">
        <f t="shared" si="28"/>
        <v>0</v>
      </c>
      <c r="W129" s="11">
        <f t="shared" si="29"/>
        <v>0</v>
      </c>
      <c r="X129" s="5">
        <f t="shared" si="22"/>
        <v>0</v>
      </c>
      <c r="Y129" s="11">
        <v>0</v>
      </c>
      <c r="Z129" s="5">
        <f t="shared" si="23"/>
        <v>0</v>
      </c>
      <c r="AA129" s="11">
        <f t="shared" si="24"/>
        <v>0</v>
      </c>
      <c r="AB129" s="11">
        <v>0.1</v>
      </c>
    </row>
    <row r="130" spans="1:28">
      <c r="A130">
        <v>2026</v>
      </c>
      <c r="B130" t="s">
        <v>179</v>
      </c>
      <c r="C130" t="s">
        <v>42</v>
      </c>
      <c r="D130" t="s">
        <v>43</v>
      </c>
      <c r="F130">
        <v>600</v>
      </c>
      <c r="G130" t="s">
        <v>32</v>
      </c>
      <c r="H130" t="s">
        <v>32</v>
      </c>
      <c r="I130" t="s">
        <v>215</v>
      </c>
      <c r="J130">
        <v>60</v>
      </c>
      <c r="K130" t="s">
        <v>38</v>
      </c>
      <c r="L130">
        <v>20000</v>
      </c>
      <c r="M130" s="5">
        <f>+L130*J130</f>
        <v>1200000</v>
      </c>
      <c r="O130" s="5">
        <f t="shared" ref="O130:O148" si="30">R130</f>
        <v>1200000</v>
      </c>
      <c r="P130" s="5">
        <f t="shared" ref="P130:P193" si="31">IF(C130="Alta Complejidad",M130,0)</f>
        <v>1200000</v>
      </c>
      <c r="Q130" s="11">
        <v>0</v>
      </c>
      <c r="R130" s="5">
        <f t="shared" ref="R130:R161" si="32">M130+(M130*Q130)</f>
        <v>1200000</v>
      </c>
      <c r="S130" s="11">
        <f t="shared" ref="S130:S193" si="33">IFERROR(((R130-P130)/R130),0)</f>
        <v>0</v>
      </c>
      <c r="T130" s="5">
        <f t="shared" ref="T130:T149" si="34">IF(C130="Mediana Complejidad",M130,0)</f>
        <v>0</v>
      </c>
      <c r="U130" s="11">
        <v>0</v>
      </c>
      <c r="V130" s="5">
        <f t="shared" ref="V130:V161" si="35">(T130)+(T130*U130)</f>
        <v>0</v>
      </c>
      <c r="W130" s="11">
        <f t="shared" ref="W130:W161" si="36">IFERROR(((V130-T130)/V130),0)</f>
        <v>0</v>
      </c>
      <c r="X130" s="5">
        <f t="shared" ref="X130:X193" si="37">IF(C130="Baja Complejidad",M130,0)</f>
        <v>0</v>
      </c>
      <c r="Y130" s="11">
        <v>0</v>
      </c>
      <c r="Z130" s="5">
        <f t="shared" ref="Z130:Z193" si="38">(X130)+(X130*Y130)</f>
        <v>0</v>
      </c>
      <c r="AA130" s="11">
        <f t="shared" ref="AA130:AA193" si="39">IFERROR(((Z130-X130)/Z130),0)</f>
        <v>0</v>
      </c>
      <c r="AB130" s="11">
        <v>0.1</v>
      </c>
    </row>
    <row r="131" spans="1:28">
      <c r="A131">
        <v>2026</v>
      </c>
      <c r="B131" t="s">
        <v>180</v>
      </c>
      <c r="C131" t="s">
        <v>42</v>
      </c>
      <c r="D131" t="s">
        <v>43</v>
      </c>
      <c r="E131" t="s">
        <v>216</v>
      </c>
      <c r="G131" t="s">
        <v>14</v>
      </c>
      <c r="H131" t="s">
        <v>14</v>
      </c>
      <c r="I131" t="s">
        <v>15</v>
      </c>
      <c r="J131">
        <v>4</v>
      </c>
      <c r="K131" t="s">
        <v>16</v>
      </c>
      <c r="L131">
        <v>266</v>
      </c>
      <c r="M131" s="5">
        <v>1064</v>
      </c>
      <c r="O131" s="5">
        <f t="shared" si="30"/>
        <v>1064</v>
      </c>
      <c r="P131" s="5">
        <f t="shared" si="31"/>
        <v>1064</v>
      </c>
      <c r="Q131" s="11">
        <v>0</v>
      </c>
      <c r="R131" s="5">
        <f t="shared" si="32"/>
        <v>1064</v>
      </c>
      <c r="S131" s="11">
        <f t="shared" si="33"/>
        <v>0</v>
      </c>
      <c r="T131" s="5">
        <f t="shared" si="34"/>
        <v>0</v>
      </c>
      <c r="U131" s="11">
        <v>0</v>
      </c>
      <c r="V131" s="5">
        <f t="shared" si="35"/>
        <v>0</v>
      </c>
      <c r="W131" s="11">
        <f t="shared" si="36"/>
        <v>0</v>
      </c>
      <c r="X131" s="5">
        <f t="shared" si="37"/>
        <v>0</v>
      </c>
      <c r="Y131" s="11">
        <v>0</v>
      </c>
      <c r="Z131" s="5">
        <f t="shared" si="38"/>
        <v>0</v>
      </c>
      <c r="AA131" s="11">
        <f t="shared" si="39"/>
        <v>0</v>
      </c>
      <c r="AB131" s="11">
        <v>0.1</v>
      </c>
    </row>
    <row r="132" spans="1:28">
      <c r="A132">
        <v>2026</v>
      </c>
      <c r="B132" t="s">
        <v>180</v>
      </c>
      <c r="C132" t="s">
        <v>42</v>
      </c>
      <c r="D132" t="s">
        <v>43</v>
      </c>
      <c r="E132" t="s">
        <v>217</v>
      </c>
      <c r="G132" t="s">
        <v>14</v>
      </c>
      <c r="H132" t="s">
        <v>14</v>
      </c>
      <c r="I132" t="s">
        <v>18</v>
      </c>
      <c r="J132">
        <v>2</v>
      </c>
      <c r="K132" t="s">
        <v>16</v>
      </c>
      <c r="L132">
        <v>1086.232</v>
      </c>
      <c r="M132" s="5">
        <v>2172.4639999999999</v>
      </c>
      <c r="O132" s="5">
        <f t="shared" si="30"/>
        <v>2172.4639999999999</v>
      </c>
      <c r="P132" s="5">
        <f t="shared" si="31"/>
        <v>2172.4639999999999</v>
      </c>
      <c r="Q132" s="11">
        <v>0</v>
      </c>
      <c r="R132" s="5">
        <f t="shared" si="32"/>
        <v>2172.4639999999999</v>
      </c>
      <c r="S132" s="11">
        <f t="shared" si="33"/>
        <v>0</v>
      </c>
      <c r="T132" s="5">
        <f t="shared" si="34"/>
        <v>0</v>
      </c>
      <c r="U132" s="11">
        <v>0</v>
      </c>
      <c r="V132" s="5">
        <f t="shared" si="35"/>
        <v>0</v>
      </c>
      <c r="W132" s="11">
        <f t="shared" si="36"/>
        <v>0</v>
      </c>
      <c r="X132" s="5">
        <f t="shared" si="37"/>
        <v>0</v>
      </c>
      <c r="Y132" s="11">
        <v>0</v>
      </c>
      <c r="Z132" s="5">
        <f t="shared" si="38"/>
        <v>0</v>
      </c>
      <c r="AA132" s="11">
        <f t="shared" si="39"/>
        <v>0</v>
      </c>
      <c r="AB132" s="11">
        <v>0.1</v>
      </c>
    </row>
    <row r="133" spans="1:28">
      <c r="A133">
        <v>2026</v>
      </c>
      <c r="B133" t="s">
        <v>180</v>
      </c>
      <c r="C133" t="s">
        <v>42</v>
      </c>
      <c r="D133" t="s">
        <v>43</v>
      </c>
      <c r="E133" t="s">
        <v>218</v>
      </c>
      <c r="G133" t="s">
        <v>14</v>
      </c>
      <c r="H133" t="s">
        <v>14</v>
      </c>
      <c r="I133" t="s">
        <v>20</v>
      </c>
      <c r="J133">
        <v>10</v>
      </c>
      <c r="K133" t="s">
        <v>16</v>
      </c>
      <c r="L133">
        <v>370</v>
      </c>
      <c r="M133" s="5">
        <v>3700</v>
      </c>
      <c r="O133" s="5">
        <f t="shared" si="30"/>
        <v>3700</v>
      </c>
      <c r="P133" s="5">
        <f t="shared" si="31"/>
        <v>3700</v>
      </c>
      <c r="Q133" s="11">
        <v>0</v>
      </c>
      <c r="R133" s="5">
        <f t="shared" si="32"/>
        <v>3700</v>
      </c>
      <c r="S133" s="11">
        <f t="shared" si="33"/>
        <v>0</v>
      </c>
      <c r="T133" s="5">
        <f t="shared" si="34"/>
        <v>0</v>
      </c>
      <c r="U133" s="11">
        <v>0</v>
      </c>
      <c r="V133" s="5">
        <f t="shared" si="35"/>
        <v>0</v>
      </c>
      <c r="W133" s="11">
        <f t="shared" si="36"/>
        <v>0</v>
      </c>
      <c r="X133" s="5">
        <f t="shared" si="37"/>
        <v>0</v>
      </c>
      <c r="Y133" s="11">
        <v>0</v>
      </c>
      <c r="Z133" s="5">
        <f t="shared" si="38"/>
        <v>0</v>
      </c>
      <c r="AA133" s="11">
        <f t="shared" si="39"/>
        <v>0</v>
      </c>
      <c r="AB133" s="11">
        <v>0.1</v>
      </c>
    </row>
    <row r="134" spans="1:28">
      <c r="A134">
        <v>2026</v>
      </c>
      <c r="B134" t="s">
        <v>180</v>
      </c>
      <c r="C134" t="s">
        <v>42</v>
      </c>
      <c r="D134" t="s">
        <v>43</v>
      </c>
      <c r="E134" t="s">
        <v>219</v>
      </c>
      <c r="G134" t="s">
        <v>14</v>
      </c>
      <c r="H134" t="s">
        <v>14</v>
      </c>
      <c r="I134" t="s">
        <v>44</v>
      </c>
      <c r="J134">
        <v>2</v>
      </c>
      <c r="K134" t="s">
        <v>16</v>
      </c>
      <c r="L134">
        <v>2643</v>
      </c>
      <c r="M134" s="5">
        <v>5286</v>
      </c>
      <c r="O134" s="5">
        <f t="shared" si="30"/>
        <v>5286</v>
      </c>
      <c r="P134" s="5">
        <f t="shared" si="31"/>
        <v>5286</v>
      </c>
      <c r="Q134" s="11">
        <v>0</v>
      </c>
      <c r="R134" s="5">
        <f t="shared" si="32"/>
        <v>5286</v>
      </c>
      <c r="S134" s="11">
        <f t="shared" si="33"/>
        <v>0</v>
      </c>
      <c r="T134" s="5">
        <f t="shared" si="34"/>
        <v>0</v>
      </c>
      <c r="U134" s="11">
        <v>0</v>
      </c>
      <c r="V134" s="5">
        <f t="shared" si="35"/>
        <v>0</v>
      </c>
      <c r="W134" s="11">
        <f t="shared" si="36"/>
        <v>0</v>
      </c>
      <c r="X134" s="5">
        <f t="shared" si="37"/>
        <v>0</v>
      </c>
      <c r="Y134" s="11">
        <v>0</v>
      </c>
      <c r="Z134" s="5">
        <f t="shared" si="38"/>
        <v>0</v>
      </c>
      <c r="AA134" s="11">
        <f t="shared" si="39"/>
        <v>0</v>
      </c>
      <c r="AB134" s="11">
        <v>0.1</v>
      </c>
    </row>
    <row r="135" spans="1:28">
      <c r="A135">
        <v>2026</v>
      </c>
      <c r="B135" t="s">
        <v>180</v>
      </c>
      <c r="C135" t="s">
        <v>42</v>
      </c>
      <c r="D135" t="s">
        <v>43</v>
      </c>
      <c r="E135" t="s">
        <v>220</v>
      </c>
      <c r="G135" t="s">
        <v>14</v>
      </c>
      <c r="H135" t="s">
        <v>14</v>
      </c>
      <c r="I135" t="s">
        <v>24</v>
      </c>
      <c r="J135">
        <v>5</v>
      </c>
      <c r="K135" t="s">
        <v>16</v>
      </c>
      <c r="L135">
        <v>135.66</v>
      </c>
      <c r="M135" s="5">
        <v>678.3</v>
      </c>
      <c r="O135" s="5">
        <f t="shared" si="30"/>
        <v>678.3</v>
      </c>
      <c r="P135" s="5">
        <f t="shared" si="31"/>
        <v>678.3</v>
      </c>
      <c r="Q135" s="11">
        <v>0</v>
      </c>
      <c r="R135" s="5">
        <f t="shared" si="32"/>
        <v>678.3</v>
      </c>
      <c r="S135" s="11">
        <f t="shared" si="33"/>
        <v>0</v>
      </c>
      <c r="T135" s="5">
        <f t="shared" si="34"/>
        <v>0</v>
      </c>
      <c r="U135" s="11">
        <v>0</v>
      </c>
      <c r="V135" s="5">
        <f t="shared" si="35"/>
        <v>0</v>
      </c>
      <c r="W135" s="11">
        <f t="shared" si="36"/>
        <v>0</v>
      </c>
      <c r="X135" s="5">
        <f t="shared" si="37"/>
        <v>0</v>
      </c>
      <c r="Y135" s="11">
        <v>0</v>
      </c>
      <c r="Z135" s="5">
        <f t="shared" si="38"/>
        <v>0</v>
      </c>
      <c r="AA135" s="11">
        <f t="shared" si="39"/>
        <v>0</v>
      </c>
      <c r="AB135" s="11">
        <v>0.1</v>
      </c>
    </row>
    <row r="136" spans="1:28">
      <c r="A136">
        <v>2026</v>
      </c>
      <c r="B136" t="s">
        <v>180</v>
      </c>
      <c r="C136" t="s">
        <v>42</v>
      </c>
      <c r="D136" t="s">
        <v>43</v>
      </c>
      <c r="E136" t="s">
        <v>221</v>
      </c>
      <c r="G136" t="s">
        <v>14</v>
      </c>
      <c r="H136" t="s">
        <v>14</v>
      </c>
      <c r="I136" t="s">
        <v>25</v>
      </c>
      <c r="J136">
        <v>2</v>
      </c>
      <c r="K136" t="s">
        <v>16</v>
      </c>
      <c r="L136">
        <v>3808</v>
      </c>
      <c r="M136" s="5">
        <v>7616</v>
      </c>
      <c r="O136" s="5">
        <f t="shared" si="30"/>
        <v>7616</v>
      </c>
      <c r="P136" s="5">
        <f t="shared" si="31"/>
        <v>7616</v>
      </c>
      <c r="Q136" s="11">
        <v>0</v>
      </c>
      <c r="R136" s="5">
        <f t="shared" si="32"/>
        <v>7616</v>
      </c>
      <c r="S136" s="11">
        <f t="shared" si="33"/>
        <v>0</v>
      </c>
      <c r="T136" s="5">
        <f t="shared" si="34"/>
        <v>0</v>
      </c>
      <c r="U136" s="11">
        <v>0</v>
      </c>
      <c r="V136" s="5">
        <f t="shared" si="35"/>
        <v>0</v>
      </c>
      <c r="W136" s="11">
        <f t="shared" si="36"/>
        <v>0</v>
      </c>
      <c r="X136" s="5">
        <f t="shared" si="37"/>
        <v>0</v>
      </c>
      <c r="Y136" s="11">
        <v>0</v>
      </c>
      <c r="Z136" s="5">
        <f t="shared" si="38"/>
        <v>0</v>
      </c>
      <c r="AA136" s="11">
        <f t="shared" si="39"/>
        <v>0</v>
      </c>
      <c r="AB136" s="11">
        <v>0.1</v>
      </c>
    </row>
    <row r="137" spans="1:28">
      <c r="A137">
        <v>2026</v>
      </c>
      <c r="B137" t="s">
        <v>180</v>
      </c>
      <c r="C137" t="s">
        <v>42</v>
      </c>
      <c r="D137" t="s">
        <v>43</v>
      </c>
      <c r="E137" t="s">
        <v>222</v>
      </c>
      <c r="G137" t="s">
        <v>14</v>
      </c>
      <c r="H137" t="s">
        <v>14</v>
      </c>
      <c r="I137" t="s">
        <v>26</v>
      </c>
      <c r="J137">
        <v>2</v>
      </c>
      <c r="K137" t="s">
        <v>16</v>
      </c>
      <c r="L137">
        <v>111.86</v>
      </c>
      <c r="M137" s="5">
        <v>223.72</v>
      </c>
      <c r="O137" s="5">
        <f t="shared" si="30"/>
        <v>223.72</v>
      </c>
      <c r="P137" s="5">
        <f t="shared" si="31"/>
        <v>223.72</v>
      </c>
      <c r="Q137" s="11">
        <v>0</v>
      </c>
      <c r="R137" s="5">
        <f t="shared" si="32"/>
        <v>223.72</v>
      </c>
      <c r="S137" s="11">
        <f t="shared" si="33"/>
        <v>0</v>
      </c>
      <c r="T137" s="5">
        <f t="shared" si="34"/>
        <v>0</v>
      </c>
      <c r="U137" s="11">
        <v>0</v>
      </c>
      <c r="V137" s="5">
        <f t="shared" si="35"/>
        <v>0</v>
      </c>
      <c r="W137" s="11">
        <f t="shared" si="36"/>
        <v>0</v>
      </c>
      <c r="X137" s="5">
        <f t="shared" si="37"/>
        <v>0</v>
      </c>
      <c r="Y137" s="11">
        <v>0</v>
      </c>
      <c r="Z137" s="5">
        <f t="shared" si="38"/>
        <v>0</v>
      </c>
      <c r="AA137" s="11">
        <f t="shared" si="39"/>
        <v>0</v>
      </c>
      <c r="AB137" s="11">
        <v>0.1</v>
      </c>
    </row>
    <row r="138" spans="1:28">
      <c r="A138">
        <v>2026</v>
      </c>
      <c r="B138" t="s">
        <v>180</v>
      </c>
      <c r="C138" t="s">
        <v>42</v>
      </c>
      <c r="D138" t="s">
        <v>43</v>
      </c>
      <c r="E138" t="s">
        <v>223</v>
      </c>
      <c r="G138" t="s">
        <v>14</v>
      </c>
      <c r="H138" t="s">
        <v>14</v>
      </c>
      <c r="I138" t="s">
        <v>66</v>
      </c>
      <c r="J138">
        <v>10</v>
      </c>
      <c r="K138" t="s">
        <v>16</v>
      </c>
      <c r="L138">
        <v>80300</v>
      </c>
      <c r="M138" s="5">
        <v>3212</v>
      </c>
      <c r="O138" s="5">
        <f t="shared" si="30"/>
        <v>3212</v>
      </c>
      <c r="P138" s="5">
        <f t="shared" si="31"/>
        <v>3212</v>
      </c>
      <c r="Q138" s="11">
        <v>0</v>
      </c>
      <c r="R138" s="5">
        <f t="shared" si="32"/>
        <v>3212</v>
      </c>
      <c r="S138" s="11">
        <f t="shared" si="33"/>
        <v>0</v>
      </c>
      <c r="T138" s="5">
        <f t="shared" si="34"/>
        <v>0</v>
      </c>
      <c r="U138" s="11">
        <v>0</v>
      </c>
      <c r="V138" s="5">
        <f t="shared" si="35"/>
        <v>0</v>
      </c>
      <c r="W138" s="11">
        <f t="shared" si="36"/>
        <v>0</v>
      </c>
      <c r="X138" s="5">
        <f t="shared" si="37"/>
        <v>0</v>
      </c>
      <c r="Y138" s="11">
        <v>0</v>
      </c>
      <c r="Z138" s="5">
        <f t="shared" si="38"/>
        <v>0</v>
      </c>
      <c r="AA138" s="11">
        <f t="shared" si="39"/>
        <v>0</v>
      </c>
      <c r="AB138" s="11">
        <v>0.1</v>
      </c>
    </row>
    <row r="139" spans="1:28">
      <c r="A139">
        <v>2026</v>
      </c>
      <c r="B139" t="s">
        <v>180</v>
      </c>
      <c r="C139" t="s">
        <v>42</v>
      </c>
      <c r="D139" t="s">
        <v>43</v>
      </c>
      <c r="E139" t="s">
        <v>224</v>
      </c>
      <c r="G139" t="s">
        <v>14</v>
      </c>
      <c r="H139" t="s">
        <v>14</v>
      </c>
      <c r="I139" t="s">
        <v>28</v>
      </c>
      <c r="J139">
        <v>5</v>
      </c>
      <c r="K139" t="s">
        <v>16</v>
      </c>
      <c r="L139">
        <v>17888.080000000002</v>
      </c>
      <c r="M139" s="5">
        <v>89440.400000000009</v>
      </c>
      <c r="O139" s="5">
        <f t="shared" si="30"/>
        <v>89440.400000000009</v>
      </c>
      <c r="P139" s="5">
        <f t="shared" si="31"/>
        <v>89440.400000000009</v>
      </c>
      <c r="Q139" s="11">
        <v>0</v>
      </c>
      <c r="R139" s="5">
        <f t="shared" si="32"/>
        <v>89440.400000000009</v>
      </c>
      <c r="S139" s="11">
        <f t="shared" si="33"/>
        <v>0</v>
      </c>
      <c r="T139" s="5">
        <f t="shared" si="34"/>
        <v>0</v>
      </c>
      <c r="U139" s="11">
        <v>0</v>
      </c>
      <c r="V139" s="5">
        <f t="shared" si="35"/>
        <v>0</v>
      </c>
      <c r="W139" s="11">
        <f t="shared" si="36"/>
        <v>0</v>
      </c>
      <c r="X139" s="5">
        <f t="shared" si="37"/>
        <v>0</v>
      </c>
      <c r="Y139" s="11">
        <v>0</v>
      </c>
      <c r="Z139" s="5">
        <f t="shared" si="38"/>
        <v>0</v>
      </c>
      <c r="AA139" s="11">
        <f t="shared" si="39"/>
        <v>0</v>
      </c>
      <c r="AB139" s="11">
        <v>0.1</v>
      </c>
    </row>
    <row r="140" spans="1:28">
      <c r="A140">
        <v>2026</v>
      </c>
      <c r="B140" t="s">
        <v>180</v>
      </c>
      <c r="C140" t="s">
        <v>42</v>
      </c>
      <c r="D140" t="s">
        <v>43</v>
      </c>
      <c r="E140" t="s">
        <v>225</v>
      </c>
      <c r="G140" t="s">
        <v>14</v>
      </c>
      <c r="H140" t="s">
        <v>14</v>
      </c>
      <c r="I140" t="s">
        <v>29</v>
      </c>
      <c r="J140">
        <v>2</v>
      </c>
      <c r="K140" t="s">
        <v>16</v>
      </c>
      <c r="L140">
        <v>337.3837894736842</v>
      </c>
      <c r="M140" s="5">
        <v>674.76757894736841</v>
      </c>
      <c r="O140" s="5">
        <f t="shared" si="30"/>
        <v>674.76757894736841</v>
      </c>
      <c r="P140" s="5">
        <f t="shared" si="31"/>
        <v>674.76757894736841</v>
      </c>
      <c r="Q140" s="11">
        <v>0</v>
      </c>
      <c r="R140" s="5">
        <f t="shared" si="32"/>
        <v>674.76757894736841</v>
      </c>
      <c r="S140" s="11">
        <f t="shared" si="33"/>
        <v>0</v>
      </c>
      <c r="T140" s="5">
        <f t="shared" si="34"/>
        <v>0</v>
      </c>
      <c r="U140" s="11">
        <v>0</v>
      </c>
      <c r="V140" s="5">
        <f t="shared" si="35"/>
        <v>0</v>
      </c>
      <c r="W140" s="11">
        <f t="shared" si="36"/>
        <v>0</v>
      </c>
      <c r="X140" s="5">
        <f t="shared" si="37"/>
        <v>0</v>
      </c>
      <c r="Y140" s="11">
        <v>0</v>
      </c>
      <c r="Z140" s="5">
        <f t="shared" si="38"/>
        <v>0</v>
      </c>
      <c r="AA140" s="11">
        <f t="shared" si="39"/>
        <v>0</v>
      </c>
      <c r="AB140" s="11">
        <v>0.1</v>
      </c>
    </row>
    <row r="141" spans="1:28">
      <c r="A141">
        <v>2026</v>
      </c>
      <c r="B141" t="s">
        <v>180</v>
      </c>
      <c r="C141" t="s">
        <v>42</v>
      </c>
      <c r="D141" t="s">
        <v>43</v>
      </c>
      <c r="E141" t="s">
        <v>226</v>
      </c>
      <c r="G141" t="s">
        <v>14</v>
      </c>
      <c r="H141" t="s">
        <v>14</v>
      </c>
      <c r="I141" t="s">
        <v>154</v>
      </c>
      <c r="J141">
        <v>2</v>
      </c>
      <c r="K141" t="s">
        <v>16</v>
      </c>
      <c r="L141">
        <v>67900</v>
      </c>
      <c r="M141" s="5">
        <v>13580</v>
      </c>
      <c r="O141" s="5">
        <f t="shared" si="30"/>
        <v>13580</v>
      </c>
      <c r="P141" s="5">
        <f t="shared" si="31"/>
        <v>13580</v>
      </c>
      <c r="Q141" s="11">
        <v>0</v>
      </c>
      <c r="R141" s="5">
        <f t="shared" si="32"/>
        <v>13580</v>
      </c>
      <c r="S141" s="11">
        <f t="shared" si="33"/>
        <v>0</v>
      </c>
      <c r="T141" s="5">
        <f t="shared" si="34"/>
        <v>0</v>
      </c>
      <c r="U141" s="11">
        <v>0</v>
      </c>
      <c r="V141" s="5">
        <f t="shared" si="35"/>
        <v>0</v>
      </c>
      <c r="W141" s="11">
        <f t="shared" si="36"/>
        <v>0</v>
      </c>
      <c r="X141" s="5">
        <f t="shared" si="37"/>
        <v>0</v>
      </c>
      <c r="Y141" s="11">
        <v>0</v>
      </c>
      <c r="Z141" s="5">
        <f t="shared" si="38"/>
        <v>0</v>
      </c>
      <c r="AA141" s="11">
        <f t="shared" si="39"/>
        <v>0</v>
      </c>
      <c r="AB141" s="11">
        <v>0.1</v>
      </c>
    </row>
    <row r="142" spans="1:28">
      <c r="A142">
        <v>2026</v>
      </c>
      <c r="B142" t="s">
        <v>180</v>
      </c>
      <c r="C142" t="s">
        <v>42</v>
      </c>
      <c r="D142" t="s">
        <v>43</v>
      </c>
      <c r="E142" t="s">
        <v>227</v>
      </c>
      <c r="G142" t="s">
        <v>14</v>
      </c>
      <c r="H142" t="s">
        <v>14</v>
      </c>
      <c r="I142" t="s">
        <v>155</v>
      </c>
      <c r="J142">
        <v>2</v>
      </c>
      <c r="K142" t="s">
        <v>16</v>
      </c>
      <c r="L142">
        <v>50300</v>
      </c>
      <c r="M142" s="5">
        <v>10060</v>
      </c>
      <c r="O142" s="5">
        <f t="shared" si="30"/>
        <v>10060</v>
      </c>
      <c r="P142" s="5">
        <f t="shared" si="31"/>
        <v>10060</v>
      </c>
      <c r="Q142" s="11">
        <v>0</v>
      </c>
      <c r="R142" s="5">
        <f t="shared" si="32"/>
        <v>10060</v>
      </c>
      <c r="S142" s="11">
        <f t="shared" si="33"/>
        <v>0</v>
      </c>
      <c r="T142" s="5">
        <f t="shared" si="34"/>
        <v>0</v>
      </c>
      <c r="U142" s="11">
        <v>0</v>
      </c>
      <c r="V142" s="5">
        <f t="shared" si="35"/>
        <v>0</v>
      </c>
      <c r="W142" s="11">
        <f t="shared" si="36"/>
        <v>0</v>
      </c>
      <c r="X142" s="5">
        <f t="shared" si="37"/>
        <v>0</v>
      </c>
      <c r="Y142" s="11">
        <v>0</v>
      </c>
      <c r="Z142" s="5">
        <f t="shared" si="38"/>
        <v>0</v>
      </c>
      <c r="AA142" s="11">
        <f t="shared" si="39"/>
        <v>0</v>
      </c>
      <c r="AB142" s="11">
        <v>0.1</v>
      </c>
    </row>
    <row r="143" spans="1:28">
      <c r="A143">
        <v>2026</v>
      </c>
      <c r="B143" t="s">
        <v>180</v>
      </c>
      <c r="C143" t="s">
        <v>42</v>
      </c>
      <c r="D143" t="s">
        <v>43</v>
      </c>
      <c r="E143" t="s">
        <v>228</v>
      </c>
      <c r="G143" t="s">
        <v>14</v>
      </c>
      <c r="H143" t="s">
        <v>14</v>
      </c>
      <c r="I143" t="s">
        <v>152</v>
      </c>
      <c r="J143">
        <v>2</v>
      </c>
      <c r="K143" t="s">
        <v>16</v>
      </c>
      <c r="L143">
        <v>43500</v>
      </c>
      <c r="M143" s="5">
        <v>7250</v>
      </c>
      <c r="O143" s="5">
        <f t="shared" si="30"/>
        <v>7250</v>
      </c>
      <c r="P143" s="5">
        <f t="shared" si="31"/>
        <v>7250</v>
      </c>
      <c r="Q143" s="11">
        <v>0</v>
      </c>
      <c r="R143" s="5">
        <f t="shared" si="32"/>
        <v>7250</v>
      </c>
      <c r="S143" s="11">
        <f t="shared" si="33"/>
        <v>0</v>
      </c>
      <c r="T143" s="5">
        <f t="shared" si="34"/>
        <v>0</v>
      </c>
      <c r="U143" s="11">
        <v>0</v>
      </c>
      <c r="V143" s="5">
        <f t="shared" si="35"/>
        <v>0</v>
      </c>
      <c r="W143" s="11">
        <f t="shared" si="36"/>
        <v>0</v>
      </c>
      <c r="X143" s="5">
        <f t="shared" si="37"/>
        <v>0</v>
      </c>
      <c r="Y143" s="11">
        <v>0</v>
      </c>
      <c r="Z143" s="5">
        <f t="shared" si="38"/>
        <v>0</v>
      </c>
      <c r="AA143" s="11">
        <f t="shared" si="39"/>
        <v>0</v>
      </c>
      <c r="AB143" s="11">
        <v>0.1</v>
      </c>
    </row>
    <row r="144" spans="1:28">
      <c r="A144">
        <v>2026</v>
      </c>
      <c r="B144" t="s">
        <v>180</v>
      </c>
      <c r="C144" t="s">
        <v>42</v>
      </c>
      <c r="D144" t="s">
        <v>43</v>
      </c>
      <c r="F144">
        <v>1800</v>
      </c>
      <c r="G144" t="s">
        <v>32</v>
      </c>
      <c r="H144" t="s">
        <v>32</v>
      </c>
      <c r="I144" t="s">
        <v>33</v>
      </c>
      <c r="J144">
        <v>60</v>
      </c>
      <c r="K144" t="s">
        <v>38</v>
      </c>
      <c r="L144" s="16">
        <v>20894.400000000001</v>
      </c>
      <c r="M144" s="5">
        <f>+L144*J144</f>
        <v>1253664</v>
      </c>
      <c r="O144" s="5">
        <f t="shared" si="30"/>
        <v>1253664</v>
      </c>
      <c r="P144" s="5">
        <f t="shared" si="31"/>
        <v>1253664</v>
      </c>
      <c r="Q144" s="11">
        <v>0</v>
      </c>
      <c r="R144" s="5">
        <f t="shared" si="32"/>
        <v>1253664</v>
      </c>
      <c r="S144" s="11">
        <f t="shared" si="33"/>
        <v>0</v>
      </c>
      <c r="T144" s="5">
        <f t="shared" si="34"/>
        <v>0</v>
      </c>
      <c r="U144" s="11">
        <v>0</v>
      </c>
      <c r="V144" s="5">
        <f t="shared" si="35"/>
        <v>0</v>
      </c>
      <c r="W144" s="11">
        <f t="shared" si="36"/>
        <v>0</v>
      </c>
      <c r="X144" s="5">
        <f t="shared" si="37"/>
        <v>0</v>
      </c>
      <c r="Y144" s="11">
        <v>0</v>
      </c>
      <c r="Z144" s="5">
        <f t="shared" si="38"/>
        <v>0</v>
      </c>
      <c r="AA144" s="11">
        <f t="shared" si="39"/>
        <v>0</v>
      </c>
      <c r="AB144" s="11">
        <v>0.1</v>
      </c>
    </row>
    <row r="145" spans="1:28">
      <c r="A145">
        <v>2026</v>
      </c>
      <c r="B145" t="s">
        <v>180</v>
      </c>
      <c r="C145" t="s">
        <v>42</v>
      </c>
      <c r="D145" t="s">
        <v>43</v>
      </c>
      <c r="F145">
        <v>900</v>
      </c>
      <c r="G145" t="s">
        <v>32</v>
      </c>
      <c r="H145" t="s">
        <v>32</v>
      </c>
      <c r="I145" t="s">
        <v>35</v>
      </c>
      <c r="J145">
        <v>60</v>
      </c>
      <c r="K145" t="s">
        <v>38</v>
      </c>
      <c r="L145" s="16">
        <v>6048.3</v>
      </c>
      <c r="M145" s="5">
        <f>+L145*J145</f>
        <v>362898</v>
      </c>
      <c r="O145" s="5">
        <f t="shared" si="30"/>
        <v>362898</v>
      </c>
      <c r="P145" s="5">
        <f t="shared" si="31"/>
        <v>362898</v>
      </c>
      <c r="Q145" s="11">
        <v>0</v>
      </c>
      <c r="R145" s="5">
        <f t="shared" si="32"/>
        <v>362898</v>
      </c>
      <c r="S145" s="11">
        <f t="shared" si="33"/>
        <v>0</v>
      </c>
      <c r="T145" s="5">
        <f t="shared" si="34"/>
        <v>0</v>
      </c>
      <c r="U145" s="11">
        <v>0</v>
      </c>
      <c r="V145" s="5">
        <f t="shared" si="35"/>
        <v>0</v>
      </c>
      <c r="W145" s="11">
        <f t="shared" si="36"/>
        <v>0</v>
      </c>
      <c r="X145" s="5">
        <f t="shared" si="37"/>
        <v>0</v>
      </c>
      <c r="Y145" s="11">
        <v>0</v>
      </c>
      <c r="Z145" s="5">
        <f t="shared" si="38"/>
        <v>0</v>
      </c>
      <c r="AA145" s="11">
        <f t="shared" si="39"/>
        <v>0</v>
      </c>
      <c r="AB145" s="11">
        <v>0.1</v>
      </c>
    </row>
    <row r="146" spans="1:28">
      <c r="A146">
        <v>2026</v>
      </c>
      <c r="B146" t="s">
        <v>180</v>
      </c>
      <c r="C146" t="s">
        <v>42</v>
      </c>
      <c r="D146" t="s">
        <v>43</v>
      </c>
      <c r="F146">
        <v>600</v>
      </c>
      <c r="G146" t="s">
        <v>32</v>
      </c>
      <c r="H146" t="s">
        <v>32</v>
      </c>
      <c r="I146" t="s">
        <v>213</v>
      </c>
      <c r="J146">
        <v>60</v>
      </c>
      <c r="K146" t="s">
        <v>38</v>
      </c>
      <c r="L146">
        <v>35000</v>
      </c>
      <c r="M146" s="5">
        <f>+L146*J146</f>
        <v>2100000</v>
      </c>
      <c r="O146" s="5">
        <f t="shared" si="30"/>
        <v>2100000</v>
      </c>
      <c r="P146" s="5">
        <f t="shared" si="31"/>
        <v>2100000</v>
      </c>
      <c r="Q146" s="11">
        <v>0</v>
      </c>
      <c r="R146" s="5">
        <f t="shared" si="32"/>
        <v>2100000</v>
      </c>
      <c r="S146" s="11">
        <f t="shared" si="33"/>
        <v>0</v>
      </c>
      <c r="T146" s="5">
        <f t="shared" si="34"/>
        <v>0</v>
      </c>
      <c r="U146" s="11">
        <v>0</v>
      </c>
      <c r="V146" s="5">
        <f t="shared" si="35"/>
        <v>0</v>
      </c>
      <c r="W146" s="11">
        <f t="shared" si="36"/>
        <v>0</v>
      </c>
      <c r="X146" s="5">
        <f t="shared" si="37"/>
        <v>0</v>
      </c>
      <c r="Y146" s="11">
        <v>0</v>
      </c>
      <c r="Z146" s="5">
        <f t="shared" si="38"/>
        <v>0</v>
      </c>
      <c r="AA146" s="11">
        <f t="shared" si="39"/>
        <v>0</v>
      </c>
      <c r="AB146" s="11">
        <v>0.1</v>
      </c>
    </row>
    <row r="147" spans="1:28">
      <c r="A147">
        <v>2026</v>
      </c>
      <c r="B147" t="s">
        <v>180</v>
      </c>
      <c r="C147" t="s">
        <v>42</v>
      </c>
      <c r="D147" t="s">
        <v>43</v>
      </c>
      <c r="F147">
        <v>600</v>
      </c>
      <c r="G147" t="s">
        <v>32</v>
      </c>
      <c r="H147" t="s">
        <v>32</v>
      </c>
      <c r="I147" t="s">
        <v>214</v>
      </c>
      <c r="J147">
        <v>60</v>
      </c>
      <c r="K147" t="s">
        <v>38</v>
      </c>
      <c r="L147">
        <v>25000</v>
      </c>
      <c r="M147" s="5">
        <f>+L147*J147</f>
        <v>1500000</v>
      </c>
      <c r="O147" s="5">
        <f t="shared" si="30"/>
        <v>1500000</v>
      </c>
      <c r="P147" s="5">
        <f t="shared" si="31"/>
        <v>1500000</v>
      </c>
      <c r="Q147" s="11">
        <v>0</v>
      </c>
      <c r="R147" s="5">
        <f t="shared" si="32"/>
        <v>1500000</v>
      </c>
      <c r="S147" s="11">
        <f t="shared" si="33"/>
        <v>0</v>
      </c>
      <c r="T147" s="5">
        <f t="shared" si="34"/>
        <v>0</v>
      </c>
      <c r="U147" s="11">
        <v>0</v>
      </c>
      <c r="V147" s="5">
        <f t="shared" si="35"/>
        <v>0</v>
      </c>
      <c r="W147" s="11">
        <f t="shared" si="36"/>
        <v>0</v>
      </c>
      <c r="X147" s="5">
        <f t="shared" si="37"/>
        <v>0</v>
      </c>
      <c r="Y147" s="11">
        <v>0</v>
      </c>
      <c r="Z147" s="5">
        <f t="shared" si="38"/>
        <v>0</v>
      </c>
      <c r="AA147" s="11">
        <f t="shared" si="39"/>
        <v>0</v>
      </c>
      <c r="AB147" s="11">
        <v>0.1</v>
      </c>
    </row>
    <row r="148" spans="1:28">
      <c r="A148">
        <v>2026</v>
      </c>
      <c r="B148" t="s">
        <v>180</v>
      </c>
      <c r="C148" t="s">
        <v>42</v>
      </c>
      <c r="D148" t="s">
        <v>43</v>
      </c>
      <c r="F148">
        <v>600</v>
      </c>
      <c r="G148" t="s">
        <v>32</v>
      </c>
      <c r="H148" t="s">
        <v>32</v>
      </c>
      <c r="I148" t="s">
        <v>215</v>
      </c>
      <c r="J148">
        <v>60</v>
      </c>
      <c r="K148" t="s">
        <v>38</v>
      </c>
      <c r="L148">
        <v>20000</v>
      </c>
      <c r="M148" s="5">
        <f>+L148*J148</f>
        <v>1200000</v>
      </c>
      <c r="O148" s="5">
        <f t="shared" si="30"/>
        <v>1200000</v>
      </c>
      <c r="P148" s="5">
        <f t="shared" si="31"/>
        <v>1200000</v>
      </c>
      <c r="Q148" s="11">
        <v>0</v>
      </c>
      <c r="R148" s="5">
        <f t="shared" si="32"/>
        <v>1200000</v>
      </c>
      <c r="S148" s="11">
        <f t="shared" si="33"/>
        <v>0</v>
      </c>
      <c r="T148" s="5">
        <f t="shared" si="34"/>
        <v>0</v>
      </c>
      <c r="U148" s="11">
        <v>0</v>
      </c>
      <c r="V148" s="5">
        <f t="shared" si="35"/>
        <v>0</v>
      </c>
      <c r="W148" s="11">
        <f t="shared" si="36"/>
        <v>0</v>
      </c>
      <c r="X148" s="5">
        <f t="shared" si="37"/>
        <v>0</v>
      </c>
      <c r="Y148" s="11">
        <v>0</v>
      </c>
      <c r="Z148" s="5">
        <f t="shared" si="38"/>
        <v>0</v>
      </c>
      <c r="AA148" s="11">
        <f t="shared" si="39"/>
        <v>0</v>
      </c>
      <c r="AB148" s="11">
        <v>0.1</v>
      </c>
    </row>
    <row r="149" spans="1:28">
      <c r="A149">
        <v>2026</v>
      </c>
      <c r="B149" t="s">
        <v>167</v>
      </c>
      <c r="C149" t="s">
        <v>39</v>
      </c>
      <c r="D149" t="s">
        <v>40</v>
      </c>
      <c r="E149" t="s">
        <v>216</v>
      </c>
      <c r="G149" t="s">
        <v>14</v>
      </c>
      <c r="H149" t="s">
        <v>14</v>
      </c>
      <c r="I149" t="s">
        <v>15</v>
      </c>
      <c r="J149">
        <v>4</v>
      </c>
      <c r="K149" t="s">
        <v>16</v>
      </c>
      <c r="L149">
        <v>266</v>
      </c>
      <c r="M149" s="5">
        <v>1064</v>
      </c>
      <c r="O149" s="5">
        <f>V149</f>
        <v>1064</v>
      </c>
      <c r="P149" s="5">
        <f t="shared" si="31"/>
        <v>0</v>
      </c>
      <c r="Q149" s="11">
        <v>0</v>
      </c>
      <c r="R149" s="5">
        <f t="shared" ref="R149:R212" si="40">P149+(P149*Q149)</f>
        <v>0</v>
      </c>
      <c r="S149" s="11">
        <f t="shared" si="33"/>
        <v>0</v>
      </c>
      <c r="T149" s="5">
        <f t="shared" si="34"/>
        <v>1064</v>
      </c>
      <c r="U149" s="11">
        <v>0</v>
      </c>
      <c r="V149" s="5">
        <f>T149+(T149*U149)</f>
        <v>1064</v>
      </c>
      <c r="W149" s="11">
        <f>(V149-T149)/V149</f>
        <v>0</v>
      </c>
      <c r="X149" s="5">
        <f t="shared" si="37"/>
        <v>0</v>
      </c>
      <c r="Y149" s="11">
        <v>0</v>
      </c>
      <c r="Z149" s="5">
        <f t="shared" si="38"/>
        <v>0</v>
      </c>
      <c r="AA149" s="11">
        <f t="shared" si="39"/>
        <v>0</v>
      </c>
      <c r="AB149" s="11">
        <v>0.1</v>
      </c>
    </row>
    <row r="150" spans="1:28">
      <c r="A150">
        <v>2026</v>
      </c>
      <c r="B150" t="s">
        <v>167</v>
      </c>
      <c r="C150" t="s">
        <v>39</v>
      </c>
      <c r="D150" t="s">
        <v>40</v>
      </c>
      <c r="E150" t="s">
        <v>217</v>
      </c>
      <c r="G150" t="s">
        <v>14</v>
      </c>
      <c r="H150" t="s">
        <v>14</v>
      </c>
      <c r="I150" t="s">
        <v>18</v>
      </c>
      <c r="J150">
        <v>2</v>
      </c>
      <c r="K150" t="s">
        <v>16</v>
      </c>
      <c r="L150">
        <v>1086.232</v>
      </c>
      <c r="M150" s="5">
        <v>2172.4639999999999</v>
      </c>
      <c r="O150" s="5">
        <f t="shared" ref="O150:O213" si="41">V150</f>
        <v>2172.4639999999999</v>
      </c>
      <c r="P150" s="5">
        <f t="shared" si="31"/>
        <v>0</v>
      </c>
      <c r="Q150" s="11">
        <v>0</v>
      </c>
      <c r="R150" s="5">
        <f t="shared" si="40"/>
        <v>0</v>
      </c>
      <c r="S150" s="11">
        <f t="shared" si="33"/>
        <v>0</v>
      </c>
      <c r="T150" s="5">
        <f t="shared" ref="T150:T213" si="42">IF(C150="Mediana Complejidad",M150,0)</f>
        <v>2172.4639999999999</v>
      </c>
      <c r="U150" s="11">
        <v>0</v>
      </c>
      <c r="V150" s="5">
        <f t="shared" ref="V150:V213" si="43">T150+(T150*U150)</f>
        <v>2172.4639999999999</v>
      </c>
      <c r="W150" s="11">
        <f t="shared" ref="W150:W213" si="44">(V150-T150)/V150</f>
        <v>0</v>
      </c>
      <c r="X150" s="5">
        <f t="shared" si="37"/>
        <v>0</v>
      </c>
      <c r="Y150" s="11">
        <v>0</v>
      </c>
      <c r="Z150" s="5">
        <f t="shared" si="38"/>
        <v>0</v>
      </c>
      <c r="AA150" s="11">
        <f t="shared" si="39"/>
        <v>0</v>
      </c>
      <c r="AB150" s="11">
        <v>0.1</v>
      </c>
    </row>
    <row r="151" spans="1:28">
      <c r="A151">
        <v>2026</v>
      </c>
      <c r="B151" t="s">
        <v>167</v>
      </c>
      <c r="C151" t="s">
        <v>39</v>
      </c>
      <c r="D151" t="s">
        <v>40</v>
      </c>
      <c r="E151" t="s">
        <v>218</v>
      </c>
      <c r="G151" t="s">
        <v>14</v>
      </c>
      <c r="H151" t="s">
        <v>14</v>
      </c>
      <c r="I151" t="s">
        <v>20</v>
      </c>
      <c r="J151">
        <v>6</v>
      </c>
      <c r="K151" t="s">
        <v>16</v>
      </c>
      <c r="L151">
        <v>370</v>
      </c>
      <c r="M151" s="5">
        <v>2220</v>
      </c>
      <c r="O151" s="5">
        <f t="shared" si="41"/>
        <v>2220</v>
      </c>
      <c r="P151" s="5">
        <f t="shared" si="31"/>
        <v>0</v>
      </c>
      <c r="Q151" s="11">
        <v>0</v>
      </c>
      <c r="R151" s="5">
        <f t="shared" si="40"/>
        <v>0</v>
      </c>
      <c r="S151" s="11">
        <f t="shared" si="33"/>
        <v>0</v>
      </c>
      <c r="T151" s="5">
        <f t="shared" si="42"/>
        <v>2220</v>
      </c>
      <c r="U151" s="11">
        <v>0</v>
      </c>
      <c r="V151" s="5">
        <f t="shared" si="43"/>
        <v>2220</v>
      </c>
      <c r="W151" s="11">
        <f t="shared" si="44"/>
        <v>0</v>
      </c>
      <c r="X151" s="5">
        <f t="shared" si="37"/>
        <v>0</v>
      </c>
      <c r="Y151" s="11">
        <v>0</v>
      </c>
      <c r="Z151" s="5">
        <f t="shared" si="38"/>
        <v>0</v>
      </c>
      <c r="AA151" s="11">
        <f t="shared" si="39"/>
        <v>0</v>
      </c>
      <c r="AB151" s="11">
        <v>0.1</v>
      </c>
    </row>
    <row r="152" spans="1:28">
      <c r="A152">
        <v>2026</v>
      </c>
      <c r="B152" t="s">
        <v>167</v>
      </c>
      <c r="C152" t="s">
        <v>39</v>
      </c>
      <c r="D152" t="s">
        <v>40</v>
      </c>
      <c r="E152" t="s">
        <v>219</v>
      </c>
      <c r="G152" t="s">
        <v>14</v>
      </c>
      <c r="H152" t="s">
        <v>14</v>
      </c>
      <c r="I152" t="s">
        <v>44</v>
      </c>
      <c r="J152">
        <v>2</v>
      </c>
      <c r="K152" t="s">
        <v>16</v>
      </c>
      <c r="L152">
        <v>2643</v>
      </c>
      <c r="M152" s="5">
        <v>5286</v>
      </c>
      <c r="O152" s="5">
        <f t="shared" si="41"/>
        <v>5286</v>
      </c>
      <c r="P152" s="5">
        <f t="shared" si="31"/>
        <v>0</v>
      </c>
      <c r="Q152" s="11">
        <v>0</v>
      </c>
      <c r="R152" s="5">
        <f t="shared" si="40"/>
        <v>0</v>
      </c>
      <c r="S152" s="11">
        <f t="shared" si="33"/>
        <v>0</v>
      </c>
      <c r="T152" s="5">
        <f t="shared" si="42"/>
        <v>5286</v>
      </c>
      <c r="U152" s="11">
        <v>0</v>
      </c>
      <c r="V152" s="5">
        <f t="shared" si="43"/>
        <v>5286</v>
      </c>
      <c r="W152" s="11">
        <f t="shared" si="44"/>
        <v>0</v>
      </c>
      <c r="X152" s="5">
        <f t="shared" si="37"/>
        <v>0</v>
      </c>
      <c r="Y152" s="11">
        <v>0</v>
      </c>
      <c r="Z152" s="5">
        <f t="shared" si="38"/>
        <v>0</v>
      </c>
      <c r="AA152" s="11">
        <f t="shared" si="39"/>
        <v>0</v>
      </c>
      <c r="AB152" s="11">
        <v>0.1</v>
      </c>
    </row>
    <row r="153" spans="1:28">
      <c r="A153">
        <v>2026</v>
      </c>
      <c r="B153" t="s">
        <v>167</v>
      </c>
      <c r="C153" t="s">
        <v>39</v>
      </c>
      <c r="D153" t="s">
        <v>40</v>
      </c>
      <c r="E153" t="s">
        <v>220</v>
      </c>
      <c r="G153" t="s">
        <v>14</v>
      </c>
      <c r="H153" t="s">
        <v>14</v>
      </c>
      <c r="I153" t="s">
        <v>24</v>
      </c>
      <c r="J153">
        <v>3</v>
      </c>
      <c r="K153" t="s">
        <v>16</v>
      </c>
      <c r="L153">
        <v>135.66</v>
      </c>
      <c r="M153" s="5">
        <v>406.98</v>
      </c>
      <c r="O153" s="5">
        <f t="shared" si="41"/>
        <v>406.98</v>
      </c>
      <c r="P153" s="5">
        <f t="shared" si="31"/>
        <v>0</v>
      </c>
      <c r="Q153" s="11">
        <v>0</v>
      </c>
      <c r="R153" s="5">
        <f t="shared" si="40"/>
        <v>0</v>
      </c>
      <c r="S153" s="11">
        <f t="shared" si="33"/>
        <v>0</v>
      </c>
      <c r="T153" s="5">
        <f t="shared" si="42"/>
        <v>406.98</v>
      </c>
      <c r="U153" s="11">
        <v>0</v>
      </c>
      <c r="V153" s="5">
        <f t="shared" si="43"/>
        <v>406.98</v>
      </c>
      <c r="W153" s="11">
        <f t="shared" si="44"/>
        <v>0</v>
      </c>
      <c r="X153" s="5">
        <f t="shared" si="37"/>
        <v>0</v>
      </c>
      <c r="Y153" s="11">
        <v>0</v>
      </c>
      <c r="Z153" s="5">
        <f t="shared" si="38"/>
        <v>0</v>
      </c>
      <c r="AA153" s="11">
        <f t="shared" si="39"/>
        <v>0</v>
      </c>
      <c r="AB153" s="11">
        <v>0.1</v>
      </c>
    </row>
    <row r="154" spans="1:28">
      <c r="A154">
        <v>2026</v>
      </c>
      <c r="B154" t="s">
        <v>167</v>
      </c>
      <c r="C154" t="s">
        <v>39</v>
      </c>
      <c r="D154" t="s">
        <v>40</v>
      </c>
      <c r="E154" t="s">
        <v>221</v>
      </c>
      <c r="G154" t="s">
        <v>14</v>
      </c>
      <c r="H154" t="s">
        <v>14</v>
      </c>
      <c r="I154" t="s">
        <v>25</v>
      </c>
      <c r="J154">
        <v>2</v>
      </c>
      <c r="K154" t="s">
        <v>16</v>
      </c>
      <c r="L154">
        <v>3808</v>
      </c>
      <c r="M154" s="5">
        <v>7616</v>
      </c>
      <c r="O154" s="5">
        <f t="shared" si="41"/>
        <v>7616</v>
      </c>
      <c r="P154" s="5">
        <f t="shared" si="31"/>
        <v>0</v>
      </c>
      <c r="Q154" s="11">
        <v>0</v>
      </c>
      <c r="R154" s="5">
        <f t="shared" si="40"/>
        <v>0</v>
      </c>
      <c r="S154" s="11">
        <f t="shared" si="33"/>
        <v>0</v>
      </c>
      <c r="T154" s="5">
        <f t="shared" si="42"/>
        <v>7616</v>
      </c>
      <c r="U154" s="11">
        <v>0</v>
      </c>
      <c r="V154" s="5">
        <f t="shared" si="43"/>
        <v>7616</v>
      </c>
      <c r="W154" s="11">
        <f t="shared" si="44"/>
        <v>0</v>
      </c>
      <c r="X154" s="5">
        <f t="shared" si="37"/>
        <v>0</v>
      </c>
      <c r="Y154" s="11">
        <v>0</v>
      </c>
      <c r="Z154" s="5">
        <f t="shared" si="38"/>
        <v>0</v>
      </c>
      <c r="AA154" s="11">
        <f t="shared" si="39"/>
        <v>0</v>
      </c>
      <c r="AB154" s="11">
        <v>0.1</v>
      </c>
    </row>
    <row r="155" spans="1:28">
      <c r="A155">
        <v>2026</v>
      </c>
      <c r="B155" t="s">
        <v>167</v>
      </c>
      <c r="C155" t="s">
        <v>39</v>
      </c>
      <c r="D155" t="s">
        <v>40</v>
      </c>
      <c r="E155" t="s">
        <v>222</v>
      </c>
      <c r="G155" t="s">
        <v>14</v>
      </c>
      <c r="H155" t="s">
        <v>14</v>
      </c>
      <c r="I155" t="s">
        <v>26</v>
      </c>
      <c r="J155">
        <v>0.4</v>
      </c>
      <c r="K155" t="s">
        <v>16</v>
      </c>
      <c r="L155">
        <v>111.86</v>
      </c>
      <c r="M155" s="5">
        <v>44.744</v>
      </c>
      <c r="O155" s="5">
        <f t="shared" si="41"/>
        <v>44.744</v>
      </c>
      <c r="P155" s="5">
        <f t="shared" si="31"/>
        <v>0</v>
      </c>
      <c r="Q155" s="11">
        <v>0</v>
      </c>
      <c r="R155" s="5">
        <f t="shared" si="40"/>
        <v>0</v>
      </c>
      <c r="S155" s="11">
        <f t="shared" si="33"/>
        <v>0</v>
      </c>
      <c r="T155" s="5">
        <f t="shared" si="42"/>
        <v>44.744</v>
      </c>
      <c r="U155" s="11">
        <v>0</v>
      </c>
      <c r="V155" s="5">
        <f t="shared" si="43"/>
        <v>44.744</v>
      </c>
      <c r="W155" s="11">
        <f t="shared" si="44"/>
        <v>0</v>
      </c>
      <c r="X155" s="5">
        <f t="shared" si="37"/>
        <v>0</v>
      </c>
      <c r="Y155" s="11">
        <v>0</v>
      </c>
      <c r="Z155" s="5">
        <f t="shared" si="38"/>
        <v>0</v>
      </c>
      <c r="AA155" s="11">
        <f t="shared" si="39"/>
        <v>0</v>
      </c>
      <c r="AB155" s="11">
        <v>0.1</v>
      </c>
    </row>
    <row r="156" spans="1:28">
      <c r="A156">
        <v>2026</v>
      </c>
      <c r="B156" t="s">
        <v>167</v>
      </c>
      <c r="C156" t="s">
        <v>39</v>
      </c>
      <c r="D156" t="s">
        <v>40</v>
      </c>
      <c r="E156" t="s">
        <v>223</v>
      </c>
      <c r="G156" t="s">
        <v>14</v>
      </c>
      <c r="H156" t="s">
        <v>14</v>
      </c>
      <c r="I156" t="s">
        <v>66</v>
      </c>
      <c r="J156">
        <v>4</v>
      </c>
      <c r="K156" t="s">
        <v>16</v>
      </c>
      <c r="L156">
        <v>80300</v>
      </c>
      <c r="M156" s="5">
        <v>1284.8</v>
      </c>
      <c r="O156" s="5">
        <f t="shared" si="41"/>
        <v>1284.8</v>
      </c>
      <c r="P156" s="5">
        <f t="shared" si="31"/>
        <v>0</v>
      </c>
      <c r="Q156" s="11">
        <v>0</v>
      </c>
      <c r="R156" s="5">
        <f t="shared" si="40"/>
        <v>0</v>
      </c>
      <c r="S156" s="11">
        <f t="shared" si="33"/>
        <v>0</v>
      </c>
      <c r="T156" s="5">
        <f t="shared" si="42"/>
        <v>1284.8</v>
      </c>
      <c r="U156" s="11">
        <v>0</v>
      </c>
      <c r="V156" s="5">
        <f t="shared" si="43"/>
        <v>1284.8</v>
      </c>
      <c r="W156" s="11">
        <f t="shared" si="44"/>
        <v>0</v>
      </c>
      <c r="X156" s="5">
        <f t="shared" si="37"/>
        <v>0</v>
      </c>
      <c r="Y156" s="11">
        <v>0</v>
      </c>
      <c r="Z156" s="5">
        <f t="shared" si="38"/>
        <v>0</v>
      </c>
      <c r="AA156" s="11">
        <f t="shared" si="39"/>
        <v>0</v>
      </c>
      <c r="AB156" s="11">
        <v>0.1</v>
      </c>
    </row>
    <row r="157" spans="1:28">
      <c r="A157">
        <v>2026</v>
      </c>
      <c r="B157" t="s">
        <v>167</v>
      </c>
      <c r="C157" t="s">
        <v>39</v>
      </c>
      <c r="D157" t="s">
        <v>40</v>
      </c>
      <c r="E157" t="s">
        <v>224</v>
      </c>
      <c r="G157" t="s">
        <v>14</v>
      </c>
      <c r="H157" t="s">
        <v>14</v>
      </c>
      <c r="I157" t="s">
        <v>28</v>
      </c>
      <c r="J157">
        <v>3</v>
      </c>
      <c r="K157" t="s">
        <v>16</v>
      </c>
      <c r="L157">
        <v>17888.080000000002</v>
      </c>
      <c r="M157" s="5">
        <v>53664.240000000005</v>
      </c>
      <c r="O157" s="5">
        <f t="shared" si="41"/>
        <v>53664.240000000005</v>
      </c>
      <c r="P157" s="5">
        <f t="shared" si="31"/>
        <v>0</v>
      </c>
      <c r="Q157" s="11">
        <v>0</v>
      </c>
      <c r="R157" s="5">
        <f t="shared" si="40"/>
        <v>0</v>
      </c>
      <c r="S157" s="11">
        <f t="shared" si="33"/>
        <v>0</v>
      </c>
      <c r="T157" s="5">
        <f t="shared" si="42"/>
        <v>53664.240000000005</v>
      </c>
      <c r="U157" s="11">
        <v>0</v>
      </c>
      <c r="V157" s="5">
        <f t="shared" si="43"/>
        <v>53664.240000000005</v>
      </c>
      <c r="W157" s="11">
        <f t="shared" si="44"/>
        <v>0</v>
      </c>
      <c r="X157" s="5">
        <f t="shared" si="37"/>
        <v>0</v>
      </c>
      <c r="Y157" s="11">
        <v>0</v>
      </c>
      <c r="Z157" s="5">
        <f t="shared" si="38"/>
        <v>0</v>
      </c>
      <c r="AA157" s="11">
        <f t="shared" si="39"/>
        <v>0</v>
      </c>
      <c r="AB157" s="11">
        <v>0.1</v>
      </c>
    </row>
    <row r="158" spans="1:28">
      <c r="A158">
        <v>2026</v>
      </c>
      <c r="B158" t="s">
        <v>167</v>
      </c>
      <c r="C158" t="s">
        <v>39</v>
      </c>
      <c r="D158" t="s">
        <v>40</v>
      </c>
      <c r="E158" t="s">
        <v>225</v>
      </c>
      <c r="G158" t="s">
        <v>14</v>
      </c>
      <c r="H158" t="s">
        <v>14</v>
      </c>
      <c r="I158" t="s">
        <v>29</v>
      </c>
      <c r="J158">
        <v>1</v>
      </c>
      <c r="K158" t="s">
        <v>16</v>
      </c>
      <c r="L158">
        <v>337.3837894736842</v>
      </c>
      <c r="M158" s="5">
        <v>337.3837894736842</v>
      </c>
      <c r="O158" s="5">
        <f t="shared" si="41"/>
        <v>337.3837894736842</v>
      </c>
      <c r="P158" s="5">
        <f t="shared" si="31"/>
        <v>0</v>
      </c>
      <c r="Q158" s="11">
        <v>0</v>
      </c>
      <c r="R158" s="5">
        <f t="shared" si="40"/>
        <v>0</v>
      </c>
      <c r="S158" s="11">
        <f t="shared" si="33"/>
        <v>0</v>
      </c>
      <c r="T158" s="5">
        <f t="shared" si="42"/>
        <v>337.3837894736842</v>
      </c>
      <c r="U158" s="11">
        <v>0</v>
      </c>
      <c r="V158" s="5">
        <f t="shared" si="43"/>
        <v>337.3837894736842</v>
      </c>
      <c r="W158" s="11">
        <f t="shared" si="44"/>
        <v>0</v>
      </c>
      <c r="X158" s="5">
        <f t="shared" si="37"/>
        <v>0</v>
      </c>
      <c r="Y158" s="11">
        <v>0</v>
      </c>
      <c r="Z158" s="5">
        <f t="shared" si="38"/>
        <v>0</v>
      </c>
      <c r="AA158" s="11">
        <f t="shared" si="39"/>
        <v>0</v>
      </c>
      <c r="AB158" s="11">
        <v>0.1</v>
      </c>
    </row>
    <row r="159" spans="1:28">
      <c r="A159">
        <v>2026</v>
      </c>
      <c r="B159" t="s">
        <v>167</v>
      </c>
      <c r="C159" t="s">
        <v>39</v>
      </c>
      <c r="D159" t="s">
        <v>40</v>
      </c>
      <c r="E159" t="s">
        <v>226</v>
      </c>
      <c r="G159" t="s">
        <v>14</v>
      </c>
      <c r="H159" t="s">
        <v>14</v>
      </c>
      <c r="I159" t="s">
        <v>154</v>
      </c>
      <c r="J159">
        <v>2</v>
      </c>
      <c r="K159" t="s">
        <v>16</v>
      </c>
      <c r="L159">
        <v>67900</v>
      </c>
      <c r="M159" s="5">
        <v>13580</v>
      </c>
      <c r="O159" s="5">
        <f t="shared" si="41"/>
        <v>13580</v>
      </c>
      <c r="P159" s="5">
        <f t="shared" si="31"/>
        <v>0</v>
      </c>
      <c r="Q159" s="11">
        <v>0</v>
      </c>
      <c r="R159" s="5">
        <f t="shared" si="40"/>
        <v>0</v>
      </c>
      <c r="S159" s="11">
        <f t="shared" si="33"/>
        <v>0</v>
      </c>
      <c r="T159" s="5">
        <f t="shared" si="42"/>
        <v>13580</v>
      </c>
      <c r="U159" s="11">
        <v>0</v>
      </c>
      <c r="V159" s="5">
        <f t="shared" si="43"/>
        <v>13580</v>
      </c>
      <c r="W159" s="11">
        <f t="shared" si="44"/>
        <v>0</v>
      </c>
      <c r="X159" s="5">
        <f t="shared" si="37"/>
        <v>0</v>
      </c>
      <c r="Y159" s="11">
        <v>0</v>
      </c>
      <c r="Z159" s="5">
        <f t="shared" si="38"/>
        <v>0</v>
      </c>
      <c r="AA159" s="11">
        <f t="shared" si="39"/>
        <v>0</v>
      </c>
      <c r="AB159" s="11">
        <v>0.1</v>
      </c>
    </row>
    <row r="160" spans="1:28">
      <c r="A160">
        <v>2026</v>
      </c>
      <c r="B160" t="s">
        <v>167</v>
      </c>
      <c r="C160" t="s">
        <v>39</v>
      </c>
      <c r="D160" t="s">
        <v>40</v>
      </c>
      <c r="E160" t="s">
        <v>227</v>
      </c>
      <c r="G160" t="s">
        <v>14</v>
      </c>
      <c r="H160" t="s">
        <v>14</v>
      </c>
      <c r="I160" t="s">
        <v>155</v>
      </c>
      <c r="J160">
        <v>2</v>
      </c>
      <c r="K160" t="s">
        <v>16</v>
      </c>
      <c r="L160">
        <v>50300</v>
      </c>
      <c r="M160" s="5">
        <v>10060</v>
      </c>
      <c r="O160" s="5">
        <f t="shared" si="41"/>
        <v>10060</v>
      </c>
      <c r="P160" s="5">
        <f t="shared" si="31"/>
        <v>0</v>
      </c>
      <c r="Q160" s="11">
        <v>0</v>
      </c>
      <c r="R160" s="5">
        <f t="shared" si="40"/>
        <v>0</v>
      </c>
      <c r="S160" s="11">
        <f t="shared" si="33"/>
        <v>0</v>
      </c>
      <c r="T160" s="5">
        <f t="shared" si="42"/>
        <v>10060</v>
      </c>
      <c r="U160" s="11">
        <v>0</v>
      </c>
      <c r="V160" s="5">
        <f t="shared" si="43"/>
        <v>10060</v>
      </c>
      <c r="W160" s="11">
        <f t="shared" si="44"/>
        <v>0</v>
      </c>
      <c r="X160" s="5">
        <f t="shared" si="37"/>
        <v>0</v>
      </c>
      <c r="Y160" s="11">
        <v>0</v>
      </c>
      <c r="Z160" s="5">
        <f t="shared" si="38"/>
        <v>0</v>
      </c>
      <c r="AA160" s="11">
        <f t="shared" si="39"/>
        <v>0</v>
      </c>
      <c r="AB160" s="11">
        <v>0.1</v>
      </c>
    </row>
    <row r="161" spans="1:28">
      <c r="A161">
        <v>2026</v>
      </c>
      <c r="B161" t="s">
        <v>167</v>
      </c>
      <c r="C161" t="s">
        <v>39</v>
      </c>
      <c r="D161" t="s">
        <v>40</v>
      </c>
      <c r="E161" t="s">
        <v>228</v>
      </c>
      <c r="G161" t="s">
        <v>14</v>
      </c>
      <c r="H161" t="s">
        <v>14</v>
      </c>
      <c r="I161" t="s">
        <v>152</v>
      </c>
      <c r="J161">
        <v>2</v>
      </c>
      <c r="K161" t="s">
        <v>16</v>
      </c>
      <c r="L161">
        <v>43500</v>
      </c>
      <c r="M161" s="5">
        <v>7250</v>
      </c>
      <c r="O161" s="5">
        <f t="shared" si="41"/>
        <v>7250</v>
      </c>
      <c r="P161" s="5">
        <f t="shared" si="31"/>
        <v>0</v>
      </c>
      <c r="Q161" s="11">
        <v>0</v>
      </c>
      <c r="R161" s="5">
        <f t="shared" si="40"/>
        <v>0</v>
      </c>
      <c r="S161" s="11">
        <f t="shared" si="33"/>
        <v>0</v>
      </c>
      <c r="T161" s="5">
        <f t="shared" si="42"/>
        <v>7250</v>
      </c>
      <c r="U161" s="11">
        <v>0</v>
      </c>
      <c r="V161" s="5">
        <f t="shared" si="43"/>
        <v>7250</v>
      </c>
      <c r="W161" s="11">
        <f t="shared" si="44"/>
        <v>0</v>
      </c>
      <c r="X161" s="5">
        <f t="shared" si="37"/>
        <v>0</v>
      </c>
      <c r="Y161" s="11">
        <v>0</v>
      </c>
      <c r="Z161" s="5">
        <f t="shared" si="38"/>
        <v>0</v>
      </c>
      <c r="AA161" s="11">
        <f t="shared" si="39"/>
        <v>0</v>
      </c>
      <c r="AB161" s="11">
        <v>0.1</v>
      </c>
    </row>
    <row r="162" spans="1:28">
      <c r="A162">
        <v>2026</v>
      </c>
      <c r="B162" t="s">
        <v>167</v>
      </c>
      <c r="C162" t="s">
        <v>39</v>
      </c>
      <c r="D162" t="s">
        <v>40</v>
      </c>
      <c r="F162">
        <v>2400</v>
      </c>
      <c r="G162" t="s">
        <v>32</v>
      </c>
      <c r="H162" t="s">
        <v>32</v>
      </c>
      <c r="I162" t="s">
        <v>33</v>
      </c>
      <c r="J162">
        <v>30</v>
      </c>
      <c r="K162" t="s">
        <v>38</v>
      </c>
      <c r="L162" s="16">
        <v>348.24</v>
      </c>
      <c r="M162" s="5">
        <f>+L162*F162</f>
        <v>835776</v>
      </c>
      <c r="O162" s="5">
        <f t="shared" si="41"/>
        <v>835776</v>
      </c>
      <c r="P162" s="5">
        <f t="shared" si="31"/>
        <v>0</v>
      </c>
      <c r="Q162" s="11">
        <v>0</v>
      </c>
      <c r="R162" s="5">
        <f t="shared" si="40"/>
        <v>0</v>
      </c>
      <c r="S162" s="11">
        <f t="shared" si="33"/>
        <v>0</v>
      </c>
      <c r="T162" s="5">
        <f t="shared" si="42"/>
        <v>835776</v>
      </c>
      <c r="U162" s="11">
        <v>0</v>
      </c>
      <c r="V162" s="5">
        <f t="shared" si="43"/>
        <v>835776</v>
      </c>
      <c r="W162" s="11">
        <f t="shared" si="44"/>
        <v>0</v>
      </c>
      <c r="X162" s="5">
        <f t="shared" si="37"/>
        <v>0</v>
      </c>
      <c r="Y162" s="11">
        <v>0</v>
      </c>
      <c r="Z162" s="5">
        <f t="shared" si="38"/>
        <v>0</v>
      </c>
      <c r="AA162" s="11">
        <f t="shared" si="39"/>
        <v>0</v>
      </c>
      <c r="AB162" s="11">
        <v>0.1</v>
      </c>
    </row>
    <row r="163" spans="1:28">
      <c r="A163">
        <v>2026</v>
      </c>
      <c r="B163" t="s">
        <v>167</v>
      </c>
      <c r="C163" t="s">
        <v>39</v>
      </c>
      <c r="D163" t="s">
        <v>40</v>
      </c>
      <c r="F163">
        <v>2400</v>
      </c>
      <c r="G163" t="s">
        <v>32</v>
      </c>
      <c r="H163" t="s">
        <v>32</v>
      </c>
      <c r="I163" t="s">
        <v>35</v>
      </c>
      <c r="J163">
        <v>30</v>
      </c>
      <c r="K163" t="s">
        <v>38</v>
      </c>
      <c r="L163" s="16">
        <v>201.61</v>
      </c>
      <c r="M163" s="5">
        <f t="shared" ref="M163:M164" si="45">+L163*F163</f>
        <v>483864.00000000006</v>
      </c>
      <c r="O163" s="5">
        <f t="shared" si="41"/>
        <v>483864.00000000006</v>
      </c>
      <c r="P163" s="5">
        <f t="shared" si="31"/>
        <v>0</v>
      </c>
      <c r="Q163" s="11">
        <v>0</v>
      </c>
      <c r="R163" s="5">
        <f t="shared" si="40"/>
        <v>0</v>
      </c>
      <c r="S163" s="11">
        <f t="shared" si="33"/>
        <v>0</v>
      </c>
      <c r="T163" s="5">
        <f t="shared" si="42"/>
        <v>483864.00000000006</v>
      </c>
      <c r="U163" s="11">
        <v>0</v>
      </c>
      <c r="V163" s="5">
        <f t="shared" si="43"/>
        <v>483864.00000000006</v>
      </c>
      <c r="W163" s="11">
        <f t="shared" si="44"/>
        <v>0</v>
      </c>
      <c r="X163" s="5">
        <f t="shared" si="37"/>
        <v>0</v>
      </c>
      <c r="Y163" s="11">
        <v>0</v>
      </c>
      <c r="Z163" s="5">
        <f t="shared" si="38"/>
        <v>0</v>
      </c>
      <c r="AA163" s="11">
        <f t="shared" si="39"/>
        <v>0</v>
      </c>
      <c r="AB163" s="11">
        <v>0.1</v>
      </c>
    </row>
    <row r="164" spans="1:28">
      <c r="A164">
        <v>2026</v>
      </c>
      <c r="B164" t="s">
        <v>167</v>
      </c>
      <c r="C164" t="s">
        <v>39</v>
      </c>
      <c r="D164" t="s">
        <v>40</v>
      </c>
      <c r="F164">
        <v>1600</v>
      </c>
      <c r="G164" t="s">
        <v>32</v>
      </c>
      <c r="H164" t="s">
        <v>32</v>
      </c>
      <c r="I164" t="s">
        <v>215</v>
      </c>
      <c r="J164">
        <v>30</v>
      </c>
      <c r="K164" t="s">
        <v>38</v>
      </c>
      <c r="L164" s="16">
        <v>1000</v>
      </c>
      <c r="M164" s="5">
        <f t="shared" si="45"/>
        <v>1600000</v>
      </c>
      <c r="O164" s="5">
        <f t="shared" si="41"/>
        <v>1600000</v>
      </c>
      <c r="P164" s="5">
        <f t="shared" si="31"/>
        <v>0</v>
      </c>
      <c r="Q164" s="11">
        <v>0</v>
      </c>
      <c r="R164" s="5">
        <f t="shared" si="40"/>
        <v>0</v>
      </c>
      <c r="S164" s="11">
        <f t="shared" si="33"/>
        <v>0</v>
      </c>
      <c r="T164" s="5">
        <f t="shared" si="42"/>
        <v>1600000</v>
      </c>
      <c r="U164" s="11">
        <v>0</v>
      </c>
      <c r="V164" s="5">
        <f t="shared" si="43"/>
        <v>1600000</v>
      </c>
      <c r="W164" s="11">
        <f t="shared" si="44"/>
        <v>0</v>
      </c>
      <c r="X164" s="5">
        <f t="shared" si="37"/>
        <v>0</v>
      </c>
      <c r="Y164" s="11">
        <v>0</v>
      </c>
      <c r="Z164" s="5">
        <f t="shared" si="38"/>
        <v>0</v>
      </c>
      <c r="AA164" s="11">
        <f t="shared" si="39"/>
        <v>0</v>
      </c>
      <c r="AB164" s="11">
        <v>0.1</v>
      </c>
    </row>
    <row r="165" spans="1:28">
      <c r="A165">
        <v>2026</v>
      </c>
      <c r="B165" t="s">
        <v>175</v>
      </c>
      <c r="C165" t="s">
        <v>39</v>
      </c>
      <c r="D165" t="s">
        <v>40</v>
      </c>
      <c r="E165" t="s">
        <v>216</v>
      </c>
      <c r="G165" t="s">
        <v>14</v>
      </c>
      <c r="H165" t="s">
        <v>14</v>
      </c>
      <c r="I165" t="s">
        <v>15</v>
      </c>
      <c r="J165">
        <v>4</v>
      </c>
      <c r="K165" t="s">
        <v>16</v>
      </c>
      <c r="L165">
        <v>266</v>
      </c>
      <c r="M165" s="5">
        <v>1064</v>
      </c>
      <c r="O165" s="5">
        <f t="shared" si="41"/>
        <v>1064</v>
      </c>
      <c r="P165" s="5">
        <f t="shared" si="31"/>
        <v>0</v>
      </c>
      <c r="Q165" s="11">
        <v>0</v>
      </c>
      <c r="R165" s="5">
        <f t="shared" si="40"/>
        <v>0</v>
      </c>
      <c r="S165" s="11">
        <f t="shared" si="33"/>
        <v>0</v>
      </c>
      <c r="T165" s="5">
        <f t="shared" si="42"/>
        <v>1064</v>
      </c>
      <c r="U165" s="11">
        <v>0</v>
      </c>
      <c r="V165" s="5">
        <f t="shared" si="43"/>
        <v>1064</v>
      </c>
      <c r="W165" s="11">
        <f t="shared" si="44"/>
        <v>0</v>
      </c>
      <c r="X165" s="5">
        <f t="shared" si="37"/>
        <v>0</v>
      </c>
      <c r="Y165" s="11">
        <v>0</v>
      </c>
      <c r="Z165" s="5">
        <f t="shared" si="38"/>
        <v>0</v>
      </c>
      <c r="AA165" s="11">
        <f t="shared" si="39"/>
        <v>0</v>
      </c>
      <c r="AB165" s="11">
        <v>0.1</v>
      </c>
    </row>
    <row r="166" spans="1:28">
      <c r="A166">
        <v>2026</v>
      </c>
      <c r="B166" t="s">
        <v>175</v>
      </c>
      <c r="C166" t="s">
        <v>39</v>
      </c>
      <c r="D166" t="s">
        <v>40</v>
      </c>
      <c r="E166" t="s">
        <v>217</v>
      </c>
      <c r="G166" t="s">
        <v>14</v>
      </c>
      <c r="H166" t="s">
        <v>14</v>
      </c>
      <c r="I166" t="s">
        <v>18</v>
      </c>
      <c r="J166">
        <v>2</v>
      </c>
      <c r="K166" t="s">
        <v>16</v>
      </c>
      <c r="L166">
        <v>1086.232</v>
      </c>
      <c r="M166" s="5">
        <v>2172.4639999999999</v>
      </c>
      <c r="O166" s="5">
        <f t="shared" si="41"/>
        <v>2172.4639999999999</v>
      </c>
      <c r="P166" s="5">
        <f t="shared" si="31"/>
        <v>0</v>
      </c>
      <c r="Q166" s="11">
        <v>0</v>
      </c>
      <c r="R166" s="5">
        <f t="shared" si="40"/>
        <v>0</v>
      </c>
      <c r="S166" s="11">
        <f t="shared" si="33"/>
        <v>0</v>
      </c>
      <c r="T166" s="5">
        <f t="shared" si="42"/>
        <v>2172.4639999999999</v>
      </c>
      <c r="U166" s="11">
        <v>0</v>
      </c>
      <c r="V166" s="5">
        <f t="shared" si="43"/>
        <v>2172.4639999999999</v>
      </c>
      <c r="W166" s="11">
        <f t="shared" si="44"/>
        <v>0</v>
      </c>
      <c r="X166" s="5">
        <f t="shared" si="37"/>
        <v>0</v>
      </c>
      <c r="Y166" s="11">
        <v>0</v>
      </c>
      <c r="Z166" s="5">
        <f t="shared" si="38"/>
        <v>0</v>
      </c>
      <c r="AA166" s="11">
        <f t="shared" si="39"/>
        <v>0</v>
      </c>
      <c r="AB166" s="11">
        <v>0.1</v>
      </c>
    </row>
    <row r="167" spans="1:28">
      <c r="A167">
        <v>2026</v>
      </c>
      <c r="B167" t="s">
        <v>175</v>
      </c>
      <c r="C167" t="s">
        <v>39</v>
      </c>
      <c r="D167" t="s">
        <v>40</v>
      </c>
      <c r="E167" t="s">
        <v>218</v>
      </c>
      <c r="G167" t="s">
        <v>14</v>
      </c>
      <c r="H167" t="s">
        <v>14</v>
      </c>
      <c r="I167" t="s">
        <v>20</v>
      </c>
      <c r="J167">
        <v>6</v>
      </c>
      <c r="K167" t="s">
        <v>16</v>
      </c>
      <c r="L167">
        <v>370</v>
      </c>
      <c r="M167" s="5">
        <v>2220</v>
      </c>
      <c r="O167" s="5">
        <f t="shared" si="41"/>
        <v>2220</v>
      </c>
      <c r="P167" s="5">
        <f t="shared" si="31"/>
        <v>0</v>
      </c>
      <c r="Q167" s="11">
        <v>0</v>
      </c>
      <c r="R167" s="5">
        <f t="shared" si="40"/>
        <v>0</v>
      </c>
      <c r="S167" s="11">
        <f t="shared" si="33"/>
        <v>0</v>
      </c>
      <c r="T167" s="5">
        <f t="shared" si="42"/>
        <v>2220</v>
      </c>
      <c r="U167" s="11">
        <v>0</v>
      </c>
      <c r="V167" s="5">
        <f t="shared" si="43"/>
        <v>2220</v>
      </c>
      <c r="W167" s="11">
        <f t="shared" si="44"/>
        <v>0</v>
      </c>
      <c r="X167" s="5">
        <f t="shared" si="37"/>
        <v>0</v>
      </c>
      <c r="Y167" s="11">
        <v>0</v>
      </c>
      <c r="Z167" s="5">
        <f t="shared" si="38"/>
        <v>0</v>
      </c>
      <c r="AA167" s="11">
        <f t="shared" si="39"/>
        <v>0</v>
      </c>
      <c r="AB167" s="11">
        <v>0.1</v>
      </c>
    </row>
    <row r="168" spans="1:28">
      <c r="A168">
        <v>2026</v>
      </c>
      <c r="B168" t="s">
        <v>175</v>
      </c>
      <c r="C168" t="s">
        <v>39</v>
      </c>
      <c r="D168" t="s">
        <v>40</v>
      </c>
      <c r="E168" t="s">
        <v>219</v>
      </c>
      <c r="G168" t="s">
        <v>14</v>
      </c>
      <c r="H168" t="s">
        <v>14</v>
      </c>
      <c r="I168" t="s">
        <v>44</v>
      </c>
      <c r="J168">
        <v>2</v>
      </c>
      <c r="K168" t="s">
        <v>16</v>
      </c>
      <c r="L168">
        <v>2643</v>
      </c>
      <c r="M168" s="5">
        <v>5286</v>
      </c>
      <c r="O168" s="5">
        <f t="shared" si="41"/>
        <v>5286</v>
      </c>
      <c r="P168" s="5">
        <f t="shared" si="31"/>
        <v>0</v>
      </c>
      <c r="Q168" s="11">
        <v>0</v>
      </c>
      <c r="R168" s="5">
        <f t="shared" si="40"/>
        <v>0</v>
      </c>
      <c r="S168" s="11">
        <f t="shared" si="33"/>
        <v>0</v>
      </c>
      <c r="T168" s="5">
        <f t="shared" si="42"/>
        <v>5286</v>
      </c>
      <c r="U168" s="11">
        <v>0</v>
      </c>
      <c r="V168" s="5">
        <f t="shared" si="43"/>
        <v>5286</v>
      </c>
      <c r="W168" s="11">
        <f t="shared" si="44"/>
        <v>0</v>
      </c>
      <c r="X168" s="5">
        <f t="shared" si="37"/>
        <v>0</v>
      </c>
      <c r="Y168" s="11">
        <v>0</v>
      </c>
      <c r="Z168" s="5">
        <f t="shared" si="38"/>
        <v>0</v>
      </c>
      <c r="AA168" s="11">
        <f t="shared" si="39"/>
        <v>0</v>
      </c>
      <c r="AB168" s="11">
        <v>0.1</v>
      </c>
    </row>
    <row r="169" spans="1:28">
      <c r="A169">
        <v>2026</v>
      </c>
      <c r="B169" t="s">
        <v>175</v>
      </c>
      <c r="C169" t="s">
        <v>39</v>
      </c>
      <c r="D169" t="s">
        <v>40</v>
      </c>
      <c r="E169" t="s">
        <v>220</v>
      </c>
      <c r="G169" t="s">
        <v>14</v>
      </c>
      <c r="H169" t="s">
        <v>14</v>
      </c>
      <c r="I169" t="s">
        <v>24</v>
      </c>
      <c r="J169">
        <v>3</v>
      </c>
      <c r="K169" t="s">
        <v>16</v>
      </c>
      <c r="L169">
        <v>135.66</v>
      </c>
      <c r="M169" s="5">
        <v>406.98</v>
      </c>
      <c r="O169" s="5">
        <f t="shared" si="41"/>
        <v>406.98</v>
      </c>
      <c r="P169" s="5">
        <f t="shared" si="31"/>
        <v>0</v>
      </c>
      <c r="Q169" s="11">
        <v>0</v>
      </c>
      <c r="R169" s="5">
        <f t="shared" si="40"/>
        <v>0</v>
      </c>
      <c r="S169" s="11">
        <f t="shared" si="33"/>
        <v>0</v>
      </c>
      <c r="T169" s="5">
        <f t="shared" si="42"/>
        <v>406.98</v>
      </c>
      <c r="U169" s="11">
        <v>0</v>
      </c>
      <c r="V169" s="5">
        <f t="shared" si="43"/>
        <v>406.98</v>
      </c>
      <c r="W169" s="11">
        <f t="shared" si="44"/>
        <v>0</v>
      </c>
      <c r="X169" s="5">
        <f t="shared" si="37"/>
        <v>0</v>
      </c>
      <c r="Y169" s="11">
        <v>0</v>
      </c>
      <c r="Z169" s="5">
        <f t="shared" si="38"/>
        <v>0</v>
      </c>
      <c r="AA169" s="11">
        <f t="shared" si="39"/>
        <v>0</v>
      </c>
      <c r="AB169" s="11">
        <v>0.1</v>
      </c>
    </row>
    <row r="170" spans="1:28">
      <c r="A170">
        <v>2026</v>
      </c>
      <c r="B170" t="s">
        <v>175</v>
      </c>
      <c r="C170" t="s">
        <v>39</v>
      </c>
      <c r="D170" t="s">
        <v>40</v>
      </c>
      <c r="E170" t="s">
        <v>221</v>
      </c>
      <c r="G170" t="s">
        <v>14</v>
      </c>
      <c r="H170" t="s">
        <v>14</v>
      </c>
      <c r="I170" t="s">
        <v>25</v>
      </c>
      <c r="J170">
        <v>2</v>
      </c>
      <c r="K170" t="s">
        <v>16</v>
      </c>
      <c r="L170">
        <v>3808</v>
      </c>
      <c r="M170" s="5">
        <v>7616</v>
      </c>
      <c r="O170" s="5">
        <f t="shared" si="41"/>
        <v>7616</v>
      </c>
      <c r="P170" s="5">
        <f t="shared" si="31"/>
        <v>0</v>
      </c>
      <c r="Q170" s="11">
        <v>0</v>
      </c>
      <c r="R170" s="5">
        <f t="shared" si="40"/>
        <v>0</v>
      </c>
      <c r="S170" s="11">
        <f t="shared" si="33"/>
        <v>0</v>
      </c>
      <c r="T170" s="5">
        <f t="shared" si="42"/>
        <v>7616</v>
      </c>
      <c r="U170" s="11">
        <v>0</v>
      </c>
      <c r="V170" s="5">
        <f t="shared" si="43"/>
        <v>7616</v>
      </c>
      <c r="W170" s="11">
        <f t="shared" si="44"/>
        <v>0</v>
      </c>
      <c r="X170" s="5">
        <f t="shared" si="37"/>
        <v>0</v>
      </c>
      <c r="Y170" s="11">
        <v>0</v>
      </c>
      <c r="Z170" s="5">
        <f t="shared" si="38"/>
        <v>0</v>
      </c>
      <c r="AA170" s="11">
        <f t="shared" si="39"/>
        <v>0</v>
      </c>
      <c r="AB170" s="11">
        <v>0.1</v>
      </c>
    </row>
    <row r="171" spans="1:28">
      <c r="A171">
        <v>2026</v>
      </c>
      <c r="B171" t="s">
        <v>175</v>
      </c>
      <c r="C171" t="s">
        <v>39</v>
      </c>
      <c r="D171" t="s">
        <v>40</v>
      </c>
      <c r="E171" t="s">
        <v>222</v>
      </c>
      <c r="G171" t="s">
        <v>14</v>
      </c>
      <c r="H171" t="s">
        <v>14</v>
      </c>
      <c r="I171" t="s">
        <v>26</v>
      </c>
      <c r="J171">
        <v>0.4</v>
      </c>
      <c r="K171" t="s">
        <v>16</v>
      </c>
      <c r="L171">
        <v>111.86</v>
      </c>
      <c r="M171" s="5">
        <v>44.744</v>
      </c>
      <c r="O171" s="5">
        <f t="shared" si="41"/>
        <v>44.744</v>
      </c>
      <c r="P171" s="5">
        <f t="shared" si="31"/>
        <v>0</v>
      </c>
      <c r="Q171" s="11">
        <v>0</v>
      </c>
      <c r="R171" s="5">
        <f t="shared" si="40"/>
        <v>0</v>
      </c>
      <c r="S171" s="11">
        <f t="shared" si="33"/>
        <v>0</v>
      </c>
      <c r="T171" s="5">
        <f t="shared" si="42"/>
        <v>44.744</v>
      </c>
      <c r="U171" s="11">
        <v>0</v>
      </c>
      <c r="V171" s="5">
        <f t="shared" si="43"/>
        <v>44.744</v>
      </c>
      <c r="W171" s="11">
        <f t="shared" si="44"/>
        <v>0</v>
      </c>
      <c r="X171" s="5">
        <f t="shared" si="37"/>
        <v>0</v>
      </c>
      <c r="Y171" s="11">
        <v>0</v>
      </c>
      <c r="Z171" s="5">
        <f t="shared" si="38"/>
        <v>0</v>
      </c>
      <c r="AA171" s="11">
        <f t="shared" si="39"/>
        <v>0</v>
      </c>
      <c r="AB171" s="11">
        <v>0.1</v>
      </c>
    </row>
    <row r="172" spans="1:28">
      <c r="A172">
        <v>2026</v>
      </c>
      <c r="B172" t="s">
        <v>175</v>
      </c>
      <c r="C172" t="s">
        <v>39</v>
      </c>
      <c r="D172" t="s">
        <v>40</v>
      </c>
      <c r="E172" t="s">
        <v>223</v>
      </c>
      <c r="G172" t="s">
        <v>14</v>
      </c>
      <c r="H172" t="s">
        <v>14</v>
      </c>
      <c r="I172" t="s">
        <v>66</v>
      </c>
      <c r="J172">
        <v>4</v>
      </c>
      <c r="K172" t="s">
        <v>16</v>
      </c>
      <c r="L172">
        <v>80300</v>
      </c>
      <c r="M172" s="5">
        <v>1284.8</v>
      </c>
      <c r="O172" s="5">
        <f t="shared" si="41"/>
        <v>1284.8</v>
      </c>
      <c r="P172" s="5">
        <f t="shared" si="31"/>
        <v>0</v>
      </c>
      <c r="Q172" s="11">
        <v>0</v>
      </c>
      <c r="R172" s="5">
        <f t="shared" si="40"/>
        <v>0</v>
      </c>
      <c r="S172" s="11">
        <f t="shared" si="33"/>
        <v>0</v>
      </c>
      <c r="T172" s="5">
        <f t="shared" si="42"/>
        <v>1284.8</v>
      </c>
      <c r="U172" s="11">
        <v>0</v>
      </c>
      <c r="V172" s="5">
        <f t="shared" si="43"/>
        <v>1284.8</v>
      </c>
      <c r="W172" s="11">
        <f t="shared" si="44"/>
        <v>0</v>
      </c>
      <c r="X172" s="5">
        <f t="shared" si="37"/>
        <v>0</v>
      </c>
      <c r="Y172" s="11">
        <v>0</v>
      </c>
      <c r="Z172" s="5">
        <f t="shared" si="38"/>
        <v>0</v>
      </c>
      <c r="AA172" s="11">
        <f t="shared" si="39"/>
        <v>0</v>
      </c>
      <c r="AB172" s="11">
        <v>0.1</v>
      </c>
    </row>
    <row r="173" spans="1:28">
      <c r="A173">
        <v>2026</v>
      </c>
      <c r="B173" t="s">
        <v>175</v>
      </c>
      <c r="C173" t="s">
        <v>39</v>
      </c>
      <c r="D173" t="s">
        <v>40</v>
      </c>
      <c r="E173" t="s">
        <v>224</v>
      </c>
      <c r="G173" t="s">
        <v>14</v>
      </c>
      <c r="H173" t="s">
        <v>14</v>
      </c>
      <c r="I173" t="s">
        <v>28</v>
      </c>
      <c r="J173">
        <v>3</v>
      </c>
      <c r="K173" t="s">
        <v>16</v>
      </c>
      <c r="L173">
        <v>17888.080000000002</v>
      </c>
      <c r="M173" s="5">
        <v>53664.240000000005</v>
      </c>
      <c r="O173" s="5">
        <f t="shared" si="41"/>
        <v>53664.240000000005</v>
      </c>
      <c r="P173" s="5">
        <f t="shared" si="31"/>
        <v>0</v>
      </c>
      <c r="Q173" s="11">
        <v>0</v>
      </c>
      <c r="R173" s="5">
        <f t="shared" si="40"/>
        <v>0</v>
      </c>
      <c r="S173" s="11">
        <f t="shared" si="33"/>
        <v>0</v>
      </c>
      <c r="T173" s="5">
        <f t="shared" si="42"/>
        <v>53664.240000000005</v>
      </c>
      <c r="U173" s="11">
        <v>0</v>
      </c>
      <c r="V173" s="5">
        <f t="shared" si="43"/>
        <v>53664.240000000005</v>
      </c>
      <c r="W173" s="11">
        <f t="shared" si="44"/>
        <v>0</v>
      </c>
      <c r="X173" s="5">
        <f t="shared" si="37"/>
        <v>0</v>
      </c>
      <c r="Y173" s="11">
        <v>0</v>
      </c>
      <c r="Z173" s="5">
        <f t="shared" si="38"/>
        <v>0</v>
      </c>
      <c r="AA173" s="11">
        <f t="shared" si="39"/>
        <v>0</v>
      </c>
      <c r="AB173" s="11">
        <v>0.1</v>
      </c>
    </row>
    <row r="174" spans="1:28">
      <c r="A174">
        <v>2026</v>
      </c>
      <c r="B174" t="s">
        <v>175</v>
      </c>
      <c r="C174" t="s">
        <v>39</v>
      </c>
      <c r="D174" t="s">
        <v>40</v>
      </c>
      <c r="E174" t="s">
        <v>225</v>
      </c>
      <c r="G174" t="s">
        <v>14</v>
      </c>
      <c r="H174" t="s">
        <v>14</v>
      </c>
      <c r="I174" t="s">
        <v>29</v>
      </c>
      <c r="J174">
        <v>1</v>
      </c>
      <c r="K174" t="s">
        <v>16</v>
      </c>
      <c r="L174">
        <v>337.3837894736842</v>
      </c>
      <c r="M174" s="5">
        <v>337.3837894736842</v>
      </c>
      <c r="O174" s="5">
        <f t="shared" si="41"/>
        <v>337.3837894736842</v>
      </c>
      <c r="P174" s="5">
        <f t="shared" si="31"/>
        <v>0</v>
      </c>
      <c r="Q174" s="11">
        <v>0</v>
      </c>
      <c r="R174" s="5">
        <f t="shared" si="40"/>
        <v>0</v>
      </c>
      <c r="S174" s="11">
        <f t="shared" si="33"/>
        <v>0</v>
      </c>
      <c r="T174" s="5">
        <f t="shared" si="42"/>
        <v>337.3837894736842</v>
      </c>
      <c r="U174" s="11">
        <v>0</v>
      </c>
      <c r="V174" s="5">
        <f t="shared" si="43"/>
        <v>337.3837894736842</v>
      </c>
      <c r="W174" s="11">
        <f t="shared" si="44"/>
        <v>0</v>
      </c>
      <c r="X174" s="5">
        <f t="shared" si="37"/>
        <v>0</v>
      </c>
      <c r="Y174" s="11">
        <v>0</v>
      </c>
      <c r="Z174" s="5">
        <f t="shared" si="38"/>
        <v>0</v>
      </c>
      <c r="AA174" s="11">
        <f t="shared" si="39"/>
        <v>0</v>
      </c>
      <c r="AB174" s="11">
        <v>0.1</v>
      </c>
    </row>
    <row r="175" spans="1:28">
      <c r="A175">
        <v>2026</v>
      </c>
      <c r="B175" t="s">
        <v>175</v>
      </c>
      <c r="C175" t="s">
        <v>39</v>
      </c>
      <c r="D175" t="s">
        <v>40</v>
      </c>
      <c r="E175" t="s">
        <v>226</v>
      </c>
      <c r="G175" t="s">
        <v>14</v>
      </c>
      <c r="H175" t="s">
        <v>14</v>
      </c>
      <c r="I175" t="s">
        <v>154</v>
      </c>
      <c r="J175">
        <v>2</v>
      </c>
      <c r="K175" t="s">
        <v>16</v>
      </c>
      <c r="L175">
        <v>67900</v>
      </c>
      <c r="M175" s="5">
        <v>13580</v>
      </c>
      <c r="O175" s="5">
        <f t="shared" si="41"/>
        <v>13580</v>
      </c>
      <c r="P175" s="5">
        <f t="shared" si="31"/>
        <v>0</v>
      </c>
      <c r="Q175" s="11">
        <v>0</v>
      </c>
      <c r="R175" s="5">
        <f t="shared" si="40"/>
        <v>0</v>
      </c>
      <c r="S175" s="11">
        <f t="shared" si="33"/>
        <v>0</v>
      </c>
      <c r="T175" s="5">
        <f t="shared" si="42"/>
        <v>13580</v>
      </c>
      <c r="U175" s="11">
        <v>0</v>
      </c>
      <c r="V175" s="5">
        <f t="shared" si="43"/>
        <v>13580</v>
      </c>
      <c r="W175" s="11">
        <f t="shared" si="44"/>
        <v>0</v>
      </c>
      <c r="X175" s="5">
        <f t="shared" si="37"/>
        <v>0</v>
      </c>
      <c r="Y175" s="11">
        <v>0</v>
      </c>
      <c r="Z175" s="5">
        <f t="shared" si="38"/>
        <v>0</v>
      </c>
      <c r="AA175" s="11">
        <f t="shared" si="39"/>
        <v>0</v>
      </c>
      <c r="AB175" s="11">
        <v>0.1</v>
      </c>
    </row>
    <row r="176" spans="1:28">
      <c r="A176">
        <v>2026</v>
      </c>
      <c r="B176" t="s">
        <v>175</v>
      </c>
      <c r="C176" t="s">
        <v>39</v>
      </c>
      <c r="D176" t="s">
        <v>40</v>
      </c>
      <c r="E176" t="s">
        <v>227</v>
      </c>
      <c r="G176" t="s">
        <v>14</v>
      </c>
      <c r="H176" t="s">
        <v>14</v>
      </c>
      <c r="I176" t="s">
        <v>155</v>
      </c>
      <c r="J176">
        <v>2</v>
      </c>
      <c r="K176" t="s">
        <v>16</v>
      </c>
      <c r="L176">
        <v>50300</v>
      </c>
      <c r="M176" s="5">
        <v>10060</v>
      </c>
      <c r="O176" s="5">
        <f t="shared" si="41"/>
        <v>10060</v>
      </c>
      <c r="P176" s="5">
        <f t="shared" si="31"/>
        <v>0</v>
      </c>
      <c r="Q176" s="11">
        <v>0</v>
      </c>
      <c r="R176" s="5">
        <f t="shared" si="40"/>
        <v>0</v>
      </c>
      <c r="S176" s="11">
        <f t="shared" si="33"/>
        <v>0</v>
      </c>
      <c r="T176" s="5">
        <f t="shared" si="42"/>
        <v>10060</v>
      </c>
      <c r="U176" s="11">
        <v>0</v>
      </c>
      <c r="V176" s="5">
        <f t="shared" si="43"/>
        <v>10060</v>
      </c>
      <c r="W176" s="11">
        <f t="shared" si="44"/>
        <v>0</v>
      </c>
      <c r="X176" s="5">
        <f t="shared" si="37"/>
        <v>0</v>
      </c>
      <c r="Y176" s="11">
        <v>0</v>
      </c>
      <c r="Z176" s="5">
        <f t="shared" si="38"/>
        <v>0</v>
      </c>
      <c r="AA176" s="11">
        <f t="shared" si="39"/>
        <v>0</v>
      </c>
      <c r="AB176" s="11">
        <v>0.1</v>
      </c>
    </row>
    <row r="177" spans="1:28">
      <c r="A177">
        <v>2026</v>
      </c>
      <c r="B177" t="s">
        <v>175</v>
      </c>
      <c r="C177" t="s">
        <v>39</v>
      </c>
      <c r="D177" t="s">
        <v>40</v>
      </c>
      <c r="E177" t="s">
        <v>228</v>
      </c>
      <c r="G177" t="s">
        <v>14</v>
      </c>
      <c r="H177" t="s">
        <v>14</v>
      </c>
      <c r="I177" t="s">
        <v>152</v>
      </c>
      <c r="J177">
        <v>2</v>
      </c>
      <c r="K177" t="s">
        <v>16</v>
      </c>
      <c r="L177">
        <v>43500</v>
      </c>
      <c r="M177" s="5">
        <v>7250</v>
      </c>
      <c r="O177" s="5">
        <f t="shared" si="41"/>
        <v>7250</v>
      </c>
      <c r="P177" s="5">
        <f t="shared" si="31"/>
        <v>0</v>
      </c>
      <c r="Q177" s="11">
        <v>0</v>
      </c>
      <c r="R177" s="5">
        <f t="shared" si="40"/>
        <v>0</v>
      </c>
      <c r="S177" s="11">
        <f t="shared" si="33"/>
        <v>0</v>
      </c>
      <c r="T177" s="5">
        <f t="shared" si="42"/>
        <v>7250</v>
      </c>
      <c r="U177" s="11">
        <v>0</v>
      </c>
      <c r="V177" s="5">
        <f t="shared" si="43"/>
        <v>7250</v>
      </c>
      <c r="W177" s="11">
        <f t="shared" si="44"/>
        <v>0</v>
      </c>
      <c r="X177" s="5">
        <f t="shared" si="37"/>
        <v>0</v>
      </c>
      <c r="Y177" s="11">
        <v>0</v>
      </c>
      <c r="Z177" s="5">
        <f t="shared" si="38"/>
        <v>0</v>
      </c>
      <c r="AA177" s="11">
        <f t="shared" si="39"/>
        <v>0</v>
      </c>
      <c r="AB177" s="11">
        <v>0.1</v>
      </c>
    </row>
    <row r="178" spans="1:28">
      <c r="A178">
        <v>2026</v>
      </c>
      <c r="B178" t="s">
        <v>175</v>
      </c>
      <c r="C178" t="s">
        <v>39</v>
      </c>
      <c r="D178" t="s">
        <v>40</v>
      </c>
      <c r="F178">
        <v>2400</v>
      </c>
      <c r="G178" t="s">
        <v>32</v>
      </c>
      <c r="H178" t="s">
        <v>32</v>
      </c>
      <c r="I178" t="s">
        <v>33</v>
      </c>
      <c r="J178">
        <v>30</v>
      </c>
      <c r="K178" t="s">
        <v>38</v>
      </c>
      <c r="L178" s="16">
        <v>348.24</v>
      </c>
      <c r="M178" s="5">
        <f>+L178*F178</f>
        <v>835776</v>
      </c>
      <c r="O178" s="5">
        <f t="shared" si="41"/>
        <v>835776</v>
      </c>
      <c r="P178" s="5">
        <f t="shared" si="31"/>
        <v>0</v>
      </c>
      <c r="Q178" s="11">
        <v>0</v>
      </c>
      <c r="R178" s="5">
        <f t="shared" si="40"/>
        <v>0</v>
      </c>
      <c r="S178" s="11">
        <f t="shared" si="33"/>
        <v>0</v>
      </c>
      <c r="T178" s="5">
        <f t="shared" si="42"/>
        <v>835776</v>
      </c>
      <c r="U178" s="11">
        <v>0</v>
      </c>
      <c r="V178" s="5">
        <f t="shared" si="43"/>
        <v>835776</v>
      </c>
      <c r="W178" s="11">
        <f t="shared" si="44"/>
        <v>0</v>
      </c>
      <c r="X178" s="5">
        <f t="shared" si="37"/>
        <v>0</v>
      </c>
      <c r="Y178" s="11">
        <v>0</v>
      </c>
      <c r="Z178" s="5">
        <f t="shared" si="38"/>
        <v>0</v>
      </c>
      <c r="AA178" s="11">
        <f t="shared" si="39"/>
        <v>0</v>
      </c>
      <c r="AB178" s="11">
        <v>0.1</v>
      </c>
    </row>
    <row r="179" spans="1:28">
      <c r="A179">
        <v>2026</v>
      </c>
      <c r="B179" t="s">
        <v>175</v>
      </c>
      <c r="C179" t="s">
        <v>39</v>
      </c>
      <c r="D179" t="s">
        <v>40</v>
      </c>
      <c r="F179">
        <v>2400</v>
      </c>
      <c r="G179" t="s">
        <v>32</v>
      </c>
      <c r="H179" t="s">
        <v>32</v>
      </c>
      <c r="I179" t="s">
        <v>35</v>
      </c>
      <c r="J179">
        <v>30</v>
      </c>
      <c r="K179" t="s">
        <v>38</v>
      </c>
      <c r="L179" s="16">
        <v>201.61</v>
      </c>
      <c r="M179" s="5">
        <f t="shared" ref="M179:M180" si="46">+L179*F179</f>
        <v>483864.00000000006</v>
      </c>
      <c r="O179" s="5">
        <f t="shared" si="41"/>
        <v>483864.00000000006</v>
      </c>
      <c r="P179" s="5">
        <f t="shared" si="31"/>
        <v>0</v>
      </c>
      <c r="Q179" s="11">
        <v>0</v>
      </c>
      <c r="R179" s="5">
        <f t="shared" si="40"/>
        <v>0</v>
      </c>
      <c r="S179" s="11">
        <f t="shared" si="33"/>
        <v>0</v>
      </c>
      <c r="T179" s="5">
        <f t="shared" si="42"/>
        <v>483864.00000000006</v>
      </c>
      <c r="U179" s="11">
        <v>0</v>
      </c>
      <c r="V179" s="5">
        <f t="shared" si="43"/>
        <v>483864.00000000006</v>
      </c>
      <c r="W179" s="11">
        <f t="shared" si="44"/>
        <v>0</v>
      </c>
      <c r="X179" s="5">
        <f t="shared" si="37"/>
        <v>0</v>
      </c>
      <c r="Y179" s="11">
        <v>0</v>
      </c>
      <c r="Z179" s="5">
        <f t="shared" si="38"/>
        <v>0</v>
      </c>
      <c r="AA179" s="11">
        <f t="shared" si="39"/>
        <v>0</v>
      </c>
      <c r="AB179" s="11">
        <v>0.1</v>
      </c>
    </row>
    <row r="180" spans="1:28">
      <c r="A180">
        <v>2026</v>
      </c>
      <c r="B180" t="s">
        <v>175</v>
      </c>
      <c r="C180" t="s">
        <v>39</v>
      </c>
      <c r="D180" t="s">
        <v>40</v>
      </c>
      <c r="F180">
        <v>1600</v>
      </c>
      <c r="G180" t="s">
        <v>32</v>
      </c>
      <c r="H180" t="s">
        <v>32</v>
      </c>
      <c r="I180" t="s">
        <v>215</v>
      </c>
      <c r="J180">
        <v>30</v>
      </c>
      <c r="K180" t="s">
        <v>38</v>
      </c>
      <c r="L180" s="16">
        <v>1000</v>
      </c>
      <c r="M180" s="5">
        <f t="shared" si="46"/>
        <v>1600000</v>
      </c>
      <c r="O180" s="5">
        <f t="shared" si="41"/>
        <v>1600000</v>
      </c>
      <c r="P180" s="5">
        <f t="shared" si="31"/>
        <v>0</v>
      </c>
      <c r="Q180" s="11">
        <v>0</v>
      </c>
      <c r="R180" s="5">
        <f t="shared" si="40"/>
        <v>0</v>
      </c>
      <c r="S180" s="11">
        <f t="shared" si="33"/>
        <v>0</v>
      </c>
      <c r="T180" s="5">
        <f t="shared" si="42"/>
        <v>1600000</v>
      </c>
      <c r="U180" s="11">
        <v>0</v>
      </c>
      <c r="V180" s="5">
        <f t="shared" si="43"/>
        <v>1600000</v>
      </c>
      <c r="W180" s="11">
        <f t="shared" si="44"/>
        <v>0</v>
      </c>
      <c r="X180" s="5">
        <f t="shared" si="37"/>
        <v>0</v>
      </c>
      <c r="Y180" s="11">
        <v>0</v>
      </c>
      <c r="Z180" s="5">
        <f t="shared" si="38"/>
        <v>0</v>
      </c>
      <c r="AA180" s="11">
        <f t="shared" si="39"/>
        <v>0</v>
      </c>
      <c r="AB180" s="11">
        <v>0.1</v>
      </c>
    </row>
    <row r="181" spans="1:28">
      <c r="A181">
        <v>2026</v>
      </c>
      <c r="B181" t="s">
        <v>176</v>
      </c>
      <c r="C181" t="s">
        <v>39</v>
      </c>
      <c r="D181" t="s">
        <v>40</v>
      </c>
      <c r="E181" t="s">
        <v>216</v>
      </c>
      <c r="G181" t="s">
        <v>14</v>
      </c>
      <c r="H181" t="s">
        <v>14</v>
      </c>
      <c r="I181" t="s">
        <v>15</v>
      </c>
      <c r="J181">
        <v>4</v>
      </c>
      <c r="K181" t="s">
        <v>16</v>
      </c>
      <c r="L181">
        <v>266</v>
      </c>
      <c r="M181" s="5">
        <v>1064</v>
      </c>
      <c r="O181" s="5">
        <f t="shared" si="41"/>
        <v>1064</v>
      </c>
      <c r="P181" s="5">
        <f t="shared" si="31"/>
        <v>0</v>
      </c>
      <c r="Q181" s="11">
        <v>0</v>
      </c>
      <c r="R181" s="5">
        <f t="shared" si="40"/>
        <v>0</v>
      </c>
      <c r="S181" s="11">
        <f t="shared" si="33"/>
        <v>0</v>
      </c>
      <c r="T181" s="5">
        <f t="shared" si="42"/>
        <v>1064</v>
      </c>
      <c r="U181" s="11">
        <v>0</v>
      </c>
      <c r="V181" s="5">
        <f t="shared" si="43"/>
        <v>1064</v>
      </c>
      <c r="W181" s="11">
        <f t="shared" si="44"/>
        <v>0</v>
      </c>
      <c r="X181" s="5">
        <f t="shared" si="37"/>
        <v>0</v>
      </c>
      <c r="Y181" s="11">
        <v>0</v>
      </c>
      <c r="Z181" s="5">
        <f t="shared" si="38"/>
        <v>0</v>
      </c>
      <c r="AA181" s="11">
        <f t="shared" si="39"/>
        <v>0</v>
      </c>
      <c r="AB181" s="11">
        <v>0.1</v>
      </c>
    </row>
    <row r="182" spans="1:28">
      <c r="A182">
        <v>2026</v>
      </c>
      <c r="B182" t="s">
        <v>176</v>
      </c>
      <c r="C182" t="s">
        <v>39</v>
      </c>
      <c r="D182" t="s">
        <v>40</v>
      </c>
      <c r="E182" t="s">
        <v>217</v>
      </c>
      <c r="G182" t="s">
        <v>14</v>
      </c>
      <c r="H182" t="s">
        <v>14</v>
      </c>
      <c r="I182" t="s">
        <v>18</v>
      </c>
      <c r="J182">
        <v>2</v>
      </c>
      <c r="K182" t="s">
        <v>16</v>
      </c>
      <c r="L182">
        <v>1086.232</v>
      </c>
      <c r="M182" s="5">
        <v>2172.4639999999999</v>
      </c>
      <c r="O182" s="5">
        <f t="shared" si="41"/>
        <v>2172.4639999999999</v>
      </c>
      <c r="P182" s="5">
        <f t="shared" si="31"/>
        <v>0</v>
      </c>
      <c r="Q182" s="11">
        <v>0</v>
      </c>
      <c r="R182" s="5">
        <f t="shared" si="40"/>
        <v>0</v>
      </c>
      <c r="S182" s="11">
        <f t="shared" si="33"/>
        <v>0</v>
      </c>
      <c r="T182" s="5">
        <f t="shared" si="42"/>
        <v>2172.4639999999999</v>
      </c>
      <c r="U182" s="11">
        <v>0</v>
      </c>
      <c r="V182" s="5">
        <f t="shared" si="43"/>
        <v>2172.4639999999999</v>
      </c>
      <c r="W182" s="11">
        <f t="shared" si="44"/>
        <v>0</v>
      </c>
      <c r="X182" s="5">
        <f t="shared" si="37"/>
        <v>0</v>
      </c>
      <c r="Y182" s="11">
        <v>0</v>
      </c>
      <c r="Z182" s="5">
        <f t="shared" si="38"/>
        <v>0</v>
      </c>
      <c r="AA182" s="11">
        <f t="shared" si="39"/>
        <v>0</v>
      </c>
      <c r="AB182" s="11">
        <v>0.1</v>
      </c>
    </row>
    <row r="183" spans="1:28">
      <c r="A183">
        <v>2026</v>
      </c>
      <c r="B183" t="s">
        <v>176</v>
      </c>
      <c r="C183" t="s">
        <v>39</v>
      </c>
      <c r="D183" t="s">
        <v>40</v>
      </c>
      <c r="E183" t="s">
        <v>218</v>
      </c>
      <c r="G183" t="s">
        <v>14</v>
      </c>
      <c r="H183" t="s">
        <v>14</v>
      </c>
      <c r="I183" t="s">
        <v>20</v>
      </c>
      <c r="J183">
        <v>6</v>
      </c>
      <c r="K183" t="s">
        <v>16</v>
      </c>
      <c r="L183">
        <v>370</v>
      </c>
      <c r="M183" s="5">
        <v>2220</v>
      </c>
      <c r="O183" s="5">
        <f t="shared" si="41"/>
        <v>2220</v>
      </c>
      <c r="P183" s="5">
        <f t="shared" si="31"/>
        <v>0</v>
      </c>
      <c r="Q183" s="11">
        <v>0</v>
      </c>
      <c r="R183" s="5">
        <f t="shared" si="40"/>
        <v>0</v>
      </c>
      <c r="S183" s="11">
        <f t="shared" si="33"/>
        <v>0</v>
      </c>
      <c r="T183" s="5">
        <f t="shared" si="42"/>
        <v>2220</v>
      </c>
      <c r="U183" s="11">
        <v>0</v>
      </c>
      <c r="V183" s="5">
        <f t="shared" si="43"/>
        <v>2220</v>
      </c>
      <c r="W183" s="11">
        <f t="shared" si="44"/>
        <v>0</v>
      </c>
      <c r="X183" s="5">
        <f t="shared" si="37"/>
        <v>0</v>
      </c>
      <c r="Y183" s="11">
        <v>0</v>
      </c>
      <c r="Z183" s="5">
        <f t="shared" si="38"/>
        <v>0</v>
      </c>
      <c r="AA183" s="11">
        <f t="shared" si="39"/>
        <v>0</v>
      </c>
      <c r="AB183" s="11">
        <v>0.1</v>
      </c>
    </row>
    <row r="184" spans="1:28">
      <c r="A184">
        <v>2026</v>
      </c>
      <c r="B184" t="s">
        <v>176</v>
      </c>
      <c r="C184" t="s">
        <v>39</v>
      </c>
      <c r="D184" t="s">
        <v>40</v>
      </c>
      <c r="E184" t="s">
        <v>219</v>
      </c>
      <c r="G184" t="s">
        <v>14</v>
      </c>
      <c r="H184" t="s">
        <v>14</v>
      </c>
      <c r="I184" t="s">
        <v>44</v>
      </c>
      <c r="J184">
        <v>2</v>
      </c>
      <c r="K184" t="s">
        <v>16</v>
      </c>
      <c r="L184">
        <v>2643</v>
      </c>
      <c r="M184" s="5">
        <v>5286</v>
      </c>
      <c r="O184" s="5">
        <f t="shared" si="41"/>
        <v>5286</v>
      </c>
      <c r="P184" s="5">
        <f t="shared" si="31"/>
        <v>0</v>
      </c>
      <c r="Q184" s="11">
        <v>0</v>
      </c>
      <c r="R184" s="5">
        <f t="shared" si="40"/>
        <v>0</v>
      </c>
      <c r="S184" s="11">
        <f t="shared" si="33"/>
        <v>0</v>
      </c>
      <c r="T184" s="5">
        <f t="shared" si="42"/>
        <v>5286</v>
      </c>
      <c r="U184" s="11">
        <v>0</v>
      </c>
      <c r="V184" s="5">
        <f t="shared" si="43"/>
        <v>5286</v>
      </c>
      <c r="W184" s="11">
        <f t="shared" si="44"/>
        <v>0</v>
      </c>
      <c r="X184" s="5">
        <f t="shared" si="37"/>
        <v>0</v>
      </c>
      <c r="Y184" s="11">
        <v>0</v>
      </c>
      <c r="Z184" s="5">
        <f t="shared" si="38"/>
        <v>0</v>
      </c>
      <c r="AA184" s="11">
        <f t="shared" si="39"/>
        <v>0</v>
      </c>
      <c r="AB184" s="11">
        <v>0.1</v>
      </c>
    </row>
    <row r="185" spans="1:28">
      <c r="A185">
        <v>2026</v>
      </c>
      <c r="B185" t="s">
        <v>176</v>
      </c>
      <c r="C185" t="s">
        <v>39</v>
      </c>
      <c r="D185" t="s">
        <v>40</v>
      </c>
      <c r="E185" t="s">
        <v>220</v>
      </c>
      <c r="G185" t="s">
        <v>14</v>
      </c>
      <c r="H185" t="s">
        <v>14</v>
      </c>
      <c r="I185" t="s">
        <v>24</v>
      </c>
      <c r="J185">
        <v>3</v>
      </c>
      <c r="K185" t="s">
        <v>16</v>
      </c>
      <c r="L185">
        <v>135.66</v>
      </c>
      <c r="M185" s="5">
        <v>406.98</v>
      </c>
      <c r="O185" s="5">
        <f t="shared" si="41"/>
        <v>406.98</v>
      </c>
      <c r="P185" s="5">
        <f t="shared" si="31"/>
        <v>0</v>
      </c>
      <c r="Q185" s="11">
        <v>0</v>
      </c>
      <c r="R185" s="5">
        <f t="shared" si="40"/>
        <v>0</v>
      </c>
      <c r="S185" s="11">
        <f t="shared" si="33"/>
        <v>0</v>
      </c>
      <c r="T185" s="5">
        <f t="shared" si="42"/>
        <v>406.98</v>
      </c>
      <c r="U185" s="11">
        <v>0</v>
      </c>
      <c r="V185" s="5">
        <f t="shared" si="43"/>
        <v>406.98</v>
      </c>
      <c r="W185" s="11">
        <f t="shared" si="44"/>
        <v>0</v>
      </c>
      <c r="X185" s="5">
        <f t="shared" si="37"/>
        <v>0</v>
      </c>
      <c r="Y185" s="11">
        <v>0</v>
      </c>
      <c r="Z185" s="5">
        <f t="shared" si="38"/>
        <v>0</v>
      </c>
      <c r="AA185" s="11">
        <f t="shared" si="39"/>
        <v>0</v>
      </c>
      <c r="AB185" s="11">
        <v>0.1</v>
      </c>
    </row>
    <row r="186" spans="1:28">
      <c r="A186">
        <v>2026</v>
      </c>
      <c r="B186" t="s">
        <v>176</v>
      </c>
      <c r="C186" t="s">
        <v>39</v>
      </c>
      <c r="D186" t="s">
        <v>40</v>
      </c>
      <c r="E186" t="s">
        <v>221</v>
      </c>
      <c r="G186" t="s">
        <v>14</v>
      </c>
      <c r="H186" t="s">
        <v>14</v>
      </c>
      <c r="I186" t="s">
        <v>25</v>
      </c>
      <c r="J186">
        <v>2</v>
      </c>
      <c r="K186" t="s">
        <v>16</v>
      </c>
      <c r="L186">
        <v>3808</v>
      </c>
      <c r="M186" s="5">
        <v>7616</v>
      </c>
      <c r="O186" s="5">
        <f t="shared" si="41"/>
        <v>7616</v>
      </c>
      <c r="P186" s="5">
        <f t="shared" si="31"/>
        <v>0</v>
      </c>
      <c r="Q186" s="11">
        <v>0</v>
      </c>
      <c r="R186" s="5">
        <f t="shared" si="40"/>
        <v>0</v>
      </c>
      <c r="S186" s="11">
        <f t="shared" si="33"/>
        <v>0</v>
      </c>
      <c r="T186" s="5">
        <f t="shared" si="42"/>
        <v>7616</v>
      </c>
      <c r="U186" s="11">
        <v>0</v>
      </c>
      <c r="V186" s="5">
        <f t="shared" si="43"/>
        <v>7616</v>
      </c>
      <c r="W186" s="11">
        <f t="shared" si="44"/>
        <v>0</v>
      </c>
      <c r="X186" s="5">
        <f t="shared" si="37"/>
        <v>0</v>
      </c>
      <c r="Y186" s="11">
        <v>0</v>
      </c>
      <c r="Z186" s="5">
        <f t="shared" si="38"/>
        <v>0</v>
      </c>
      <c r="AA186" s="11">
        <f t="shared" si="39"/>
        <v>0</v>
      </c>
      <c r="AB186" s="11">
        <v>0.1</v>
      </c>
    </row>
    <row r="187" spans="1:28">
      <c r="A187">
        <v>2026</v>
      </c>
      <c r="B187" t="s">
        <v>176</v>
      </c>
      <c r="C187" t="s">
        <v>39</v>
      </c>
      <c r="D187" t="s">
        <v>40</v>
      </c>
      <c r="E187" t="s">
        <v>222</v>
      </c>
      <c r="G187" t="s">
        <v>14</v>
      </c>
      <c r="H187" t="s">
        <v>14</v>
      </c>
      <c r="I187" t="s">
        <v>26</v>
      </c>
      <c r="J187">
        <v>0.4</v>
      </c>
      <c r="K187" t="s">
        <v>16</v>
      </c>
      <c r="L187">
        <v>111.86</v>
      </c>
      <c r="M187" s="5">
        <v>44.744</v>
      </c>
      <c r="O187" s="5">
        <f t="shared" si="41"/>
        <v>44.744</v>
      </c>
      <c r="P187" s="5">
        <f t="shared" si="31"/>
        <v>0</v>
      </c>
      <c r="Q187" s="11">
        <v>0</v>
      </c>
      <c r="R187" s="5">
        <f t="shared" si="40"/>
        <v>0</v>
      </c>
      <c r="S187" s="11">
        <f t="shared" si="33"/>
        <v>0</v>
      </c>
      <c r="T187" s="5">
        <f t="shared" si="42"/>
        <v>44.744</v>
      </c>
      <c r="U187" s="11">
        <v>0</v>
      </c>
      <c r="V187" s="5">
        <f t="shared" si="43"/>
        <v>44.744</v>
      </c>
      <c r="W187" s="11">
        <f t="shared" si="44"/>
        <v>0</v>
      </c>
      <c r="X187" s="5">
        <f t="shared" si="37"/>
        <v>0</v>
      </c>
      <c r="Y187" s="11">
        <v>0</v>
      </c>
      <c r="Z187" s="5">
        <f t="shared" si="38"/>
        <v>0</v>
      </c>
      <c r="AA187" s="11">
        <f t="shared" si="39"/>
        <v>0</v>
      </c>
      <c r="AB187" s="11">
        <v>0.1</v>
      </c>
    </row>
    <row r="188" spans="1:28">
      <c r="A188">
        <v>2026</v>
      </c>
      <c r="B188" t="s">
        <v>176</v>
      </c>
      <c r="C188" t="s">
        <v>39</v>
      </c>
      <c r="D188" t="s">
        <v>40</v>
      </c>
      <c r="E188" t="s">
        <v>223</v>
      </c>
      <c r="G188" t="s">
        <v>14</v>
      </c>
      <c r="H188" t="s">
        <v>14</v>
      </c>
      <c r="I188" t="s">
        <v>66</v>
      </c>
      <c r="J188">
        <v>4</v>
      </c>
      <c r="K188" t="s">
        <v>16</v>
      </c>
      <c r="L188">
        <v>80300</v>
      </c>
      <c r="M188" s="5">
        <v>1284.8</v>
      </c>
      <c r="O188" s="5">
        <f t="shared" si="41"/>
        <v>1284.8</v>
      </c>
      <c r="P188" s="5">
        <f t="shared" si="31"/>
        <v>0</v>
      </c>
      <c r="Q188" s="11">
        <v>0</v>
      </c>
      <c r="R188" s="5">
        <f t="shared" si="40"/>
        <v>0</v>
      </c>
      <c r="S188" s="11">
        <f t="shared" si="33"/>
        <v>0</v>
      </c>
      <c r="T188" s="5">
        <f t="shared" si="42"/>
        <v>1284.8</v>
      </c>
      <c r="U188" s="11">
        <v>0</v>
      </c>
      <c r="V188" s="5">
        <f t="shared" si="43"/>
        <v>1284.8</v>
      </c>
      <c r="W188" s="11">
        <f t="shared" si="44"/>
        <v>0</v>
      </c>
      <c r="X188" s="5">
        <f t="shared" si="37"/>
        <v>0</v>
      </c>
      <c r="Y188" s="11">
        <v>0</v>
      </c>
      <c r="Z188" s="5">
        <f t="shared" si="38"/>
        <v>0</v>
      </c>
      <c r="AA188" s="11">
        <f t="shared" si="39"/>
        <v>0</v>
      </c>
      <c r="AB188" s="11">
        <v>0.1</v>
      </c>
    </row>
    <row r="189" spans="1:28">
      <c r="A189">
        <v>2026</v>
      </c>
      <c r="B189" t="s">
        <v>176</v>
      </c>
      <c r="C189" t="s">
        <v>39</v>
      </c>
      <c r="D189" t="s">
        <v>40</v>
      </c>
      <c r="E189" t="s">
        <v>224</v>
      </c>
      <c r="G189" t="s">
        <v>14</v>
      </c>
      <c r="H189" t="s">
        <v>14</v>
      </c>
      <c r="I189" t="s">
        <v>28</v>
      </c>
      <c r="J189">
        <v>3</v>
      </c>
      <c r="K189" t="s">
        <v>16</v>
      </c>
      <c r="L189">
        <v>17888.080000000002</v>
      </c>
      <c r="M189" s="5">
        <v>53664.240000000005</v>
      </c>
      <c r="O189" s="5">
        <f t="shared" si="41"/>
        <v>53664.240000000005</v>
      </c>
      <c r="P189" s="5">
        <f t="shared" si="31"/>
        <v>0</v>
      </c>
      <c r="Q189" s="11">
        <v>0</v>
      </c>
      <c r="R189" s="5">
        <f t="shared" si="40"/>
        <v>0</v>
      </c>
      <c r="S189" s="11">
        <f t="shared" si="33"/>
        <v>0</v>
      </c>
      <c r="T189" s="5">
        <f t="shared" si="42"/>
        <v>53664.240000000005</v>
      </c>
      <c r="U189" s="11">
        <v>0</v>
      </c>
      <c r="V189" s="5">
        <f t="shared" si="43"/>
        <v>53664.240000000005</v>
      </c>
      <c r="W189" s="11">
        <f t="shared" si="44"/>
        <v>0</v>
      </c>
      <c r="X189" s="5">
        <f t="shared" si="37"/>
        <v>0</v>
      </c>
      <c r="Y189" s="11">
        <v>0</v>
      </c>
      <c r="Z189" s="5">
        <f t="shared" si="38"/>
        <v>0</v>
      </c>
      <c r="AA189" s="11">
        <f t="shared" si="39"/>
        <v>0</v>
      </c>
      <c r="AB189" s="11">
        <v>0.1</v>
      </c>
    </row>
    <row r="190" spans="1:28">
      <c r="A190">
        <v>2026</v>
      </c>
      <c r="B190" t="s">
        <v>176</v>
      </c>
      <c r="C190" t="s">
        <v>39</v>
      </c>
      <c r="D190" t="s">
        <v>40</v>
      </c>
      <c r="E190" t="s">
        <v>225</v>
      </c>
      <c r="G190" t="s">
        <v>14</v>
      </c>
      <c r="H190" t="s">
        <v>14</v>
      </c>
      <c r="I190" t="s">
        <v>29</v>
      </c>
      <c r="J190">
        <v>1</v>
      </c>
      <c r="K190" t="s">
        <v>16</v>
      </c>
      <c r="L190">
        <v>337.3837894736842</v>
      </c>
      <c r="M190" s="5">
        <v>337.3837894736842</v>
      </c>
      <c r="O190" s="5">
        <f t="shared" si="41"/>
        <v>337.3837894736842</v>
      </c>
      <c r="P190" s="5">
        <f t="shared" si="31"/>
        <v>0</v>
      </c>
      <c r="Q190" s="11">
        <v>0</v>
      </c>
      <c r="R190" s="5">
        <f t="shared" si="40"/>
        <v>0</v>
      </c>
      <c r="S190" s="11">
        <f t="shared" si="33"/>
        <v>0</v>
      </c>
      <c r="T190" s="5">
        <f t="shared" si="42"/>
        <v>337.3837894736842</v>
      </c>
      <c r="U190" s="11">
        <v>0</v>
      </c>
      <c r="V190" s="5">
        <f t="shared" si="43"/>
        <v>337.3837894736842</v>
      </c>
      <c r="W190" s="11">
        <f t="shared" si="44"/>
        <v>0</v>
      </c>
      <c r="X190" s="5">
        <f t="shared" si="37"/>
        <v>0</v>
      </c>
      <c r="Y190" s="11">
        <v>0</v>
      </c>
      <c r="Z190" s="5">
        <f t="shared" si="38"/>
        <v>0</v>
      </c>
      <c r="AA190" s="11">
        <f t="shared" si="39"/>
        <v>0</v>
      </c>
      <c r="AB190" s="11">
        <v>0.1</v>
      </c>
    </row>
    <row r="191" spans="1:28">
      <c r="A191">
        <v>2026</v>
      </c>
      <c r="B191" t="s">
        <v>176</v>
      </c>
      <c r="C191" t="s">
        <v>39</v>
      </c>
      <c r="D191" t="s">
        <v>40</v>
      </c>
      <c r="E191" t="s">
        <v>226</v>
      </c>
      <c r="G191" t="s">
        <v>14</v>
      </c>
      <c r="H191" t="s">
        <v>14</v>
      </c>
      <c r="I191" t="s">
        <v>154</v>
      </c>
      <c r="J191">
        <v>2</v>
      </c>
      <c r="K191" t="s">
        <v>16</v>
      </c>
      <c r="L191">
        <v>67900</v>
      </c>
      <c r="M191" s="5">
        <v>13580</v>
      </c>
      <c r="O191" s="5">
        <f t="shared" si="41"/>
        <v>13580</v>
      </c>
      <c r="P191" s="5">
        <f t="shared" si="31"/>
        <v>0</v>
      </c>
      <c r="Q191" s="11">
        <v>0</v>
      </c>
      <c r="R191" s="5">
        <f t="shared" si="40"/>
        <v>0</v>
      </c>
      <c r="S191" s="11">
        <f t="shared" si="33"/>
        <v>0</v>
      </c>
      <c r="T191" s="5">
        <f t="shared" si="42"/>
        <v>13580</v>
      </c>
      <c r="U191" s="11">
        <v>0</v>
      </c>
      <c r="V191" s="5">
        <f t="shared" si="43"/>
        <v>13580</v>
      </c>
      <c r="W191" s="11">
        <f t="shared" si="44"/>
        <v>0</v>
      </c>
      <c r="X191" s="5">
        <f t="shared" si="37"/>
        <v>0</v>
      </c>
      <c r="Y191" s="11">
        <v>0</v>
      </c>
      <c r="Z191" s="5">
        <f t="shared" si="38"/>
        <v>0</v>
      </c>
      <c r="AA191" s="11">
        <f t="shared" si="39"/>
        <v>0</v>
      </c>
      <c r="AB191" s="11">
        <v>0.1</v>
      </c>
    </row>
    <row r="192" spans="1:28">
      <c r="A192">
        <v>2026</v>
      </c>
      <c r="B192" t="s">
        <v>176</v>
      </c>
      <c r="C192" t="s">
        <v>39</v>
      </c>
      <c r="D192" t="s">
        <v>40</v>
      </c>
      <c r="E192" t="s">
        <v>227</v>
      </c>
      <c r="G192" t="s">
        <v>14</v>
      </c>
      <c r="H192" t="s">
        <v>14</v>
      </c>
      <c r="I192" t="s">
        <v>155</v>
      </c>
      <c r="J192">
        <v>2</v>
      </c>
      <c r="K192" t="s">
        <v>16</v>
      </c>
      <c r="L192">
        <v>50300</v>
      </c>
      <c r="M192" s="5">
        <v>10060</v>
      </c>
      <c r="O192" s="5">
        <f t="shared" si="41"/>
        <v>10060</v>
      </c>
      <c r="P192" s="5">
        <f t="shared" si="31"/>
        <v>0</v>
      </c>
      <c r="Q192" s="11">
        <v>0</v>
      </c>
      <c r="R192" s="5">
        <f t="shared" si="40"/>
        <v>0</v>
      </c>
      <c r="S192" s="11">
        <f t="shared" si="33"/>
        <v>0</v>
      </c>
      <c r="T192" s="5">
        <f t="shared" si="42"/>
        <v>10060</v>
      </c>
      <c r="U192" s="11">
        <v>0</v>
      </c>
      <c r="V192" s="5">
        <f t="shared" si="43"/>
        <v>10060</v>
      </c>
      <c r="W192" s="11">
        <f t="shared" si="44"/>
        <v>0</v>
      </c>
      <c r="X192" s="5">
        <f t="shared" si="37"/>
        <v>0</v>
      </c>
      <c r="Y192" s="11">
        <v>0</v>
      </c>
      <c r="Z192" s="5">
        <f t="shared" si="38"/>
        <v>0</v>
      </c>
      <c r="AA192" s="11">
        <f t="shared" si="39"/>
        <v>0</v>
      </c>
      <c r="AB192" s="11">
        <v>0.1</v>
      </c>
    </row>
    <row r="193" spans="1:28">
      <c r="A193">
        <v>2026</v>
      </c>
      <c r="B193" t="s">
        <v>176</v>
      </c>
      <c r="C193" t="s">
        <v>39</v>
      </c>
      <c r="D193" t="s">
        <v>40</v>
      </c>
      <c r="E193" t="s">
        <v>228</v>
      </c>
      <c r="G193" t="s">
        <v>14</v>
      </c>
      <c r="H193" t="s">
        <v>14</v>
      </c>
      <c r="I193" t="s">
        <v>152</v>
      </c>
      <c r="J193">
        <v>2</v>
      </c>
      <c r="K193" t="s">
        <v>16</v>
      </c>
      <c r="L193">
        <v>43500</v>
      </c>
      <c r="M193" s="5">
        <v>7250</v>
      </c>
      <c r="O193" s="5">
        <f t="shared" si="41"/>
        <v>7250</v>
      </c>
      <c r="P193" s="5">
        <f t="shared" si="31"/>
        <v>0</v>
      </c>
      <c r="Q193" s="11">
        <v>0</v>
      </c>
      <c r="R193" s="5">
        <f t="shared" si="40"/>
        <v>0</v>
      </c>
      <c r="S193" s="11">
        <f t="shared" si="33"/>
        <v>0</v>
      </c>
      <c r="T193" s="5">
        <f t="shared" si="42"/>
        <v>7250</v>
      </c>
      <c r="U193" s="11">
        <v>0</v>
      </c>
      <c r="V193" s="5">
        <f t="shared" si="43"/>
        <v>7250</v>
      </c>
      <c r="W193" s="11">
        <f t="shared" si="44"/>
        <v>0</v>
      </c>
      <c r="X193" s="5">
        <f t="shared" si="37"/>
        <v>0</v>
      </c>
      <c r="Y193" s="11">
        <v>0</v>
      </c>
      <c r="Z193" s="5">
        <f t="shared" si="38"/>
        <v>0</v>
      </c>
      <c r="AA193" s="11">
        <f t="shared" si="39"/>
        <v>0</v>
      </c>
      <c r="AB193" s="11">
        <v>0.1</v>
      </c>
    </row>
    <row r="194" spans="1:28">
      <c r="A194">
        <v>2026</v>
      </c>
      <c r="B194" t="s">
        <v>176</v>
      </c>
      <c r="C194" t="s">
        <v>39</v>
      </c>
      <c r="D194" t="s">
        <v>40</v>
      </c>
      <c r="F194">
        <v>2400</v>
      </c>
      <c r="G194" t="s">
        <v>32</v>
      </c>
      <c r="H194" t="s">
        <v>32</v>
      </c>
      <c r="I194" t="s">
        <v>33</v>
      </c>
      <c r="J194">
        <v>30</v>
      </c>
      <c r="K194" t="s">
        <v>38</v>
      </c>
      <c r="L194" s="16">
        <v>348.24</v>
      </c>
      <c r="M194" s="5">
        <f>+L194*F194</f>
        <v>835776</v>
      </c>
      <c r="O194" s="5">
        <f t="shared" si="41"/>
        <v>835776</v>
      </c>
      <c r="P194" s="5">
        <f t="shared" ref="P194:P257" si="47">IF(C194="Alta Complejidad",M194,0)</f>
        <v>0</v>
      </c>
      <c r="Q194" s="11">
        <v>0</v>
      </c>
      <c r="R194" s="5">
        <f t="shared" si="40"/>
        <v>0</v>
      </c>
      <c r="S194" s="11">
        <f t="shared" ref="S194:S257" si="48">IFERROR(((R194-P194)/R194),0)</f>
        <v>0</v>
      </c>
      <c r="T194" s="5">
        <f t="shared" si="42"/>
        <v>835776</v>
      </c>
      <c r="U194" s="11">
        <v>0</v>
      </c>
      <c r="V194" s="5">
        <f t="shared" si="43"/>
        <v>835776</v>
      </c>
      <c r="W194" s="11">
        <f t="shared" si="44"/>
        <v>0</v>
      </c>
      <c r="X194" s="5">
        <f t="shared" ref="X194:X257" si="49">IF(C194="Baja Complejidad",M194,0)</f>
        <v>0</v>
      </c>
      <c r="Y194" s="11">
        <v>0</v>
      </c>
      <c r="Z194" s="5">
        <f t="shared" ref="Z194:Z257" si="50">(X194)+(X194*Y194)</f>
        <v>0</v>
      </c>
      <c r="AA194" s="11">
        <f t="shared" ref="AA194:AA257" si="51">IFERROR(((Z194-X194)/Z194),0)</f>
        <v>0</v>
      </c>
      <c r="AB194" s="11">
        <v>0.1</v>
      </c>
    </row>
    <row r="195" spans="1:28">
      <c r="A195">
        <v>2026</v>
      </c>
      <c r="B195" t="s">
        <v>176</v>
      </c>
      <c r="C195" t="s">
        <v>39</v>
      </c>
      <c r="D195" t="s">
        <v>40</v>
      </c>
      <c r="F195">
        <v>2400</v>
      </c>
      <c r="G195" t="s">
        <v>32</v>
      </c>
      <c r="H195" t="s">
        <v>32</v>
      </c>
      <c r="I195" t="s">
        <v>35</v>
      </c>
      <c r="J195">
        <v>30</v>
      </c>
      <c r="K195" t="s">
        <v>38</v>
      </c>
      <c r="L195" s="16">
        <v>201.61</v>
      </c>
      <c r="M195" s="5">
        <f t="shared" ref="M195:M196" si="52">+L195*F195</f>
        <v>483864.00000000006</v>
      </c>
      <c r="O195" s="5">
        <f t="shared" si="41"/>
        <v>483864.00000000006</v>
      </c>
      <c r="P195" s="5">
        <f t="shared" si="47"/>
        <v>0</v>
      </c>
      <c r="Q195" s="11">
        <v>0</v>
      </c>
      <c r="R195" s="5">
        <f t="shared" si="40"/>
        <v>0</v>
      </c>
      <c r="S195" s="11">
        <f t="shared" si="48"/>
        <v>0</v>
      </c>
      <c r="T195" s="5">
        <f t="shared" si="42"/>
        <v>483864.00000000006</v>
      </c>
      <c r="U195" s="11">
        <v>0</v>
      </c>
      <c r="V195" s="5">
        <f t="shared" si="43"/>
        <v>483864.00000000006</v>
      </c>
      <c r="W195" s="11">
        <f t="shared" si="44"/>
        <v>0</v>
      </c>
      <c r="X195" s="5">
        <f t="shared" si="49"/>
        <v>0</v>
      </c>
      <c r="Y195" s="11">
        <v>0</v>
      </c>
      <c r="Z195" s="5">
        <f t="shared" si="50"/>
        <v>0</v>
      </c>
      <c r="AA195" s="11">
        <f t="shared" si="51"/>
        <v>0</v>
      </c>
      <c r="AB195" s="11">
        <v>0.1</v>
      </c>
    </row>
    <row r="196" spans="1:28">
      <c r="A196">
        <v>2026</v>
      </c>
      <c r="B196" t="s">
        <v>176</v>
      </c>
      <c r="C196" t="s">
        <v>39</v>
      </c>
      <c r="D196" t="s">
        <v>40</v>
      </c>
      <c r="F196">
        <v>1600</v>
      </c>
      <c r="G196" t="s">
        <v>32</v>
      </c>
      <c r="H196" t="s">
        <v>32</v>
      </c>
      <c r="I196" t="s">
        <v>215</v>
      </c>
      <c r="J196">
        <v>30</v>
      </c>
      <c r="K196" t="s">
        <v>38</v>
      </c>
      <c r="L196" s="16">
        <v>1000</v>
      </c>
      <c r="M196" s="5">
        <f t="shared" si="52"/>
        <v>1600000</v>
      </c>
      <c r="O196" s="5">
        <f t="shared" si="41"/>
        <v>1600000</v>
      </c>
      <c r="P196" s="5">
        <f t="shared" si="47"/>
        <v>0</v>
      </c>
      <c r="Q196" s="11">
        <v>0</v>
      </c>
      <c r="R196" s="5">
        <f t="shared" si="40"/>
        <v>0</v>
      </c>
      <c r="S196" s="11">
        <f t="shared" si="48"/>
        <v>0</v>
      </c>
      <c r="T196" s="5">
        <f t="shared" si="42"/>
        <v>1600000</v>
      </c>
      <c r="U196" s="11">
        <v>0</v>
      </c>
      <c r="V196" s="5">
        <f t="shared" si="43"/>
        <v>1600000</v>
      </c>
      <c r="W196" s="11">
        <f t="shared" si="44"/>
        <v>0</v>
      </c>
      <c r="X196" s="5">
        <f t="shared" si="49"/>
        <v>0</v>
      </c>
      <c r="Y196" s="11">
        <v>0</v>
      </c>
      <c r="Z196" s="5">
        <f t="shared" si="50"/>
        <v>0</v>
      </c>
      <c r="AA196" s="11">
        <f t="shared" si="51"/>
        <v>0</v>
      </c>
      <c r="AB196" s="11">
        <v>0.1</v>
      </c>
    </row>
    <row r="197" spans="1:28">
      <c r="A197">
        <v>2026</v>
      </c>
      <c r="B197" t="s">
        <v>177</v>
      </c>
      <c r="C197" t="s">
        <v>39</v>
      </c>
      <c r="D197" t="s">
        <v>40</v>
      </c>
      <c r="E197" t="s">
        <v>216</v>
      </c>
      <c r="G197" t="s">
        <v>14</v>
      </c>
      <c r="H197" t="s">
        <v>14</v>
      </c>
      <c r="I197" t="s">
        <v>15</v>
      </c>
      <c r="J197">
        <v>4</v>
      </c>
      <c r="K197" t="s">
        <v>16</v>
      </c>
      <c r="L197">
        <v>266</v>
      </c>
      <c r="M197" s="5">
        <v>1064</v>
      </c>
      <c r="O197" s="5">
        <f t="shared" si="41"/>
        <v>1064</v>
      </c>
      <c r="P197" s="5">
        <f t="shared" si="47"/>
        <v>0</v>
      </c>
      <c r="Q197" s="11">
        <v>0</v>
      </c>
      <c r="R197" s="5">
        <f t="shared" si="40"/>
        <v>0</v>
      </c>
      <c r="S197" s="11">
        <f t="shared" si="48"/>
        <v>0</v>
      </c>
      <c r="T197" s="5">
        <f t="shared" si="42"/>
        <v>1064</v>
      </c>
      <c r="U197" s="11">
        <v>0</v>
      </c>
      <c r="V197" s="5">
        <f t="shared" si="43"/>
        <v>1064</v>
      </c>
      <c r="W197" s="11">
        <f t="shared" si="44"/>
        <v>0</v>
      </c>
      <c r="X197" s="5">
        <f t="shared" si="49"/>
        <v>0</v>
      </c>
      <c r="Y197" s="11">
        <v>0</v>
      </c>
      <c r="Z197" s="5">
        <f t="shared" si="50"/>
        <v>0</v>
      </c>
      <c r="AA197" s="11">
        <f t="shared" si="51"/>
        <v>0</v>
      </c>
      <c r="AB197" s="11">
        <v>0.1</v>
      </c>
    </row>
    <row r="198" spans="1:28">
      <c r="A198">
        <v>2026</v>
      </c>
      <c r="B198" t="s">
        <v>177</v>
      </c>
      <c r="C198" t="s">
        <v>39</v>
      </c>
      <c r="D198" t="s">
        <v>40</v>
      </c>
      <c r="E198" t="s">
        <v>217</v>
      </c>
      <c r="G198" t="s">
        <v>14</v>
      </c>
      <c r="H198" t="s">
        <v>14</v>
      </c>
      <c r="I198" t="s">
        <v>18</v>
      </c>
      <c r="J198">
        <v>2</v>
      </c>
      <c r="K198" t="s">
        <v>16</v>
      </c>
      <c r="L198">
        <v>1086.232</v>
      </c>
      <c r="M198" s="5">
        <v>2172.4639999999999</v>
      </c>
      <c r="O198" s="5">
        <f t="shared" si="41"/>
        <v>2172.4639999999999</v>
      </c>
      <c r="P198" s="5">
        <f t="shared" si="47"/>
        <v>0</v>
      </c>
      <c r="Q198" s="11">
        <v>0</v>
      </c>
      <c r="R198" s="5">
        <f t="shared" si="40"/>
        <v>0</v>
      </c>
      <c r="S198" s="11">
        <f t="shared" si="48"/>
        <v>0</v>
      </c>
      <c r="T198" s="5">
        <f t="shared" si="42"/>
        <v>2172.4639999999999</v>
      </c>
      <c r="U198" s="11">
        <v>0</v>
      </c>
      <c r="V198" s="5">
        <f t="shared" si="43"/>
        <v>2172.4639999999999</v>
      </c>
      <c r="W198" s="11">
        <f t="shared" si="44"/>
        <v>0</v>
      </c>
      <c r="X198" s="5">
        <f t="shared" si="49"/>
        <v>0</v>
      </c>
      <c r="Y198" s="11">
        <v>0</v>
      </c>
      <c r="Z198" s="5">
        <f t="shared" si="50"/>
        <v>0</v>
      </c>
      <c r="AA198" s="11">
        <f t="shared" si="51"/>
        <v>0</v>
      </c>
      <c r="AB198" s="11">
        <v>0.1</v>
      </c>
    </row>
    <row r="199" spans="1:28">
      <c r="A199">
        <v>2026</v>
      </c>
      <c r="B199" t="s">
        <v>177</v>
      </c>
      <c r="C199" t="s">
        <v>39</v>
      </c>
      <c r="D199" t="s">
        <v>40</v>
      </c>
      <c r="E199" t="s">
        <v>218</v>
      </c>
      <c r="G199" t="s">
        <v>14</v>
      </c>
      <c r="H199" t="s">
        <v>14</v>
      </c>
      <c r="I199" t="s">
        <v>20</v>
      </c>
      <c r="J199">
        <v>6</v>
      </c>
      <c r="K199" t="s">
        <v>16</v>
      </c>
      <c r="L199">
        <v>370</v>
      </c>
      <c r="M199" s="5">
        <v>2220</v>
      </c>
      <c r="O199" s="5">
        <f t="shared" si="41"/>
        <v>2220</v>
      </c>
      <c r="P199" s="5">
        <f t="shared" si="47"/>
        <v>0</v>
      </c>
      <c r="Q199" s="11">
        <v>0</v>
      </c>
      <c r="R199" s="5">
        <f t="shared" si="40"/>
        <v>0</v>
      </c>
      <c r="S199" s="11">
        <f t="shared" si="48"/>
        <v>0</v>
      </c>
      <c r="T199" s="5">
        <f t="shared" si="42"/>
        <v>2220</v>
      </c>
      <c r="U199" s="11">
        <v>0</v>
      </c>
      <c r="V199" s="5">
        <f t="shared" si="43"/>
        <v>2220</v>
      </c>
      <c r="W199" s="11">
        <f t="shared" si="44"/>
        <v>0</v>
      </c>
      <c r="X199" s="5">
        <f t="shared" si="49"/>
        <v>0</v>
      </c>
      <c r="Y199" s="11">
        <v>0</v>
      </c>
      <c r="Z199" s="5">
        <f t="shared" si="50"/>
        <v>0</v>
      </c>
      <c r="AA199" s="11">
        <f t="shared" si="51"/>
        <v>0</v>
      </c>
      <c r="AB199" s="11">
        <v>0.1</v>
      </c>
    </row>
    <row r="200" spans="1:28">
      <c r="A200">
        <v>2026</v>
      </c>
      <c r="B200" t="s">
        <v>177</v>
      </c>
      <c r="C200" t="s">
        <v>39</v>
      </c>
      <c r="D200" t="s">
        <v>40</v>
      </c>
      <c r="E200" t="s">
        <v>219</v>
      </c>
      <c r="G200" t="s">
        <v>14</v>
      </c>
      <c r="H200" t="s">
        <v>14</v>
      </c>
      <c r="I200" t="s">
        <v>44</v>
      </c>
      <c r="J200">
        <v>2</v>
      </c>
      <c r="K200" t="s">
        <v>16</v>
      </c>
      <c r="L200">
        <v>2643</v>
      </c>
      <c r="M200" s="5">
        <v>5286</v>
      </c>
      <c r="O200" s="5">
        <f t="shared" si="41"/>
        <v>5286</v>
      </c>
      <c r="P200" s="5">
        <f t="shared" si="47"/>
        <v>0</v>
      </c>
      <c r="Q200" s="11">
        <v>0</v>
      </c>
      <c r="R200" s="5">
        <f t="shared" si="40"/>
        <v>0</v>
      </c>
      <c r="S200" s="11">
        <f t="shared" si="48"/>
        <v>0</v>
      </c>
      <c r="T200" s="5">
        <f t="shared" si="42"/>
        <v>5286</v>
      </c>
      <c r="U200" s="11">
        <v>0</v>
      </c>
      <c r="V200" s="5">
        <f t="shared" si="43"/>
        <v>5286</v>
      </c>
      <c r="W200" s="11">
        <f t="shared" si="44"/>
        <v>0</v>
      </c>
      <c r="X200" s="5">
        <f t="shared" si="49"/>
        <v>0</v>
      </c>
      <c r="Y200" s="11">
        <v>0</v>
      </c>
      <c r="Z200" s="5">
        <f t="shared" si="50"/>
        <v>0</v>
      </c>
      <c r="AA200" s="11">
        <f t="shared" si="51"/>
        <v>0</v>
      </c>
      <c r="AB200" s="11">
        <v>0.1</v>
      </c>
    </row>
    <row r="201" spans="1:28">
      <c r="A201">
        <v>2026</v>
      </c>
      <c r="B201" t="s">
        <v>177</v>
      </c>
      <c r="C201" t="s">
        <v>39</v>
      </c>
      <c r="D201" t="s">
        <v>40</v>
      </c>
      <c r="E201" t="s">
        <v>220</v>
      </c>
      <c r="G201" t="s">
        <v>14</v>
      </c>
      <c r="H201" t="s">
        <v>14</v>
      </c>
      <c r="I201" t="s">
        <v>24</v>
      </c>
      <c r="J201">
        <v>3</v>
      </c>
      <c r="K201" t="s">
        <v>16</v>
      </c>
      <c r="L201">
        <v>135.66</v>
      </c>
      <c r="M201" s="5">
        <v>406.98</v>
      </c>
      <c r="O201" s="5">
        <f t="shared" si="41"/>
        <v>406.98</v>
      </c>
      <c r="P201" s="5">
        <f t="shared" si="47"/>
        <v>0</v>
      </c>
      <c r="Q201" s="11">
        <v>0</v>
      </c>
      <c r="R201" s="5">
        <f t="shared" si="40"/>
        <v>0</v>
      </c>
      <c r="S201" s="11">
        <f t="shared" si="48"/>
        <v>0</v>
      </c>
      <c r="T201" s="5">
        <f t="shared" si="42"/>
        <v>406.98</v>
      </c>
      <c r="U201" s="11">
        <v>0</v>
      </c>
      <c r="V201" s="5">
        <f t="shared" si="43"/>
        <v>406.98</v>
      </c>
      <c r="W201" s="11">
        <f t="shared" si="44"/>
        <v>0</v>
      </c>
      <c r="X201" s="5">
        <f t="shared" si="49"/>
        <v>0</v>
      </c>
      <c r="Y201" s="11">
        <v>0</v>
      </c>
      <c r="Z201" s="5">
        <f t="shared" si="50"/>
        <v>0</v>
      </c>
      <c r="AA201" s="11">
        <f t="shared" si="51"/>
        <v>0</v>
      </c>
      <c r="AB201" s="11">
        <v>0.1</v>
      </c>
    </row>
    <row r="202" spans="1:28">
      <c r="A202">
        <v>2026</v>
      </c>
      <c r="B202" t="s">
        <v>177</v>
      </c>
      <c r="C202" t="s">
        <v>39</v>
      </c>
      <c r="D202" t="s">
        <v>40</v>
      </c>
      <c r="E202" t="s">
        <v>221</v>
      </c>
      <c r="G202" t="s">
        <v>14</v>
      </c>
      <c r="H202" t="s">
        <v>14</v>
      </c>
      <c r="I202" t="s">
        <v>25</v>
      </c>
      <c r="J202">
        <v>2</v>
      </c>
      <c r="K202" t="s">
        <v>16</v>
      </c>
      <c r="L202">
        <v>3808</v>
      </c>
      <c r="M202" s="5">
        <v>7616</v>
      </c>
      <c r="O202" s="5">
        <f t="shared" si="41"/>
        <v>7616</v>
      </c>
      <c r="P202" s="5">
        <f t="shared" si="47"/>
        <v>0</v>
      </c>
      <c r="Q202" s="11">
        <v>0</v>
      </c>
      <c r="R202" s="5">
        <f t="shared" si="40"/>
        <v>0</v>
      </c>
      <c r="S202" s="11">
        <f t="shared" si="48"/>
        <v>0</v>
      </c>
      <c r="T202" s="5">
        <f t="shared" si="42"/>
        <v>7616</v>
      </c>
      <c r="U202" s="11">
        <v>0</v>
      </c>
      <c r="V202" s="5">
        <f t="shared" si="43"/>
        <v>7616</v>
      </c>
      <c r="W202" s="11">
        <f t="shared" si="44"/>
        <v>0</v>
      </c>
      <c r="X202" s="5">
        <f t="shared" si="49"/>
        <v>0</v>
      </c>
      <c r="Y202" s="11">
        <v>0</v>
      </c>
      <c r="Z202" s="5">
        <f t="shared" si="50"/>
        <v>0</v>
      </c>
      <c r="AA202" s="11">
        <f t="shared" si="51"/>
        <v>0</v>
      </c>
      <c r="AB202" s="11">
        <v>0.1</v>
      </c>
    </row>
    <row r="203" spans="1:28">
      <c r="A203">
        <v>2026</v>
      </c>
      <c r="B203" t="s">
        <v>177</v>
      </c>
      <c r="C203" t="s">
        <v>39</v>
      </c>
      <c r="D203" t="s">
        <v>40</v>
      </c>
      <c r="E203" t="s">
        <v>222</v>
      </c>
      <c r="G203" t="s">
        <v>14</v>
      </c>
      <c r="H203" t="s">
        <v>14</v>
      </c>
      <c r="I203" t="s">
        <v>26</v>
      </c>
      <c r="J203">
        <v>0.4</v>
      </c>
      <c r="K203" t="s">
        <v>16</v>
      </c>
      <c r="L203">
        <v>111.86</v>
      </c>
      <c r="M203" s="5">
        <v>44.744</v>
      </c>
      <c r="O203" s="5">
        <f t="shared" si="41"/>
        <v>44.744</v>
      </c>
      <c r="P203" s="5">
        <f t="shared" si="47"/>
        <v>0</v>
      </c>
      <c r="Q203" s="11">
        <v>0</v>
      </c>
      <c r="R203" s="5">
        <f t="shared" si="40"/>
        <v>0</v>
      </c>
      <c r="S203" s="11">
        <f t="shared" si="48"/>
        <v>0</v>
      </c>
      <c r="T203" s="5">
        <f t="shared" si="42"/>
        <v>44.744</v>
      </c>
      <c r="U203" s="11">
        <v>0</v>
      </c>
      <c r="V203" s="5">
        <f t="shared" si="43"/>
        <v>44.744</v>
      </c>
      <c r="W203" s="11">
        <f t="shared" si="44"/>
        <v>0</v>
      </c>
      <c r="X203" s="5">
        <f t="shared" si="49"/>
        <v>0</v>
      </c>
      <c r="Y203" s="11">
        <v>0</v>
      </c>
      <c r="Z203" s="5">
        <f t="shared" si="50"/>
        <v>0</v>
      </c>
      <c r="AA203" s="11">
        <f t="shared" si="51"/>
        <v>0</v>
      </c>
      <c r="AB203" s="11">
        <v>0.1</v>
      </c>
    </row>
    <row r="204" spans="1:28">
      <c r="A204">
        <v>2026</v>
      </c>
      <c r="B204" t="s">
        <v>177</v>
      </c>
      <c r="C204" t="s">
        <v>39</v>
      </c>
      <c r="D204" t="s">
        <v>40</v>
      </c>
      <c r="E204" t="s">
        <v>223</v>
      </c>
      <c r="G204" t="s">
        <v>14</v>
      </c>
      <c r="H204" t="s">
        <v>14</v>
      </c>
      <c r="I204" t="s">
        <v>66</v>
      </c>
      <c r="J204">
        <v>4</v>
      </c>
      <c r="K204" t="s">
        <v>16</v>
      </c>
      <c r="L204">
        <v>80300</v>
      </c>
      <c r="M204" s="5">
        <v>1284.8</v>
      </c>
      <c r="O204" s="5">
        <f t="shared" si="41"/>
        <v>1284.8</v>
      </c>
      <c r="P204" s="5">
        <f t="shared" si="47"/>
        <v>0</v>
      </c>
      <c r="Q204" s="11">
        <v>0</v>
      </c>
      <c r="R204" s="5">
        <f t="shared" si="40"/>
        <v>0</v>
      </c>
      <c r="S204" s="11">
        <f t="shared" si="48"/>
        <v>0</v>
      </c>
      <c r="T204" s="5">
        <f t="shared" si="42"/>
        <v>1284.8</v>
      </c>
      <c r="U204" s="11">
        <v>0</v>
      </c>
      <c r="V204" s="5">
        <f t="shared" si="43"/>
        <v>1284.8</v>
      </c>
      <c r="W204" s="11">
        <f t="shared" si="44"/>
        <v>0</v>
      </c>
      <c r="X204" s="5">
        <f t="shared" si="49"/>
        <v>0</v>
      </c>
      <c r="Y204" s="11">
        <v>0</v>
      </c>
      <c r="Z204" s="5">
        <f t="shared" si="50"/>
        <v>0</v>
      </c>
      <c r="AA204" s="11">
        <f t="shared" si="51"/>
        <v>0</v>
      </c>
      <c r="AB204" s="11">
        <v>0.1</v>
      </c>
    </row>
    <row r="205" spans="1:28">
      <c r="A205">
        <v>2026</v>
      </c>
      <c r="B205" t="s">
        <v>177</v>
      </c>
      <c r="C205" t="s">
        <v>39</v>
      </c>
      <c r="D205" t="s">
        <v>40</v>
      </c>
      <c r="E205" t="s">
        <v>224</v>
      </c>
      <c r="G205" t="s">
        <v>14</v>
      </c>
      <c r="H205" t="s">
        <v>14</v>
      </c>
      <c r="I205" t="s">
        <v>28</v>
      </c>
      <c r="J205">
        <v>3</v>
      </c>
      <c r="K205" t="s">
        <v>16</v>
      </c>
      <c r="L205">
        <v>17888.080000000002</v>
      </c>
      <c r="M205" s="5">
        <v>53664.240000000005</v>
      </c>
      <c r="O205" s="5">
        <f t="shared" si="41"/>
        <v>53664.240000000005</v>
      </c>
      <c r="P205" s="5">
        <f t="shared" si="47"/>
        <v>0</v>
      </c>
      <c r="Q205" s="11">
        <v>0</v>
      </c>
      <c r="R205" s="5">
        <f t="shared" si="40"/>
        <v>0</v>
      </c>
      <c r="S205" s="11">
        <f t="shared" si="48"/>
        <v>0</v>
      </c>
      <c r="T205" s="5">
        <f t="shared" si="42"/>
        <v>53664.240000000005</v>
      </c>
      <c r="U205" s="11">
        <v>0</v>
      </c>
      <c r="V205" s="5">
        <f t="shared" si="43"/>
        <v>53664.240000000005</v>
      </c>
      <c r="W205" s="11">
        <f t="shared" si="44"/>
        <v>0</v>
      </c>
      <c r="X205" s="5">
        <f t="shared" si="49"/>
        <v>0</v>
      </c>
      <c r="Y205" s="11">
        <v>0</v>
      </c>
      <c r="Z205" s="5">
        <f t="shared" si="50"/>
        <v>0</v>
      </c>
      <c r="AA205" s="11">
        <f t="shared" si="51"/>
        <v>0</v>
      </c>
      <c r="AB205" s="11">
        <v>0.1</v>
      </c>
    </row>
    <row r="206" spans="1:28">
      <c r="A206">
        <v>2026</v>
      </c>
      <c r="B206" t="s">
        <v>177</v>
      </c>
      <c r="C206" t="s">
        <v>39</v>
      </c>
      <c r="D206" t="s">
        <v>40</v>
      </c>
      <c r="E206" t="s">
        <v>225</v>
      </c>
      <c r="G206" t="s">
        <v>14</v>
      </c>
      <c r="H206" t="s">
        <v>14</v>
      </c>
      <c r="I206" t="s">
        <v>29</v>
      </c>
      <c r="J206">
        <v>1</v>
      </c>
      <c r="K206" t="s">
        <v>16</v>
      </c>
      <c r="L206">
        <v>337.3837894736842</v>
      </c>
      <c r="M206" s="5">
        <v>337.3837894736842</v>
      </c>
      <c r="O206" s="5">
        <f t="shared" si="41"/>
        <v>337.3837894736842</v>
      </c>
      <c r="P206" s="5">
        <f t="shared" si="47"/>
        <v>0</v>
      </c>
      <c r="Q206" s="11">
        <v>0</v>
      </c>
      <c r="R206" s="5">
        <f t="shared" si="40"/>
        <v>0</v>
      </c>
      <c r="S206" s="11">
        <f t="shared" si="48"/>
        <v>0</v>
      </c>
      <c r="T206" s="5">
        <f t="shared" si="42"/>
        <v>337.3837894736842</v>
      </c>
      <c r="U206" s="11">
        <v>0</v>
      </c>
      <c r="V206" s="5">
        <f t="shared" si="43"/>
        <v>337.3837894736842</v>
      </c>
      <c r="W206" s="11">
        <f t="shared" si="44"/>
        <v>0</v>
      </c>
      <c r="X206" s="5">
        <f t="shared" si="49"/>
        <v>0</v>
      </c>
      <c r="Y206" s="11">
        <v>0</v>
      </c>
      <c r="Z206" s="5">
        <f t="shared" si="50"/>
        <v>0</v>
      </c>
      <c r="AA206" s="11">
        <f t="shared" si="51"/>
        <v>0</v>
      </c>
      <c r="AB206" s="11">
        <v>0.1</v>
      </c>
    </row>
    <row r="207" spans="1:28">
      <c r="A207">
        <v>2026</v>
      </c>
      <c r="B207" t="s">
        <v>177</v>
      </c>
      <c r="C207" t="s">
        <v>39</v>
      </c>
      <c r="D207" t="s">
        <v>40</v>
      </c>
      <c r="E207" t="s">
        <v>226</v>
      </c>
      <c r="G207" t="s">
        <v>14</v>
      </c>
      <c r="H207" t="s">
        <v>14</v>
      </c>
      <c r="I207" t="s">
        <v>154</v>
      </c>
      <c r="J207">
        <v>2</v>
      </c>
      <c r="K207" t="s">
        <v>16</v>
      </c>
      <c r="L207">
        <v>67900</v>
      </c>
      <c r="M207" s="5">
        <v>13580</v>
      </c>
      <c r="O207" s="5">
        <f t="shared" si="41"/>
        <v>13580</v>
      </c>
      <c r="P207" s="5">
        <f t="shared" si="47"/>
        <v>0</v>
      </c>
      <c r="Q207" s="11">
        <v>0</v>
      </c>
      <c r="R207" s="5">
        <f t="shared" si="40"/>
        <v>0</v>
      </c>
      <c r="S207" s="11">
        <f t="shared" si="48"/>
        <v>0</v>
      </c>
      <c r="T207" s="5">
        <f t="shared" si="42"/>
        <v>13580</v>
      </c>
      <c r="U207" s="11">
        <v>0</v>
      </c>
      <c r="V207" s="5">
        <f t="shared" si="43"/>
        <v>13580</v>
      </c>
      <c r="W207" s="11">
        <f t="shared" si="44"/>
        <v>0</v>
      </c>
      <c r="X207" s="5">
        <f t="shared" si="49"/>
        <v>0</v>
      </c>
      <c r="Y207" s="11">
        <v>0</v>
      </c>
      <c r="Z207" s="5">
        <f t="shared" si="50"/>
        <v>0</v>
      </c>
      <c r="AA207" s="11">
        <f t="shared" si="51"/>
        <v>0</v>
      </c>
      <c r="AB207" s="11">
        <v>0.1</v>
      </c>
    </row>
    <row r="208" spans="1:28">
      <c r="A208">
        <v>2026</v>
      </c>
      <c r="B208" t="s">
        <v>177</v>
      </c>
      <c r="C208" t="s">
        <v>39</v>
      </c>
      <c r="D208" t="s">
        <v>40</v>
      </c>
      <c r="E208" t="s">
        <v>227</v>
      </c>
      <c r="G208" t="s">
        <v>14</v>
      </c>
      <c r="H208" t="s">
        <v>14</v>
      </c>
      <c r="I208" t="s">
        <v>155</v>
      </c>
      <c r="J208">
        <v>2</v>
      </c>
      <c r="K208" t="s">
        <v>16</v>
      </c>
      <c r="L208">
        <v>50300</v>
      </c>
      <c r="M208" s="5">
        <v>10060</v>
      </c>
      <c r="O208" s="5">
        <f t="shared" si="41"/>
        <v>10060</v>
      </c>
      <c r="P208" s="5">
        <f t="shared" si="47"/>
        <v>0</v>
      </c>
      <c r="Q208" s="11">
        <v>0</v>
      </c>
      <c r="R208" s="5">
        <f t="shared" si="40"/>
        <v>0</v>
      </c>
      <c r="S208" s="11">
        <f t="shared" si="48"/>
        <v>0</v>
      </c>
      <c r="T208" s="5">
        <f t="shared" si="42"/>
        <v>10060</v>
      </c>
      <c r="U208" s="11">
        <v>0</v>
      </c>
      <c r="V208" s="5">
        <f t="shared" si="43"/>
        <v>10060</v>
      </c>
      <c r="W208" s="11">
        <f t="shared" si="44"/>
        <v>0</v>
      </c>
      <c r="X208" s="5">
        <f t="shared" si="49"/>
        <v>0</v>
      </c>
      <c r="Y208" s="11">
        <v>0</v>
      </c>
      <c r="Z208" s="5">
        <f t="shared" si="50"/>
        <v>0</v>
      </c>
      <c r="AA208" s="11">
        <f t="shared" si="51"/>
        <v>0</v>
      </c>
      <c r="AB208" s="11">
        <v>0.1</v>
      </c>
    </row>
    <row r="209" spans="1:28">
      <c r="A209">
        <v>2026</v>
      </c>
      <c r="B209" t="s">
        <v>177</v>
      </c>
      <c r="C209" t="s">
        <v>39</v>
      </c>
      <c r="D209" t="s">
        <v>40</v>
      </c>
      <c r="E209" t="s">
        <v>228</v>
      </c>
      <c r="G209" t="s">
        <v>14</v>
      </c>
      <c r="H209" t="s">
        <v>14</v>
      </c>
      <c r="I209" t="s">
        <v>152</v>
      </c>
      <c r="J209">
        <v>2</v>
      </c>
      <c r="K209" t="s">
        <v>16</v>
      </c>
      <c r="L209">
        <v>43500</v>
      </c>
      <c r="M209" s="5">
        <v>7250</v>
      </c>
      <c r="O209" s="5">
        <f t="shared" si="41"/>
        <v>7250</v>
      </c>
      <c r="P209" s="5">
        <f t="shared" si="47"/>
        <v>0</v>
      </c>
      <c r="Q209" s="11">
        <v>0</v>
      </c>
      <c r="R209" s="5">
        <f t="shared" si="40"/>
        <v>0</v>
      </c>
      <c r="S209" s="11">
        <f t="shared" si="48"/>
        <v>0</v>
      </c>
      <c r="T209" s="5">
        <f t="shared" si="42"/>
        <v>7250</v>
      </c>
      <c r="U209" s="11">
        <v>0</v>
      </c>
      <c r="V209" s="5">
        <f t="shared" si="43"/>
        <v>7250</v>
      </c>
      <c r="W209" s="11">
        <f t="shared" si="44"/>
        <v>0</v>
      </c>
      <c r="X209" s="5">
        <f t="shared" si="49"/>
        <v>0</v>
      </c>
      <c r="Y209" s="11">
        <v>0</v>
      </c>
      <c r="Z209" s="5">
        <f t="shared" si="50"/>
        <v>0</v>
      </c>
      <c r="AA209" s="11">
        <f t="shared" si="51"/>
        <v>0</v>
      </c>
      <c r="AB209" s="11">
        <v>0.1</v>
      </c>
    </row>
    <row r="210" spans="1:28">
      <c r="A210">
        <v>2026</v>
      </c>
      <c r="B210" t="s">
        <v>177</v>
      </c>
      <c r="C210" t="s">
        <v>39</v>
      </c>
      <c r="D210" t="s">
        <v>40</v>
      </c>
      <c r="F210">
        <v>2400</v>
      </c>
      <c r="G210" t="s">
        <v>32</v>
      </c>
      <c r="H210" t="s">
        <v>32</v>
      </c>
      <c r="I210" t="s">
        <v>33</v>
      </c>
      <c r="J210">
        <v>30</v>
      </c>
      <c r="K210" t="s">
        <v>38</v>
      </c>
      <c r="L210" s="16">
        <v>348.24</v>
      </c>
      <c r="M210" s="5">
        <f>+L210*F210</f>
        <v>835776</v>
      </c>
      <c r="O210" s="5">
        <f t="shared" si="41"/>
        <v>835776</v>
      </c>
      <c r="P210" s="5">
        <f t="shared" si="47"/>
        <v>0</v>
      </c>
      <c r="Q210" s="11">
        <v>0</v>
      </c>
      <c r="R210" s="5">
        <f t="shared" si="40"/>
        <v>0</v>
      </c>
      <c r="S210" s="11">
        <f t="shared" si="48"/>
        <v>0</v>
      </c>
      <c r="T210" s="5">
        <f t="shared" si="42"/>
        <v>835776</v>
      </c>
      <c r="U210" s="11">
        <v>0</v>
      </c>
      <c r="V210" s="5">
        <f t="shared" si="43"/>
        <v>835776</v>
      </c>
      <c r="W210" s="11">
        <f t="shared" si="44"/>
        <v>0</v>
      </c>
      <c r="X210" s="5">
        <f t="shared" si="49"/>
        <v>0</v>
      </c>
      <c r="Y210" s="11">
        <v>0</v>
      </c>
      <c r="Z210" s="5">
        <f t="shared" si="50"/>
        <v>0</v>
      </c>
      <c r="AA210" s="11">
        <f t="shared" si="51"/>
        <v>0</v>
      </c>
      <c r="AB210" s="11">
        <v>0.1</v>
      </c>
    </row>
    <row r="211" spans="1:28">
      <c r="A211">
        <v>2026</v>
      </c>
      <c r="B211" t="s">
        <v>177</v>
      </c>
      <c r="C211" t="s">
        <v>39</v>
      </c>
      <c r="D211" t="s">
        <v>40</v>
      </c>
      <c r="F211">
        <v>2400</v>
      </c>
      <c r="G211" t="s">
        <v>32</v>
      </c>
      <c r="H211" t="s">
        <v>32</v>
      </c>
      <c r="I211" t="s">
        <v>35</v>
      </c>
      <c r="J211">
        <v>30</v>
      </c>
      <c r="K211" t="s">
        <v>38</v>
      </c>
      <c r="L211" s="16">
        <v>201.61</v>
      </c>
      <c r="M211" s="5">
        <f t="shared" ref="M211:M212" si="53">+L211*F211</f>
        <v>483864.00000000006</v>
      </c>
      <c r="O211" s="5">
        <f t="shared" si="41"/>
        <v>483864.00000000006</v>
      </c>
      <c r="P211" s="5">
        <f t="shared" si="47"/>
        <v>0</v>
      </c>
      <c r="Q211" s="11">
        <v>0</v>
      </c>
      <c r="R211" s="5">
        <f t="shared" si="40"/>
        <v>0</v>
      </c>
      <c r="S211" s="11">
        <f t="shared" si="48"/>
        <v>0</v>
      </c>
      <c r="T211" s="5">
        <f t="shared" si="42"/>
        <v>483864.00000000006</v>
      </c>
      <c r="U211" s="11">
        <v>0</v>
      </c>
      <c r="V211" s="5">
        <f t="shared" si="43"/>
        <v>483864.00000000006</v>
      </c>
      <c r="W211" s="11">
        <f t="shared" si="44"/>
        <v>0</v>
      </c>
      <c r="X211" s="5">
        <f t="shared" si="49"/>
        <v>0</v>
      </c>
      <c r="Y211" s="11">
        <v>0</v>
      </c>
      <c r="Z211" s="5">
        <f t="shared" si="50"/>
        <v>0</v>
      </c>
      <c r="AA211" s="11">
        <f t="shared" si="51"/>
        <v>0</v>
      </c>
      <c r="AB211" s="11">
        <v>0.1</v>
      </c>
    </row>
    <row r="212" spans="1:28">
      <c r="A212">
        <v>2026</v>
      </c>
      <c r="B212" t="s">
        <v>177</v>
      </c>
      <c r="C212" t="s">
        <v>39</v>
      </c>
      <c r="D212" t="s">
        <v>40</v>
      </c>
      <c r="F212">
        <v>1600</v>
      </c>
      <c r="G212" t="s">
        <v>32</v>
      </c>
      <c r="H212" t="s">
        <v>32</v>
      </c>
      <c r="I212" t="s">
        <v>215</v>
      </c>
      <c r="J212">
        <v>30</v>
      </c>
      <c r="K212" t="s">
        <v>38</v>
      </c>
      <c r="L212" s="16">
        <v>1000</v>
      </c>
      <c r="M212" s="5">
        <f t="shared" si="53"/>
        <v>1600000</v>
      </c>
      <c r="O212" s="5">
        <f t="shared" si="41"/>
        <v>1600000</v>
      </c>
      <c r="P212" s="5">
        <f t="shared" si="47"/>
        <v>0</v>
      </c>
      <c r="Q212" s="11">
        <v>0</v>
      </c>
      <c r="R212" s="5">
        <f t="shared" si="40"/>
        <v>0</v>
      </c>
      <c r="S212" s="11">
        <f t="shared" si="48"/>
        <v>0</v>
      </c>
      <c r="T212" s="5">
        <f t="shared" si="42"/>
        <v>1600000</v>
      </c>
      <c r="U212" s="11">
        <v>0</v>
      </c>
      <c r="V212" s="5">
        <f t="shared" si="43"/>
        <v>1600000</v>
      </c>
      <c r="W212" s="11">
        <f t="shared" si="44"/>
        <v>0</v>
      </c>
      <c r="X212" s="5">
        <f t="shared" si="49"/>
        <v>0</v>
      </c>
      <c r="Y212" s="11">
        <v>0</v>
      </c>
      <c r="Z212" s="5">
        <f t="shared" si="50"/>
        <v>0</v>
      </c>
      <c r="AA212" s="11">
        <f t="shared" si="51"/>
        <v>0</v>
      </c>
      <c r="AB212" s="11">
        <v>0.1</v>
      </c>
    </row>
    <row r="213" spans="1:28">
      <c r="A213">
        <v>2026</v>
      </c>
      <c r="B213" t="s">
        <v>178</v>
      </c>
      <c r="C213" t="s">
        <v>39</v>
      </c>
      <c r="D213" t="s">
        <v>40</v>
      </c>
      <c r="E213" t="s">
        <v>216</v>
      </c>
      <c r="G213" t="s">
        <v>14</v>
      </c>
      <c r="H213" t="s">
        <v>14</v>
      </c>
      <c r="I213" t="s">
        <v>15</v>
      </c>
      <c r="J213">
        <v>4</v>
      </c>
      <c r="K213" t="s">
        <v>16</v>
      </c>
      <c r="L213">
        <v>266</v>
      </c>
      <c r="M213" s="5">
        <v>1064</v>
      </c>
      <c r="O213" s="5">
        <f t="shared" si="41"/>
        <v>1064</v>
      </c>
      <c r="P213" s="5">
        <f t="shared" si="47"/>
        <v>0</v>
      </c>
      <c r="Q213" s="11">
        <v>0</v>
      </c>
      <c r="R213" s="5">
        <f t="shared" ref="R213:R276" si="54">P213+(P213*Q213)</f>
        <v>0</v>
      </c>
      <c r="S213" s="11">
        <f t="shared" si="48"/>
        <v>0</v>
      </c>
      <c r="T213" s="5">
        <f t="shared" si="42"/>
        <v>1064</v>
      </c>
      <c r="U213" s="11">
        <v>0</v>
      </c>
      <c r="V213" s="5">
        <f t="shared" si="43"/>
        <v>1064</v>
      </c>
      <c r="W213" s="11">
        <f t="shared" si="44"/>
        <v>0</v>
      </c>
      <c r="X213" s="5">
        <f t="shared" si="49"/>
        <v>0</v>
      </c>
      <c r="Y213" s="11">
        <v>0</v>
      </c>
      <c r="Z213" s="5">
        <f t="shared" si="50"/>
        <v>0</v>
      </c>
      <c r="AA213" s="11">
        <f t="shared" si="51"/>
        <v>0</v>
      </c>
      <c r="AB213" s="11">
        <v>0.1</v>
      </c>
    </row>
    <row r="214" spans="1:28">
      <c r="A214">
        <v>2026</v>
      </c>
      <c r="B214" t="s">
        <v>178</v>
      </c>
      <c r="C214" t="s">
        <v>39</v>
      </c>
      <c r="D214" t="s">
        <v>40</v>
      </c>
      <c r="E214" t="s">
        <v>217</v>
      </c>
      <c r="G214" t="s">
        <v>14</v>
      </c>
      <c r="H214" t="s">
        <v>14</v>
      </c>
      <c r="I214" t="s">
        <v>18</v>
      </c>
      <c r="J214">
        <v>2</v>
      </c>
      <c r="K214" t="s">
        <v>16</v>
      </c>
      <c r="L214">
        <v>1086.232</v>
      </c>
      <c r="M214" s="5">
        <v>2172.4639999999999</v>
      </c>
      <c r="O214" s="5">
        <f t="shared" ref="O214:O260" si="55">V214</f>
        <v>2172.4639999999999</v>
      </c>
      <c r="P214" s="5">
        <f t="shared" si="47"/>
        <v>0</v>
      </c>
      <c r="Q214" s="11">
        <v>0</v>
      </c>
      <c r="R214" s="5">
        <f t="shared" si="54"/>
        <v>0</v>
      </c>
      <c r="S214" s="11">
        <f t="shared" si="48"/>
        <v>0</v>
      </c>
      <c r="T214" s="5">
        <f t="shared" ref="T214:T260" si="56">IF(C214="Mediana Complejidad",M214,0)</f>
        <v>2172.4639999999999</v>
      </c>
      <c r="U214" s="11">
        <v>0</v>
      </c>
      <c r="V214" s="5">
        <f t="shared" ref="V214:V260" si="57">T214+(T214*U214)</f>
        <v>2172.4639999999999</v>
      </c>
      <c r="W214" s="11">
        <f t="shared" ref="W214:W260" si="58">(V214-T214)/V214</f>
        <v>0</v>
      </c>
      <c r="X214" s="5">
        <f t="shared" si="49"/>
        <v>0</v>
      </c>
      <c r="Y214" s="11">
        <v>0</v>
      </c>
      <c r="Z214" s="5">
        <f t="shared" si="50"/>
        <v>0</v>
      </c>
      <c r="AA214" s="11">
        <f t="shared" si="51"/>
        <v>0</v>
      </c>
      <c r="AB214" s="11">
        <v>0.1</v>
      </c>
    </row>
    <row r="215" spans="1:28">
      <c r="A215">
        <v>2026</v>
      </c>
      <c r="B215" t="s">
        <v>178</v>
      </c>
      <c r="C215" t="s">
        <v>39</v>
      </c>
      <c r="D215" t="s">
        <v>40</v>
      </c>
      <c r="E215" t="s">
        <v>218</v>
      </c>
      <c r="G215" t="s">
        <v>14</v>
      </c>
      <c r="H215" t="s">
        <v>14</v>
      </c>
      <c r="I215" t="s">
        <v>20</v>
      </c>
      <c r="J215">
        <v>6</v>
      </c>
      <c r="K215" t="s">
        <v>16</v>
      </c>
      <c r="L215">
        <v>370</v>
      </c>
      <c r="M215" s="5">
        <v>2220</v>
      </c>
      <c r="O215" s="5">
        <f t="shared" si="55"/>
        <v>2220</v>
      </c>
      <c r="P215" s="5">
        <f t="shared" si="47"/>
        <v>0</v>
      </c>
      <c r="Q215" s="11">
        <v>0</v>
      </c>
      <c r="R215" s="5">
        <f t="shared" si="54"/>
        <v>0</v>
      </c>
      <c r="S215" s="11">
        <f t="shared" si="48"/>
        <v>0</v>
      </c>
      <c r="T215" s="5">
        <f t="shared" si="56"/>
        <v>2220</v>
      </c>
      <c r="U215" s="11">
        <v>0</v>
      </c>
      <c r="V215" s="5">
        <f t="shared" si="57"/>
        <v>2220</v>
      </c>
      <c r="W215" s="11">
        <f t="shared" si="58"/>
        <v>0</v>
      </c>
      <c r="X215" s="5">
        <f t="shared" si="49"/>
        <v>0</v>
      </c>
      <c r="Y215" s="11">
        <v>0</v>
      </c>
      <c r="Z215" s="5">
        <f t="shared" si="50"/>
        <v>0</v>
      </c>
      <c r="AA215" s="11">
        <f t="shared" si="51"/>
        <v>0</v>
      </c>
      <c r="AB215" s="11">
        <v>0.1</v>
      </c>
    </row>
    <row r="216" spans="1:28">
      <c r="A216">
        <v>2026</v>
      </c>
      <c r="B216" t="s">
        <v>178</v>
      </c>
      <c r="C216" t="s">
        <v>39</v>
      </c>
      <c r="D216" t="s">
        <v>40</v>
      </c>
      <c r="E216" t="s">
        <v>219</v>
      </c>
      <c r="G216" t="s">
        <v>14</v>
      </c>
      <c r="H216" t="s">
        <v>14</v>
      </c>
      <c r="I216" t="s">
        <v>44</v>
      </c>
      <c r="J216">
        <v>2</v>
      </c>
      <c r="K216" t="s">
        <v>16</v>
      </c>
      <c r="L216">
        <v>2643</v>
      </c>
      <c r="M216" s="5">
        <v>5286</v>
      </c>
      <c r="O216" s="5">
        <f t="shared" si="55"/>
        <v>5286</v>
      </c>
      <c r="P216" s="5">
        <f t="shared" si="47"/>
        <v>0</v>
      </c>
      <c r="Q216" s="11">
        <v>0</v>
      </c>
      <c r="R216" s="5">
        <f t="shared" si="54"/>
        <v>0</v>
      </c>
      <c r="S216" s="11">
        <f t="shared" si="48"/>
        <v>0</v>
      </c>
      <c r="T216" s="5">
        <f t="shared" si="56"/>
        <v>5286</v>
      </c>
      <c r="U216" s="11">
        <v>0</v>
      </c>
      <c r="V216" s="5">
        <f t="shared" si="57"/>
        <v>5286</v>
      </c>
      <c r="W216" s="11">
        <f t="shared" si="58"/>
        <v>0</v>
      </c>
      <c r="X216" s="5">
        <f t="shared" si="49"/>
        <v>0</v>
      </c>
      <c r="Y216" s="11">
        <v>0</v>
      </c>
      <c r="Z216" s="5">
        <f t="shared" si="50"/>
        <v>0</v>
      </c>
      <c r="AA216" s="11">
        <f t="shared" si="51"/>
        <v>0</v>
      </c>
      <c r="AB216" s="11">
        <v>0.1</v>
      </c>
    </row>
    <row r="217" spans="1:28">
      <c r="A217">
        <v>2026</v>
      </c>
      <c r="B217" t="s">
        <v>178</v>
      </c>
      <c r="C217" t="s">
        <v>39</v>
      </c>
      <c r="D217" t="s">
        <v>40</v>
      </c>
      <c r="E217" t="s">
        <v>220</v>
      </c>
      <c r="G217" t="s">
        <v>14</v>
      </c>
      <c r="H217" t="s">
        <v>14</v>
      </c>
      <c r="I217" t="s">
        <v>24</v>
      </c>
      <c r="J217">
        <v>3</v>
      </c>
      <c r="K217" t="s">
        <v>16</v>
      </c>
      <c r="L217">
        <v>135.66</v>
      </c>
      <c r="M217" s="5">
        <v>406.98</v>
      </c>
      <c r="O217" s="5">
        <f t="shared" si="55"/>
        <v>406.98</v>
      </c>
      <c r="P217" s="5">
        <f t="shared" si="47"/>
        <v>0</v>
      </c>
      <c r="Q217" s="11">
        <v>0</v>
      </c>
      <c r="R217" s="5">
        <f t="shared" si="54"/>
        <v>0</v>
      </c>
      <c r="S217" s="11">
        <f t="shared" si="48"/>
        <v>0</v>
      </c>
      <c r="T217" s="5">
        <f t="shared" si="56"/>
        <v>406.98</v>
      </c>
      <c r="U217" s="11">
        <v>0</v>
      </c>
      <c r="V217" s="5">
        <f t="shared" si="57"/>
        <v>406.98</v>
      </c>
      <c r="W217" s="11">
        <f t="shared" si="58"/>
        <v>0</v>
      </c>
      <c r="X217" s="5">
        <f t="shared" si="49"/>
        <v>0</v>
      </c>
      <c r="Y217" s="11">
        <v>0</v>
      </c>
      <c r="Z217" s="5">
        <f t="shared" si="50"/>
        <v>0</v>
      </c>
      <c r="AA217" s="11">
        <f t="shared" si="51"/>
        <v>0</v>
      </c>
      <c r="AB217" s="11">
        <v>0.1</v>
      </c>
    </row>
    <row r="218" spans="1:28">
      <c r="A218">
        <v>2026</v>
      </c>
      <c r="B218" t="s">
        <v>178</v>
      </c>
      <c r="C218" t="s">
        <v>39</v>
      </c>
      <c r="D218" t="s">
        <v>40</v>
      </c>
      <c r="E218" t="s">
        <v>221</v>
      </c>
      <c r="G218" t="s">
        <v>14</v>
      </c>
      <c r="H218" t="s">
        <v>14</v>
      </c>
      <c r="I218" t="s">
        <v>25</v>
      </c>
      <c r="J218">
        <v>2</v>
      </c>
      <c r="K218" t="s">
        <v>16</v>
      </c>
      <c r="L218">
        <v>3808</v>
      </c>
      <c r="M218" s="5">
        <v>7616</v>
      </c>
      <c r="O218" s="5">
        <f t="shared" si="55"/>
        <v>7616</v>
      </c>
      <c r="P218" s="5">
        <f t="shared" si="47"/>
        <v>0</v>
      </c>
      <c r="Q218" s="11">
        <v>0</v>
      </c>
      <c r="R218" s="5">
        <f t="shared" si="54"/>
        <v>0</v>
      </c>
      <c r="S218" s="11">
        <f t="shared" si="48"/>
        <v>0</v>
      </c>
      <c r="T218" s="5">
        <f t="shared" si="56"/>
        <v>7616</v>
      </c>
      <c r="U218" s="11">
        <v>0</v>
      </c>
      <c r="V218" s="5">
        <f t="shared" si="57"/>
        <v>7616</v>
      </c>
      <c r="W218" s="11">
        <f t="shared" si="58"/>
        <v>0</v>
      </c>
      <c r="X218" s="5">
        <f t="shared" si="49"/>
        <v>0</v>
      </c>
      <c r="Y218" s="11">
        <v>0</v>
      </c>
      <c r="Z218" s="5">
        <f t="shared" si="50"/>
        <v>0</v>
      </c>
      <c r="AA218" s="11">
        <f t="shared" si="51"/>
        <v>0</v>
      </c>
      <c r="AB218" s="11">
        <v>0.1</v>
      </c>
    </row>
    <row r="219" spans="1:28">
      <c r="A219">
        <v>2026</v>
      </c>
      <c r="B219" t="s">
        <v>178</v>
      </c>
      <c r="C219" t="s">
        <v>39</v>
      </c>
      <c r="D219" t="s">
        <v>40</v>
      </c>
      <c r="E219" t="s">
        <v>222</v>
      </c>
      <c r="G219" t="s">
        <v>14</v>
      </c>
      <c r="H219" t="s">
        <v>14</v>
      </c>
      <c r="I219" t="s">
        <v>26</v>
      </c>
      <c r="J219">
        <v>0.4</v>
      </c>
      <c r="K219" t="s">
        <v>16</v>
      </c>
      <c r="L219">
        <v>111.86</v>
      </c>
      <c r="M219" s="5">
        <v>44.744</v>
      </c>
      <c r="O219" s="5">
        <f t="shared" si="55"/>
        <v>44.744</v>
      </c>
      <c r="P219" s="5">
        <f t="shared" si="47"/>
        <v>0</v>
      </c>
      <c r="Q219" s="11">
        <v>0</v>
      </c>
      <c r="R219" s="5">
        <f t="shared" si="54"/>
        <v>0</v>
      </c>
      <c r="S219" s="11">
        <f t="shared" si="48"/>
        <v>0</v>
      </c>
      <c r="T219" s="5">
        <f t="shared" si="56"/>
        <v>44.744</v>
      </c>
      <c r="U219" s="11">
        <v>0</v>
      </c>
      <c r="V219" s="5">
        <f t="shared" si="57"/>
        <v>44.744</v>
      </c>
      <c r="W219" s="11">
        <f t="shared" si="58"/>
        <v>0</v>
      </c>
      <c r="X219" s="5">
        <f t="shared" si="49"/>
        <v>0</v>
      </c>
      <c r="Y219" s="11">
        <v>0</v>
      </c>
      <c r="Z219" s="5">
        <f t="shared" si="50"/>
        <v>0</v>
      </c>
      <c r="AA219" s="11">
        <f t="shared" si="51"/>
        <v>0</v>
      </c>
      <c r="AB219" s="11">
        <v>0.1</v>
      </c>
    </row>
    <row r="220" spans="1:28">
      <c r="A220">
        <v>2026</v>
      </c>
      <c r="B220" t="s">
        <v>178</v>
      </c>
      <c r="C220" t="s">
        <v>39</v>
      </c>
      <c r="D220" t="s">
        <v>40</v>
      </c>
      <c r="E220" t="s">
        <v>223</v>
      </c>
      <c r="G220" t="s">
        <v>14</v>
      </c>
      <c r="H220" t="s">
        <v>14</v>
      </c>
      <c r="I220" t="s">
        <v>66</v>
      </c>
      <c r="J220">
        <v>4</v>
      </c>
      <c r="K220" t="s">
        <v>16</v>
      </c>
      <c r="L220">
        <v>80300</v>
      </c>
      <c r="M220" s="5">
        <v>1284.8</v>
      </c>
      <c r="O220" s="5">
        <f t="shared" si="55"/>
        <v>1284.8</v>
      </c>
      <c r="P220" s="5">
        <f t="shared" si="47"/>
        <v>0</v>
      </c>
      <c r="Q220" s="11">
        <v>0</v>
      </c>
      <c r="R220" s="5">
        <f t="shared" si="54"/>
        <v>0</v>
      </c>
      <c r="S220" s="11">
        <f t="shared" si="48"/>
        <v>0</v>
      </c>
      <c r="T220" s="5">
        <f t="shared" si="56"/>
        <v>1284.8</v>
      </c>
      <c r="U220" s="11">
        <v>0</v>
      </c>
      <c r="V220" s="5">
        <f t="shared" si="57"/>
        <v>1284.8</v>
      </c>
      <c r="W220" s="11">
        <f t="shared" si="58"/>
        <v>0</v>
      </c>
      <c r="X220" s="5">
        <f t="shared" si="49"/>
        <v>0</v>
      </c>
      <c r="Y220" s="11">
        <v>0</v>
      </c>
      <c r="Z220" s="5">
        <f t="shared" si="50"/>
        <v>0</v>
      </c>
      <c r="AA220" s="11">
        <f t="shared" si="51"/>
        <v>0</v>
      </c>
      <c r="AB220" s="11">
        <v>0.1</v>
      </c>
    </row>
    <row r="221" spans="1:28">
      <c r="A221">
        <v>2026</v>
      </c>
      <c r="B221" t="s">
        <v>178</v>
      </c>
      <c r="C221" t="s">
        <v>39</v>
      </c>
      <c r="D221" t="s">
        <v>40</v>
      </c>
      <c r="E221" t="s">
        <v>224</v>
      </c>
      <c r="G221" t="s">
        <v>14</v>
      </c>
      <c r="H221" t="s">
        <v>14</v>
      </c>
      <c r="I221" t="s">
        <v>28</v>
      </c>
      <c r="J221">
        <v>3</v>
      </c>
      <c r="K221" t="s">
        <v>16</v>
      </c>
      <c r="L221">
        <v>17888.080000000002</v>
      </c>
      <c r="M221" s="5">
        <v>53664.240000000005</v>
      </c>
      <c r="O221" s="5">
        <f t="shared" si="55"/>
        <v>53664.240000000005</v>
      </c>
      <c r="P221" s="5">
        <f t="shared" si="47"/>
        <v>0</v>
      </c>
      <c r="Q221" s="11">
        <v>0</v>
      </c>
      <c r="R221" s="5">
        <f t="shared" si="54"/>
        <v>0</v>
      </c>
      <c r="S221" s="11">
        <f t="shared" si="48"/>
        <v>0</v>
      </c>
      <c r="T221" s="5">
        <f t="shared" si="56"/>
        <v>53664.240000000005</v>
      </c>
      <c r="U221" s="11">
        <v>0</v>
      </c>
      <c r="V221" s="5">
        <f t="shared" si="57"/>
        <v>53664.240000000005</v>
      </c>
      <c r="W221" s="11">
        <f t="shared" si="58"/>
        <v>0</v>
      </c>
      <c r="X221" s="5">
        <f t="shared" si="49"/>
        <v>0</v>
      </c>
      <c r="Y221" s="11">
        <v>0</v>
      </c>
      <c r="Z221" s="5">
        <f t="shared" si="50"/>
        <v>0</v>
      </c>
      <c r="AA221" s="11">
        <f t="shared" si="51"/>
        <v>0</v>
      </c>
      <c r="AB221" s="11">
        <v>0.1</v>
      </c>
    </row>
    <row r="222" spans="1:28">
      <c r="A222">
        <v>2026</v>
      </c>
      <c r="B222" t="s">
        <v>178</v>
      </c>
      <c r="C222" t="s">
        <v>39</v>
      </c>
      <c r="D222" t="s">
        <v>40</v>
      </c>
      <c r="E222" t="s">
        <v>225</v>
      </c>
      <c r="G222" t="s">
        <v>14</v>
      </c>
      <c r="H222" t="s">
        <v>14</v>
      </c>
      <c r="I222" t="s">
        <v>29</v>
      </c>
      <c r="J222">
        <v>1</v>
      </c>
      <c r="K222" t="s">
        <v>16</v>
      </c>
      <c r="L222">
        <v>337.3837894736842</v>
      </c>
      <c r="M222" s="5">
        <v>337.3837894736842</v>
      </c>
      <c r="O222" s="5">
        <f t="shared" si="55"/>
        <v>337.3837894736842</v>
      </c>
      <c r="P222" s="5">
        <f t="shared" si="47"/>
        <v>0</v>
      </c>
      <c r="Q222" s="11">
        <v>0</v>
      </c>
      <c r="R222" s="5">
        <f t="shared" si="54"/>
        <v>0</v>
      </c>
      <c r="S222" s="11">
        <f t="shared" si="48"/>
        <v>0</v>
      </c>
      <c r="T222" s="5">
        <f t="shared" si="56"/>
        <v>337.3837894736842</v>
      </c>
      <c r="U222" s="11">
        <v>0</v>
      </c>
      <c r="V222" s="5">
        <f t="shared" si="57"/>
        <v>337.3837894736842</v>
      </c>
      <c r="W222" s="11">
        <f t="shared" si="58"/>
        <v>0</v>
      </c>
      <c r="X222" s="5">
        <f t="shared" si="49"/>
        <v>0</v>
      </c>
      <c r="Y222" s="11">
        <v>0</v>
      </c>
      <c r="Z222" s="5">
        <f t="shared" si="50"/>
        <v>0</v>
      </c>
      <c r="AA222" s="11">
        <f t="shared" si="51"/>
        <v>0</v>
      </c>
      <c r="AB222" s="11">
        <v>0.1</v>
      </c>
    </row>
    <row r="223" spans="1:28">
      <c r="A223">
        <v>2026</v>
      </c>
      <c r="B223" t="s">
        <v>178</v>
      </c>
      <c r="C223" t="s">
        <v>39</v>
      </c>
      <c r="D223" t="s">
        <v>40</v>
      </c>
      <c r="E223" t="s">
        <v>226</v>
      </c>
      <c r="G223" t="s">
        <v>14</v>
      </c>
      <c r="H223" t="s">
        <v>14</v>
      </c>
      <c r="I223" t="s">
        <v>154</v>
      </c>
      <c r="J223">
        <v>2</v>
      </c>
      <c r="K223" t="s">
        <v>16</v>
      </c>
      <c r="L223">
        <v>67900</v>
      </c>
      <c r="M223" s="5">
        <v>13580</v>
      </c>
      <c r="O223" s="5">
        <f t="shared" si="55"/>
        <v>13580</v>
      </c>
      <c r="P223" s="5">
        <f t="shared" si="47"/>
        <v>0</v>
      </c>
      <c r="Q223" s="11">
        <v>0</v>
      </c>
      <c r="R223" s="5">
        <f t="shared" si="54"/>
        <v>0</v>
      </c>
      <c r="S223" s="11">
        <f t="shared" si="48"/>
        <v>0</v>
      </c>
      <c r="T223" s="5">
        <f t="shared" si="56"/>
        <v>13580</v>
      </c>
      <c r="U223" s="11">
        <v>0</v>
      </c>
      <c r="V223" s="5">
        <f t="shared" si="57"/>
        <v>13580</v>
      </c>
      <c r="W223" s="11">
        <f t="shared" si="58"/>
        <v>0</v>
      </c>
      <c r="X223" s="5">
        <f t="shared" si="49"/>
        <v>0</v>
      </c>
      <c r="Y223" s="11">
        <v>0</v>
      </c>
      <c r="Z223" s="5">
        <f t="shared" si="50"/>
        <v>0</v>
      </c>
      <c r="AA223" s="11">
        <f t="shared" si="51"/>
        <v>0</v>
      </c>
      <c r="AB223" s="11">
        <v>0.1</v>
      </c>
    </row>
    <row r="224" spans="1:28">
      <c r="A224">
        <v>2026</v>
      </c>
      <c r="B224" t="s">
        <v>178</v>
      </c>
      <c r="C224" t="s">
        <v>39</v>
      </c>
      <c r="D224" t="s">
        <v>40</v>
      </c>
      <c r="E224" t="s">
        <v>227</v>
      </c>
      <c r="G224" t="s">
        <v>14</v>
      </c>
      <c r="H224" t="s">
        <v>14</v>
      </c>
      <c r="I224" t="s">
        <v>155</v>
      </c>
      <c r="J224">
        <v>2</v>
      </c>
      <c r="K224" t="s">
        <v>16</v>
      </c>
      <c r="L224">
        <v>50300</v>
      </c>
      <c r="M224" s="5">
        <v>10060</v>
      </c>
      <c r="O224" s="5">
        <f t="shared" si="55"/>
        <v>10060</v>
      </c>
      <c r="P224" s="5">
        <f t="shared" si="47"/>
        <v>0</v>
      </c>
      <c r="Q224" s="11">
        <v>0</v>
      </c>
      <c r="R224" s="5">
        <f t="shared" si="54"/>
        <v>0</v>
      </c>
      <c r="S224" s="11">
        <f t="shared" si="48"/>
        <v>0</v>
      </c>
      <c r="T224" s="5">
        <f t="shared" si="56"/>
        <v>10060</v>
      </c>
      <c r="U224" s="11">
        <v>0</v>
      </c>
      <c r="V224" s="5">
        <f t="shared" si="57"/>
        <v>10060</v>
      </c>
      <c r="W224" s="11">
        <f t="shared" si="58"/>
        <v>0</v>
      </c>
      <c r="X224" s="5">
        <f t="shared" si="49"/>
        <v>0</v>
      </c>
      <c r="Y224" s="11">
        <v>0</v>
      </c>
      <c r="Z224" s="5">
        <f t="shared" si="50"/>
        <v>0</v>
      </c>
      <c r="AA224" s="11">
        <f t="shared" si="51"/>
        <v>0</v>
      </c>
      <c r="AB224" s="11">
        <v>0.1</v>
      </c>
    </row>
    <row r="225" spans="1:28">
      <c r="A225">
        <v>2026</v>
      </c>
      <c r="B225" t="s">
        <v>178</v>
      </c>
      <c r="C225" t="s">
        <v>39</v>
      </c>
      <c r="D225" t="s">
        <v>40</v>
      </c>
      <c r="E225" t="s">
        <v>228</v>
      </c>
      <c r="G225" t="s">
        <v>14</v>
      </c>
      <c r="H225" t="s">
        <v>14</v>
      </c>
      <c r="I225" t="s">
        <v>152</v>
      </c>
      <c r="J225">
        <v>2</v>
      </c>
      <c r="K225" t="s">
        <v>16</v>
      </c>
      <c r="L225">
        <v>43500</v>
      </c>
      <c r="M225" s="5">
        <v>7250</v>
      </c>
      <c r="O225" s="5">
        <f t="shared" si="55"/>
        <v>7250</v>
      </c>
      <c r="P225" s="5">
        <f t="shared" si="47"/>
        <v>0</v>
      </c>
      <c r="Q225" s="11">
        <v>0</v>
      </c>
      <c r="R225" s="5">
        <f t="shared" si="54"/>
        <v>0</v>
      </c>
      <c r="S225" s="11">
        <f t="shared" si="48"/>
        <v>0</v>
      </c>
      <c r="T225" s="5">
        <f t="shared" si="56"/>
        <v>7250</v>
      </c>
      <c r="U225" s="11">
        <v>0</v>
      </c>
      <c r="V225" s="5">
        <f t="shared" si="57"/>
        <v>7250</v>
      </c>
      <c r="W225" s="11">
        <f t="shared" si="58"/>
        <v>0</v>
      </c>
      <c r="X225" s="5">
        <f t="shared" si="49"/>
        <v>0</v>
      </c>
      <c r="Y225" s="11">
        <v>0</v>
      </c>
      <c r="Z225" s="5">
        <f t="shared" si="50"/>
        <v>0</v>
      </c>
      <c r="AA225" s="11">
        <f t="shared" si="51"/>
        <v>0</v>
      </c>
      <c r="AB225" s="11">
        <v>0.1</v>
      </c>
    </row>
    <row r="226" spans="1:28">
      <c r="A226">
        <v>2026</v>
      </c>
      <c r="B226" t="s">
        <v>178</v>
      </c>
      <c r="C226" t="s">
        <v>39</v>
      </c>
      <c r="D226" t="s">
        <v>40</v>
      </c>
      <c r="F226">
        <v>2400</v>
      </c>
      <c r="G226" t="s">
        <v>32</v>
      </c>
      <c r="H226" t="s">
        <v>32</v>
      </c>
      <c r="I226" t="s">
        <v>33</v>
      </c>
      <c r="J226">
        <v>30</v>
      </c>
      <c r="K226" t="s">
        <v>38</v>
      </c>
      <c r="L226" s="16">
        <v>348.24</v>
      </c>
      <c r="M226" s="5">
        <f>+L226*F226</f>
        <v>835776</v>
      </c>
      <c r="O226" s="5">
        <f t="shared" si="55"/>
        <v>835776</v>
      </c>
      <c r="P226" s="5">
        <f t="shared" si="47"/>
        <v>0</v>
      </c>
      <c r="Q226" s="11">
        <v>0</v>
      </c>
      <c r="R226" s="5">
        <f t="shared" si="54"/>
        <v>0</v>
      </c>
      <c r="S226" s="11">
        <f t="shared" si="48"/>
        <v>0</v>
      </c>
      <c r="T226" s="5">
        <f t="shared" si="56"/>
        <v>835776</v>
      </c>
      <c r="U226" s="11">
        <v>0</v>
      </c>
      <c r="V226" s="5">
        <f t="shared" si="57"/>
        <v>835776</v>
      </c>
      <c r="W226" s="11">
        <f t="shared" si="58"/>
        <v>0</v>
      </c>
      <c r="X226" s="5">
        <f t="shared" si="49"/>
        <v>0</v>
      </c>
      <c r="Y226" s="11">
        <v>0</v>
      </c>
      <c r="Z226" s="5">
        <f t="shared" si="50"/>
        <v>0</v>
      </c>
      <c r="AA226" s="11">
        <f t="shared" si="51"/>
        <v>0</v>
      </c>
      <c r="AB226" s="11">
        <v>0.1</v>
      </c>
    </row>
    <row r="227" spans="1:28">
      <c r="A227">
        <v>2026</v>
      </c>
      <c r="B227" t="s">
        <v>178</v>
      </c>
      <c r="C227" t="s">
        <v>39</v>
      </c>
      <c r="D227" t="s">
        <v>40</v>
      </c>
      <c r="F227">
        <v>2400</v>
      </c>
      <c r="G227" t="s">
        <v>32</v>
      </c>
      <c r="H227" t="s">
        <v>32</v>
      </c>
      <c r="I227" t="s">
        <v>35</v>
      </c>
      <c r="J227">
        <v>30</v>
      </c>
      <c r="K227" t="s">
        <v>38</v>
      </c>
      <c r="L227" s="16">
        <v>201.61</v>
      </c>
      <c r="M227" s="5">
        <f t="shared" ref="M227:M228" si="59">+L227*F227</f>
        <v>483864.00000000006</v>
      </c>
      <c r="O227" s="5">
        <f t="shared" si="55"/>
        <v>483864.00000000006</v>
      </c>
      <c r="P227" s="5">
        <f t="shared" si="47"/>
        <v>0</v>
      </c>
      <c r="Q227" s="11">
        <v>0</v>
      </c>
      <c r="R227" s="5">
        <f t="shared" si="54"/>
        <v>0</v>
      </c>
      <c r="S227" s="11">
        <f t="shared" si="48"/>
        <v>0</v>
      </c>
      <c r="T227" s="5">
        <f t="shared" si="56"/>
        <v>483864.00000000006</v>
      </c>
      <c r="U227" s="11">
        <v>0</v>
      </c>
      <c r="V227" s="5">
        <f t="shared" si="57"/>
        <v>483864.00000000006</v>
      </c>
      <c r="W227" s="11">
        <f t="shared" si="58"/>
        <v>0</v>
      </c>
      <c r="X227" s="5">
        <f t="shared" si="49"/>
        <v>0</v>
      </c>
      <c r="Y227" s="11">
        <v>0</v>
      </c>
      <c r="Z227" s="5">
        <f t="shared" si="50"/>
        <v>0</v>
      </c>
      <c r="AA227" s="11">
        <f t="shared" si="51"/>
        <v>0</v>
      </c>
      <c r="AB227" s="11">
        <v>0.1</v>
      </c>
    </row>
    <row r="228" spans="1:28">
      <c r="A228">
        <v>2026</v>
      </c>
      <c r="B228" t="s">
        <v>178</v>
      </c>
      <c r="C228" t="s">
        <v>39</v>
      </c>
      <c r="D228" t="s">
        <v>40</v>
      </c>
      <c r="F228">
        <v>1600</v>
      </c>
      <c r="G228" t="s">
        <v>32</v>
      </c>
      <c r="H228" t="s">
        <v>32</v>
      </c>
      <c r="I228" t="s">
        <v>215</v>
      </c>
      <c r="J228">
        <v>30</v>
      </c>
      <c r="K228" t="s">
        <v>38</v>
      </c>
      <c r="L228" s="16">
        <v>1000</v>
      </c>
      <c r="M228" s="5">
        <f t="shared" si="59"/>
        <v>1600000</v>
      </c>
      <c r="O228" s="5">
        <f t="shared" si="55"/>
        <v>1600000</v>
      </c>
      <c r="P228" s="5">
        <f t="shared" si="47"/>
        <v>0</v>
      </c>
      <c r="Q228" s="11">
        <v>0</v>
      </c>
      <c r="R228" s="5">
        <f t="shared" si="54"/>
        <v>0</v>
      </c>
      <c r="S228" s="11">
        <f t="shared" si="48"/>
        <v>0</v>
      </c>
      <c r="T228" s="5">
        <f t="shared" si="56"/>
        <v>1600000</v>
      </c>
      <c r="U228" s="11">
        <v>0</v>
      </c>
      <c r="V228" s="5">
        <f t="shared" si="57"/>
        <v>1600000</v>
      </c>
      <c r="W228" s="11">
        <f t="shared" si="58"/>
        <v>0</v>
      </c>
      <c r="X228" s="5">
        <f t="shared" si="49"/>
        <v>0</v>
      </c>
      <c r="Y228" s="11">
        <v>0</v>
      </c>
      <c r="Z228" s="5">
        <f t="shared" si="50"/>
        <v>0</v>
      </c>
      <c r="AA228" s="11">
        <f t="shared" si="51"/>
        <v>0</v>
      </c>
      <c r="AB228" s="11">
        <v>0.1</v>
      </c>
    </row>
    <row r="229" spans="1:28">
      <c r="A229">
        <v>2026</v>
      </c>
      <c r="B229" t="s">
        <v>179</v>
      </c>
      <c r="C229" t="s">
        <v>39</v>
      </c>
      <c r="D229" t="s">
        <v>40</v>
      </c>
      <c r="E229" t="s">
        <v>216</v>
      </c>
      <c r="G229" t="s">
        <v>14</v>
      </c>
      <c r="H229" t="s">
        <v>14</v>
      </c>
      <c r="I229" t="s">
        <v>15</v>
      </c>
      <c r="J229">
        <v>4</v>
      </c>
      <c r="K229" t="s">
        <v>16</v>
      </c>
      <c r="L229">
        <v>266</v>
      </c>
      <c r="M229" s="5">
        <v>1064</v>
      </c>
      <c r="O229" s="5">
        <f t="shared" si="55"/>
        <v>1064</v>
      </c>
      <c r="P229" s="5">
        <f t="shared" si="47"/>
        <v>0</v>
      </c>
      <c r="Q229" s="11">
        <v>0</v>
      </c>
      <c r="R229" s="5">
        <f t="shared" si="54"/>
        <v>0</v>
      </c>
      <c r="S229" s="11">
        <f t="shared" si="48"/>
        <v>0</v>
      </c>
      <c r="T229" s="5">
        <f t="shared" si="56"/>
        <v>1064</v>
      </c>
      <c r="U229" s="11">
        <v>0</v>
      </c>
      <c r="V229" s="5">
        <f t="shared" si="57"/>
        <v>1064</v>
      </c>
      <c r="W229" s="11">
        <f t="shared" si="58"/>
        <v>0</v>
      </c>
      <c r="X229" s="5">
        <f t="shared" si="49"/>
        <v>0</v>
      </c>
      <c r="Y229" s="11">
        <v>0</v>
      </c>
      <c r="Z229" s="5">
        <f t="shared" si="50"/>
        <v>0</v>
      </c>
      <c r="AA229" s="11">
        <f t="shared" si="51"/>
        <v>0</v>
      </c>
      <c r="AB229" s="11">
        <v>0.1</v>
      </c>
    </row>
    <row r="230" spans="1:28">
      <c r="A230">
        <v>2026</v>
      </c>
      <c r="B230" t="s">
        <v>179</v>
      </c>
      <c r="C230" t="s">
        <v>39</v>
      </c>
      <c r="D230" t="s">
        <v>40</v>
      </c>
      <c r="E230" t="s">
        <v>217</v>
      </c>
      <c r="G230" t="s">
        <v>14</v>
      </c>
      <c r="H230" t="s">
        <v>14</v>
      </c>
      <c r="I230" t="s">
        <v>18</v>
      </c>
      <c r="J230">
        <v>2</v>
      </c>
      <c r="K230" t="s">
        <v>16</v>
      </c>
      <c r="L230">
        <v>1086.232</v>
      </c>
      <c r="M230" s="5">
        <v>2172.4639999999999</v>
      </c>
      <c r="O230" s="5">
        <f t="shared" si="55"/>
        <v>2172.4639999999999</v>
      </c>
      <c r="P230" s="5">
        <f t="shared" si="47"/>
        <v>0</v>
      </c>
      <c r="Q230" s="11">
        <v>0</v>
      </c>
      <c r="R230" s="5">
        <f t="shared" si="54"/>
        <v>0</v>
      </c>
      <c r="S230" s="11">
        <f t="shared" si="48"/>
        <v>0</v>
      </c>
      <c r="T230" s="5">
        <f t="shared" si="56"/>
        <v>2172.4639999999999</v>
      </c>
      <c r="U230" s="11">
        <v>0</v>
      </c>
      <c r="V230" s="5">
        <f t="shared" si="57"/>
        <v>2172.4639999999999</v>
      </c>
      <c r="W230" s="11">
        <f t="shared" si="58"/>
        <v>0</v>
      </c>
      <c r="X230" s="5">
        <f t="shared" si="49"/>
        <v>0</v>
      </c>
      <c r="Y230" s="11">
        <v>0</v>
      </c>
      <c r="Z230" s="5">
        <f t="shared" si="50"/>
        <v>0</v>
      </c>
      <c r="AA230" s="11">
        <f t="shared" si="51"/>
        <v>0</v>
      </c>
      <c r="AB230" s="11">
        <v>0.1</v>
      </c>
    </row>
    <row r="231" spans="1:28">
      <c r="A231">
        <v>2026</v>
      </c>
      <c r="B231" t="s">
        <v>179</v>
      </c>
      <c r="C231" t="s">
        <v>39</v>
      </c>
      <c r="D231" t="s">
        <v>40</v>
      </c>
      <c r="E231" t="s">
        <v>218</v>
      </c>
      <c r="G231" t="s">
        <v>14</v>
      </c>
      <c r="H231" t="s">
        <v>14</v>
      </c>
      <c r="I231" t="s">
        <v>20</v>
      </c>
      <c r="J231">
        <v>6</v>
      </c>
      <c r="K231" t="s">
        <v>16</v>
      </c>
      <c r="L231">
        <v>370</v>
      </c>
      <c r="M231" s="5">
        <v>2220</v>
      </c>
      <c r="O231" s="5">
        <f t="shared" si="55"/>
        <v>2220</v>
      </c>
      <c r="P231" s="5">
        <f t="shared" si="47"/>
        <v>0</v>
      </c>
      <c r="Q231" s="11">
        <v>0</v>
      </c>
      <c r="R231" s="5">
        <f t="shared" si="54"/>
        <v>0</v>
      </c>
      <c r="S231" s="11">
        <f t="shared" si="48"/>
        <v>0</v>
      </c>
      <c r="T231" s="5">
        <f t="shared" si="56"/>
        <v>2220</v>
      </c>
      <c r="U231" s="11">
        <v>0</v>
      </c>
      <c r="V231" s="5">
        <f t="shared" si="57"/>
        <v>2220</v>
      </c>
      <c r="W231" s="11">
        <f t="shared" si="58"/>
        <v>0</v>
      </c>
      <c r="X231" s="5">
        <f t="shared" si="49"/>
        <v>0</v>
      </c>
      <c r="Y231" s="11">
        <v>0</v>
      </c>
      <c r="Z231" s="5">
        <f t="shared" si="50"/>
        <v>0</v>
      </c>
      <c r="AA231" s="11">
        <f t="shared" si="51"/>
        <v>0</v>
      </c>
      <c r="AB231" s="11">
        <v>0.1</v>
      </c>
    </row>
    <row r="232" spans="1:28">
      <c r="A232">
        <v>2026</v>
      </c>
      <c r="B232" t="s">
        <v>179</v>
      </c>
      <c r="C232" t="s">
        <v>39</v>
      </c>
      <c r="D232" t="s">
        <v>40</v>
      </c>
      <c r="E232" t="s">
        <v>219</v>
      </c>
      <c r="G232" t="s">
        <v>14</v>
      </c>
      <c r="H232" t="s">
        <v>14</v>
      </c>
      <c r="I232" t="s">
        <v>44</v>
      </c>
      <c r="J232">
        <v>2</v>
      </c>
      <c r="K232" t="s">
        <v>16</v>
      </c>
      <c r="L232">
        <v>2643</v>
      </c>
      <c r="M232" s="5">
        <v>5286</v>
      </c>
      <c r="O232" s="5">
        <f t="shared" si="55"/>
        <v>5286</v>
      </c>
      <c r="P232" s="5">
        <f t="shared" si="47"/>
        <v>0</v>
      </c>
      <c r="Q232" s="11">
        <v>0</v>
      </c>
      <c r="R232" s="5">
        <f t="shared" si="54"/>
        <v>0</v>
      </c>
      <c r="S232" s="11">
        <f t="shared" si="48"/>
        <v>0</v>
      </c>
      <c r="T232" s="5">
        <f t="shared" si="56"/>
        <v>5286</v>
      </c>
      <c r="U232" s="11">
        <v>0</v>
      </c>
      <c r="V232" s="5">
        <f t="shared" si="57"/>
        <v>5286</v>
      </c>
      <c r="W232" s="11">
        <f t="shared" si="58"/>
        <v>0</v>
      </c>
      <c r="X232" s="5">
        <f t="shared" si="49"/>
        <v>0</v>
      </c>
      <c r="Y232" s="11">
        <v>0</v>
      </c>
      <c r="Z232" s="5">
        <f t="shared" si="50"/>
        <v>0</v>
      </c>
      <c r="AA232" s="11">
        <f t="shared" si="51"/>
        <v>0</v>
      </c>
      <c r="AB232" s="11">
        <v>0.1</v>
      </c>
    </row>
    <row r="233" spans="1:28">
      <c r="A233">
        <v>2026</v>
      </c>
      <c r="B233" t="s">
        <v>179</v>
      </c>
      <c r="C233" t="s">
        <v>39</v>
      </c>
      <c r="D233" t="s">
        <v>40</v>
      </c>
      <c r="E233" t="s">
        <v>220</v>
      </c>
      <c r="G233" t="s">
        <v>14</v>
      </c>
      <c r="H233" t="s">
        <v>14</v>
      </c>
      <c r="I233" t="s">
        <v>24</v>
      </c>
      <c r="J233">
        <v>3</v>
      </c>
      <c r="K233" t="s">
        <v>16</v>
      </c>
      <c r="L233">
        <v>135.66</v>
      </c>
      <c r="M233" s="5">
        <v>406.98</v>
      </c>
      <c r="O233" s="5">
        <f t="shared" si="55"/>
        <v>406.98</v>
      </c>
      <c r="P233" s="5">
        <f t="shared" si="47"/>
        <v>0</v>
      </c>
      <c r="Q233" s="11">
        <v>0</v>
      </c>
      <c r="R233" s="5">
        <f t="shared" si="54"/>
        <v>0</v>
      </c>
      <c r="S233" s="11">
        <f t="shared" si="48"/>
        <v>0</v>
      </c>
      <c r="T233" s="5">
        <f t="shared" si="56"/>
        <v>406.98</v>
      </c>
      <c r="U233" s="11">
        <v>0</v>
      </c>
      <c r="V233" s="5">
        <f t="shared" si="57"/>
        <v>406.98</v>
      </c>
      <c r="W233" s="11">
        <f t="shared" si="58"/>
        <v>0</v>
      </c>
      <c r="X233" s="5">
        <f t="shared" si="49"/>
        <v>0</v>
      </c>
      <c r="Y233" s="11">
        <v>0</v>
      </c>
      <c r="Z233" s="5">
        <f t="shared" si="50"/>
        <v>0</v>
      </c>
      <c r="AA233" s="11">
        <f t="shared" si="51"/>
        <v>0</v>
      </c>
      <c r="AB233" s="11">
        <v>0.1</v>
      </c>
    </row>
    <row r="234" spans="1:28">
      <c r="A234">
        <v>2026</v>
      </c>
      <c r="B234" t="s">
        <v>179</v>
      </c>
      <c r="C234" t="s">
        <v>39</v>
      </c>
      <c r="D234" t="s">
        <v>40</v>
      </c>
      <c r="E234" t="s">
        <v>221</v>
      </c>
      <c r="G234" t="s">
        <v>14</v>
      </c>
      <c r="H234" t="s">
        <v>14</v>
      </c>
      <c r="I234" t="s">
        <v>25</v>
      </c>
      <c r="J234">
        <v>2</v>
      </c>
      <c r="K234" t="s">
        <v>16</v>
      </c>
      <c r="L234">
        <v>3808</v>
      </c>
      <c r="M234" s="5">
        <v>7616</v>
      </c>
      <c r="O234" s="5">
        <f t="shared" si="55"/>
        <v>7616</v>
      </c>
      <c r="P234" s="5">
        <f t="shared" si="47"/>
        <v>0</v>
      </c>
      <c r="Q234" s="11">
        <v>0</v>
      </c>
      <c r="R234" s="5">
        <f t="shared" si="54"/>
        <v>0</v>
      </c>
      <c r="S234" s="11">
        <f t="shared" si="48"/>
        <v>0</v>
      </c>
      <c r="T234" s="5">
        <f t="shared" si="56"/>
        <v>7616</v>
      </c>
      <c r="U234" s="11">
        <v>0</v>
      </c>
      <c r="V234" s="5">
        <f t="shared" si="57"/>
        <v>7616</v>
      </c>
      <c r="W234" s="11">
        <f t="shared" si="58"/>
        <v>0</v>
      </c>
      <c r="X234" s="5">
        <f t="shared" si="49"/>
        <v>0</v>
      </c>
      <c r="Y234" s="11">
        <v>0</v>
      </c>
      <c r="Z234" s="5">
        <f t="shared" si="50"/>
        <v>0</v>
      </c>
      <c r="AA234" s="11">
        <f t="shared" si="51"/>
        <v>0</v>
      </c>
      <c r="AB234" s="11">
        <v>0.1</v>
      </c>
    </row>
    <row r="235" spans="1:28">
      <c r="A235">
        <v>2026</v>
      </c>
      <c r="B235" t="s">
        <v>179</v>
      </c>
      <c r="C235" t="s">
        <v>39</v>
      </c>
      <c r="D235" t="s">
        <v>40</v>
      </c>
      <c r="E235" t="s">
        <v>222</v>
      </c>
      <c r="G235" t="s">
        <v>14</v>
      </c>
      <c r="H235" t="s">
        <v>14</v>
      </c>
      <c r="I235" t="s">
        <v>26</v>
      </c>
      <c r="J235">
        <v>0.4</v>
      </c>
      <c r="K235" t="s">
        <v>16</v>
      </c>
      <c r="L235">
        <v>111.86</v>
      </c>
      <c r="M235" s="5">
        <v>44.744</v>
      </c>
      <c r="O235" s="5">
        <f t="shared" si="55"/>
        <v>44.744</v>
      </c>
      <c r="P235" s="5">
        <f t="shared" si="47"/>
        <v>0</v>
      </c>
      <c r="Q235" s="11">
        <v>0</v>
      </c>
      <c r="R235" s="5">
        <f t="shared" si="54"/>
        <v>0</v>
      </c>
      <c r="S235" s="11">
        <f t="shared" si="48"/>
        <v>0</v>
      </c>
      <c r="T235" s="5">
        <f t="shared" si="56"/>
        <v>44.744</v>
      </c>
      <c r="U235" s="11">
        <v>0</v>
      </c>
      <c r="V235" s="5">
        <f t="shared" si="57"/>
        <v>44.744</v>
      </c>
      <c r="W235" s="11">
        <f t="shared" si="58"/>
        <v>0</v>
      </c>
      <c r="X235" s="5">
        <f t="shared" si="49"/>
        <v>0</v>
      </c>
      <c r="Y235" s="11">
        <v>0</v>
      </c>
      <c r="Z235" s="5">
        <f t="shared" si="50"/>
        <v>0</v>
      </c>
      <c r="AA235" s="11">
        <f t="shared" si="51"/>
        <v>0</v>
      </c>
      <c r="AB235" s="11">
        <v>0.1</v>
      </c>
    </row>
    <row r="236" spans="1:28">
      <c r="A236">
        <v>2026</v>
      </c>
      <c r="B236" t="s">
        <v>179</v>
      </c>
      <c r="C236" t="s">
        <v>39</v>
      </c>
      <c r="D236" t="s">
        <v>40</v>
      </c>
      <c r="E236" t="s">
        <v>223</v>
      </c>
      <c r="G236" t="s">
        <v>14</v>
      </c>
      <c r="H236" t="s">
        <v>14</v>
      </c>
      <c r="I236" t="s">
        <v>66</v>
      </c>
      <c r="J236">
        <v>4</v>
      </c>
      <c r="K236" t="s">
        <v>16</v>
      </c>
      <c r="L236">
        <v>80300</v>
      </c>
      <c r="M236" s="5">
        <v>1284.8</v>
      </c>
      <c r="O236" s="5">
        <f t="shared" si="55"/>
        <v>1284.8</v>
      </c>
      <c r="P236" s="5">
        <f t="shared" si="47"/>
        <v>0</v>
      </c>
      <c r="Q236" s="11">
        <v>0</v>
      </c>
      <c r="R236" s="5">
        <f t="shared" si="54"/>
        <v>0</v>
      </c>
      <c r="S236" s="11">
        <f t="shared" si="48"/>
        <v>0</v>
      </c>
      <c r="T236" s="5">
        <f t="shared" si="56"/>
        <v>1284.8</v>
      </c>
      <c r="U236" s="11">
        <v>0</v>
      </c>
      <c r="V236" s="5">
        <f t="shared" si="57"/>
        <v>1284.8</v>
      </c>
      <c r="W236" s="11">
        <f t="shared" si="58"/>
        <v>0</v>
      </c>
      <c r="X236" s="5">
        <f t="shared" si="49"/>
        <v>0</v>
      </c>
      <c r="Y236" s="11">
        <v>0</v>
      </c>
      <c r="Z236" s="5">
        <f t="shared" si="50"/>
        <v>0</v>
      </c>
      <c r="AA236" s="11">
        <f t="shared" si="51"/>
        <v>0</v>
      </c>
      <c r="AB236" s="11">
        <v>0.1</v>
      </c>
    </row>
    <row r="237" spans="1:28">
      <c r="A237">
        <v>2026</v>
      </c>
      <c r="B237" t="s">
        <v>179</v>
      </c>
      <c r="C237" t="s">
        <v>39</v>
      </c>
      <c r="D237" t="s">
        <v>40</v>
      </c>
      <c r="E237" t="s">
        <v>224</v>
      </c>
      <c r="G237" t="s">
        <v>14</v>
      </c>
      <c r="H237" t="s">
        <v>14</v>
      </c>
      <c r="I237" t="s">
        <v>28</v>
      </c>
      <c r="J237">
        <v>3</v>
      </c>
      <c r="K237" t="s">
        <v>16</v>
      </c>
      <c r="L237">
        <v>17888.080000000002</v>
      </c>
      <c r="M237" s="5">
        <v>53664.240000000005</v>
      </c>
      <c r="O237" s="5">
        <f t="shared" si="55"/>
        <v>53664.240000000005</v>
      </c>
      <c r="P237" s="5">
        <f t="shared" si="47"/>
        <v>0</v>
      </c>
      <c r="Q237" s="11">
        <v>0</v>
      </c>
      <c r="R237" s="5">
        <f t="shared" si="54"/>
        <v>0</v>
      </c>
      <c r="S237" s="11">
        <f t="shared" si="48"/>
        <v>0</v>
      </c>
      <c r="T237" s="5">
        <f t="shared" si="56"/>
        <v>53664.240000000005</v>
      </c>
      <c r="U237" s="11">
        <v>0</v>
      </c>
      <c r="V237" s="5">
        <f t="shared" si="57"/>
        <v>53664.240000000005</v>
      </c>
      <c r="W237" s="11">
        <f t="shared" si="58"/>
        <v>0</v>
      </c>
      <c r="X237" s="5">
        <f t="shared" si="49"/>
        <v>0</v>
      </c>
      <c r="Y237" s="11">
        <v>0</v>
      </c>
      <c r="Z237" s="5">
        <f t="shared" si="50"/>
        <v>0</v>
      </c>
      <c r="AA237" s="11">
        <f t="shared" si="51"/>
        <v>0</v>
      </c>
      <c r="AB237" s="11">
        <v>0.1</v>
      </c>
    </row>
    <row r="238" spans="1:28">
      <c r="A238">
        <v>2026</v>
      </c>
      <c r="B238" t="s">
        <v>179</v>
      </c>
      <c r="C238" t="s">
        <v>39</v>
      </c>
      <c r="D238" t="s">
        <v>40</v>
      </c>
      <c r="E238" t="s">
        <v>225</v>
      </c>
      <c r="G238" t="s">
        <v>14</v>
      </c>
      <c r="H238" t="s">
        <v>14</v>
      </c>
      <c r="I238" t="s">
        <v>29</v>
      </c>
      <c r="J238">
        <v>1</v>
      </c>
      <c r="K238" t="s">
        <v>16</v>
      </c>
      <c r="L238">
        <v>337.3837894736842</v>
      </c>
      <c r="M238" s="5">
        <v>337.3837894736842</v>
      </c>
      <c r="O238" s="5">
        <f t="shared" si="55"/>
        <v>337.3837894736842</v>
      </c>
      <c r="P238" s="5">
        <f t="shared" si="47"/>
        <v>0</v>
      </c>
      <c r="Q238" s="11">
        <v>0</v>
      </c>
      <c r="R238" s="5">
        <f t="shared" si="54"/>
        <v>0</v>
      </c>
      <c r="S238" s="11">
        <f t="shared" si="48"/>
        <v>0</v>
      </c>
      <c r="T238" s="5">
        <f t="shared" si="56"/>
        <v>337.3837894736842</v>
      </c>
      <c r="U238" s="11">
        <v>0</v>
      </c>
      <c r="V238" s="5">
        <f t="shared" si="57"/>
        <v>337.3837894736842</v>
      </c>
      <c r="W238" s="11">
        <f t="shared" si="58"/>
        <v>0</v>
      </c>
      <c r="X238" s="5">
        <f t="shared" si="49"/>
        <v>0</v>
      </c>
      <c r="Y238" s="11">
        <v>0</v>
      </c>
      <c r="Z238" s="5">
        <f t="shared" si="50"/>
        <v>0</v>
      </c>
      <c r="AA238" s="11">
        <f t="shared" si="51"/>
        <v>0</v>
      </c>
      <c r="AB238" s="11">
        <v>0.1</v>
      </c>
    </row>
    <row r="239" spans="1:28">
      <c r="A239">
        <v>2026</v>
      </c>
      <c r="B239" t="s">
        <v>179</v>
      </c>
      <c r="C239" t="s">
        <v>39</v>
      </c>
      <c r="D239" t="s">
        <v>40</v>
      </c>
      <c r="E239" t="s">
        <v>226</v>
      </c>
      <c r="G239" t="s">
        <v>14</v>
      </c>
      <c r="H239" t="s">
        <v>14</v>
      </c>
      <c r="I239" t="s">
        <v>154</v>
      </c>
      <c r="J239">
        <v>2</v>
      </c>
      <c r="K239" t="s">
        <v>16</v>
      </c>
      <c r="L239">
        <v>67900</v>
      </c>
      <c r="M239" s="5">
        <v>13580</v>
      </c>
      <c r="O239" s="5">
        <f t="shared" si="55"/>
        <v>13580</v>
      </c>
      <c r="P239" s="5">
        <f t="shared" si="47"/>
        <v>0</v>
      </c>
      <c r="Q239" s="11">
        <v>0</v>
      </c>
      <c r="R239" s="5">
        <f t="shared" si="54"/>
        <v>0</v>
      </c>
      <c r="S239" s="11">
        <f t="shared" si="48"/>
        <v>0</v>
      </c>
      <c r="T239" s="5">
        <f t="shared" si="56"/>
        <v>13580</v>
      </c>
      <c r="U239" s="11">
        <v>0</v>
      </c>
      <c r="V239" s="5">
        <f t="shared" si="57"/>
        <v>13580</v>
      </c>
      <c r="W239" s="11">
        <f t="shared" si="58"/>
        <v>0</v>
      </c>
      <c r="X239" s="5">
        <f t="shared" si="49"/>
        <v>0</v>
      </c>
      <c r="Y239" s="11">
        <v>0</v>
      </c>
      <c r="Z239" s="5">
        <f t="shared" si="50"/>
        <v>0</v>
      </c>
      <c r="AA239" s="11">
        <f t="shared" si="51"/>
        <v>0</v>
      </c>
      <c r="AB239" s="11">
        <v>0.1</v>
      </c>
    </row>
    <row r="240" spans="1:28">
      <c r="A240">
        <v>2026</v>
      </c>
      <c r="B240" t="s">
        <v>179</v>
      </c>
      <c r="C240" t="s">
        <v>39</v>
      </c>
      <c r="D240" t="s">
        <v>40</v>
      </c>
      <c r="E240" t="s">
        <v>227</v>
      </c>
      <c r="G240" t="s">
        <v>14</v>
      </c>
      <c r="H240" t="s">
        <v>14</v>
      </c>
      <c r="I240" t="s">
        <v>155</v>
      </c>
      <c r="J240">
        <v>2</v>
      </c>
      <c r="K240" t="s">
        <v>16</v>
      </c>
      <c r="L240">
        <v>50300</v>
      </c>
      <c r="M240" s="5">
        <v>10060</v>
      </c>
      <c r="O240" s="5">
        <f t="shared" si="55"/>
        <v>10060</v>
      </c>
      <c r="P240" s="5">
        <f t="shared" si="47"/>
        <v>0</v>
      </c>
      <c r="Q240" s="11">
        <v>0</v>
      </c>
      <c r="R240" s="5">
        <f t="shared" si="54"/>
        <v>0</v>
      </c>
      <c r="S240" s="11">
        <f t="shared" si="48"/>
        <v>0</v>
      </c>
      <c r="T240" s="5">
        <f t="shared" si="56"/>
        <v>10060</v>
      </c>
      <c r="U240" s="11">
        <v>0</v>
      </c>
      <c r="V240" s="5">
        <f t="shared" si="57"/>
        <v>10060</v>
      </c>
      <c r="W240" s="11">
        <f t="shared" si="58"/>
        <v>0</v>
      </c>
      <c r="X240" s="5">
        <f t="shared" si="49"/>
        <v>0</v>
      </c>
      <c r="Y240" s="11">
        <v>0</v>
      </c>
      <c r="Z240" s="5">
        <f t="shared" si="50"/>
        <v>0</v>
      </c>
      <c r="AA240" s="11">
        <f t="shared" si="51"/>
        <v>0</v>
      </c>
      <c r="AB240" s="11">
        <v>0.1</v>
      </c>
    </row>
    <row r="241" spans="1:28">
      <c r="A241">
        <v>2026</v>
      </c>
      <c r="B241" t="s">
        <v>179</v>
      </c>
      <c r="C241" t="s">
        <v>39</v>
      </c>
      <c r="D241" t="s">
        <v>40</v>
      </c>
      <c r="E241" t="s">
        <v>228</v>
      </c>
      <c r="G241" t="s">
        <v>14</v>
      </c>
      <c r="H241" t="s">
        <v>14</v>
      </c>
      <c r="I241" t="s">
        <v>152</v>
      </c>
      <c r="J241">
        <v>2</v>
      </c>
      <c r="K241" t="s">
        <v>16</v>
      </c>
      <c r="L241">
        <v>43500</v>
      </c>
      <c r="M241" s="5">
        <v>7250</v>
      </c>
      <c r="O241" s="5">
        <f t="shared" si="55"/>
        <v>7250</v>
      </c>
      <c r="P241" s="5">
        <f t="shared" si="47"/>
        <v>0</v>
      </c>
      <c r="Q241" s="11">
        <v>0</v>
      </c>
      <c r="R241" s="5">
        <f t="shared" si="54"/>
        <v>0</v>
      </c>
      <c r="S241" s="11">
        <f t="shared" si="48"/>
        <v>0</v>
      </c>
      <c r="T241" s="5">
        <f t="shared" si="56"/>
        <v>7250</v>
      </c>
      <c r="U241" s="11">
        <v>0</v>
      </c>
      <c r="V241" s="5">
        <f t="shared" si="57"/>
        <v>7250</v>
      </c>
      <c r="W241" s="11">
        <f t="shared" si="58"/>
        <v>0</v>
      </c>
      <c r="X241" s="5">
        <f t="shared" si="49"/>
        <v>0</v>
      </c>
      <c r="Y241" s="11">
        <v>0</v>
      </c>
      <c r="Z241" s="5">
        <f t="shared" si="50"/>
        <v>0</v>
      </c>
      <c r="AA241" s="11">
        <f t="shared" si="51"/>
        <v>0</v>
      </c>
      <c r="AB241" s="11">
        <v>0.1</v>
      </c>
    </row>
    <row r="242" spans="1:28">
      <c r="A242">
        <v>2026</v>
      </c>
      <c r="B242" t="s">
        <v>179</v>
      </c>
      <c r="C242" t="s">
        <v>39</v>
      </c>
      <c r="D242" t="s">
        <v>40</v>
      </c>
      <c r="F242">
        <v>2400</v>
      </c>
      <c r="G242" t="s">
        <v>32</v>
      </c>
      <c r="H242" t="s">
        <v>32</v>
      </c>
      <c r="I242" t="s">
        <v>33</v>
      </c>
      <c r="J242">
        <v>30</v>
      </c>
      <c r="K242" t="s">
        <v>38</v>
      </c>
      <c r="L242" s="16">
        <v>348.24</v>
      </c>
      <c r="M242" s="5">
        <f>+L242*F242</f>
        <v>835776</v>
      </c>
      <c r="O242" s="5">
        <f t="shared" si="55"/>
        <v>835776</v>
      </c>
      <c r="P242" s="5">
        <f t="shared" si="47"/>
        <v>0</v>
      </c>
      <c r="Q242" s="11">
        <v>0</v>
      </c>
      <c r="R242" s="5">
        <f t="shared" si="54"/>
        <v>0</v>
      </c>
      <c r="S242" s="11">
        <f t="shared" si="48"/>
        <v>0</v>
      </c>
      <c r="T242" s="5">
        <f t="shared" si="56"/>
        <v>835776</v>
      </c>
      <c r="U242" s="11">
        <v>0</v>
      </c>
      <c r="V242" s="5">
        <f t="shared" si="57"/>
        <v>835776</v>
      </c>
      <c r="W242" s="11">
        <f t="shared" si="58"/>
        <v>0</v>
      </c>
      <c r="X242" s="5">
        <f t="shared" si="49"/>
        <v>0</v>
      </c>
      <c r="Y242" s="11">
        <v>0</v>
      </c>
      <c r="Z242" s="5">
        <f t="shared" si="50"/>
        <v>0</v>
      </c>
      <c r="AA242" s="11">
        <f t="shared" si="51"/>
        <v>0</v>
      </c>
      <c r="AB242" s="11">
        <v>0.1</v>
      </c>
    </row>
    <row r="243" spans="1:28">
      <c r="A243">
        <v>2026</v>
      </c>
      <c r="B243" t="s">
        <v>179</v>
      </c>
      <c r="C243" t="s">
        <v>39</v>
      </c>
      <c r="D243" t="s">
        <v>40</v>
      </c>
      <c r="F243">
        <v>2400</v>
      </c>
      <c r="G243" t="s">
        <v>32</v>
      </c>
      <c r="H243" t="s">
        <v>32</v>
      </c>
      <c r="I243" t="s">
        <v>35</v>
      </c>
      <c r="J243">
        <v>30</v>
      </c>
      <c r="K243" t="s">
        <v>38</v>
      </c>
      <c r="L243" s="16">
        <v>201.61</v>
      </c>
      <c r="M243" s="5">
        <f t="shared" ref="M243:M244" si="60">+L243*F243</f>
        <v>483864.00000000006</v>
      </c>
      <c r="O243" s="5">
        <f t="shared" si="55"/>
        <v>483864.00000000006</v>
      </c>
      <c r="P243" s="5">
        <f t="shared" si="47"/>
        <v>0</v>
      </c>
      <c r="Q243" s="11">
        <v>0</v>
      </c>
      <c r="R243" s="5">
        <f t="shared" si="54"/>
        <v>0</v>
      </c>
      <c r="S243" s="11">
        <f t="shared" si="48"/>
        <v>0</v>
      </c>
      <c r="T243" s="5">
        <f t="shared" si="56"/>
        <v>483864.00000000006</v>
      </c>
      <c r="U243" s="11">
        <v>0</v>
      </c>
      <c r="V243" s="5">
        <f t="shared" si="57"/>
        <v>483864.00000000006</v>
      </c>
      <c r="W243" s="11">
        <f t="shared" si="58"/>
        <v>0</v>
      </c>
      <c r="X243" s="5">
        <f t="shared" si="49"/>
        <v>0</v>
      </c>
      <c r="Y243" s="11">
        <v>0</v>
      </c>
      <c r="Z243" s="5">
        <f t="shared" si="50"/>
        <v>0</v>
      </c>
      <c r="AA243" s="11">
        <f t="shared" si="51"/>
        <v>0</v>
      </c>
      <c r="AB243" s="11">
        <v>0.1</v>
      </c>
    </row>
    <row r="244" spans="1:28">
      <c r="A244">
        <v>2026</v>
      </c>
      <c r="B244" t="s">
        <v>179</v>
      </c>
      <c r="C244" t="s">
        <v>39</v>
      </c>
      <c r="D244" t="s">
        <v>40</v>
      </c>
      <c r="F244">
        <v>1600</v>
      </c>
      <c r="G244" t="s">
        <v>32</v>
      </c>
      <c r="H244" t="s">
        <v>32</v>
      </c>
      <c r="I244" t="s">
        <v>215</v>
      </c>
      <c r="J244">
        <v>30</v>
      </c>
      <c r="K244" t="s">
        <v>38</v>
      </c>
      <c r="L244" s="16">
        <v>1000</v>
      </c>
      <c r="M244" s="5">
        <f t="shared" si="60"/>
        <v>1600000</v>
      </c>
      <c r="O244" s="5">
        <f t="shared" si="55"/>
        <v>1600000</v>
      </c>
      <c r="P244" s="5">
        <f t="shared" si="47"/>
        <v>0</v>
      </c>
      <c r="Q244" s="11">
        <v>0</v>
      </c>
      <c r="R244" s="5">
        <f t="shared" si="54"/>
        <v>0</v>
      </c>
      <c r="S244" s="11">
        <f t="shared" si="48"/>
        <v>0</v>
      </c>
      <c r="T244" s="5">
        <f t="shared" si="56"/>
        <v>1600000</v>
      </c>
      <c r="U244" s="11">
        <v>0</v>
      </c>
      <c r="V244" s="5">
        <f t="shared" si="57"/>
        <v>1600000</v>
      </c>
      <c r="W244" s="11">
        <f t="shared" si="58"/>
        <v>0</v>
      </c>
      <c r="X244" s="5">
        <f t="shared" si="49"/>
        <v>0</v>
      </c>
      <c r="Y244" s="11">
        <v>0</v>
      </c>
      <c r="Z244" s="5">
        <f t="shared" si="50"/>
        <v>0</v>
      </c>
      <c r="AA244" s="11">
        <f t="shared" si="51"/>
        <v>0</v>
      </c>
      <c r="AB244" s="11">
        <v>0.1</v>
      </c>
    </row>
    <row r="245" spans="1:28">
      <c r="A245">
        <v>2026</v>
      </c>
      <c r="B245" t="s">
        <v>180</v>
      </c>
      <c r="C245" t="s">
        <v>39</v>
      </c>
      <c r="D245" t="s">
        <v>40</v>
      </c>
      <c r="E245" t="s">
        <v>216</v>
      </c>
      <c r="G245" t="s">
        <v>14</v>
      </c>
      <c r="H245" t="s">
        <v>14</v>
      </c>
      <c r="I245" t="s">
        <v>15</v>
      </c>
      <c r="J245">
        <v>4</v>
      </c>
      <c r="K245" t="s">
        <v>16</v>
      </c>
      <c r="L245">
        <v>266</v>
      </c>
      <c r="M245" s="5">
        <v>1064</v>
      </c>
      <c r="O245" s="5">
        <f t="shared" si="55"/>
        <v>1064</v>
      </c>
      <c r="P245" s="5">
        <f t="shared" si="47"/>
        <v>0</v>
      </c>
      <c r="Q245" s="11">
        <v>0</v>
      </c>
      <c r="R245" s="5">
        <f t="shared" si="54"/>
        <v>0</v>
      </c>
      <c r="S245" s="11">
        <f t="shared" si="48"/>
        <v>0</v>
      </c>
      <c r="T245" s="5">
        <f t="shared" si="56"/>
        <v>1064</v>
      </c>
      <c r="U245" s="11">
        <v>0</v>
      </c>
      <c r="V245" s="5">
        <f t="shared" si="57"/>
        <v>1064</v>
      </c>
      <c r="W245" s="11">
        <f t="shared" si="58"/>
        <v>0</v>
      </c>
      <c r="X245" s="5">
        <f t="shared" si="49"/>
        <v>0</v>
      </c>
      <c r="Y245" s="11">
        <v>0</v>
      </c>
      <c r="Z245" s="5">
        <f t="shared" si="50"/>
        <v>0</v>
      </c>
      <c r="AA245" s="11">
        <f t="shared" si="51"/>
        <v>0</v>
      </c>
      <c r="AB245" s="11">
        <v>0.1</v>
      </c>
    </row>
    <row r="246" spans="1:28">
      <c r="A246">
        <v>2026</v>
      </c>
      <c r="B246" t="s">
        <v>180</v>
      </c>
      <c r="C246" t="s">
        <v>39</v>
      </c>
      <c r="D246" t="s">
        <v>40</v>
      </c>
      <c r="E246" t="s">
        <v>217</v>
      </c>
      <c r="G246" t="s">
        <v>14</v>
      </c>
      <c r="H246" t="s">
        <v>14</v>
      </c>
      <c r="I246" t="s">
        <v>18</v>
      </c>
      <c r="J246">
        <v>2</v>
      </c>
      <c r="K246" t="s">
        <v>16</v>
      </c>
      <c r="L246">
        <v>1086.232</v>
      </c>
      <c r="M246" s="5">
        <v>2172.4639999999999</v>
      </c>
      <c r="O246" s="5">
        <f t="shared" si="55"/>
        <v>2172.4639999999999</v>
      </c>
      <c r="P246" s="5">
        <f t="shared" si="47"/>
        <v>0</v>
      </c>
      <c r="Q246" s="11">
        <v>0</v>
      </c>
      <c r="R246" s="5">
        <f t="shared" si="54"/>
        <v>0</v>
      </c>
      <c r="S246" s="11">
        <f t="shared" si="48"/>
        <v>0</v>
      </c>
      <c r="T246" s="5">
        <f t="shared" si="56"/>
        <v>2172.4639999999999</v>
      </c>
      <c r="U246" s="11">
        <v>0</v>
      </c>
      <c r="V246" s="5">
        <f t="shared" si="57"/>
        <v>2172.4639999999999</v>
      </c>
      <c r="W246" s="11">
        <f t="shared" si="58"/>
        <v>0</v>
      </c>
      <c r="X246" s="5">
        <f t="shared" si="49"/>
        <v>0</v>
      </c>
      <c r="Y246" s="11">
        <v>0</v>
      </c>
      <c r="Z246" s="5">
        <f t="shared" si="50"/>
        <v>0</v>
      </c>
      <c r="AA246" s="11">
        <f t="shared" si="51"/>
        <v>0</v>
      </c>
      <c r="AB246" s="11">
        <v>0.1</v>
      </c>
    </row>
    <row r="247" spans="1:28">
      <c r="A247">
        <v>2026</v>
      </c>
      <c r="B247" t="s">
        <v>180</v>
      </c>
      <c r="C247" t="s">
        <v>39</v>
      </c>
      <c r="D247" t="s">
        <v>40</v>
      </c>
      <c r="E247" t="s">
        <v>218</v>
      </c>
      <c r="G247" t="s">
        <v>14</v>
      </c>
      <c r="H247" t="s">
        <v>14</v>
      </c>
      <c r="I247" t="s">
        <v>20</v>
      </c>
      <c r="J247">
        <v>6</v>
      </c>
      <c r="K247" t="s">
        <v>16</v>
      </c>
      <c r="L247">
        <v>370</v>
      </c>
      <c r="M247" s="5">
        <v>2220</v>
      </c>
      <c r="O247" s="5">
        <f t="shared" si="55"/>
        <v>2220</v>
      </c>
      <c r="P247" s="5">
        <f t="shared" si="47"/>
        <v>0</v>
      </c>
      <c r="Q247" s="11">
        <v>0</v>
      </c>
      <c r="R247" s="5">
        <f t="shared" si="54"/>
        <v>0</v>
      </c>
      <c r="S247" s="11">
        <f t="shared" si="48"/>
        <v>0</v>
      </c>
      <c r="T247" s="5">
        <f t="shared" si="56"/>
        <v>2220</v>
      </c>
      <c r="U247" s="11">
        <v>0</v>
      </c>
      <c r="V247" s="5">
        <f t="shared" si="57"/>
        <v>2220</v>
      </c>
      <c r="W247" s="11">
        <f t="shared" si="58"/>
        <v>0</v>
      </c>
      <c r="X247" s="5">
        <f t="shared" si="49"/>
        <v>0</v>
      </c>
      <c r="Y247" s="11">
        <v>0</v>
      </c>
      <c r="Z247" s="5">
        <f t="shared" si="50"/>
        <v>0</v>
      </c>
      <c r="AA247" s="11">
        <f t="shared" si="51"/>
        <v>0</v>
      </c>
      <c r="AB247" s="11">
        <v>0.1</v>
      </c>
    </row>
    <row r="248" spans="1:28">
      <c r="A248">
        <v>2026</v>
      </c>
      <c r="B248" t="s">
        <v>180</v>
      </c>
      <c r="C248" t="s">
        <v>39</v>
      </c>
      <c r="D248" t="s">
        <v>40</v>
      </c>
      <c r="E248" t="s">
        <v>219</v>
      </c>
      <c r="G248" t="s">
        <v>14</v>
      </c>
      <c r="H248" t="s">
        <v>14</v>
      </c>
      <c r="I248" t="s">
        <v>44</v>
      </c>
      <c r="J248">
        <v>2</v>
      </c>
      <c r="K248" t="s">
        <v>16</v>
      </c>
      <c r="L248">
        <v>2643</v>
      </c>
      <c r="M248" s="5">
        <v>5286</v>
      </c>
      <c r="O248" s="5">
        <f t="shared" si="55"/>
        <v>5286</v>
      </c>
      <c r="P248" s="5">
        <f t="shared" si="47"/>
        <v>0</v>
      </c>
      <c r="Q248" s="11">
        <v>0</v>
      </c>
      <c r="R248" s="5">
        <f t="shared" si="54"/>
        <v>0</v>
      </c>
      <c r="S248" s="11">
        <f t="shared" si="48"/>
        <v>0</v>
      </c>
      <c r="T248" s="5">
        <f t="shared" si="56"/>
        <v>5286</v>
      </c>
      <c r="U248" s="11">
        <v>0</v>
      </c>
      <c r="V248" s="5">
        <f t="shared" si="57"/>
        <v>5286</v>
      </c>
      <c r="W248" s="11">
        <f t="shared" si="58"/>
        <v>0</v>
      </c>
      <c r="X248" s="5">
        <f t="shared" si="49"/>
        <v>0</v>
      </c>
      <c r="Y248" s="11">
        <v>0</v>
      </c>
      <c r="Z248" s="5">
        <f t="shared" si="50"/>
        <v>0</v>
      </c>
      <c r="AA248" s="11">
        <f t="shared" si="51"/>
        <v>0</v>
      </c>
      <c r="AB248" s="11">
        <v>0.1</v>
      </c>
    </row>
    <row r="249" spans="1:28">
      <c r="A249">
        <v>2026</v>
      </c>
      <c r="B249" t="s">
        <v>180</v>
      </c>
      <c r="C249" t="s">
        <v>39</v>
      </c>
      <c r="D249" t="s">
        <v>40</v>
      </c>
      <c r="E249" t="s">
        <v>220</v>
      </c>
      <c r="G249" t="s">
        <v>14</v>
      </c>
      <c r="H249" t="s">
        <v>14</v>
      </c>
      <c r="I249" t="s">
        <v>24</v>
      </c>
      <c r="J249">
        <v>3</v>
      </c>
      <c r="K249" t="s">
        <v>16</v>
      </c>
      <c r="L249">
        <v>135.66</v>
      </c>
      <c r="M249" s="5">
        <v>406.98</v>
      </c>
      <c r="O249" s="5">
        <f t="shared" si="55"/>
        <v>406.98</v>
      </c>
      <c r="P249" s="5">
        <f t="shared" si="47"/>
        <v>0</v>
      </c>
      <c r="Q249" s="11">
        <v>0</v>
      </c>
      <c r="R249" s="5">
        <f t="shared" si="54"/>
        <v>0</v>
      </c>
      <c r="S249" s="11">
        <f t="shared" si="48"/>
        <v>0</v>
      </c>
      <c r="T249" s="5">
        <f t="shared" si="56"/>
        <v>406.98</v>
      </c>
      <c r="U249" s="11">
        <v>0</v>
      </c>
      <c r="V249" s="5">
        <f t="shared" si="57"/>
        <v>406.98</v>
      </c>
      <c r="W249" s="11">
        <f t="shared" si="58"/>
        <v>0</v>
      </c>
      <c r="X249" s="5">
        <f t="shared" si="49"/>
        <v>0</v>
      </c>
      <c r="Y249" s="11">
        <v>0</v>
      </c>
      <c r="Z249" s="5">
        <f t="shared" si="50"/>
        <v>0</v>
      </c>
      <c r="AA249" s="11">
        <f t="shared" si="51"/>
        <v>0</v>
      </c>
      <c r="AB249" s="11">
        <v>0.1</v>
      </c>
    </row>
    <row r="250" spans="1:28">
      <c r="A250">
        <v>2026</v>
      </c>
      <c r="B250" t="s">
        <v>180</v>
      </c>
      <c r="C250" t="s">
        <v>39</v>
      </c>
      <c r="D250" t="s">
        <v>40</v>
      </c>
      <c r="E250" t="s">
        <v>221</v>
      </c>
      <c r="G250" t="s">
        <v>14</v>
      </c>
      <c r="H250" t="s">
        <v>14</v>
      </c>
      <c r="I250" t="s">
        <v>25</v>
      </c>
      <c r="J250">
        <v>2</v>
      </c>
      <c r="K250" t="s">
        <v>16</v>
      </c>
      <c r="L250">
        <v>3808</v>
      </c>
      <c r="M250" s="5">
        <v>7616</v>
      </c>
      <c r="O250" s="5">
        <f t="shared" si="55"/>
        <v>7616</v>
      </c>
      <c r="P250" s="5">
        <f t="shared" si="47"/>
        <v>0</v>
      </c>
      <c r="Q250" s="11">
        <v>0</v>
      </c>
      <c r="R250" s="5">
        <f t="shared" si="54"/>
        <v>0</v>
      </c>
      <c r="S250" s="11">
        <f t="shared" si="48"/>
        <v>0</v>
      </c>
      <c r="T250" s="5">
        <f t="shared" si="56"/>
        <v>7616</v>
      </c>
      <c r="U250" s="11">
        <v>0</v>
      </c>
      <c r="V250" s="5">
        <f t="shared" si="57"/>
        <v>7616</v>
      </c>
      <c r="W250" s="11">
        <f t="shared" si="58"/>
        <v>0</v>
      </c>
      <c r="X250" s="5">
        <f t="shared" si="49"/>
        <v>0</v>
      </c>
      <c r="Y250" s="11">
        <v>0</v>
      </c>
      <c r="Z250" s="5">
        <f t="shared" si="50"/>
        <v>0</v>
      </c>
      <c r="AA250" s="11">
        <f t="shared" si="51"/>
        <v>0</v>
      </c>
      <c r="AB250" s="11">
        <v>0.1</v>
      </c>
    </row>
    <row r="251" spans="1:28">
      <c r="A251">
        <v>2026</v>
      </c>
      <c r="B251" t="s">
        <v>180</v>
      </c>
      <c r="C251" t="s">
        <v>39</v>
      </c>
      <c r="D251" t="s">
        <v>40</v>
      </c>
      <c r="E251" t="s">
        <v>222</v>
      </c>
      <c r="G251" t="s">
        <v>14</v>
      </c>
      <c r="H251" t="s">
        <v>14</v>
      </c>
      <c r="I251" t="s">
        <v>26</v>
      </c>
      <c r="J251">
        <v>0.4</v>
      </c>
      <c r="K251" t="s">
        <v>16</v>
      </c>
      <c r="L251">
        <v>111.86</v>
      </c>
      <c r="M251" s="5">
        <v>44.744</v>
      </c>
      <c r="O251" s="5">
        <f t="shared" si="55"/>
        <v>44.744</v>
      </c>
      <c r="P251" s="5">
        <f t="shared" si="47"/>
        <v>0</v>
      </c>
      <c r="Q251" s="11">
        <v>0</v>
      </c>
      <c r="R251" s="5">
        <f t="shared" si="54"/>
        <v>0</v>
      </c>
      <c r="S251" s="11">
        <f t="shared" si="48"/>
        <v>0</v>
      </c>
      <c r="T251" s="5">
        <f t="shared" si="56"/>
        <v>44.744</v>
      </c>
      <c r="U251" s="11">
        <v>0</v>
      </c>
      <c r="V251" s="5">
        <f t="shared" si="57"/>
        <v>44.744</v>
      </c>
      <c r="W251" s="11">
        <f t="shared" si="58"/>
        <v>0</v>
      </c>
      <c r="X251" s="5">
        <f t="shared" si="49"/>
        <v>0</v>
      </c>
      <c r="Y251" s="11">
        <v>0</v>
      </c>
      <c r="Z251" s="5">
        <f t="shared" si="50"/>
        <v>0</v>
      </c>
      <c r="AA251" s="11">
        <f t="shared" si="51"/>
        <v>0</v>
      </c>
      <c r="AB251" s="11">
        <v>0.1</v>
      </c>
    </row>
    <row r="252" spans="1:28">
      <c r="A252">
        <v>2026</v>
      </c>
      <c r="B252" t="s">
        <v>180</v>
      </c>
      <c r="C252" t="s">
        <v>39</v>
      </c>
      <c r="D252" t="s">
        <v>40</v>
      </c>
      <c r="E252" t="s">
        <v>223</v>
      </c>
      <c r="G252" t="s">
        <v>14</v>
      </c>
      <c r="H252" t="s">
        <v>14</v>
      </c>
      <c r="I252" t="s">
        <v>66</v>
      </c>
      <c r="J252">
        <v>4</v>
      </c>
      <c r="K252" t="s">
        <v>16</v>
      </c>
      <c r="L252">
        <v>80300</v>
      </c>
      <c r="M252" s="5">
        <v>1284.8</v>
      </c>
      <c r="O252" s="5">
        <f t="shared" si="55"/>
        <v>1284.8</v>
      </c>
      <c r="P252" s="5">
        <f t="shared" si="47"/>
        <v>0</v>
      </c>
      <c r="Q252" s="11">
        <v>0</v>
      </c>
      <c r="R252" s="5">
        <f t="shared" si="54"/>
        <v>0</v>
      </c>
      <c r="S252" s="11">
        <f t="shared" si="48"/>
        <v>0</v>
      </c>
      <c r="T252" s="5">
        <f t="shared" si="56"/>
        <v>1284.8</v>
      </c>
      <c r="U252" s="11">
        <v>0</v>
      </c>
      <c r="V252" s="5">
        <f t="shared" si="57"/>
        <v>1284.8</v>
      </c>
      <c r="W252" s="11">
        <f t="shared" si="58"/>
        <v>0</v>
      </c>
      <c r="X252" s="5">
        <f t="shared" si="49"/>
        <v>0</v>
      </c>
      <c r="Y252" s="11">
        <v>0</v>
      </c>
      <c r="Z252" s="5">
        <f t="shared" si="50"/>
        <v>0</v>
      </c>
      <c r="AA252" s="11">
        <f t="shared" si="51"/>
        <v>0</v>
      </c>
      <c r="AB252" s="11">
        <v>0.1</v>
      </c>
    </row>
    <row r="253" spans="1:28">
      <c r="A253">
        <v>2026</v>
      </c>
      <c r="B253" t="s">
        <v>180</v>
      </c>
      <c r="C253" t="s">
        <v>39</v>
      </c>
      <c r="D253" t="s">
        <v>40</v>
      </c>
      <c r="E253" t="s">
        <v>224</v>
      </c>
      <c r="G253" t="s">
        <v>14</v>
      </c>
      <c r="H253" t="s">
        <v>14</v>
      </c>
      <c r="I253" t="s">
        <v>28</v>
      </c>
      <c r="J253">
        <v>3</v>
      </c>
      <c r="K253" t="s">
        <v>16</v>
      </c>
      <c r="L253">
        <v>17888.080000000002</v>
      </c>
      <c r="M253" s="5">
        <v>53664.240000000005</v>
      </c>
      <c r="O253" s="5">
        <f t="shared" si="55"/>
        <v>53664.240000000005</v>
      </c>
      <c r="P253" s="5">
        <f t="shared" si="47"/>
        <v>0</v>
      </c>
      <c r="Q253" s="11">
        <v>0</v>
      </c>
      <c r="R253" s="5">
        <f t="shared" si="54"/>
        <v>0</v>
      </c>
      <c r="S253" s="11">
        <f t="shared" si="48"/>
        <v>0</v>
      </c>
      <c r="T253" s="5">
        <f t="shared" si="56"/>
        <v>53664.240000000005</v>
      </c>
      <c r="U253" s="11">
        <v>0</v>
      </c>
      <c r="V253" s="5">
        <f t="shared" si="57"/>
        <v>53664.240000000005</v>
      </c>
      <c r="W253" s="11">
        <f t="shared" si="58"/>
        <v>0</v>
      </c>
      <c r="X253" s="5">
        <f t="shared" si="49"/>
        <v>0</v>
      </c>
      <c r="Y253" s="11">
        <v>0</v>
      </c>
      <c r="Z253" s="5">
        <f t="shared" si="50"/>
        <v>0</v>
      </c>
      <c r="AA253" s="11">
        <f t="shared" si="51"/>
        <v>0</v>
      </c>
      <c r="AB253" s="11">
        <v>0.1</v>
      </c>
    </row>
    <row r="254" spans="1:28">
      <c r="A254">
        <v>2026</v>
      </c>
      <c r="B254" t="s">
        <v>180</v>
      </c>
      <c r="C254" t="s">
        <v>39</v>
      </c>
      <c r="D254" t="s">
        <v>40</v>
      </c>
      <c r="E254" t="s">
        <v>225</v>
      </c>
      <c r="G254" t="s">
        <v>14</v>
      </c>
      <c r="H254" t="s">
        <v>14</v>
      </c>
      <c r="I254" t="s">
        <v>29</v>
      </c>
      <c r="J254">
        <v>1</v>
      </c>
      <c r="K254" t="s">
        <v>16</v>
      </c>
      <c r="L254">
        <v>337.3837894736842</v>
      </c>
      <c r="M254" s="5">
        <v>337.3837894736842</v>
      </c>
      <c r="O254" s="5">
        <f t="shared" si="55"/>
        <v>337.3837894736842</v>
      </c>
      <c r="P254" s="5">
        <f t="shared" si="47"/>
        <v>0</v>
      </c>
      <c r="Q254" s="11">
        <v>0</v>
      </c>
      <c r="R254" s="5">
        <f t="shared" si="54"/>
        <v>0</v>
      </c>
      <c r="S254" s="11">
        <f t="shared" si="48"/>
        <v>0</v>
      </c>
      <c r="T254" s="5">
        <f t="shared" si="56"/>
        <v>337.3837894736842</v>
      </c>
      <c r="U254" s="11">
        <v>0</v>
      </c>
      <c r="V254" s="5">
        <f t="shared" si="57"/>
        <v>337.3837894736842</v>
      </c>
      <c r="W254" s="11">
        <f t="shared" si="58"/>
        <v>0</v>
      </c>
      <c r="X254" s="5">
        <f t="shared" si="49"/>
        <v>0</v>
      </c>
      <c r="Y254" s="11">
        <v>0</v>
      </c>
      <c r="Z254" s="5">
        <f t="shared" si="50"/>
        <v>0</v>
      </c>
      <c r="AA254" s="11">
        <f t="shared" si="51"/>
        <v>0</v>
      </c>
      <c r="AB254" s="11">
        <v>0.1</v>
      </c>
    </row>
    <row r="255" spans="1:28">
      <c r="A255">
        <v>2026</v>
      </c>
      <c r="B255" t="s">
        <v>180</v>
      </c>
      <c r="C255" t="s">
        <v>39</v>
      </c>
      <c r="D255" t="s">
        <v>40</v>
      </c>
      <c r="E255" t="s">
        <v>226</v>
      </c>
      <c r="G255" t="s">
        <v>14</v>
      </c>
      <c r="H255" t="s">
        <v>14</v>
      </c>
      <c r="I255" t="s">
        <v>154</v>
      </c>
      <c r="J255">
        <v>2</v>
      </c>
      <c r="K255" t="s">
        <v>16</v>
      </c>
      <c r="L255">
        <v>67900</v>
      </c>
      <c r="M255" s="5">
        <v>13580</v>
      </c>
      <c r="O255" s="5">
        <f t="shared" si="55"/>
        <v>13580</v>
      </c>
      <c r="P255" s="5">
        <f t="shared" si="47"/>
        <v>0</v>
      </c>
      <c r="Q255" s="11">
        <v>0</v>
      </c>
      <c r="R255" s="5">
        <f t="shared" si="54"/>
        <v>0</v>
      </c>
      <c r="S255" s="11">
        <f t="shared" si="48"/>
        <v>0</v>
      </c>
      <c r="T255" s="5">
        <f t="shared" si="56"/>
        <v>13580</v>
      </c>
      <c r="U255" s="11">
        <v>0</v>
      </c>
      <c r="V255" s="5">
        <f t="shared" si="57"/>
        <v>13580</v>
      </c>
      <c r="W255" s="11">
        <f t="shared" si="58"/>
        <v>0</v>
      </c>
      <c r="X255" s="5">
        <f t="shared" si="49"/>
        <v>0</v>
      </c>
      <c r="Y255" s="11">
        <v>0</v>
      </c>
      <c r="Z255" s="5">
        <f t="shared" si="50"/>
        <v>0</v>
      </c>
      <c r="AA255" s="11">
        <f t="shared" si="51"/>
        <v>0</v>
      </c>
      <c r="AB255" s="11">
        <v>0.1</v>
      </c>
    </row>
    <row r="256" spans="1:28">
      <c r="A256">
        <v>2026</v>
      </c>
      <c r="B256" t="s">
        <v>180</v>
      </c>
      <c r="C256" t="s">
        <v>39</v>
      </c>
      <c r="D256" t="s">
        <v>40</v>
      </c>
      <c r="E256" t="s">
        <v>227</v>
      </c>
      <c r="G256" t="s">
        <v>14</v>
      </c>
      <c r="H256" t="s">
        <v>14</v>
      </c>
      <c r="I256" t="s">
        <v>155</v>
      </c>
      <c r="J256">
        <v>2</v>
      </c>
      <c r="K256" t="s">
        <v>16</v>
      </c>
      <c r="L256">
        <v>50300</v>
      </c>
      <c r="M256" s="5">
        <v>10060</v>
      </c>
      <c r="O256" s="5">
        <f t="shared" si="55"/>
        <v>10060</v>
      </c>
      <c r="P256" s="5">
        <f t="shared" si="47"/>
        <v>0</v>
      </c>
      <c r="Q256" s="11">
        <v>0</v>
      </c>
      <c r="R256" s="5">
        <f t="shared" si="54"/>
        <v>0</v>
      </c>
      <c r="S256" s="11">
        <f t="shared" si="48"/>
        <v>0</v>
      </c>
      <c r="T256" s="5">
        <f t="shared" si="56"/>
        <v>10060</v>
      </c>
      <c r="U256" s="11">
        <v>0</v>
      </c>
      <c r="V256" s="5">
        <f t="shared" si="57"/>
        <v>10060</v>
      </c>
      <c r="W256" s="11">
        <f t="shared" si="58"/>
        <v>0</v>
      </c>
      <c r="X256" s="5">
        <f t="shared" si="49"/>
        <v>0</v>
      </c>
      <c r="Y256" s="11">
        <v>0</v>
      </c>
      <c r="Z256" s="5">
        <f t="shared" si="50"/>
        <v>0</v>
      </c>
      <c r="AA256" s="11">
        <f t="shared" si="51"/>
        <v>0</v>
      </c>
      <c r="AB256" s="11">
        <v>0.1</v>
      </c>
    </row>
    <row r="257" spans="1:28">
      <c r="A257">
        <v>2026</v>
      </c>
      <c r="B257" t="s">
        <v>180</v>
      </c>
      <c r="C257" t="s">
        <v>39</v>
      </c>
      <c r="D257" t="s">
        <v>40</v>
      </c>
      <c r="E257" t="s">
        <v>228</v>
      </c>
      <c r="G257" t="s">
        <v>14</v>
      </c>
      <c r="H257" t="s">
        <v>14</v>
      </c>
      <c r="I257" t="s">
        <v>152</v>
      </c>
      <c r="J257">
        <v>2</v>
      </c>
      <c r="K257" t="s">
        <v>16</v>
      </c>
      <c r="L257">
        <v>43500</v>
      </c>
      <c r="M257" s="5">
        <v>7250</v>
      </c>
      <c r="O257" s="5">
        <f t="shared" si="55"/>
        <v>7250</v>
      </c>
      <c r="P257" s="5">
        <f t="shared" si="47"/>
        <v>0</v>
      </c>
      <c r="Q257" s="11">
        <v>0</v>
      </c>
      <c r="R257" s="5">
        <f t="shared" si="54"/>
        <v>0</v>
      </c>
      <c r="S257" s="11">
        <f t="shared" si="48"/>
        <v>0</v>
      </c>
      <c r="T257" s="5">
        <f t="shared" si="56"/>
        <v>7250</v>
      </c>
      <c r="U257" s="11">
        <v>0</v>
      </c>
      <c r="V257" s="5">
        <f t="shared" si="57"/>
        <v>7250</v>
      </c>
      <c r="W257" s="11">
        <f t="shared" si="58"/>
        <v>0</v>
      </c>
      <c r="X257" s="5">
        <f t="shared" si="49"/>
        <v>0</v>
      </c>
      <c r="Y257" s="11">
        <v>0</v>
      </c>
      <c r="Z257" s="5">
        <f t="shared" si="50"/>
        <v>0</v>
      </c>
      <c r="AA257" s="11">
        <f t="shared" si="51"/>
        <v>0</v>
      </c>
      <c r="AB257" s="11">
        <v>0.1</v>
      </c>
    </row>
    <row r="258" spans="1:28">
      <c r="A258">
        <v>2026</v>
      </c>
      <c r="B258" t="s">
        <v>180</v>
      </c>
      <c r="C258" t="s">
        <v>39</v>
      </c>
      <c r="D258" t="s">
        <v>40</v>
      </c>
      <c r="F258">
        <v>2400</v>
      </c>
      <c r="G258" t="s">
        <v>32</v>
      </c>
      <c r="H258" t="s">
        <v>32</v>
      </c>
      <c r="I258" t="s">
        <v>33</v>
      </c>
      <c r="J258">
        <v>30</v>
      </c>
      <c r="K258" t="s">
        <v>38</v>
      </c>
      <c r="L258" s="16">
        <v>348.24</v>
      </c>
      <c r="M258" s="5">
        <f>+L258*F258</f>
        <v>835776</v>
      </c>
      <c r="O258" s="5">
        <f t="shared" si="55"/>
        <v>835776</v>
      </c>
      <c r="P258" s="5">
        <f t="shared" ref="P258:P321" si="61">IF(C258="Alta Complejidad",M258,0)</f>
        <v>0</v>
      </c>
      <c r="Q258" s="11">
        <v>0</v>
      </c>
      <c r="R258" s="5">
        <f t="shared" si="54"/>
        <v>0</v>
      </c>
      <c r="S258" s="11">
        <f t="shared" ref="S258:S321" si="62">IFERROR(((R258-P258)/R258),0)</f>
        <v>0</v>
      </c>
      <c r="T258" s="5">
        <f t="shared" si="56"/>
        <v>835776</v>
      </c>
      <c r="U258" s="11">
        <v>0</v>
      </c>
      <c r="V258" s="5">
        <f t="shared" si="57"/>
        <v>835776</v>
      </c>
      <c r="W258" s="11">
        <f t="shared" si="58"/>
        <v>0</v>
      </c>
      <c r="X258" s="5">
        <f t="shared" ref="X258:X321" si="63">IF(C258="Baja Complejidad",M258,0)</f>
        <v>0</v>
      </c>
      <c r="Y258" s="11">
        <v>0</v>
      </c>
      <c r="Z258" s="5">
        <f t="shared" ref="Z258:Z321" si="64">(X258)+(X258*Y258)</f>
        <v>0</v>
      </c>
      <c r="AA258" s="11">
        <f t="shared" ref="AA258:AA321" si="65">IFERROR(((Z258-X258)/Z258),0)</f>
        <v>0</v>
      </c>
      <c r="AB258" s="11">
        <v>0.1</v>
      </c>
    </row>
    <row r="259" spans="1:28">
      <c r="A259">
        <v>2026</v>
      </c>
      <c r="B259" t="s">
        <v>180</v>
      </c>
      <c r="C259" t="s">
        <v>39</v>
      </c>
      <c r="D259" t="s">
        <v>40</v>
      </c>
      <c r="F259">
        <v>2400</v>
      </c>
      <c r="G259" t="s">
        <v>32</v>
      </c>
      <c r="H259" t="s">
        <v>32</v>
      </c>
      <c r="I259" t="s">
        <v>35</v>
      </c>
      <c r="J259">
        <v>30</v>
      </c>
      <c r="K259" t="s">
        <v>38</v>
      </c>
      <c r="L259" s="16">
        <v>201.61</v>
      </c>
      <c r="M259" s="5">
        <f t="shared" ref="M259:M260" si="66">+L259*F259</f>
        <v>483864.00000000006</v>
      </c>
      <c r="O259" s="5">
        <f t="shared" si="55"/>
        <v>483864.00000000006</v>
      </c>
      <c r="P259" s="5">
        <f t="shared" si="61"/>
        <v>0</v>
      </c>
      <c r="Q259" s="11">
        <v>0</v>
      </c>
      <c r="R259" s="5">
        <f t="shared" si="54"/>
        <v>0</v>
      </c>
      <c r="S259" s="11">
        <f t="shared" si="62"/>
        <v>0</v>
      </c>
      <c r="T259" s="5">
        <f t="shared" si="56"/>
        <v>483864.00000000006</v>
      </c>
      <c r="U259" s="11">
        <v>0</v>
      </c>
      <c r="V259" s="5">
        <f t="shared" si="57"/>
        <v>483864.00000000006</v>
      </c>
      <c r="W259" s="11">
        <f t="shared" si="58"/>
        <v>0</v>
      </c>
      <c r="X259" s="5">
        <f t="shared" si="63"/>
        <v>0</v>
      </c>
      <c r="Y259" s="11">
        <v>0</v>
      </c>
      <c r="Z259" s="5">
        <f t="shared" si="64"/>
        <v>0</v>
      </c>
      <c r="AA259" s="11">
        <f t="shared" si="65"/>
        <v>0</v>
      </c>
      <c r="AB259" s="11">
        <v>0.1</v>
      </c>
    </row>
    <row r="260" spans="1:28">
      <c r="A260">
        <v>2026</v>
      </c>
      <c r="B260" t="s">
        <v>180</v>
      </c>
      <c r="C260" t="s">
        <v>39</v>
      </c>
      <c r="D260" t="s">
        <v>40</v>
      </c>
      <c r="F260">
        <v>1600</v>
      </c>
      <c r="G260" t="s">
        <v>32</v>
      </c>
      <c r="H260" t="s">
        <v>32</v>
      </c>
      <c r="I260" t="s">
        <v>215</v>
      </c>
      <c r="J260">
        <v>30</v>
      </c>
      <c r="K260" t="s">
        <v>38</v>
      </c>
      <c r="L260" s="16">
        <v>1000</v>
      </c>
      <c r="M260" s="5">
        <f t="shared" si="66"/>
        <v>1600000</v>
      </c>
      <c r="O260" s="5">
        <f t="shared" si="55"/>
        <v>1600000</v>
      </c>
      <c r="P260" s="5">
        <f t="shared" si="61"/>
        <v>0</v>
      </c>
      <c r="Q260" s="11">
        <v>0</v>
      </c>
      <c r="R260" s="5">
        <f t="shared" si="54"/>
        <v>0</v>
      </c>
      <c r="S260" s="11">
        <f t="shared" si="62"/>
        <v>0</v>
      </c>
      <c r="T260" s="5">
        <f t="shared" si="56"/>
        <v>1600000</v>
      </c>
      <c r="U260" s="11">
        <v>0</v>
      </c>
      <c r="V260" s="5">
        <f t="shared" si="57"/>
        <v>1600000</v>
      </c>
      <c r="W260" s="11">
        <f t="shared" si="58"/>
        <v>0</v>
      </c>
      <c r="X260" s="5">
        <f t="shared" si="63"/>
        <v>0</v>
      </c>
      <c r="Y260" s="11">
        <v>0</v>
      </c>
      <c r="Z260" s="5">
        <f t="shared" si="64"/>
        <v>0</v>
      </c>
      <c r="AA260" s="11">
        <f t="shared" si="65"/>
        <v>0</v>
      </c>
      <c r="AB260" s="11">
        <v>0.1</v>
      </c>
    </row>
    <row r="261" spans="1:28">
      <c r="A261">
        <v>2026</v>
      </c>
      <c r="B261" t="s">
        <v>167</v>
      </c>
      <c r="C261" t="s">
        <v>12</v>
      </c>
      <c r="D261" t="s">
        <v>13</v>
      </c>
      <c r="E261" t="s">
        <v>216</v>
      </c>
      <c r="G261" t="s">
        <v>14</v>
      </c>
      <c r="H261" t="s">
        <v>14</v>
      </c>
      <c r="I261" t="s">
        <v>15</v>
      </c>
      <c r="J261">
        <v>4</v>
      </c>
      <c r="K261" t="s">
        <v>16</v>
      </c>
      <c r="L261">
        <v>266</v>
      </c>
      <c r="M261" s="5">
        <v>1064</v>
      </c>
      <c r="O261" s="5">
        <f>Z261</f>
        <v>1064</v>
      </c>
      <c r="P261" s="5">
        <f t="shared" si="61"/>
        <v>0</v>
      </c>
      <c r="Q261" s="11">
        <v>0</v>
      </c>
      <c r="R261" s="5">
        <f t="shared" si="54"/>
        <v>0</v>
      </c>
      <c r="S261" s="11">
        <f t="shared" si="62"/>
        <v>0</v>
      </c>
      <c r="T261" s="5">
        <f t="shared" ref="T261:T292" si="67">IF(C261="Mediana Complejidad",M261,0)</f>
        <v>0</v>
      </c>
      <c r="U261" s="11">
        <v>0</v>
      </c>
      <c r="V261" s="5">
        <f t="shared" ref="V261:V324" si="68">(T261)+(T261*U261)</f>
        <v>0</v>
      </c>
      <c r="W261" s="11">
        <f t="shared" ref="W261:W324" si="69">IFERROR(((V261-T261)/V261),0)</f>
        <v>0</v>
      </c>
      <c r="X261" s="5">
        <f t="shared" si="63"/>
        <v>1064</v>
      </c>
      <c r="Y261" s="11">
        <v>0</v>
      </c>
      <c r="Z261" s="5">
        <f>X261+(X261*Y261)</f>
        <v>1064</v>
      </c>
      <c r="AA261" s="11">
        <f t="shared" si="65"/>
        <v>0</v>
      </c>
      <c r="AB261" s="11">
        <v>0.1</v>
      </c>
    </row>
    <row r="262" spans="1:28">
      <c r="A262">
        <v>2026</v>
      </c>
      <c r="B262" t="s">
        <v>167</v>
      </c>
      <c r="C262" t="s">
        <v>12</v>
      </c>
      <c r="D262" t="s">
        <v>13</v>
      </c>
      <c r="E262" t="s">
        <v>217</v>
      </c>
      <c r="G262" t="s">
        <v>14</v>
      </c>
      <c r="H262" t="s">
        <v>14</v>
      </c>
      <c r="I262" t="s">
        <v>18</v>
      </c>
      <c r="J262">
        <v>1</v>
      </c>
      <c r="K262" t="s">
        <v>16</v>
      </c>
      <c r="L262">
        <v>1086.232</v>
      </c>
      <c r="M262" s="5">
        <v>1086.232</v>
      </c>
      <c r="O262" s="5">
        <f t="shared" ref="O262:O275" si="70">Z262</f>
        <v>1086.232</v>
      </c>
      <c r="P262" s="5">
        <f t="shared" si="61"/>
        <v>0</v>
      </c>
      <c r="Q262" s="11">
        <v>0</v>
      </c>
      <c r="R262" s="5">
        <f t="shared" si="54"/>
        <v>0</v>
      </c>
      <c r="S262" s="11">
        <f t="shared" si="62"/>
        <v>0</v>
      </c>
      <c r="T262" s="5">
        <f t="shared" si="67"/>
        <v>0</v>
      </c>
      <c r="U262" s="11">
        <v>0</v>
      </c>
      <c r="V262" s="5">
        <f t="shared" si="68"/>
        <v>0</v>
      </c>
      <c r="W262" s="11">
        <f t="shared" si="69"/>
        <v>0</v>
      </c>
      <c r="X262" s="5">
        <f t="shared" si="63"/>
        <v>1086.232</v>
      </c>
      <c r="Y262" s="11">
        <v>0</v>
      </c>
      <c r="Z262" s="5">
        <f t="shared" ref="Z262:Z275" si="71">X262+(X262*Y262)</f>
        <v>1086.232</v>
      </c>
      <c r="AA262" s="11">
        <f t="shared" si="65"/>
        <v>0</v>
      </c>
      <c r="AB262" s="11">
        <v>0.1</v>
      </c>
    </row>
    <row r="263" spans="1:28">
      <c r="A263">
        <v>2026</v>
      </c>
      <c r="B263" t="s">
        <v>167</v>
      </c>
      <c r="C263" t="s">
        <v>12</v>
      </c>
      <c r="D263" t="s">
        <v>13</v>
      </c>
      <c r="E263" t="s">
        <v>218</v>
      </c>
      <c r="G263" t="s">
        <v>14</v>
      </c>
      <c r="H263" t="s">
        <v>14</v>
      </c>
      <c r="I263" t="s">
        <v>20</v>
      </c>
      <c r="J263">
        <v>4</v>
      </c>
      <c r="K263" t="s">
        <v>16</v>
      </c>
      <c r="L263">
        <v>370</v>
      </c>
      <c r="M263" s="5">
        <v>1480</v>
      </c>
      <c r="O263" s="5">
        <f t="shared" si="70"/>
        <v>1480</v>
      </c>
      <c r="P263" s="5">
        <f t="shared" si="61"/>
        <v>0</v>
      </c>
      <c r="Q263" s="11">
        <v>0</v>
      </c>
      <c r="R263" s="5">
        <f t="shared" si="54"/>
        <v>0</v>
      </c>
      <c r="S263" s="11">
        <f t="shared" si="62"/>
        <v>0</v>
      </c>
      <c r="T263" s="5">
        <f t="shared" si="67"/>
        <v>0</v>
      </c>
      <c r="U263" s="11">
        <v>0</v>
      </c>
      <c r="V263" s="5">
        <f t="shared" si="68"/>
        <v>0</v>
      </c>
      <c r="W263" s="11">
        <f t="shared" si="69"/>
        <v>0</v>
      </c>
      <c r="X263" s="5">
        <f t="shared" si="63"/>
        <v>1480</v>
      </c>
      <c r="Y263" s="11">
        <v>0</v>
      </c>
      <c r="Z263" s="5">
        <f t="shared" si="71"/>
        <v>1480</v>
      </c>
      <c r="AA263" s="11">
        <f t="shared" si="65"/>
        <v>0</v>
      </c>
      <c r="AB263" s="11">
        <v>0.1</v>
      </c>
    </row>
    <row r="264" spans="1:28">
      <c r="A264">
        <v>2026</v>
      </c>
      <c r="B264" t="s">
        <v>167</v>
      </c>
      <c r="C264" t="s">
        <v>12</v>
      </c>
      <c r="D264" t="s">
        <v>13</v>
      </c>
      <c r="E264" t="s">
        <v>219</v>
      </c>
      <c r="G264" t="s">
        <v>14</v>
      </c>
      <c r="H264" t="s">
        <v>14</v>
      </c>
      <c r="I264" t="s">
        <v>44</v>
      </c>
      <c r="J264">
        <v>1</v>
      </c>
      <c r="K264" t="s">
        <v>16</v>
      </c>
      <c r="L264">
        <v>2643</v>
      </c>
      <c r="M264" s="5">
        <v>2643</v>
      </c>
      <c r="O264" s="5">
        <f t="shared" si="70"/>
        <v>2643</v>
      </c>
      <c r="P264" s="5">
        <f t="shared" si="61"/>
        <v>0</v>
      </c>
      <c r="Q264" s="11">
        <v>0</v>
      </c>
      <c r="R264" s="5">
        <f t="shared" si="54"/>
        <v>0</v>
      </c>
      <c r="S264" s="11">
        <f t="shared" si="62"/>
        <v>0</v>
      </c>
      <c r="T264" s="5">
        <f t="shared" si="67"/>
        <v>0</v>
      </c>
      <c r="U264" s="11">
        <v>0</v>
      </c>
      <c r="V264" s="5">
        <f t="shared" si="68"/>
        <v>0</v>
      </c>
      <c r="W264" s="11">
        <f t="shared" si="69"/>
        <v>0</v>
      </c>
      <c r="X264" s="5">
        <f t="shared" si="63"/>
        <v>2643</v>
      </c>
      <c r="Y264" s="11">
        <v>0</v>
      </c>
      <c r="Z264" s="5">
        <f t="shared" si="71"/>
        <v>2643</v>
      </c>
      <c r="AA264" s="11">
        <f t="shared" si="65"/>
        <v>0</v>
      </c>
      <c r="AB264" s="11">
        <v>0.1</v>
      </c>
    </row>
    <row r="265" spans="1:28">
      <c r="A265">
        <v>2026</v>
      </c>
      <c r="B265" t="s">
        <v>167</v>
      </c>
      <c r="C265" t="s">
        <v>12</v>
      </c>
      <c r="D265" t="s">
        <v>13</v>
      </c>
      <c r="E265" t="s">
        <v>220</v>
      </c>
      <c r="G265" t="s">
        <v>14</v>
      </c>
      <c r="H265" t="s">
        <v>14</v>
      </c>
      <c r="I265" t="s">
        <v>24</v>
      </c>
      <c r="J265">
        <v>1</v>
      </c>
      <c r="K265" t="s">
        <v>16</v>
      </c>
      <c r="L265">
        <v>135.66</v>
      </c>
      <c r="M265" s="5">
        <v>135.66</v>
      </c>
      <c r="O265" s="5">
        <f t="shared" si="70"/>
        <v>135.66</v>
      </c>
      <c r="P265" s="5">
        <f t="shared" si="61"/>
        <v>0</v>
      </c>
      <c r="Q265" s="11">
        <v>0</v>
      </c>
      <c r="R265" s="5">
        <f t="shared" si="54"/>
        <v>0</v>
      </c>
      <c r="S265" s="11">
        <f t="shared" si="62"/>
        <v>0</v>
      </c>
      <c r="T265" s="5">
        <f t="shared" si="67"/>
        <v>0</v>
      </c>
      <c r="U265" s="11">
        <v>0</v>
      </c>
      <c r="V265" s="5">
        <f t="shared" si="68"/>
        <v>0</v>
      </c>
      <c r="W265" s="11">
        <f t="shared" si="69"/>
        <v>0</v>
      </c>
      <c r="X265" s="5">
        <f t="shared" si="63"/>
        <v>135.66</v>
      </c>
      <c r="Y265" s="11">
        <v>0</v>
      </c>
      <c r="Z265" s="5">
        <f t="shared" si="71"/>
        <v>135.66</v>
      </c>
      <c r="AA265" s="11">
        <f t="shared" si="65"/>
        <v>0</v>
      </c>
      <c r="AB265" s="11">
        <v>0.1</v>
      </c>
    </row>
    <row r="266" spans="1:28">
      <c r="A266">
        <v>2026</v>
      </c>
      <c r="B266" t="s">
        <v>167</v>
      </c>
      <c r="C266" t="s">
        <v>12</v>
      </c>
      <c r="D266" t="s">
        <v>13</v>
      </c>
      <c r="E266" t="s">
        <v>221</v>
      </c>
      <c r="G266" t="s">
        <v>14</v>
      </c>
      <c r="H266" t="s">
        <v>14</v>
      </c>
      <c r="I266" t="s">
        <v>25</v>
      </c>
      <c r="J266">
        <v>1</v>
      </c>
      <c r="K266" t="s">
        <v>16</v>
      </c>
      <c r="L266">
        <v>3808</v>
      </c>
      <c r="M266" s="5">
        <v>3808</v>
      </c>
      <c r="O266" s="5">
        <f t="shared" si="70"/>
        <v>3808</v>
      </c>
      <c r="P266" s="5">
        <f t="shared" si="61"/>
        <v>0</v>
      </c>
      <c r="Q266" s="11">
        <v>0</v>
      </c>
      <c r="R266" s="5">
        <f t="shared" si="54"/>
        <v>0</v>
      </c>
      <c r="S266" s="11">
        <f t="shared" si="62"/>
        <v>0</v>
      </c>
      <c r="T266" s="5">
        <f t="shared" si="67"/>
        <v>0</v>
      </c>
      <c r="U266" s="11">
        <v>0</v>
      </c>
      <c r="V266" s="5">
        <f t="shared" si="68"/>
        <v>0</v>
      </c>
      <c r="W266" s="11">
        <f t="shared" si="69"/>
        <v>0</v>
      </c>
      <c r="X266" s="5">
        <f t="shared" si="63"/>
        <v>3808</v>
      </c>
      <c r="Y266" s="11">
        <v>0</v>
      </c>
      <c r="Z266" s="5">
        <f t="shared" si="71"/>
        <v>3808</v>
      </c>
      <c r="AA266" s="11">
        <f t="shared" si="65"/>
        <v>0</v>
      </c>
      <c r="AB266" s="11">
        <v>0.1</v>
      </c>
    </row>
    <row r="267" spans="1:28">
      <c r="A267">
        <v>2026</v>
      </c>
      <c r="B267" t="s">
        <v>167</v>
      </c>
      <c r="C267" t="s">
        <v>12</v>
      </c>
      <c r="D267" t="s">
        <v>13</v>
      </c>
      <c r="E267" t="s">
        <v>222</v>
      </c>
      <c r="G267" t="s">
        <v>14</v>
      </c>
      <c r="H267" t="s">
        <v>14</v>
      </c>
      <c r="I267" t="s">
        <v>26</v>
      </c>
      <c r="J267">
        <v>1</v>
      </c>
      <c r="K267" t="s">
        <v>16</v>
      </c>
      <c r="L267">
        <v>111.86</v>
      </c>
      <c r="M267" s="5">
        <v>111.86</v>
      </c>
      <c r="O267" s="5">
        <f t="shared" si="70"/>
        <v>111.86</v>
      </c>
      <c r="P267" s="5">
        <f t="shared" si="61"/>
        <v>0</v>
      </c>
      <c r="Q267" s="11">
        <v>0</v>
      </c>
      <c r="R267" s="5">
        <f t="shared" si="54"/>
        <v>0</v>
      </c>
      <c r="S267" s="11">
        <f t="shared" si="62"/>
        <v>0</v>
      </c>
      <c r="T267" s="5">
        <f t="shared" si="67"/>
        <v>0</v>
      </c>
      <c r="U267" s="11">
        <v>0</v>
      </c>
      <c r="V267" s="5">
        <f t="shared" si="68"/>
        <v>0</v>
      </c>
      <c r="W267" s="11">
        <f t="shared" si="69"/>
        <v>0</v>
      </c>
      <c r="X267" s="5">
        <f t="shared" si="63"/>
        <v>111.86</v>
      </c>
      <c r="Y267" s="11">
        <v>0</v>
      </c>
      <c r="Z267" s="5">
        <f t="shared" si="71"/>
        <v>111.86</v>
      </c>
      <c r="AA267" s="11">
        <f t="shared" si="65"/>
        <v>0</v>
      </c>
      <c r="AB267" s="11">
        <v>0.1</v>
      </c>
    </row>
    <row r="268" spans="1:28">
      <c r="A268">
        <v>2026</v>
      </c>
      <c r="B268" t="s">
        <v>167</v>
      </c>
      <c r="C268" t="s">
        <v>12</v>
      </c>
      <c r="D268" t="s">
        <v>13</v>
      </c>
      <c r="E268" t="s">
        <v>223</v>
      </c>
      <c r="G268" t="s">
        <v>14</v>
      </c>
      <c r="H268" t="s">
        <v>14</v>
      </c>
      <c r="I268" t="s">
        <v>66</v>
      </c>
      <c r="J268">
        <v>2</v>
      </c>
      <c r="K268" t="s">
        <v>16</v>
      </c>
      <c r="L268">
        <v>80300</v>
      </c>
      <c r="M268" s="5">
        <v>642.4</v>
      </c>
      <c r="O268" s="5">
        <f t="shared" si="70"/>
        <v>642.4</v>
      </c>
      <c r="P268" s="5">
        <f t="shared" si="61"/>
        <v>0</v>
      </c>
      <c r="Q268" s="11">
        <v>0</v>
      </c>
      <c r="R268" s="5">
        <f t="shared" si="54"/>
        <v>0</v>
      </c>
      <c r="S268" s="11">
        <f t="shared" si="62"/>
        <v>0</v>
      </c>
      <c r="T268" s="5">
        <f t="shared" si="67"/>
        <v>0</v>
      </c>
      <c r="U268" s="11">
        <v>0</v>
      </c>
      <c r="V268" s="5">
        <f t="shared" si="68"/>
        <v>0</v>
      </c>
      <c r="W268" s="11">
        <f t="shared" si="69"/>
        <v>0</v>
      </c>
      <c r="X268" s="5">
        <f t="shared" si="63"/>
        <v>642.4</v>
      </c>
      <c r="Y268" s="11">
        <v>0</v>
      </c>
      <c r="Z268" s="5">
        <f t="shared" si="71"/>
        <v>642.4</v>
      </c>
      <c r="AA268" s="11">
        <f t="shared" si="65"/>
        <v>0</v>
      </c>
      <c r="AB268" s="11">
        <v>0.1</v>
      </c>
    </row>
    <row r="269" spans="1:28">
      <c r="A269">
        <v>2026</v>
      </c>
      <c r="B269" t="s">
        <v>167</v>
      </c>
      <c r="C269" t="s">
        <v>12</v>
      </c>
      <c r="D269" t="s">
        <v>13</v>
      </c>
      <c r="E269" t="s">
        <v>224</v>
      </c>
      <c r="G269" t="s">
        <v>14</v>
      </c>
      <c r="H269" t="s">
        <v>14</v>
      </c>
      <c r="I269" t="s">
        <v>28</v>
      </c>
      <c r="J269">
        <v>2</v>
      </c>
      <c r="K269" t="s">
        <v>16</v>
      </c>
      <c r="L269">
        <v>17888.080000000002</v>
      </c>
      <c r="M269" s="5">
        <v>35776.160000000003</v>
      </c>
      <c r="O269" s="5">
        <f t="shared" si="70"/>
        <v>35776.160000000003</v>
      </c>
      <c r="P269" s="5">
        <f t="shared" si="61"/>
        <v>0</v>
      </c>
      <c r="Q269" s="11">
        <v>0</v>
      </c>
      <c r="R269" s="5">
        <f t="shared" si="54"/>
        <v>0</v>
      </c>
      <c r="S269" s="11">
        <f t="shared" si="62"/>
        <v>0</v>
      </c>
      <c r="T269" s="5">
        <f t="shared" si="67"/>
        <v>0</v>
      </c>
      <c r="U269" s="11">
        <v>0</v>
      </c>
      <c r="V269" s="5">
        <f t="shared" si="68"/>
        <v>0</v>
      </c>
      <c r="W269" s="11">
        <f t="shared" si="69"/>
        <v>0</v>
      </c>
      <c r="X269" s="5">
        <f t="shared" si="63"/>
        <v>35776.160000000003</v>
      </c>
      <c r="Y269" s="11">
        <v>0</v>
      </c>
      <c r="Z269" s="5">
        <f t="shared" si="71"/>
        <v>35776.160000000003</v>
      </c>
      <c r="AA269" s="11">
        <f t="shared" si="65"/>
        <v>0</v>
      </c>
      <c r="AB269" s="11">
        <v>0.1</v>
      </c>
    </row>
    <row r="270" spans="1:28">
      <c r="A270">
        <v>2026</v>
      </c>
      <c r="B270" t="s">
        <v>167</v>
      </c>
      <c r="C270" t="s">
        <v>12</v>
      </c>
      <c r="D270" t="s">
        <v>13</v>
      </c>
      <c r="E270" t="s">
        <v>225</v>
      </c>
      <c r="G270" t="s">
        <v>14</v>
      </c>
      <c r="H270" t="s">
        <v>14</v>
      </c>
      <c r="I270" t="s">
        <v>29</v>
      </c>
      <c r="J270">
        <v>2</v>
      </c>
      <c r="K270" t="s">
        <v>16</v>
      </c>
      <c r="L270">
        <v>337.3837894736842</v>
      </c>
      <c r="M270" s="5">
        <v>674.76757894736841</v>
      </c>
      <c r="O270" s="5">
        <f t="shared" si="70"/>
        <v>674.76757894736841</v>
      </c>
      <c r="P270" s="5">
        <f t="shared" si="61"/>
        <v>0</v>
      </c>
      <c r="Q270" s="11">
        <v>0</v>
      </c>
      <c r="R270" s="5">
        <f t="shared" si="54"/>
        <v>0</v>
      </c>
      <c r="S270" s="11">
        <f t="shared" si="62"/>
        <v>0</v>
      </c>
      <c r="T270" s="5">
        <f t="shared" si="67"/>
        <v>0</v>
      </c>
      <c r="U270" s="11">
        <v>0</v>
      </c>
      <c r="V270" s="5">
        <f t="shared" si="68"/>
        <v>0</v>
      </c>
      <c r="W270" s="11">
        <f t="shared" si="69"/>
        <v>0</v>
      </c>
      <c r="X270" s="5">
        <f t="shared" si="63"/>
        <v>674.76757894736841</v>
      </c>
      <c r="Y270" s="11">
        <v>0</v>
      </c>
      <c r="Z270" s="5">
        <f t="shared" si="71"/>
        <v>674.76757894736841</v>
      </c>
      <c r="AA270" s="11">
        <f t="shared" si="65"/>
        <v>0</v>
      </c>
      <c r="AB270" s="11">
        <v>0.1</v>
      </c>
    </row>
    <row r="271" spans="1:28">
      <c r="A271">
        <v>2026</v>
      </c>
      <c r="B271" t="s">
        <v>167</v>
      </c>
      <c r="C271" t="s">
        <v>12</v>
      </c>
      <c r="D271" t="s">
        <v>13</v>
      </c>
      <c r="E271" t="s">
        <v>226</v>
      </c>
      <c r="G271" t="s">
        <v>14</v>
      </c>
      <c r="H271" t="s">
        <v>14</v>
      </c>
      <c r="I271" t="s">
        <v>154</v>
      </c>
      <c r="J271">
        <v>1</v>
      </c>
      <c r="K271" t="s">
        <v>16</v>
      </c>
      <c r="L271">
        <v>67900</v>
      </c>
      <c r="M271" s="5">
        <v>6790</v>
      </c>
      <c r="O271" s="5">
        <f t="shared" si="70"/>
        <v>6790</v>
      </c>
      <c r="P271" s="5">
        <f t="shared" si="61"/>
        <v>0</v>
      </c>
      <c r="Q271" s="11">
        <v>0</v>
      </c>
      <c r="R271" s="5">
        <f t="shared" si="54"/>
        <v>0</v>
      </c>
      <c r="S271" s="11">
        <f t="shared" si="62"/>
        <v>0</v>
      </c>
      <c r="T271" s="5">
        <f t="shared" si="67"/>
        <v>0</v>
      </c>
      <c r="U271" s="11">
        <v>0</v>
      </c>
      <c r="V271" s="5">
        <f t="shared" si="68"/>
        <v>0</v>
      </c>
      <c r="W271" s="11">
        <f t="shared" si="69"/>
        <v>0</v>
      </c>
      <c r="X271" s="5">
        <f t="shared" si="63"/>
        <v>6790</v>
      </c>
      <c r="Y271" s="11">
        <v>0</v>
      </c>
      <c r="Z271" s="5">
        <f t="shared" si="71"/>
        <v>6790</v>
      </c>
      <c r="AA271" s="11">
        <f t="shared" si="65"/>
        <v>0</v>
      </c>
      <c r="AB271" s="11">
        <v>0.1</v>
      </c>
    </row>
    <row r="272" spans="1:28">
      <c r="A272">
        <v>2026</v>
      </c>
      <c r="B272" t="s">
        <v>167</v>
      </c>
      <c r="C272" t="s">
        <v>12</v>
      </c>
      <c r="D272" t="s">
        <v>13</v>
      </c>
      <c r="E272" t="s">
        <v>227</v>
      </c>
      <c r="G272" t="s">
        <v>14</v>
      </c>
      <c r="H272" t="s">
        <v>14</v>
      </c>
      <c r="I272" t="s">
        <v>155</v>
      </c>
      <c r="J272">
        <v>1</v>
      </c>
      <c r="K272" t="s">
        <v>16</v>
      </c>
      <c r="L272">
        <v>50300</v>
      </c>
      <c r="M272" s="5">
        <v>5030</v>
      </c>
      <c r="O272" s="5">
        <f t="shared" si="70"/>
        <v>5030</v>
      </c>
      <c r="P272" s="5">
        <f t="shared" si="61"/>
        <v>0</v>
      </c>
      <c r="Q272" s="11">
        <v>0</v>
      </c>
      <c r="R272" s="5">
        <f t="shared" si="54"/>
        <v>0</v>
      </c>
      <c r="S272" s="11">
        <f t="shared" si="62"/>
        <v>0</v>
      </c>
      <c r="T272" s="5">
        <f t="shared" si="67"/>
        <v>0</v>
      </c>
      <c r="U272" s="11">
        <v>0</v>
      </c>
      <c r="V272" s="5">
        <f t="shared" si="68"/>
        <v>0</v>
      </c>
      <c r="W272" s="11">
        <f t="shared" si="69"/>
        <v>0</v>
      </c>
      <c r="X272" s="5">
        <f t="shared" si="63"/>
        <v>5030</v>
      </c>
      <c r="Y272" s="11">
        <v>0</v>
      </c>
      <c r="Z272" s="5">
        <f t="shared" si="71"/>
        <v>5030</v>
      </c>
      <c r="AA272" s="11">
        <f t="shared" si="65"/>
        <v>0</v>
      </c>
      <c r="AB272" s="11">
        <v>0.1</v>
      </c>
    </row>
    <row r="273" spans="1:28">
      <c r="A273">
        <v>2026</v>
      </c>
      <c r="B273" t="s">
        <v>167</v>
      </c>
      <c r="C273" t="s">
        <v>12</v>
      </c>
      <c r="D273" t="s">
        <v>13</v>
      </c>
      <c r="E273" t="s">
        <v>228</v>
      </c>
      <c r="G273" t="s">
        <v>14</v>
      </c>
      <c r="H273" t="s">
        <v>14</v>
      </c>
      <c r="I273" t="s">
        <v>152</v>
      </c>
      <c r="J273">
        <v>1</v>
      </c>
      <c r="K273" t="s">
        <v>16</v>
      </c>
      <c r="L273">
        <v>43500</v>
      </c>
      <c r="M273" s="5">
        <v>3625</v>
      </c>
      <c r="O273" s="5">
        <f t="shared" si="70"/>
        <v>3625</v>
      </c>
      <c r="P273" s="5">
        <f t="shared" si="61"/>
        <v>0</v>
      </c>
      <c r="Q273" s="11">
        <v>0</v>
      </c>
      <c r="R273" s="5">
        <f t="shared" si="54"/>
        <v>0</v>
      </c>
      <c r="S273" s="11">
        <f t="shared" si="62"/>
        <v>0</v>
      </c>
      <c r="T273" s="5">
        <f t="shared" si="67"/>
        <v>0</v>
      </c>
      <c r="U273" s="11">
        <v>0</v>
      </c>
      <c r="V273" s="5">
        <f t="shared" si="68"/>
        <v>0</v>
      </c>
      <c r="W273" s="11">
        <f t="shared" si="69"/>
        <v>0</v>
      </c>
      <c r="X273" s="5">
        <f t="shared" si="63"/>
        <v>3625</v>
      </c>
      <c r="Y273" s="11">
        <v>0</v>
      </c>
      <c r="Z273" s="5">
        <f t="shared" si="71"/>
        <v>3625</v>
      </c>
      <c r="AA273" s="11">
        <f t="shared" si="65"/>
        <v>0</v>
      </c>
      <c r="AB273" s="11">
        <v>0.1</v>
      </c>
    </row>
    <row r="274" spans="1:28">
      <c r="A274">
        <v>2026</v>
      </c>
      <c r="B274" t="s">
        <v>167</v>
      </c>
      <c r="C274" t="s">
        <v>12</v>
      </c>
      <c r="D274" t="s">
        <v>13</v>
      </c>
      <c r="E274">
        <v>1965</v>
      </c>
      <c r="F274">
        <v>1600</v>
      </c>
      <c r="G274" t="s">
        <v>32</v>
      </c>
      <c r="H274" t="s">
        <v>32</v>
      </c>
      <c r="I274" t="s">
        <v>35</v>
      </c>
      <c r="J274">
        <v>80</v>
      </c>
      <c r="K274" t="s">
        <v>38</v>
      </c>
      <c r="L274">
        <v>201.61</v>
      </c>
      <c r="M274" s="5">
        <f>+L274*F274</f>
        <v>322576</v>
      </c>
      <c r="O274" s="5">
        <f t="shared" si="70"/>
        <v>322576</v>
      </c>
      <c r="P274" s="5">
        <f t="shared" si="61"/>
        <v>0</v>
      </c>
      <c r="Q274" s="11">
        <v>0</v>
      </c>
      <c r="R274" s="5">
        <f t="shared" si="54"/>
        <v>0</v>
      </c>
      <c r="S274" s="11">
        <f t="shared" si="62"/>
        <v>0</v>
      </c>
      <c r="T274" s="5">
        <f t="shared" si="67"/>
        <v>0</v>
      </c>
      <c r="U274" s="11">
        <v>0</v>
      </c>
      <c r="V274" s="5">
        <f t="shared" si="68"/>
        <v>0</v>
      </c>
      <c r="W274" s="11">
        <f t="shared" si="69"/>
        <v>0</v>
      </c>
      <c r="X274" s="5">
        <f t="shared" si="63"/>
        <v>322576</v>
      </c>
      <c r="Y274" s="11">
        <v>0</v>
      </c>
      <c r="Z274" s="5">
        <f t="shared" si="71"/>
        <v>322576</v>
      </c>
      <c r="AA274" s="11">
        <f t="shared" si="65"/>
        <v>0</v>
      </c>
      <c r="AB274" s="11">
        <v>0.1</v>
      </c>
    </row>
    <row r="275" spans="1:28">
      <c r="A275">
        <v>2026</v>
      </c>
      <c r="B275" t="s">
        <v>167</v>
      </c>
      <c r="C275" t="s">
        <v>12</v>
      </c>
      <c r="D275" t="s">
        <v>13</v>
      </c>
      <c r="E275">
        <v>1965</v>
      </c>
      <c r="G275" t="s">
        <v>36</v>
      </c>
      <c r="H275" t="s">
        <v>36</v>
      </c>
      <c r="I275" t="s">
        <v>37</v>
      </c>
      <c r="J275">
        <v>3</v>
      </c>
      <c r="K275" t="s">
        <v>16</v>
      </c>
      <c r="L275">
        <v>3000</v>
      </c>
      <c r="M275" s="5">
        <v>12657</v>
      </c>
      <c r="O275" s="5">
        <f t="shared" si="70"/>
        <v>12657</v>
      </c>
      <c r="P275" s="5">
        <f t="shared" si="61"/>
        <v>0</v>
      </c>
      <c r="Q275" s="11">
        <v>0</v>
      </c>
      <c r="R275" s="5">
        <f t="shared" si="54"/>
        <v>0</v>
      </c>
      <c r="S275" s="11">
        <f t="shared" si="62"/>
        <v>0</v>
      </c>
      <c r="T275" s="5">
        <f t="shared" si="67"/>
        <v>0</v>
      </c>
      <c r="U275" s="11">
        <v>0</v>
      </c>
      <c r="V275" s="5">
        <f t="shared" si="68"/>
        <v>0</v>
      </c>
      <c r="W275" s="11">
        <f t="shared" si="69"/>
        <v>0</v>
      </c>
      <c r="X275" s="5">
        <f t="shared" si="63"/>
        <v>12657</v>
      </c>
      <c r="Y275" s="11">
        <v>0</v>
      </c>
      <c r="Z275" s="5">
        <f t="shared" si="71"/>
        <v>12657</v>
      </c>
      <c r="AA275" s="11">
        <f t="shared" si="65"/>
        <v>0</v>
      </c>
      <c r="AB275" s="11">
        <v>0.1</v>
      </c>
    </row>
    <row r="276" spans="1:28">
      <c r="A276">
        <v>2026</v>
      </c>
      <c r="B276" t="s">
        <v>175</v>
      </c>
      <c r="C276" t="s">
        <v>12</v>
      </c>
      <c r="D276" t="s">
        <v>13</v>
      </c>
      <c r="E276" t="s">
        <v>216</v>
      </c>
      <c r="G276" t="s">
        <v>14</v>
      </c>
      <c r="H276" t="s">
        <v>14</v>
      </c>
      <c r="I276" t="s">
        <v>15</v>
      </c>
      <c r="J276">
        <v>4</v>
      </c>
      <c r="K276" t="s">
        <v>16</v>
      </c>
      <c r="L276">
        <v>266</v>
      </c>
      <c r="M276" s="5">
        <v>1064</v>
      </c>
      <c r="O276" s="5">
        <f>Z276</f>
        <v>1064</v>
      </c>
      <c r="P276" s="5">
        <f t="shared" si="61"/>
        <v>0</v>
      </c>
      <c r="Q276" s="11">
        <v>0</v>
      </c>
      <c r="R276" s="5">
        <f t="shared" si="54"/>
        <v>0</v>
      </c>
      <c r="S276" s="11">
        <f t="shared" si="62"/>
        <v>0</v>
      </c>
      <c r="T276" s="5">
        <f t="shared" si="67"/>
        <v>0</v>
      </c>
      <c r="U276" s="11">
        <v>0</v>
      </c>
      <c r="V276" s="5">
        <f t="shared" si="68"/>
        <v>0</v>
      </c>
      <c r="W276" s="11">
        <f t="shared" si="69"/>
        <v>0</v>
      </c>
      <c r="X276" s="5">
        <f t="shared" si="63"/>
        <v>1064</v>
      </c>
      <c r="Y276" s="11">
        <v>0</v>
      </c>
      <c r="Z276" s="5">
        <f>X276+(X276*Y276)</f>
        <v>1064</v>
      </c>
      <c r="AA276" s="11">
        <f t="shared" si="65"/>
        <v>0</v>
      </c>
      <c r="AB276" s="11">
        <v>0.1</v>
      </c>
    </row>
    <row r="277" spans="1:28">
      <c r="A277">
        <v>2026</v>
      </c>
      <c r="B277" t="s">
        <v>175</v>
      </c>
      <c r="C277" t="s">
        <v>12</v>
      </c>
      <c r="D277" t="s">
        <v>13</v>
      </c>
      <c r="E277" t="s">
        <v>217</v>
      </c>
      <c r="G277" t="s">
        <v>14</v>
      </c>
      <c r="H277" t="s">
        <v>14</v>
      </c>
      <c r="I277" t="s">
        <v>18</v>
      </c>
      <c r="J277">
        <v>1</v>
      </c>
      <c r="K277" t="s">
        <v>16</v>
      </c>
      <c r="L277">
        <v>1086.232</v>
      </c>
      <c r="M277" s="5">
        <v>1086.232</v>
      </c>
      <c r="O277" s="5">
        <f t="shared" ref="O277:O290" si="72">Z277</f>
        <v>1086.232</v>
      </c>
      <c r="P277" s="5">
        <f t="shared" si="61"/>
        <v>0</v>
      </c>
      <c r="Q277" s="11">
        <v>0</v>
      </c>
      <c r="R277" s="5">
        <f t="shared" ref="R277:R340" si="73">P277+(P277*Q277)</f>
        <v>0</v>
      </c>
      <c r="S277" s="11">
        <f t="shared" si="62"/>
        <v>0</v>
      </c>
      <c r="T277" s="5">
        <f t="shared" si="67"/>
        <v>0</v>
      </c>
      <c r="U277" s="11">
        <v>0</v>
      </c>
      <c r="V277" s="5">
        <f t="shared" si="68"/>
        <v>0</v>
      </c>
      <c r="W277" s="11">
        <f t="shared" si="69"/>
        <v>0</v>
      </c>
      <c r="X277" s="5">
        <f t="shared" si="63"/>
        <v>1086.232</v>
      </c>
      <c r="Y277" s="11">
        <v>0</v>
      </c>
      <c r="Z277" s="5">
        <f t="shared" ref="Z277:Z290" si="74">X277+(X277*Y277)</f>
        <v>1086.232</v>
      </c>
      <c r="AA277" s="11">
        <f t="shared" si="65"/>
        <v>0</v>
      </c>
      <c r="AB277" s="11">
        <v>0.1</v>
      </c>
    </row>
    <row r="278" spans="1:28">
      <c r="A278">
        <v>2026</v>
      </c>
      <c r="B278" t="s">
        <v>175</v>
      </c>
      <c r="C278" t="s">
        <v>12</v>
      </c>
      <c r="D278" t="s">
        <v>13</v>
      </c>
      <c r="E278" t="s">
        <v>218</v>
      </c>
      <c r="G278" t="s">
        <v>14</v>
      </c>
      <c r="H278" t="s">
        <v>14</v>
      </c>
      <c r="I278" t="s">
        <v>20</v>
      </c>
      <c r="J278">
        <v>4</v>
      </c>
      <c r="K278" t="s">
        <v>16</v>
      </c>
      <c r="L278">
        <v>370</v>
      </c>
      <c r="M278" s="5">
        <v>1480</v>
      </c>
      <c r="O278" s="5">
        <f t="shared" si="72"/>
        <v>1480</v>
      </c>
      <c r="P278" s="5">
        <f t="shared" si="61"/>
        <v>0</v>
      </c>
      <c r="Q278" s="11">
        <v>0</v>
      </c>
      <c r="R278" s="5">
        <f t="shared" si="73"/>
        <v>0</v>
      </c>
      <c r="S278" s="11">
        <f t="shared" si="62"/>
        <v>0</v>
      </c>
      <c r="T278" s="5">
        <f t="shared" si="67"/>
        <v>0</v>
      </c>
      <c r="U278" s="11">
        <v>0</v>
      </c>
      <c r="V278" s="5">
        <f t="shared" si="68"/>
        <v>0</v>
      </c>
      <c r="W278" s="11">
        <f t="shared" si="69"/>
        <v>0</v>
      </c>
      <c r="X278" s="5">
        <f t="shared" si="63"/>
        <v>1480</v>
      </c>
      <c r="Y278" s="11">
        <v>0</v>
      </c>
      <c r="Z278" s="5">
        <f t="shared" si="74"/>
        <v>1480</v>
      </c>
      <c r="AA278" s="11">
        <f t="shared" si="65"/>
        <v>0</v>
      </c>
      <c r="AB278" s="11">
        <v>0.1</v>
      </c>
    </row>
    <row r="279" spans="1:28">
      <c r="A279">
        <v>2026</v>
      </c>
      <c r="B279" t="s">
        <v>175</v>
      </c>
      <c r="C279" t="s">
        <v>12</v>
      </c>
      <c r="D279" t="s">
        <v>13</v>
      </c>
      <c r="E279" t="s">
        <v>219</v>
      </c>
      <c r="G279" t="s">
        <v>14</v>
      </c>
      <c r="H279" t="s">
        <v>14</v>
      </c>
      <c r="I279" t="s">
        <v>44</v>
      </c>
      <c r="J279">
        <v>1</v>
      </c>
      <c r="K279" t="s">
        <v>16</v>
      </c>
      <c r="L279">
        <v>2643</v>
      </c>
      <c r="M279" s="5">
        <v>2643</v>
      </c>
      <c r="O279" s="5">
        <f t="shared" si="72"/>
        <v>2643</v>
      </c>
      <c r="P279" s="5">
        <f t="shared" si="61"/>
        <v>0</v>
      </c>
      <c r="Q279" s="11">
        <v>0</v>
      </c>
      <c r="R279" s="5">
        <f t="shared" si="73"/>
        <v>0</v>
      </c>
      <c r="S279" s="11">
        <f t="shared" si="62"/>
        <v>0</v>
      </c>
      <c r="T279" s="5">
        <f t="shared" si="67"/>
        <v>0</v>
      </c>
      <c r="U279" s="11">
        <v>0</v>
      </c>
      <c r="V279" s="5">
        <f t="shared" si="68"/>
        <v>0</v>
      </c>
      <c r="W279" s="11">
        <f t="shared" si="69"/>
        <v>0</v>
      </c>
      <c r="X279" s="5">
        <f t="shared" si="63"/>
        <v>2643</v>
      </c>
      <c r="Y279" s="11">
        <v>0</v>
      </c>
      <c r="Z279" s="5">
        <f t="shared" si="74"/>
        <v>2643</v>
      </c>
      <c r="AA279" s="11">
        <f t="shared" si="65"/>
        <v>0</v>
      </c>
      <c r="AB279" s="11">
        <v>0.1</v>
      </c>
    </row>
    <row r="280" spans="1:28">
      <c r="A280">
        <v>2026</v>
      </c>
      <c r="B280" t="s">
        <v>175</v>
      </c>
      <c r="C280" t="s">
        <v>12</v>
      </c>
      <c r="D280" t="s">
        <v>13</v>
      </c>
      <c r="E280" t="s">
        <v>220</v>
      </c>
      <c r="G280" t="s">
        <v>14</v>
      </c>
      <c r="H280" t="s">
        <v>14</v>
      </c>
      <c r="I280" t="s">
        <v>24</v>
      </c>
      <c r="J280">
        <v>1</v>
      </c>
      <c r="K280" t="s">
        <v>16</v>
      </c>
      <c r="L280">
        <v>135.66</v>
      </c>
      <c r="M280" s="5">
        <v>135.66</v>
      </c>
      <c r="O280" s="5">
        <f t="shared" si="72"/>
        <v>135.66</v>
      </c>
      <c r="P280" s="5">
        <f t="shared" si="61"/>
        <v>0</v>
      </c>
      <c r="Q280" s="11">
        <v>0</v>
      </c>
      <c r="R280" s="5">
        <f t="shared" si="73"/>
        <v>0</v>
      </c>
      <c r="S280" s="11">
        <f t="shared" si="62"/>
        <v>0</v>
      </c>
      <c r="T280" s="5">
        <f t="shared" si="67"/>
        <v>0</v>
      </c>
      <c r="U280" s="11">
        <v>0</v>
      </c>
      <c r="V280" s="5">
        <f t="shared" si="68"/>
        <v>0</v>
      </c>
      <c r="W280" s="11">
        <f t="shared" si="69"/>
        <v>0</v>
      </c>
      <c r="X280" s="5">
        <f t="shared" si="63"/>
        <v>135.66</v>
      </c>
      <c r="Y280" s="11">
        <v>0</v>
      </c>
      <c r="Z280" s="5">
        <f t="shared" si="74"/>
        <v>135.66</v>
      </c>
      <c r="AA280" s="11">
        <f t="shared" si="65"/>
        <v>0</v>
      </c>
      <c r="AB280" s="11">
        <v>0.1</v>
      </c>
    </row>
    <row r="281" spans="1:28">
      <c r="A281">
        <v>2026</v>
      </c>
      <c r="B281" t="s">
        <v>175</v>
      </c>
      <c r="C281" t="s">
        <v>12</v>
      </c>
      <c r="D281" t="s">
        <v>13</v>
      </c>
      <c r="E281" t="s">
        <v>221</v>
      </c>
      <c r="G281" t="s">
        <v>14</v>
      </c>
      <c r="H281" t="s">
        <v>14</v>
      </c>
      <c r="I281" t="s">
        <v>25</v>
      </c>
      <c r="J281">
        <v>1</v>
      </c>
      <c r="K281" t="s">
        <v>16</v>
      </c>
      <c r="L281">
        <v>3808</v>
      </c>
      <c r="M281" s="5">
        <v>3808</v>
      </c>
      <c r="O281" s="5">
        <f t="shared" si="72"/>
        <v>3808</v>
      </c>
      <c r="P281" s="5">
        <f t="shared" si="61"/>
        <v>0</v>
      </c>
      <c r="Q281" s="11">
        <v>0</v>
      </c>
      <c r="R281" s="5">
        <f t="shared" si="73"/>
        <v>0</v>
      </c>
      <c r="S281" s="11">
        <f t="shared" si="62"/>
        <v>0</v>
      </c>
      <c r="T281" s="5">
        <f t="shared" si="67"/>
        <v>0</v>
      </c>
      <c r="U281" s="11">
        <v>0</v>
      </c>
      <c r="V281" s="5">
        <f t="shared" si="68"/>
        <v>0</v>
      </c>
      <c r="W281" s="11">
        <f t="shared" si="69"/>
        <v>0</v>
      </c>
      <c r="X281" s="5">
        <f t="shared" si="63"/>
        <v>3808</v>
      </c>
      <c r="Y281" s="11">
        <v>0</v>
      </c>
      <c r="Z281" s="5">
        <f t="shared" si="74"/>
        <v>3808</v>
      </c>
      <c r="AA281" s="11">
        <f t="shared" si="65"/>
        <v>0</v>
      </c>
      <c r="AB281" s="11">
        <v>0.1</v>
      </c>
    </row>
    <row r="282" spans="1:28">
      <c r="A282">
        <v>2026</v>
      </c>
      <c r="B282" t="s">
        <v>175</v>
      </c>
      <c r="C282" t="s">
        <v>12</v>
      </c>
      <c r="D282" t="s">
        <v>13</v>
      </c>
      <c r="E282" t="s">
        <v>222</v>
      </c>
      <c r="G282" t="s">
        <v>14</v>
      </c>
      <c r="H282" t="s">
        <v>14</v>
      </c>
      <c r="I282" t="s">
        <v>26</v>
      </c>
      <c r="J282">
        <v>1</v>
      </c>
      <c r="K282" t="s">
        <v>16</v>
      </c>
      <c r="L282">
        <v>111.86</v>
      </c>
      <c r="M282" s="5">
        <v>111.86</v>
      </c>
      <c r="O282" s="5">
        <f t="shared" si="72"/>
        <v>111.86</v>
      </c>
      <c r="P282" s="5">
        <f t="shared" si="61"/>
        <v>0</v>
      </c>
      <c r="Q282" s="11">
        <v>0</v>
      </c>
      <c r="R282" s="5">
        <f t="shared" si="73"/>
        <v>0</v>
      </c>
      <c r="S282" s="11">
        <f t="shared" si="62"/>
        <v>0</v>
      </c>
      <c r="T282" s="5">
        <f t="shared" si="67"/>
        <v>0</v>
      </c>
      <c r="U282" s="11">
        <v>0</v>
      </c>
      <c r="V282" s="5">
        <f t="shared" si="68"/>
        <v>0</v>
      </c>
      <c r="W282" s="11">
        <f t="shared" si="69"/>
        <v>0</v>
      </c>
      <c r="X282" s="5">
        <f t="shared" si="63"/>
        <v>111.86</v>
      </c>
      <c r="Y282" s="11">
        <v>0</v>
      </c>
      <c r="Z282" s="5">
        <f t="shared" si="74"/>
        <v>111.86</v>
      </c>
      <c r="AA282" s="11">
        <f t="shared" si="65"/>
        <v>0</v>
      </c>
      <c r="AB282" s="11">
        <v>0.1</v>
      </c>
    </row>
    <row r="283" spans="1:28">
      <c r="A283">
        <v>2026</v>
      </c>
      <c r="B283" t="s">
        <v>175</v>
      </c>
      <c r="C283" t="s">
        <v>12</v>
      </c>
      <c r="D283" t="s">
        <v>13</v>
      </c>
      <c r="E283" t="s">
        <v>223</v>
      </c>
      <c r="G283" t="s">
        <v>14</v>
      </c>
      <c r="H283" t="s">
        <v>14</v>
      </c>
      <c r="I283" t="s">
        <v>66</v>
      </c>
      <c r="J283">
        <v>2</v>
      </c>
      <c r="K283" t="s">
        <v>16</v>
      </c>
      <c r="L283">
        <v>80300</v>
      </c>
      <c r="M283" s="5">
        <v>642.4</v>
      </c>
      <c r="O283" s="5">
        <f t="shared" si="72"/>
        <v>642.4</v>
      </c>
      <c r="P283" s="5">
        <f t="shared" si="61"/>
        <v>0</v>
      </c>
      <c r="Q283" s="11">
        <v>0</v>
      </c>
      <c r="R283" s="5">
        <f t="shared" si="73"/>
        <v>0</v>
      </c>
      <c r="S283" s="11">
        <f t="shared" si="62"/>
        <v>0</v>
      </c>
      <c r="T283" s="5">
        <f t="shared" si="67"/>
        <v>0</v>
      </c>
      <c r="U283" s="11">
        <v>0</v>
      </c>
      <c r="V283" s="5">
        <f t="shared" si="68"/>
        <v>0</v>
      </c>
      <c r="W283" s="11">
        <f t="shared" si="69"/>
        <v>0</v>
      </c>
      <c r="X283" s="5">
        <f t="shared" si="63"/>
        <v>642.4</v>
      </c>
      <c r="Y283" s="11">
        <v>0</v>
      </c>
      <c r="Z283" s="5">
        <f t="shared" si="74"/>
        <v>642.4</v>
      </c>
      <c r="AA283" s="11">
        <f t="shared" si="65"/>
        <v>0</v>
      </c>
      <c r="AB283" s="11">
        <v>0.1</v>
      </c>
    </row>
    <row r="284" spans="1:28">
      <c r="A284">
        <v>2026</v>
      </c>
      <c r="B284" t="s">
        <v>175</v>
      </c>
      <c r="C284" t="s">
        <v>12</v>
      </c>
      <c r="D284" t="s">
        <v>13</v>
      </c>
      <c r="E284" t="s">
        <v>224</v>
      </c>
      <c r="G284" t="s">
        <v>14</v>
      </c>
      <c r="H284" t="s">
        <v>14</v>
      </c>
      <c r="I284" t="s">
        <v>28</v>
      </c>
      <c r="J284">
        <v>2</v>
      </c>
      <c r="K284" t="s">
        <v>16</v>
      </c>
      <c r="L284">
        <v>17888.080000000002</v>
      </c>
      <c r="M284" s="5">
        <v>35776.160000000003</v>
      </c>
      <c r="O284" s="5">
        <f t="shared" si="72"/>
        <v>35776.160000000003</v>
      </c>
      <c r="P284" s="5">
        <f t="shared" si="61"/>
        <v>0</v>
      </c>
      <c r="Q284" s="11">
        <v>0</v>
      </c>
      <c r="R284" s="5">
        <f t="shared" si="73"/>
        <v>0</v>
      </c>
      <c r="S284" s="11">
        <f t="shared" si="62"/>
        <v>0</v>
      </c>
      <c r="T284" s="5">
        <f t="shared" si="67"/>
        <v>0</v>
      </c>
      <c r="U284" s="11">
        <v>0</v>
      </c>
      <c r="V284" s="5">
        <f t="shared" si="68"/>
        <v>0</v>
      </c>
      <c r="W284" s="11">
        <f t="shared" si="69"/>
        <v>0</v>
      </c>
      <c r="X284" s="5">
        <f t="shared" si="63"/>
        <v>35776.160000000003</v>
      </c>
      <c r="Y284" s="11">
        <v>0</v>
      </c>
      <c r="Z284" s="5">
        <f t="shared" si="74"/>
        <v>35776.160000000003</v>
      </c>
      <c r="AA284" s="11">
        <f t="shared" si="65"/>
        <v>0</v>
      </c>
      <c r="AB284" s="11">
        <v>0.1</v>
      </c>
    </row>
    <row r="285" spans="1:28">
      <c r="A285">
        <v>2026</v>
      </c>
      <c r="B285" t="s">
        <v>175</v>
      </c>
      <c r="C285" t="s">
        <v>12</v>
      </c>
      <c r="D285" t="s">
        <v>13</v>
      </c>
      <c r="E285" t="s">
        <v>225</v>
      </c>
      <c r="G285" t="s">
        <v>14</v>
      </c>
      <c r="H285" t="s">
        <v>14</v>
      </c>
      <c r="I285" t="s">
        <v>29</v>
      </c>
      <c r="J285">
        <v>2</v>
      </c>
      <c r="K285" t="s">
        <v>16</v>
      </c>
      <c r="L285">
        <v>337.3837894736842</v>
      </c>
      <c r="M285" s="5">
        <v>674.76757894736841</v>
      </c>
      <c r="O285" s="5">
        <f t="shared" si="72"/>
        <v>674.76757894736841</v>
      </c>
      <c r="P285" s="5">
        <f t="shared" si="61"/>
        <v>0</v>
      </c>
      <c r="Q285" s="11">
        <v>0</v>
      </c>
      <c r="R285" s="5">
        <f t="shared" si="73"/>
        <v>0</v>
      </c>
      <c r="S285" s="11">
        <f t="shared" si="62"/>
        <v>0</v>
      </c>
      <c r="T285" s="5">
        <f t="shared" si="67"/>
        <v>0</v>
      </c>
      <c r="U285" s="11">
        <v>0</v>
      </c>
      <c r="V285" s="5">
        <f t="shared" si="68"/>
        <v>0</v>
      </c>
      <c r="W285" s="11">
        <f t="shared" si="69"/>
        <v>0</v>
      </c>
      <c r="X285" s="5">
        <f t="shared" si="63"/>
        <v>674.76757894736841</v>
      </c>
      <c r="Y285" s="11">
        <v>0</v>
      </c>
      <c r="Z285" s="5">
        <f t="shared" si="74"/>
        <v>674.76757894736841</v>
      </c>
      <c r="AA285" s="11">
        <f t="shared" si="65"/>
        <v>0</v>
      </c>
      <c r="AB285" s="11">
        <v>0.1</v>
      </c>
    </row>
    <row r="286" spans="1:28">
      <c r="A286">
        <v>2026</v>
      </c>
      <c r="B286" t="s">
        <v>175</v>
      </c>
      <c r="C286" t="s">
        <v>12</v>
      </c>
      <c r="D286" t="s">
        <v>13</v>
      </c>
      <c r="E286" t="s">
        <v>226</v>
      </c>
      <c r="G286" t="s">
        <v>14</v>
      </c>
      <c r="H286" t="s">
        <v>14</v>
      </c>
      <c r="I286" t="s">
        <v>154</v>
      </c>
      <c r="J286">
        <v>1</v>
      </c>
      <c r="K286" t="s">
        <v>16</v>
      </c>
      <c r="L286">
        <v>67900</v>
      </c>
      <c r="M286" s="5">
        <v>6790</v>
      </c>
      <c r="O286" s="5">
        <f t="shared" si="72"/>
        <v>6790</v>
      </c>
      <c r="P286" s="5">
        <f t="shared" si="61"/>
        <v>0</v>
      </c>
      <c r="Q286" s="11">
        <v>0</v>
      </c>
      <c r="R286" s="5">
        <f t="shared" si="73"/>
        <v>0</v>
      </c>
      <c r="S286" s="11">
        <f t="shared" si="62"/>
        <v>0</v>
      </c>
      <c r="T286" s="5">
        <f t="shared" si="67"/>
        <v>0</v>
      </c>
      <c r="U286" s="11">
        <v>0</v>
      </c>
      <c r="V286" s="5">
        <f t="shared" si="68"/>
        <v>0</v>
      </c>
      <c r="W286" s="11">
        <f t="shared" si="69"/>
        <v>0</v>
      </c>
      <c r="X286" s="5">
        <f t="shared" si="63"/>
        <v>6790</v>
      </c>
      <c r="Y286" s="11">
        <v>0</v>
      </c>
      <c r="Z286" s="5">
        <f t="shared" si="74"/>
        <v>6790</v>
      </c>
      <c r="AA286" s="11">
        <f t="shared" si="65"/>
        <v>0</v>
      </c>
      <c r="AB286" s="11">
        <v>0.1</v>
      </c>
    </row>
    <row r="287" spans="1:28">
      <c r="A287">
        <v>2026</v>
      </c>
      <c r="B287" t="s">
        <v>175</v>
      </c>
      <c r="C287" t="s">
        <v>12</v>
      </c>
      <c r="D287" t="s">
        <v>13</v>
      </c>
      <c r="E287" t="s">
        <v>227</v>
      </c>
      <c r="G287" t="s">
        <v>14</v>
      </c>
      <c r="H287" t="s">
        <v>14</v>
      </c>
      <c r="I287" t="s">
        <v>155</v>
      </c>
      <c r="J287">
        <v>1</v>
      </c>
      <c r="K287" t="s">
        <v>16</v>
      </c>
      <c r="L287">
        <v>50300</v>
      </c>
      <c r="M287" s="5">
        <v>5030</v>
      </c>
      <c r="O287" s="5">
        <f t="shared" si="72"/>
        <v>5030</v>
      </c>
      <c r="P287" s="5">
        <f t="shared" si="61"/>
        <v>0</v>
      </c>
      <c r="Q287" s="11">
        <v>0</v>
      </c>
      <c r="R287" s="5">
        <f t="shared" si="73"/>
        <v>0</v>
      </c>
      <c r="S287" s="11">
        <f t="shared" si="62"/>
        <v>0</v>
      </c>
      <c r="T287" s="5">
        <f t="shared" si="67"/>
        <v>0</v>
      </c>
      <c r="U287" s="11">
        <v>0</v>
      </c>
      <c r="V287" s="5">
        <f t="shared" si="68"/>
        <v>0</v>
      </c>
      <c r="W287" s="11">
        <f t="shared" si="69"/>
        <v>0</v>
      </c>
      <c r="X287" s="5">
        <f t="shared" si="63"/>
        <v>5030</v>
      </c>
      <c r="Y287" s="11">
        <v>0</v>
      </c>
      <c r="Z287" s="5">
        <f t="shared" si="74"/>
        <v>5030</v>
      </c>
      <c r="AA287" s="11">
        <f t="shared" si="65"/>
        <v>0</v>
      </c>
      <c r="AB287" s="11">
        <v>0.1</v>
      </c>
    </row>
    <row r="288" spans="1:28">
      <c r="A288">
        <v>2026</v>
      </c>
      <c r="B288" t="s">
        <v>175</v>
      </c>
      <c r="C288" t="s">
        <v>12</v>
      </c>
      <c r="D288" t="s">
        <v>13</v>
      </c>
      <c r="E288" t="s">
        <v>228</v>
      </c>
      <c r="G288" t="s">
        <v>14</v>
      </c>
      <c r="H288" t="s">
        <v>14</v>
      </c>
      <c r="I288" t="s">
        <v>152</v>
      </c>
      <c r="J288">
        <v>1</v>
      </c>
      <c r="K288" t="s">
        <v>16</v>
      </c>
      <c r="L288">
        <v>43500</v>
      </c>
      <c r="M288" s="5">
        <v>3625</v>
      </c>
      <c r="O288" s="5">
        <f t="shared" si="72"/>
        <v>3625</v>
      </c>
      <c r="P288" s="5">
        <f t="shared" si="61"/>
        <v>0</v>
      </c>
      <c r="Q288" s="11">
        <v>0</v>
      </c>
      <c r="R288" s="5">
        <f t="shared" si="73"/>
        <v>0</v>
      </c>
      <c r="S288" s="11">
        <f t="shared" si="62"/>
        <v>0</v>
      </c>
      <c r="T288" s="5">
        <f t="shared" si="67"/>
        <v>0</v>
      </c>
      <c r="U288" s="11">
        <v>0</v>
      </c>
      <c r="V288" s="5">
        <f t="shared" si="68"/>
        <v>0</v>
      </c>
      <c r="W288" s="11">
        <f t="shared" si="69"/>
        <v>0</v>
      </c>
      <c r="X288" s="5">
        <f t="shared" si="63"/>
        <v>3625</v>
      </c>
      <c r="Y288" s="11">
        <v>0</v>
      </c>
      <c r="Z288" s="5">
        <f t="shared" si="74"/>
        <v>3625</v>
      </c>
      <c r="AA288" s="11">
        <f t="shared" si="65"/>
        <v>0</v>
      </c>
      <c r="AB288" s="11">
        <v>0.1</v>
      </c>
    </row>
    <row r="289" spans="1:28">
      <c r="A289">
        <v>2026</v>
      </c>
      <c r="B289" t="s">
        <v>175</v>
      </c>
      <c r="C289" t="s">
        <v>12</v>
      </c>
      <c r="D289" t="s">
        <v>13</v>
      </c>
      <c r="E289">
        <v>1965</v>
      </c>
      <c r="F289">
        <v>1600</v>
      </c>
      <c r="G289" t="s">
        <v>32</v>
      </c>
      <c r="H289" t="s">
        <v>32</v>
      </c>
      <c r="I289" t="s">
        <v>35</v>
      </c>
      <c r="J289">
        <v>80</v>
      </c>
      <c r="K289" t="s">
        <v>38</v>
      </c>
      <c r="L289">
        <v>201.61</v>
      </c>
      <c r="M289" s="5">
        <f>+L289*F289</f>
        <v>322576</v>
      </c>
      <c r="O289" s="5">
        <f t="shared" si="72"/>
        <v>322576</v>
      </c>
      <c r="P289" s="5">
        <f t="shared" si="61"/>
        <v>0</v>
      </c>
      <c r="Q289" s="11">
        <v>0</v>
      </c>
      <c r="R289" s="5">
        <f t="shared" si="73"/>
        <v>0</v>
      </c>
      <c r="S289" s="11">
        <f t="shared" si="62"/>
        <v>0</v>
      </c>
      <c r="T289" s="5">
        <f t="shared" si="67"/>
        <v>0</v>
      </c>
      <c r="U289" s="11">
        <v>0</v>
      </c>
      <c r="V289" s="5">
        <f t="shared" si="68"/>
        <v>0</v>
      </c>
      <c r="W289" s="11">
        <f t="shared" si="69"/>
        <v>0</v>
      </c>
      <c r="X289" s="5">
        <f t="shared" si="63"/>
        <v>322576</v>
      </c>
      <c r="Y289" s="11">
        <v>0</v>
      </c>
      <c r="Z289" s="5">
        <f t="shared" si="74"/>
        <v>322576</v>
      </c>
      <c r="AA289" s="11">
        <f t="shared" si="65"/>
        <v>0</v>
      </c>
      <c r="AB289" s="11">
        <v>0.1</v>
      </c>
    </row>
    <row r="290" spans="1:28">
      <c r="A290">
        <v>2026</v>
      </c>
      <c r="B290" t="s">
        <v>175</v>
      </c>
      <c r="C290" t="s">
        <v>12</v>
      </c>
      <c r="D290" t="s">
        <v>13</v>
      </c>
      <c r="E290">
        <v>1965</v>
      </c>
      <c r="G290" t="s">
        <v>36</v>
      </c>
      <c r="H290" t="s">
        <v>36</v>
      </c>
      <c r="I290" t="s">
        <v>37</v>
      </c>
      <c r="J290">
        <v>3</v>
      </c>
      <c r="K290" t="s">
        <v>16</v>
      </c>
      <c r="L290">
        <v>3000</v>
      </c>
      <c r="M290" s="5">
        <v>12657</v>
      </c>
      <c r="O290" s="5">
        <f t="shared" si="72"/>
        <v>12657</v>
      </c>
      <c r="P290" s="5">
        <f t="shared" si="61"/>
        <v>0</v>
      </c>
      <c r="Q290" s="11">
        <v>0</v>
      </c>
      <c r="R290" s="5">
        <f t="shared" si="73"/>
        <v>0</v>
      </c>
      <c r="S290" s="11">
        <f t="shared" si="62"/>
        <v>0</v>
      </c>
      <c r="T290" s="5">
        <f t="shared" si="67"/>
        <v>0</v>
      </c>
      <c r="U290" s="11">
        <v>0</v>
      </c>
      <c r="V290" s="5">
        <f t="shared" si="68"/>
        <v>0</v>
      </c>
      <c r="W290" s="11">
        <f t="shared" si="69"/>
        <v>0</v>
      </c>
      <c r="X290" s="5">
        <f t="shared" si="63"/>
        <v>12657</v>
      </c>
      <c r="Y290" s="11">
        <v>0</v>
      </c>
      <c r="Z290" s="5">
        <f t="shared" si="74"/>
        <v>12657</v>
      </c>
      <c r="AA290" s="11">
        <f t="shared" si="65"/>
        <v>0</v>
      </c>
      <c r="AB290" s="11">
        <v>0.1</v>
      </c>
    </row>
    <row r="291" spans="1:28">
      <c r="A291">
        <v>2026</v>
      </c>
      <c r="B291" t="s">
        <v>176</v>
      </c>
      <c r="C291" t="s">
        <v>12</v>
      </c>
      <c r="D291" t="s">
        <v>13</v>
      </c>
      <c r="E291" t="s">
        <v>216</v>
      </c>
      <c r="G291" t="s">
        <v>14</v>
      </c>
      <c r="H291" t="s">
        <v>14</v>
      </c>
      <c r="I291" t="s">
        <v>15</v>
      </c>
      <c r="J291">
        <v>4</v>
      </c>
      <c r="K291" t="s">
        <v>16</v>
      </c>
      <c r="L291">
        <v>266</v>
      </c>
      <c r="M291" s="5">
        <v>1064</v>
      </c>
      <c r="O291" s="5">
        <f>Z291</f>
        <v>1064</v>
      </c>
      <c r="P291" s="5">
        <f t="shared" si="61"/>
        <v>0</v>
      </c>
      <c r="Q291" s="11">
        <v>0</v>
      </c>
      <c r="R291" s="5">
        <f t="shared" si="73"/>
        <v>0</v>
      </c>
      <c r="S291" s="11">
        <f t="shared" si="62"/>
        <v>0</v>
      </c>
      <c r="T291" s="5">
        <f t="shared" si="67"/>
        <v>0</v>
      </c>
      <c r="U291" s="11">
        <v>0</v>
      </c>
      <c r="V291" s="5">
        <f t="shared" si="68"/>
        <v>0</v>
      </c>
      <c r="W291" s="11">
        <f t="shared" si="69"/>
        <v>0</v>
      </c>
      <c r="X291" s="5">
        <f t="shared" si="63"/>
        <v>1064</v>
      </c>
      <c r="Y291" s="11">
        <v>0</v>
      </c>
      <c r="Z291" s="5">
        <f>X291+(X291*Y291)</f>
        <v>1064</v>
      </c>
      <c r="AA291" s="11">
        <f t="shared" si="65"/>
        <v>0</v>
      </c>
      <c r="AB291" s="11">
        <v>0.1</v>
      </c>
    </row>
    <row r="292" spans="1:28">
      <c r="A292">
        <v>2026</v>
      </c>
      <c r="B292" t="s">
        <v>176</v>
      </c>
      <c r="C292" t="s">
        <v>12</v>
      </c>
      <c r="D292" t="s">
        <v>13</v>
      </c>
      <c r="E292" t="s">
        <v>217</v>
      </c>
      <c r="G292" t="s">
        <v>14</v>
      </c>
      <c r="H292" t="s">
        <v>14</v>
      </c>
      <c r="I292" t="s">
        <v>18</v>
      </c>
      <c r="J292">
        <v>1</v>
      </c>
      <c r="K292" t="s">
        <v>16</v>
      </c>
      <c r="L292">
        <v>1086.232</v>
      </c>
      <c r="M292" s="5">
        <v>1086.232</v>
      </c>
      <c r="O292" s="5">
        <f t="shared" ref="O292:O305" si="75">Z292</f>
        <v>1086.232</v>
      </c>
      <c r="P292" s="5">
        <f t="shared" si="61"/>
        <v>0</v>
      </c>
      <c r="Q292" s="11">
        <v>0</v>
      </c>
      <c r="R292" s="5">
        <f t="shared" si="73"/>
        <v>0</v>
      </c>
      <c r="S292" s="11">
        <f t="shared" si="62"/>
        <v>0</v>
      </c>
      <c r="T292" s="5">
        <f t="shared" si="67"/>
        <v>0</v>
      </c>
      <c r="U292" s="11">
        <v>0</v>
      </c>
      <c r="V292" s="5">
        <f t="shared" si="68"/>
        <v>0</v>
      </c>
      <c r="W292" s="11">
        <f t="shared" si="69"/>
        <v>0</v>
      </c>
      <c r="X292" s="5">
        <f t="shared" si="63"/>
        <v>1086.232</v>
      </c>
      <c r="Y292" s="11">
        <v>0</v>
      </c>
      <c r="Z292" s="5">
        <f t="shared" ref="Z292:Z305" si="76">X292+(X292*Y292)</f>
        <v>1086.232</v>
      </c>
      <c r="AA292" s="11">
        <f t="shared" si="65"/>
        <v>0</v>
      </c>
      <c r="AB292" s="11">
        <v>0.1</v>
      </c>
    </row>
    <row r="293" spans="1:28">
      <c r="A293">
        <v>2026</v>
      </c>
      <c r="B293" t="s">
        <v>176</v>
      </c>
      <c r="C293" t="s">
        <v>12</v>
      </c>
      <c r="D293" t="s">
        <v>13</v>
      </c>
      <c r="E293" t="s">
        <v>218</v>
      </c>
      <c r="G293" t="s">
        <v>14</v>
      </c>
      <c r="H293" t="s">
        <v>14</v>
      </c>
      <c r="I293" t="s">
        <v>20</v>
      </c>
      <c r="J293">
        <v>4</v>
      </c>
      <c r="K293" t="s">
        <v>16</v>
      </c>
      <c r="L293">
        <v>370</v>
      </c>
      <c r="M293" s="5">
        <v>1480</v>
      </c>
      <c r="O293" s="5">
        <f t="shared" si="75"/>
        <v>1480</v>
      </c>
      <c r="P293" s="5">
        <f t="shared" si="61"/>
        <v>0</v>
      </c>
      <c r="Q293" s="11">
        <v>0</v>
      </c>
      <c r="R293" s="5">
        <f t="shared" si="73"/>
        <v>0</v>
      </c>
      <c r="S293" s="11">
        <f t="shared" si="62"/>
        <v>0</v>
      </c>
      <c r="T293" s="5">
        <f t="shared" ref="T293:T324" si="77">IF(C293="Mediana Complejidad",M293,0)</f>
        <v>0</v>
      </c>
      <c r="U293" s="11">
        <v>0</v>
      </c>
      <c r="V293" s="5">
        <f t="shared" si="68"/>
        <v>0</v>
      </c>
      <c r="W293" s="11">
        <f t="shared" si="69"/>
        <v>0</v>
      </c>
      <c r="X293" s="5">
        <f t="shared" si="63"/>
        <v>1480</v>
      </c>
      <c r="Y293" s="11">
        <v>0</v>
      </c>
      <c r="Z293" s="5">
        <f t="shared" si="76"/>
        <v>1480</v>
      </c>
      <c r="AA293" s="11">
        <f t="shared" si="65"/>
        <v>0</v>
      </c>
      <c r="AB293" s="11">
        <v>0.1</v>
      </c>
    </row>
    <row r="294" spans="1:28">
      <c r="A294">
        <v>2026</v>
      </c>
      <c r="B294" t="s">
        <v>176</v>
      </c>
      <c r="C294" t="s">
        <v>12</v>
      </c>
      <c r="D294" t="s">
        <v>13</v>
      </c>
      <c r="E294" t="s">
        <v>219</v>
      </c>
      <c r="G294" t="s">
        <v>14</v>
      </c>
      <c r="H294" t="s">
        <v>14</v>
      </c>
      <c r="I294" t="s">
        <v>44</v>
      </c>
      <c r="J294">
        <v>1</v>
      </c>
      <c r="K294" t="s">
        <v>16</v>
      </c>
      <c r="L294">
        <v>2643</v>
      </c>
      <c r="M294" s="5">
        <v>2643</v>
      </c>
      <c r="O294" s="5">
        <f t="shared" si="75"/>
        <v>2643</v>
      </c>
      <c r="P294" s="5">
        <f t="shared" si="61"/>
        <v>0</v>
      </c>
      <c r="Q294" s="11">
        <v>0</v>
      </c>
      <c r="R294" s="5">
        <f t="shared" si="73"/>
        <v>0</v>
      </c>
      <c r="S294" s="11">
        <f t="shared" si="62"/>
        <v>0</v>
      </c>
      <c r="T294" s="5">
        <f t="shared" si="77"/>
        <v>0</v>
      </c>
      <c r="U294" s="11">
        <v>0</v>
      </c>
      <c r="V294" s="5">
        <f t="shared" si="68"/>
        <v>0</v>
      </c>
      <c r="W294" s="11">
        <f t="shared" si="69"/>
        <v>0</v>
      </c>
      <c r="X294" s="5">
        <f t="shared" si="63"/>
        <v>2643</v>
      </c>
      <c r="Y294" s="11">
        <v>0</v>
      </c>
      <c r="Z294" s="5">
        <f t="shared" si="76"/>
        <v>2643</v>
      </c>
      <c r="AA294" s="11">
        <f t="shared" si="65"/>
        <v>0</v>
      </c>
      <c r="AB294" s="11">
        <v>0.1</v>
      </c>
    </row>
    <row r="295" spans="1:28">
      <c r="A295">
        <v>2026</v>
      </c>
      <c r="B295" t="s">
        <v>176</v>
      </c>
      <c r="C295" t="s">
        <v>12</v>
      </c>
      <c r="D295" t="s">
        <v>13</v>
      </c>
      <c r="E295" t="s">
        <v>220</v>
      </c>
      <c r="G295" t="s">
        <v>14</v>
      </c>
      <c r="H295" t="s">
        <v>14</v>
      </c>
      <c r="I295" t="s">
        <v>24</v>
      </c>
      <c r="J295">
        <v>1</v>
      </c>
      <c r="K295" t="s">
        <v>16</v>
      </c>
      <c r="L295">
        <v>135.66</v>
      </c>
      <c r="M295" s="5">
        <v>135.66</v>
      </c>
      <c r="O295" s="5">
        <f t="shared" si="75"/>
        <v>135.66</v>
      </c>
      <c r="P295" s="5">
        <f t="shared" si="61"/>
        <v>0</v>
      </c>
      <c r="Q295" s="11">
        <v>0</v>
      </c>
      <c r="R295" s="5">
        <f t="shared" si="73"/>
        <v>0</v>
      </c>
      <c r="S295" s="11">
        <f t="shared" si="62"/>
        <v>0</v>
      </c>
      <c r="T295" s="5">
        <f t="shared" si="77"/>
        <v>0</v>
      </c>
      <c r="U295" s="11">
        <v>0</v>
      </c>
      <c r="V295" s="5">
        <f t="shared" si="68"/>
        <v>0</v>
      </c>
      <c r="W295" s="11">
        <f t="shared" si="69"/>
        <v>0</v>
      </c>
      <c r="X295" s="5">
        <f t="shared" si="63"/>
        <v>135.66</v>
      </c>
      <c r="Y295" s="11">
        <v>0</v>
      </c>
      <c r="Z295" s="5">
        <f t="shared" si="76"/>
        <v>135.66</v>
      </c>
      <c r="AA295" s="11">
        <f t="shared" si="65"/>
        <v>0</v>
      </c>
      <c r="AB295" s="11">
        <v>0.1</v>
      </c>
    </row>
    <row r="296" spans="1:28">
      <c r="A296">
        <v>2026</v>
      </c>
      <c r="B296" t="s">
        <v>176</v>
      </c>
      <c r="C296" t="s">
        <v>12</v>
      </c>
      <c r="D296" t="s">
        <v>13</v>
      </c>
      <c r="E296" t="s">
        <v>221</v>
      </c>
      <c r="G296" t="s">
        <v>14</v>
      </c>
      <c r="H296" t="s">
        <v>14</v>
      </c>
      <c r="I296" t="s">
        <v>25</v>
      </c>
      <c r="J296">
        <v>1</v>
      </c>
      <c r="K296" t="s">
        <v>16</v>
      </c>
      <c r="L296">
        <v>3808</v>
      </c>
      <c r="M296" s="5">
        <v>3808</v>
      </c>
      <c r="O296" s="5">
        <f t="shared" si="75"/>
        <v>3808</v>
      </c>
      <c r="P296" s="5">
        <f t="shared" si="61"/>
        <v>0</v>
      </c>
      <c r="Q296" s="11">
        <v>0</v>
      </c>
      <c r="R296" s="5">
        <f t="shared" si="73"/>
        <v>0</v>
      </c>
      <c r="S296" s="11">
        <f t="shared" si="62"/>
        <v>0</v>
      </c>
      <c r="T296" s="5">
        <f t="shared" si="77"/>
        <v>0</v>
      </c>
      <c r="U296" s="11">
        <v>0</v>
      </c>
      <c r="V296" s="5">
        <f t="shared" si="68"/>
        <v>0</v>
      </c>
      <c r="W296" s="11">
        <f t="shared" si="69"/>
        <v>0</v>
      </c>
      <c r="X296" s="5">
        <f t="shared" si="63"/>
        <v>3808</v>
      </c>
      <c r="Y296" s="11">
        <v>0</v>
      </c>
      <c r="Z296" s="5">
        <f t="shared" si="76"/>
        <v>3808</v>
      </c>
      <c r="AA296" s="11">
        <f t="shared" si="65"/>
        <v>0</v>
      </c>
      <c r="AB296" s="11">
        <v>0.1</v>
      </c>
    </row>
    <row r="297" spans="1:28">
      <c r="A297">
        <v>2026</v>
      </c>
      <c r="B297" t="s">
        <v>176</v>
      </c>
      <c r="C297" t="s">
        <v>12</v>
      </c>
      <c r="D297" t="s">
        <v>13</v>
      </c>
      <c r="E297" t="s">
        <v>222</v>
      </c>
      <c r="G297" t="s">
        <v>14</v>
      </c>
      <c r="H297" t="s">
        <v>14</v>
      </c>
      <c r="I297" t="s">
        <v>26</v>
      </c>
      <c r="J297">
        <v>1</v>
      </c>
      <c r="K297" t="s">
        <v>16</v>
      </c>
      <c r="L297">
        <v>111.86</v>
      </c>
      <c r="M297" s="5">
        <v>111.86</v>
      </c>
      <c r="O297" s="5">
        <f t="shared" si="75"/>
        <v>111.86</v>
      </c>
      <c r="P297" s="5">
        <f t="shared" si="61"/>
        <v>0</v>
      </c>
      <c r="Q297" s="11">
        <v>0</v>
      </c>
      <c r="R297" s="5">
        <f t="shared" si="73"/>
        <v>0</v>
      </c>
      <c r="S297" s="11">
        <f t="shared" si="62"/>
        <v>0</v>
      </c>
      <c r="T297" s="5">
        <f t="shared" si="77"/>
        <v>0</v>
      </c>
      <c r="U297" s="11">
        <v>0</v>
      </c>
      <c r="V297" s="5">
        <f t="shared" si="68"/>
        <v>0</v>
      </c>
      <c r="W297" s="11">
        <f t="shared" si="69"/>
        <v>0</v>
      </c>
      <c r="X297" s="5">
        <f t="shared" si="63"/>
        <v>111.86</v>
      </c>
      <c r="Y297" s="11">
        <v>0</v>
      </c>
      <c r="Z297" s="5">
        <f t="shared" si="76"/>
        <v>111.86</v>
      </c>
      <c r="AA297" s="11">
        <f t="shared" si="65"/>
        <v>0</v>
      </c>
      <c r="AB297" s="11">
        <v>0.1</v>
      </c>
    </row>
    <row r="298" spans="1:28">
      <c r="A298">
        <v>2026</v>
      </c>
      <c r="B298" t="s">
        <v>176</v>
      </c>
      <c r="C298" t="s">
        <v>12</v>
      </c>
      <c r="D298" t="s">
        <v>13</v>
      </c>
      <c r="E298" t="s">
        <v>223</v>
      </c>
      <c r="G298" t="s">
        <v>14</v>
      </c>
      <c r="H298" t="s">
        <v>14</v>
      </c>
      <c r="I298" t="s">
        <v>66</v>
      </c>
      <c r="J298">
        <v>2</v>
      </c>
      <c r="K298" t="s">
        <v>16</v>
      </c>
      <c r="L298">
        <v>80300</v>
      </c>
      <c r="M298" s="5">
        <v>642.4</v>
      </c>
      <c r="O298" s="5">
        <f t="shared" si="75"/>
        <v>642.4</v>
      </c>
      <c r="P298" s="5">
        <f t="shared" si="61"/>
        <v>0</v>
      </c>
      <c r="Q298" s="11">
        <v>0</v>
      </c>
      <c r="R298" s="5">
        <f t="shared" si="73"/>
        <v>0</v>
      </c>
      <c r="S298" s="11">
        <f t="shared" si="62"/>
        <v>0</v>
      </c>
      <c r="T298" s="5">
        <f t="shared" si="77"/>
        <v>0</v>
      </c>
      <c r="U298" s="11">
        <v>0</v>
      </c>
      <c r="V298" s="5">
        <f t="shared" si="68"/>
        <v>0</v>
      </c>
      <c r="W298" s="11">
        <f t="shared" si="69"/>
        <v>0</v>
      </c>
      <c r="X298" s="5">
        <f t="shared" si="63"/>
        <v>642.4</v>
      </c>
      <c r="Y298" s="11">
        <v>0</v>
      </c>
      <c r="Z298" s="5">
        <f t="shared" si="76"/>
        <v>642.4</v>
      </c>
      <c r="AA298" s="11">
        <f t="shared" si="65"/>
        <v>0</v>
      </c>
      <c r="AB298" s="11">
        <v>0.1</v>
      </c>
    </row>
    <row r="299" spans="1:28">
      <c r="A299">
        <v>2026</v>
      </c>
      <c r="B299" t="s">
        <v>176</v>
      </c>
      <c r="C299" t="s">
        <v>12</v>
      </c>
      <c r="D299" t="s">
        <v>13</v>
      </c>
      <c r="E299" t="s">
        <v>224</v>
      </c>
      <c r="G299" t="s">
        <v>14</v>
      </c>
      <c r="H299" t="s">
        <v>14</v>
      </c>
      <c r="I299" t="s">
        <v>28</v>
      </c>
      <c r="J299">
        <v>2</v>
      </c>
      <c r="K299" t="s">
        <v>16</v>
      </c>
      <c r="L299">
        <v>17888.080000000002</v>
      </c>
      <c r="M299" s="5">
        <v>35776.160000000003</v>
      </c>
      <c r="O299" s="5">
        <f t="shared" si="75"/>
        <v>35776.160000000003</v>
      </c>
      <c r="P299" s="5">
        <f t="shared" si="61"/>
        <v>0</v>
      </c>
      <c r="Q299" s="11">
        <v>0</v>
      </c>
      <c r="R299" s="5">
        <f t="shared" si="73"/>
        <v>0</v>
      </c>
      <c r="S299" s="11">
        <f t="shared" si="62"/>
        <v>0</v>
      </c>
      <c r="T299" s="5">
        <f t="shared" si="77"/>
        <v>0</v>
      </c>
      <c r="U299" s="11">
        <v>0</v>
      </c>
      <c r="V299" s="5">
        <f t="shared" si="68"/>
        <v>0</v>
      </c>
      <c r="W299" s="11">
        <f t="shared" si="69"/>
        <v>0</v>
      </c>
      <c r="X299" s="5">
        <f t="shared" si="63"/>
        <v>35776.160000000003</v>
      </c>
      <c r="Y299" s="11">
        <v>0</v>
      </c>
      <c r="Z299" s="5">
        <f t="shared" si="76"/>
        <v>35776.160000000003</v>
      </c>
      <c r="AA299" s="11">
        <f t="shared" si="65"/>
        <v>0</v>
      </c>
      <c r="AB299" s="11">
        <v>0.1</v>
      </c>
    </row>
    <row r="300" spans="1:28">
      <c r="A300">
        <v>2026</v>
      </c>
      <c r="B300" t="s">
        <v>176</v>
      </c>
      <c r="C300" t="s">
        <v>12</v>
      </c>
      <c r="D300" t="s">
        <v>13</v>
      </c>
      <c r="E300" t="s">
        <v>225</v>
      </c>
      <c r="G300" t="s">
        <v>14</v>
      </c>
      <c r="H300" t="s">
        <v>14</v>
      </c>
      <c r="I300" t="s">
        <v>29</v>
      </c>
      <c r="J300">
        <v>2</v>
      </c>
      <c r="K300" t="s">
        <v>16</v>
      </c>
      <c r="L300">
        <v>337.3837894736842</v>
      </c>
      <c r="M300" s="5">
        <v>674.76757894736841</v>
      </c>
      <c r="O300" s="5">
        <f t="shared" si="75"/>
        <v>674.76757894736841</v>
      </c>
      <c r="P300" s="5">
        <f t="shared" si="61"/>
        <v>0</v>
      </c>
      <c r="Q300" s="11">
        <v>0</v>
      </c>
      <c r="R300" s="5">
        <f t="shared" si="73"/>
        <v>0</v>
      </c>
      <c r="S300" s="11">
        <f t="shared" si="62"/>
        <v>0</v>
      </c>
      <c r="T300" s="5">
        <f t="shared" si="77"/>
        <v>0</v>
      </c>
      <c r="U300" s="11">
        <v>0</v>
      </c>
      <c r="V300" s="5">
        <f t="shared" si="68"/>
        <v>0</v>
      </c>
      <c r="W300" s="11">
        <f t="shared" si="69"/>
        <v>0</v>
      </c>
      <c r="X300" s="5">
        <f t="shared" si="63"/>
        <v>674.76757894736841</v>
      </c>
      <c r="Y300" s="11">
        <v>0</v>
      </c>
      <c r="Z300" s="5">
        <f t="shared" si="76"/>
        <v>674.76757894736841</v>
      </c>
      <c r="AA300" s="11">
        <f t="shared" si="65"/>
        <v>0</v>
      </c>
      <c r="AB300" s="11">
        <v>0.1</v>
      </c>
    </row>
    <row r="301" spans="1:28">
      <c r="A301">
        <v>2026</v>
      </c>
      <c r="B301" t="s">
        <v>176</v>
      </c>
      <c r="C301" t="s">
        <v>12</v>
      </c>
      <c r="D301" t="s">
        <v>13</v>
      </c>
      <c r="E301" t="s">
        <v>226</v>
      </c>
      <c r="G301" t="s">
        <v>14</v>
      </c>
      <c r="H301" t="s">
        <v>14</v>
      </c>
      <c r="I301" t="s">
        <v>154</v>
      </c>
      <c r="J301">
        <v>1</v>
      </c>
      <c r="K301" t="s">
        <v>16</v>
      </c>
      <c r="L301">
        <v>67900</v>
      </c>
      <c r="M301" s="5">
        <v>6790</v>
      </c>
      <c r="O301" s="5">
        <f t="shared" si="75"/>
        <v>6790</v>
      </c>
      <c r="P301" s="5">
        <f t="shared" si="61"/>
        <v>0</v>
      </c>
      <c r="Q301" s="11">
        <v>0</v>
      </c>
      <c r="R301" s="5">
        <f t="shared" si="73"/>
        <v>0</v>
      </c>
      <c r="S301" s="11">
        <f t="shared" si="62"/>
        <v>0</v>
      </c>
      <c r="T301" s="5">
        <f t="shared" si="77"/>
        <v>0</v>
      </c>
      <c r="U301" s="11">
        <v>0</v>
      </c>
      <c r="V301" s="5">
        <f t="shared" si="68"/>
        <v>0</v>
      </c>
      <c r="W301" s="11">
        <f t="shared" si="69"/>
        <v>0</v>
      </c>
      <c r="X301" s="5">
        <f t="shared" si="63"/>
        <v>6790</v>
      </c>
      <c r="Y301" s="11">
        <v>0</v>
      </c>
      <c r="Z301" s="5">
        <f t="shared" si="76"/>
        <v>6790</v>
      </c>
      <c r="AA301" s="11">
        <f t="shared" si="65"/>
        <v>0</v>
      </c>
      <c r="AB301" s="11">
        <v>0.1</v>
      </c>
    </row>
    <row r="302" spans="1:28">
      <c r="A302">
        <v>2026</v>
      </c>
      <c r="B302" t="s">
        <v>176</v>
      </c>
      <c r="C302" t="s">
        <v>12</v>
      </c>
      <c r="D302" t="s">
        <v>13</v>
      </c>
      <c r="E302" t="s">
        <v>227</v>
      </c>
      <c r="G302" t="s">
        <v>14</v>
      </c>
      <c r="H302" t="s">
        <v>14</v>
      </c>
      <c r="I302" t="s">
        <v>155</v>
      </c>
      <c r="J302">
        <v>1</v>
      </c>
      <c r="K302" t="s">
        <v>16</v>
      </c>
      <c r="L302">
        <v>50300</v>
      </c>
      <c r="M302" s="5">
        <v>5030</v>
      </c>
      <c r="O302" s="5">
        <f t="shared" si="75"/>
        <v>5030</v>
      </c>
      <c r="P302" s="5">
        <f t="shared" si="61"/>
        <v>0</v>
      </c>
      <c r="Q302" s="11">
        <v>0</v>
      </c>
      <c r="R302" s="5">
        <f t="shared" si="73"/>
        <v>0</v>
      </c>
      <c r="S302" s="11">
        <f t="shared" si="62"/>
        <v>0</v>
      </c>
      <c r="T302" s="5">
        <f t="shared" si="77"/>
        <v>0</v>
      </c>
      <c r="U302" s="11">
        <v>0</v>
      </c>
      <c r="V302" s="5">
        <f t="shared" si="68"/>
        <v>0</v>
      </c>
      <c r="W302" s="11">
        <f t="shared" si="69"/>
        <v>0</v>
      </c>
      <c r="X302" s="5">
        <f t="shared" si="63"/>
        <v>5030</v>
      </c>
      <c r="Y302" s="11">
        <v>0</v>
      </c>
      <c r="Z302" s="5">
        <f t="shared" si="76"/>
        <v>5030</v>
      </c>
      <c r="AA302" s="11">
        <f t="shared" si="65"/>
        <v>0</v>
      </c>
      <c r="AB302" s="11">
        <v>0.1</v>
      </c>
    </row>
    <row r="303" spans="1:28">
      <c r="A303">
        <v>2026</v>
      </c>
      <c r="B303" t="s">
        <v>176</v>
      </c>
      <c r="C303" t="s">
        <v>12</v>
      </c>
      <c r="D303" t="s">
        <v>13</v>
      </c>
      <c r="E303" t="s">
        <v>228</v>
      </c>
      <c r="G303" t="s">
        <v>14</v>
      </c>
      <c r="H303" t="s">
        <v>14</v>
      </c>
      <c r="I303" t="s">
        <v>152</v>
      </c>
      <c r="J303">
        <v>1</v>
      </c>
      <c r="K303" t="s">
        <v>16</v>
      </c>
      <c r="L303">
        <v>43500</v>
      </c>
      <c r="M303" s="5">
        <v>3625</v>
      </c>
      <c r="O303" s="5">
        <f t="shared" si="75"/>
        <v>3625</v>
      </c>
      <c r="P303" s="5">
        <f t="shared" si="61"/>
        <v>0</v>
      </c>
      <c r="Q303" s="11">
        <v>0</v>
      </c>
      <c r="R303" s="5">
        <f t="shared" si="73"/>
        <v>0</v>
      </c>
      <c r="S303" s="11">
        <f t="shared" si="62"/>
        <v>0</v>
      </c>
      <c r="T303" s="5">
        <f t="shared" si="77"/>
        <v>0</v>
      </c>
      <c r="U303" s="11">
        <v>0</v>
      </c>
      <c r="V303" s="5">
        <f t="shared" si="68"/>
        <v>0</v>
      </c>
      <c r="W303" s="11">
        <f t="shared" si="69"/>
        <v>0</v>
      </c>
      <c r="X303" s="5">
        <f t="shared" si="63"/>
        <v>3625</v>
      </c>
      <c r="Y303" s="11">
        <v>0</v>
      </c>
      <c r="Z303" s="5">
        <f t="shared" si="76"/>
        <v>3625</v>
      </c>
      <c r="AA303" s="11">
        <f t="shared" si="65"/>
        <v>0</v>
      </c>
      <c r="AB303" s="11">
        <v>0.1</v>
      </c>
    </row>
    <row r="304" spans="1:28">
      <c r="A304">
        <v>2026</v>
      </c>
      <c r="B304" t="s">
        <v>176</v>
      </c>
      <c r="C304" t="s">
        <v>12</v>
      </c>
      <c r="D304" t="s">
        <v>13</v>
      </c>
      <c r="E304">
        <v>1965</v>
      </c>
      <c r="F304">
        <v>1600</v>
      </c>
      <c r="G304" t="s">
        <v>32</v>
      </c>
      <c r="H304" t="s">
        <v>32</v>
      </c>
      <c r="I304" t="s">
        <v>35</v>
      </c>
      <c r="J304">
        <v>80</v>
      </c>
      <c r="K304" t="s">
        <v>38</v>
      </c>
      <c r="L304">
        <v>201.61</v>
      </c>
      <c r="M304" s="5">
        <f>+L304*F304</f>
        <v>322576</v>
      </c>
      <c r="O304" s="5">
        <f t="shared" si="75"/>
        <v>322576</v>
      </c>
      <c r="P304" s="5">
        <f t="shared" si="61"/>
        <v>0</v>
      </c>
      <c r="Q304" s="11">
        <v>0</v>
      </c>
      <c r="R304" s="5">
        <f t="shared" si="73"/>
        <v>0</v>
      </c>
      <c r="S304" s="11">
        <f t="shared" si="62"/>
        <v>0</v>
      </c>
      <c r="T304" s="5">
        <f t="shared" si="77"/>
        <v>0</v>
      </c>
      <c r="U304" s="11">
        <v>0</v>
      </c>
      <c r="V304" s="5">
        <f t="shared" si="68"/>
        <v>0</v>
      </c>
      <c r="W304" s="11">
        <f t="shared" si="69"/>
        <v>0</v>
      </c>
      <c r="X304" s="5">
        <f t="shared" si="63"/>
        <v>322576</v>
      </c>
      <c r="Y304" s="11">
        <v>0</v>
      </c>
      <c r="Z304" s="5">
        <f t="shared" si="76"/>
        <v>322576</v>
      </c>
      <c r="AA304" s="11">
        <f t="shared" si="65"/>
        <v>0</v>
      </c>
      <c r="AB304" s="11">
        <v>0.1</v>
      </c>
    </row>
    <row r="305" spans="1:28">
      <c r="A305">
        <v>2026</v>
      </c>
      <c r="B305" t="s">
        <v>176</v>
      </c>
      <c r="C305" t="s">
        <v>12</v>
      </c>
      <c r="D305" t="s">
        <v>13</v>
      </c>
      <c r="E305">
        <v>1965</v>
      </c>
      <c r="G305" t="s">
        <v>36</v>
      </c>
      <c r="H305" t="s">
        <v>36</v>
      </c>
      <c r="I305" t="s">
        <v>37</v>
      </c>
      <c r="J305">
        <v>3</v>
      </c>
      <c r="K305" t="s">
        <v>16</v>
      </c>
      <c r="L305">
        <v>3000</v>
      </c>
      <c r="M305" s="5">
        <v>12657</v>
      </c>
      <c r="O305" s="5">
        <f t="shared" si="75"/>
        <v>12657</v>
      </c>
      <c r="P305" s="5">
        <f t="shared" si="61"/>
        <v>0</v>
      </c>
      <c r="Q305" s="11">
        <v>0</v>
      </c>
      <c r="R305" s="5">
        <f t="shared" si="73"/>
        <v>0</v>
      </c>
      <c r="S305" s="11">
        <f t="shared" si="62"/>
        <v>0</v>
      </c>
      <c r="T305" s="5">
        <f t="shared" si="77"/>
        <v>0</v>
      </c>
      <c r="U305" s="11">
        <v>0</v>
      </c>
      <c r="V305" s="5">
        <f t="shared" si="68"/>
        <v>0</v>
      </c>
      <c r="W305" s="11">
        <f t="shared" si="69"/>
        <v>0</v>
      </c>
      <c r="X305" s="5">
        <f t="shared" si="63"/>
        <v>12657</v>
      </c>
      <c r="Y305" s="11">
        <v>0</v>
      </c>
      <c r="Z305" s="5">
        <f t="shared" si="76"/>
        <v>12657</v>
      </c>
      <c r="AA305" s="11">
        <f t="shared" si="65"/>
        <v>0</v>
      </c>
      <c r="AB305" s="11">
        <v>0.1</v>
      </c>
    </row>
    <row r="306" spans="1:28">
      <c r="A306">
        <v>2026</v>
      </c>
      <c r="B306" t="s">
        <v>177</v>
      </c>
      <c r="C306" t="s">
        <v>12</v>
      </c>
      <c r="D306" t="s">
        <v>13</v>
      </c>
      <c r="E306" t="s">
        <v>216</v>
      </c>
      <c r="G306" t="s">
        <v>14</v>
      </c>
      <c r="H306" t="s">
        <v>14</v>
      </c>
      <c r="I306" t="s">
        <v>15</v>
      </c>
      <c r="J306">
        <v>4</v>
      </c>
      <c r="K306" t="s">
        <v>16</v>
      </c>
      <c r="L306">
        <v>266</v>
      </c>
      <c r="M306" s="5">
        <v>1064</v>
      </c>
      <c r="O306" s="5">
        <f>Z306</f>
        <v>1064</v>
      </c>
      <c r="P306" s="5">
        <f t="shared" si="61"/>
        <v>0</v>
      </c>
      <c r="Q306" s="11">
        <v>0</v>
      </c>
      <c r="R306" s="5">
        <f t="shared" si="73"/>
        <v>0</v>
      </c>
      <c r="S306" s="11">
        <f t="shared" si="62"/>
        <v>0</v>
      </c>
      <c r="T306" s="5">
        <f t="shared" si="77"/>
        <v>0</v>
      </c>
      <c r="U306" s="11">
        <v>0</v>
      </c>
      <c r="V306" s="5">
        <f t="shared" si="68"/>
        <v>0</v>
      </c>
      <c r="W306" s="11">
        <f t="shared" si="69"/>
        <v>0</v>
      </c>
      <c r="X306" s="5">
        <f t="shared" si="63"/>
        <v>1064</v>
      </c>
      <c r="Y306" s="11">
        <v>0</v>
      </c>
      <c r="Z306" s="5">
        <f>X306+(X306*Y306)</f>
        <v>1064</v>
      </c>
      <c r="AA306" s="11">
        <f t="shared" si="65"/>
        <v>0</v>
      </c>
      <c r="AB306" s="11">
        <v>0.1</v>
      </c>
    </row>
    <row r="307" spans="1:28">
      <c r="A307">
        <v>2026</v>
      </c>
      <c r="B307" t="s">
        <v>177</v>
      </c>
      <c r="C307" t="s">
        <v>12</v>
      </c>
      <c r="D307" t="s">
        <v>13</v>
      </c>
      <c r="E307" t="s">
        <v>217</v>
      </c>
      <c r="G307" t="s">
        <v>14</v>
      </c>
      <c r="H307" t="s">
        <v>14</v>
      </c>
      <c r="I307" t="s">
        <v>18</v>
      </c>
      <c r="J307">
        <v>1</v>
      </c>
      <c r="K307" t="s">
        <v>16</v>
      </c>
      <c r="L307">
        <v>1086.232</v>
      </c>
      <c r="M307" s="5">
        <v>1086.232</v>
      </c>
      <c r="O307" s="5">
        <f t="shared" ref="O307:O320" si="78">Z307</f>
        <v>1086.232</v>
      </c>
      <c r="P307" s="5">
        <f t="shared" si="61"/>
        <v>0</v>
      </c>
      <c r="Q307" s="11">
        <v>0</v>
      </c>
      <c r="R307" s="5">
        <f t="shared" si="73"/>
        <v>0</v>
      </c>
      <c r="S307" s="11">
        <f t="shared" si="62"/>
        <v>0</v>
      </c>
      <c r="T307" s="5">
        <f t="shared" si="77"/>
        <v>0</v>
      </c>
      <c r="U307" s="11">
        <v>0</v>
      </c>
      <c r="V307" s="5">
        <f t="shared" si="68"/>
        <v>0</v>
      </c>
      <c r="W307" s="11">
        <f t="shared" si="69"/>
        <v>0</v>
      </c>
      <c r="X307" s="5">
        <f t="shared" si="63"/>
        <v>1086.232</v>
      </c>
      <c r="Y307" s="11">
        <v>0</v>
      </c>
      <c r="Z307" s="5">
        <f t="shared" ref="Z307:Z320" si="79">X307+(X307*Y307)</f>
        <v>1086.232</v>
      </c>
      <c r="AA307" s="11">
        <f t="shared" si="65"/>
        <v>0</v>
      </c>
      <c r="AB307" s="11">
        <v>0.1</v>
      </c>
    </row>
    <row r="308" spans="1:28">
      <c r="A308">
        <v>2026</v>
      </c>
      <c r="B308" t="s">
        <v>177</v>
      </c>
      <c r="C308" t="s">
        <v>12</v>
      </c>
      <c r="D308" t="s">
        <v>13</v>
      </c>
      <c r="E308" t="s">
        <v>218</v>
      </c>
      <c r="G308" t="s">
        <v>14</v>
      </c>
      <c r="H308" t="s">
        <v>14</v>
      </c>
      <c r="I308" t="s">
        <v>20</v>
      </c>
      <c r="J308">
        <v>4</v>
      </c>
      <c r="K308" t="s">
        <v>16</v>
      </c>
      <c r="L308">
        <v>370</v>
      </c>
      <c r="M308" s="5">
        <v>1480</v>
      </c>
      <c r="O308" s="5">
        <f t="shared" si="78"/>
        <v>1480</v>
      </c>
      <c r="P308" s="5">
        <f t="shared" si="61"/>
        <v>0</v>
      </c>
      <c r="Q308" s="11">
        <v>0</v>
      </c>
      <c r="R308" s="5">
        <f t="shared" si="73"/>
        <v>0</v>
      </c>
      <c r="S308" s="11">
        <f t="shared" si="62"/>
        <v>0</v>
      </c>
      <c r="T308" s="5">
        <f t="shared" si="77"/>
        <v>0</v>
      </c>
      <c r="U308" s="11">
        <v>0</v>
      </c>
      <c r="V308" s="5">
        <f t="shared" si="68"/>
        <v>0</v>
      </c>
      <c r="W308" s="11">
        <f t="shared" si="69"/>
        <v>0</v>
      </c>
      <c r="X308" s="5">
        <f t="shared" si="63"/>
        <v>1480</v>
      </c>
      <c r="Y308" s="11">
        <v>0</v>
      </c>
      <c r="Z308" s="5">
        <f t="shared" si="79"/>
        <v>1480</v>
      </c>
      <c r="AA308" s="11">
        <f t="shared" si="65"/>
        <v>0</v>
      </c>
      <c r="AB308" s="11">
        <v>0.1</v>
      </c>
    </row>
    <row r="309" spans="1:28">
      <c r="A309">
        <v>2026</v>
      </c>
      <c r="B309" t="s">
        <v>177</v>
      </c>
      <c r="C309" t="s">
        <v>12</v>
      </c>
      <c r="D309" t="s">
        <v>13</v>
      </c>
      <c r="E309" t="s">
        <v>219</v>
      </c>
      <c r="G309" t="s">
        <v>14</v>
      </c>
      <c r="H309" t="s">
        <v>14</v>
      </c>
      <c r="I309" t="s">
        <v>44</v>
      </c>
      <c r="J309">
        <v>1</v>
      </c>
      <c r="K309" t="s">
        <v>16</v>
      </c>
      <c r="L309">
        <v>2643</v>
      </c>
      <c r="M309" s="5">
        <v>2643</v>
      </c>
      <c r="O309" s="5">
        <f t="shared" si="78"/>
        <v>2643</v>
      </c>
      <c r="P309" s="5">
        <f t="shared" si="61"/>
        <v>0</v>
      </c>
      <c r="Q309" s="11">
        <v>0</v>
      </c>
      <c r="R309" s="5">
        <f t="shared" si="73"/>
        <v>0</v>
      </c>
      <c r="S309" s="11">
        <f t="shared" si="62"/>
        <v>0</v>
      </c>
      <c r="T309" s="5">
        <f t="shared" si="77"/>
        <v>0</v>
      </c>
      <c r="U309" s="11">
        <v>0</v>
      </c>
      <c r="V309" s="5">
        <f t="shared" si="68"/>
        <v>0</v>
      </c>
      <c r="W309" s="11">
        <f t="shared" si="69"/>
        <v>0</v>
      </c>
      <c r="X309" s="5">
        <f t="shared" si="63"/>
        <v>2643</v>
      </c>
      <c r="Y309" s="11">
        <v>0</v>
      </c>
      <c r="Z309" s="5">
        <f t="shared" si="79"/>
        <v>2643</v>
      </c>
      <c r="AA309" s="11">
        <f t="shared" si="65"/>
        <v>0</v>
      </c>
      <c r="AB309" s="11">
        <v>0.1</v>
      </c>
    </row>
    <row r="310" spans="1:28">
      <c r="A310">
        <v>2026</v>
      </c>
      <c r="B310" t="s">
        <v>177</v>
      </c>
      <c r="C310" t="s">
        <v>12</v>
      </c>
      <c r="D310" t="s">
        <v>13</v>
      </c>
      <c r="E310" t="s">
        <v>220</v>
      </c>
      <c r="G310" t="s">
        <v>14</v>
      </c>
      <c r="H310" t="s">
        <v>14</v>
      </c>
      <c r="I310" t="s">
        <v>24</v>
      </c>
      <c r="J310">
        <v>1</v>
      </c>
      <c r="K310" t="s">
        <v>16</v>
      </c>
      <c r="L310">
        <v>135.66</v>
      </c>
      <c r="M310" s="5">
        <v>135.66</v>
      </c>
      <c r="O310" s="5">
        <f t="shared" si="78"/>
        <v>135.66</v>
      </c>
      <c r="P310" s="5">
        <f t="shared" si="61"/>
        <v>0</v>
      </c>
      <c r="Q310" s="11">
        <v>0</v>
      </c>
      <c r="R310" s="5">
        <f t="shared" si="73"/>
        <v>0</v>
      </c>
      <c r="S310" s="11">
        <f t="shared" si="62"/>
        <v>0</v>
      </c>
      <c r="T310" s="5">
        <f t="shared" si="77"/>
        <v>0</v>
      </c>
      <c r="U310" s="11">
        <v>0</v>
      </c>
      <c r="V310" s="5">
        <f t="shared" si="68"/>
        <v>0</v>
      </c>
      <c r="W310" s="11">
        <f t="shared" si="69"/>
        <v>0</v>
      </c>
      <c r="X310" s="5">
        <f t="shared" si="63"/>
        <v>135.66</v>
      </c>
      <c r="Y310" s="11">
        <v>0</v>
      </c>
      <c r="Z310" s="5">
        <f t="shared" si="79"/>
        <v>135.66</v>
      </c>
      <c r="AA310" s="11">
        <f t="shared" si="65"/>
        <v>0</v>
      </c>
      <c r="AB310" s="11">
        <v>0.1</v>
      </c>
    </row>
    <row r="311" spans="1:28">
      <c r="A311">
        <v>2026</v>
      </c>
      <c r="B311" t="s">
        <v>177</v>
      </c>
      <c r="C311" t="s">
        <v>12</v>
      </c>
      <c r="D311" t="s">
        <v>13</v>
      </c>
      <c r="E311" t="s">
        <v>221</v>
      </c>
      <c r="G311" t="s">
        <v>14</v>
      </c>
      <c r="H311" t="s">
        <v>14</v>
      </c>
      <c r="I311" t="s">
        <v>25</v>
      </c>
      <c r="J311">
        <v>1</v>
      </c>
      <c r="K311" t="s">
        <v>16</v>
      </c>
      <c r="L311">
        <v>3808</v>
      </c>
      <c r="M311" s="5">
        <v>3808</v>
      </c>
      <c r="O311" s="5">
        <f t="shared" si="78"/>
        <v>3808</v>
      </c>
      <c r="P311" s="5">
        <f t="shared" si="61"/>
        <v>0</v>
      </c>
      <c r="Q311" s="11">
        <v>0</v>
      </c>
      <c r="R311" s="5">
        <f t="shared" si="73"/>
        <v>0</v>
      </c>
      <c r="S311" s="11">
        <f t="shared" si="62"/>
        <v>0</v>
      </c>
      <c r="T311" s="5">
        <f t="shared" si="77"/>
        <v>0</v>
      </c>
      <c r="U311" s="11">
        <v>0</v>
      </c>
      <c r="V311" s="5">
        <f t="shared" si="68"/>
        <v>0</v>
      </c>
      <c r="W311" s="11">
        <f t="shared" si="69"/>
        <v>0</v>
      </c>
      <c r="X311" s="5">
        <f t="shared" si="63"/>
        <v>3808</v>
      </c>
      <c r="Y311" s="11">
        <v>0</v>
      </c>
      <c r="Z311" s="5">
        <f t="shared" si="79"/>
        <v>3808</v>
      </c>
      <c r="AA311" s="11">
        <f t="shared" si="65"/>
        <v>0</v>
      </c>
      <c r="AB311" s="11">
        <v>0.1</v>
      </c>
    </row>
    <row r="312" spans="1:28">
      <c r="A312">
        <v>2026</v>
      </c>
      <c r="B312" t="s">
        <v>177</v>
      </c>
      <c r="C312" t="s">
        <v>12</v>
      </c>
      <c r="D312" t="s">
        <v>13</v>
      </c>
      <c r="E312" t="s">
        <v>222</v>
      </c>
      <c r="G312" t="s">
        <v>14</v>
      </c>
      <c r="H312" t="s">
        <v>14</v>
      </c>
      <c r="I312" t="s">
        <v>26</v>
      </c>
      <c r="J312">
        <v>1</v>
      </c>
      <c r="K312" t="s">
        <v>16</v>
      </c>
      <c r="L312">
        <v>111.86</v>
      </c>
      <c r="M312" s="5">
        <v>111.86</v>
      </c>
      <c r="O312" s="5">
        <f t="shared" si="78"/>
        <v>111.86</v>
      </c>
      <c r="P312" s="5">
        <f t="shared" si="61"/>
        <v>0</v>
      </c>
      <c r="Q312" s="11">
        <v>0</v>
      </c>
      <c r="R312" s="5">
        <f t="shared" si="73"/>
        <v>0</v>
      </c>
      <c r="S312" s="11">
        <f t="shared" si="62"/>
        <v>0</v>
      </c>
      <c r="T312" s="5">
        <f t="shared" si="77"/>
        <v>0</v>
      </c>
      <c r="U312" s="11">
        <v>0</v>
      </c>
      <c r="V312" s="5">
        <f t="shared" si="68"/>
        <v>0</v>
      </c>
      <c r="W312" s="11">
        <f t="shared" si="69"/>
        <v>0</v>
      </c>
      <c r="X312" s="5">
        <f t="shared" si="63"/>
        <v>111.86</v>
      </c>
      <c r="Y312" s="11">
        <v>0</v>
      </c>
      <c r="Z312" s="5">
        <f t="shared" si="79"/>
        <v>111.86</v>
      </c>
      <c r="AA312" s="11">
        <f t="shared" si="65"/>
        <v>0</v>
      </c>
      <c r="AB312" s="11">
        <v>0.1</v>
      </c>
    </row>
    <row r="313" spans="1:28">
      <c r="A313">
        <v>2026</v>
      </c>
      <c r="B313" t="s">
        <v>177</v>
      </c>
      <c r="C313" t="s">
        <v>12</v>
      </c>
      <c r="D313" t="s">
        <v>13</v>
      </c>
      <c r="E313" t="s">
        <v>223</v>
      </c>
      <c r="G313" t="s">
        <v>14</v>
      </c>
      <c r="H313" t="s">
        <v>14</v>
      </c>
      <c r="I313" t="s">
        <v>66</v>
      </c>
      <c r="J313">
        <v>2</v>
      </c>
      <c r="K313" t="s">
        <v>16</v>
      </c>
      <c r="L313">
        <v>80300</v>
      </c>
      <c r="M313" s="5">
        <v>642.4</v>
      </c>
      <c r="O313" s="5">
        <f t="shared" si="78"/>
        <v>642.4</v>
      </c>
      <c r="P313" s="5">
        <f t="shared" si="61"/>
        <v>0</v>
      </c>
      <c r="Q313" s="11">
        <v>0</v>
      </c>
      <c r="R313" s="5">
        <f t="shared" si="73"/>
        <v>0</v>
      </c>
      <c r="S313" s="11">
        <f t="shared" si="62"/>
        <v>0</v>
      </c>
      <c r="T313" s="5">
        <f t="shared" si="77"/>
        <v>0</v>
      </c>
      <c r="U313" s="11">
        <v>0</v>
      </c>
      <c r="V313" s="5">
        <f t="shared" si="68"/>
        <v>0</v>
      </c>
      <c r="W313" s="11">
        <f t="shared" si="69"/>
        <v>0</v>
      </c>
      <c r="X313" s="5">
        <f t="shared" si="63"/>
        <v>642.4</v>
      </c>
      <c r="Y313" s="11">
        <v>0</v>
      </c>
      <c r="Z313" s="5">
        <f t="shared" si="79"/>
        <v>642.4</v>
      </c>
      <c r="AA313" s="11">
        <f t="shared" si="65"/>
        <v>0</v>
      </c>
      <c r="AB313" s="11">
        <v>0.1</v>
      </c>
    </row>
    <row r="314" spans="1:28">
      <c r="A314">
        <v>2026</v>
      </c>
      <c r="B314" t="s">
        <v>177</v>
      </c>
      <c r="C314" t="s">
        <v>12</v>
      </c>
      <c r="D314" t="s">
        <v>13</v>
      </c>
      <c r="E314" t="s">
        <v>224</v>
      </c>
      <c r="G314" t="s">
        <v>14</v>
      </c>
      <c r="H314" t="s">
        <v>14</v>
      </c>
      <c r="I314" t="s">
        <v>28</v>
      </c>
      <c r="J314">
        <v>2</v>
      </c>
      <c r="K314" t="s">
        <v>16</v>
      </c>
      <c r="L314">
        <v>17888.080000000002</v>
      </c>
      <c r="M314" s="5">
        <v>35776.160000000003</v>
      </c>
      <c r="O314" s="5">
        <f t="shared" si="78"/>
        <v>35776.160000000003</v>
      </c>
      <c r="P314" s="5">
        <f t="shared" si="61"/>
        <v>0</v>
      </c>
      <c r="Q314" s="11">
        <v>0</v>
      </c>
      <c r="R314" s="5">
        <f t="shared" si="73"/>
        <v>0</v>
      </c>
      <c r="S314" s="11">
        <f t="shared" si="62"/>
        <v>0</v>
      </c>
      <c r="T314" s="5">
        <f t="shared" si="77"/>
        <v>0</v>
      </c>
      <c r="U314" s="11">
        <v>0</v>
      </c>
      <c r="V314" s="5">
        <f t="shared" si="68"/>
        <v>0</v>
      </c>
      <c r="W314" s="11">
        <f t="shared" si="69"/>
        <v>0</v>
      </c>
      <c r="X314" s="5">
        <f t="shared" si="63"/>
        <v>35776.160000000003</v>
      </c>
      <c r="Y314" s="11">
        <v>0</v>
      </c>
      <c r="Z314" s="5">
        <f t="shared" si="79"/>
        <v>35776.160000000003</v>
      </c>
      <c r="AA314" s="11">
        <f t="shared" si="65"/>
        <v>0</v>
      </c>
      <c r="AB314" s="11">
        <v>0.1</v>
      </c>
    </row>
    <row r="315" spans="1:28">
      <c r="A315">
        <v>2026</v>
      </c>
      <c r="B315" t="s">
        <v>177</v>
      </c>
      <c r="C315" t="s">
        <v>12</v>
      </c>
      <c r="D315" t="s">
        <v>13</v>
      </c>
      <c r="E315" t="s">
        <v>225</v>
      </c>
      <c r="G315" t="s">
        <v>14</v>
      </c>
      <c r="H315" t="s">
        <v>14</v>
      </c>
      <c r="I315" t="s">
        <v>29</v>
      </c>
      <c r="J315">
        <v>2</v>
      </c>
      <c r="K315" t="s">
        <v>16</v>
      </c>
      <c r="L315">
        <v>337.3837894736842</v>
      </c>
      <c r="M315" s="5">
        <v>674.76757894736841</v>
      </c>
      <c r="O315" s="5">
        <f t="shared" si="78"/>
        <v>674.76757894736841</v>
      </c>
      <c r="P315" s="5">
        <f t="shared" si="61"/>
        <v>0</v>
      </c>
      <c r="Q315" s="11">
        <v>0</v>
      </c>
      <c r="R315" s="5">
        <f t="shared" si="73"/>
        <v>0</v>
      </c>
      <c r="S315" s="11">
        <f t="shared" si="62"/>
        <v>0</v>
      </c>
      <c r="T315" s="5">
        <f t="shared" si="77"/>
        <v>0</v>
      </c>
      <c r="U315" s="11">
        <v>0</v>
      </c>
      <c r="V315" s="5">
        <f t="shared" si="68"/>
        <v>0</v>
      </c>
      <c r="W315" s="11">
        <f t="shared" si="69"/>
        <v>0</v>
      </c>
      <c r="X315" s="5">
        <f t="shared" si="63"/>
        <v>674.76757894736841</v>
      </c>
      <c r="Y315" s="11">
        <v>0</v>
      </c>
      <c r="Z315" s="5">
        <f t="shared" si="79"/>
        <v>674.76757894736841</v>
      </c>
      <c r="AA315" s="11">
        <f t="shared" si="65"/>
        <v>0</v>
      </c>
      <c r="AB315" s="11">
        <v>0.1</v>
      </c>
    </row>
    <row r="316" spans="1:28">
      <c r="A316">
        <v>2026</v>
      </c>
      <c r="B316" t="s">
        <v>177</v>
      </c>
      <c r="C316" t="s">
        <v>12</v>
      </c>
      <c r="D316" t="s">
        <v>13</v>
      </c>
      <c r="E316" t="s">
        <v>226</v>
      </c>
      <c r="G316" t="s">
        <v>14</v>
      </c>
      <c r="H316" t="s">
        <v>14</v>
      </c>
      <c r="I316" t="s">
        <v>154</v>
      </c>
      <c r="J316">
        <v>1</v>
      </c>
      <c r="K316" t="s">
        <v>16</v>
      </c>
      <c r="L316">
        <v>67900</v>
      </c>
      <c r="M316" s="5">
        <v>6790</v>
      </c>
      <c r="O316" s="5">
        <f t="shared" si="78"/>
        <v>6790</v>
      </c>
      <c r="P316" s="5">
        <f t="shared" si="61"/>
        <v>0</v>
      </c>
      <c r="Q316" s="11">
        <v>0</v>
      </c>
      <c r="R316" s="5">
        <f t="shared" si="73"/>
        <v>0</v>
      </c>
      <c r="S316" s="11">
        <f t="shared" si="62"/>
        <v>0</v>
      </c>
      <c r="T316" s="5">
        <f t="shared" si="77"/>
        <v>0</v>
      </c>
      <c r="U316" s="11">
        <v>0</v>
      </c>
      <c r="V316" s="5">
        <f t="shared" si="68"/>
        <v>0</v>
      </c>
      <c r="W316" s="11">
        <f t="shared" si="69"/>
        <v>0</v>
      </c>
      <c r="X316" s="5">
        <f t="shared" si="63"/>
        <v>6790</v>
      </c>
      <c r="Y316" s="11">
        <v>0</v>
      </c>
      <c r="Z316" s="5">
        <f t="shared" si="79"/>
        <v>6790</v>
      </c>
      <c r="AA316" s="11">
        <f t="shared" si="65"/>
        <v>0</v>
      </c>
      <c r="AB316" s="11">
        <v>0.1</v>
      </c>
    </row>
    <row r="317" spans="1:28">
      <c r="A317">
        <v>2026</v>
      </c>
      <c r="B317" t="s">
        <v>177</v>
      </c>
      <c r="C317" t="s">
        <v>12</v>
      </c>
      <c r="D317" t="s">
        <v>13</v>
      </c>
      <c r="E317" t="s">
        <v>227</v>
      </c>
      <c r="G317" t="s">
        <v>14</v>
      </c>
      <c r="H317" t="s">
        <v>14</v>
      </c>
      <c r="I317" t="s">
        <v>155</v>
      </c>
      <c r="J317">
        <v>1</v>
      </c>
      <c r="K317" t="s">
        <v>16</v>
      </c>
      <c r="L317">
        <v>50300</v>
      </c>
      <c r="M317" s="5">
        <v>5030</v>
      </c>
      <c r="O317" s="5">
        <f t="shared" si="78"/>
        <v>5030</v>
      </c>
      <c r="P317" s="5">
        <f t="shared" si="61"/>
        <v>0</v>
      </c>
      <c r="Q317" s="11">
        <v>0</v>
      </c>
      <c r="R317" s="5">
        <f t="shared" si="73"/>
        <v>0</v>
      </c>
      <c r="S317" s="11">
        <f t="shared" si="62"/>
        <v>0</v>
      </c>
      <c r="T317" s="5">
        <f t="shared" si="77"/>
        <v>0</v>
      </c>
      <c r="U317" s="11">
        <v>0</v>
      </c>
      <c r="V317" s="5">
        <f t="shared" si="68"/>
        <v>0</v>
      </c>
      <c r="W317" s="11">
        <f t="shared" si="69"/>
        <v>0</v>
      </c>
      <c r="X317" s="5">
        <f t="shared" si="63"/>
        <v>5030</v>
      </c>
      <c r="Y317" s="11">
        <v>0</v>
      </c>
      <c r="Z317" s="5">
        <f t="shared" si="79"/>
        <v>5030</v>
      </c>
      <c r="AA317" s="11">
        <f t="shared" si="65"/>
        <v>0</v>
      </c>
      <c r="AB317" s="11">
        <v>0.1</v>
      </c>
    </row>
    <row r="318" spans="1:28">
      <c r="A318">
        <v>2026</v>
      </c>
      <c r="B318" t="s">
        <v>177</v>
      </c>
      <c r="C318" t="s">
        <v>12</v>
      </c>
      <c r="D318" t="s">
        <v>13</v>
      </c>
      <c r="E318" t="s">
        <v>228</v>
      </c>
      <c r="G318" t="s">
        <v>14</v>
      </c>
      <c r="H318" t="s">
        <v>14</v>
      </c>
      <c r="I318" t="s">
        <v>152</v>
      </c>
      <c r="J318">
        <v>1</v>
      </c>
      <c r="K318" t="s">
        <v>16</v>
      </c>
      <c r="L318">
        <v>43500</v>
      </c>
      <c r="M318" s="5">
        <v>3625</v>
      </c>
      <c r="O318" s="5">
        <f t="shared" si="78"/>
        <v>3625</v>
      </c>
      <c r="P318" s="5">
        <f t="shared" si="61"/>
        <v>0</v>
      </c>
      <c r="Q318" s="11">
        <v>0</v>
      </c>
      <c r="R318" s="5">
        <f t="shared" si="73"/>
        <v>0</v>
      </c>
      <c r="S318" s="11">
        <f t="shared" si="62"/>
        <v>0</v>
      </c>
      <c r="T318" s="5">
        <f t="shared" si="77"/>
        <v>0</v>
      </c>
      <c r="U318" s="11">
        <v>0</v>
      </c>
      <c r="V318" s="5">
        <f t="shared" si="68"/>
        <v>0</v>
      </c>
      <c r="W318" s="11">
        <f t="shared" si="69"/>
        <v>0</v>
      </c>
      <c r="X318" s="5">
        <f t="shared" si="63"/>
        <v>3625</v>
      </c>
      <c r="Y318" s="11">
        <v>0</v>
      </c>
      <c r="Z318" s="5">
        <f t="shared" si="79"/>
        <v>3625</v>
      </c>
      <c r="AA318" s="11">
        <f t="shared" si="65"/>
        <v>0</v>
      </c>
      <c r="AB318" s="11">
        <v>0.1</v>
      </c>
    </row>
    <row r="319" spans="1:28">
      <c r="A319">
        <v>2026</v>
      </c>
      <c r="B319" t="s">
        <v>177</v>
      </c>
      <c r="C319" t="s">
        <v>12</v>
      </c>
      <c r="D319" t="s">
        <v>13</v>
      </c>
      <c r="E319">
        <v>1965</v>
      </c>
      <c r="F319">
        <v>1600</v>
      </c>
      <c r="G319" t="s">
        <v>32</v>
      </c>
      <c r="H319" t="s">
        <v>32</v>
      </c>
      <c r="I319" t="s">
        <v>35</v>
      </c>
      <c r="J319">
        <v>80</v>
      </c>
      <c r="K319" t="s">
        <v>38</v>
      </c>
      <c r="L319">
        <v>201.61</v>
      </c>
      <c r="M319" s="5">
        <f>+L319*F319</f>
        <v>322576</v>
      </c>
      <c r="O319" s="5">
        <f t="shared" si="78"/>
        <v>322576</v>
      </c>
      <c r="P319" s="5">
        <f t="shared" si="61"/>
        <v>0</v>
      </c>
      <c r="Q319" s="11">
        <v>0</v>
      </c>
      <c r="R319" s="5">
        <f t="shared" si="73"/>
        <v>0</v>
      </c>
      <c r="S319" s="11">
        <f t="shared" si="62"/>
        <v>0</v>
      </c>
      <c r="T319" s="5">
        <f t="shared" si="77"/>
        <v>0</v>
      </c>
      <c r="U319" s="11">
        <v>0</v>
      </c>
      <c r="V319" s="5">
        <f t="shared" si="68"/>
        <v>0</v>
      </c>
      <c r="W319" s="11">
        <f t="shared" si="69"/>
        <v>0</v>
      </c>
      <c r="X319" s="5">
        <f t="shared" si="63"/>
        <v>322576</v>
      </c>
      <c r="Y319" s="11">
        <v>0</v>
      </c>
      <c r="Z319" s="5">
        <f t="shared" si="79"/>
        <v>322576</v>
      </c>
      <c r="AA319" s="11">
        <f t="shared" si="65"/>
        <v>0</v>
      </c>
      <c r="AB319" s="11">
        <v>0.1</v>
      </c>
    </row>
    <row r="320" spans="1:28">
      <c r="A320">
        <v>2026</v>
      </c>
      <c r="B320" t="s">
        <v>177</v>
      </c>
      <c r="C320" t="s">
        <v>12</v>
      </c>
      <c r="D320" t="s">
        <v>13</v>
      </c>
      <c r="E320">
        <v>1965</v>
      </c>
      <c r="G320" t="s">
        <v>36</v>
      </c>
      <c r="H320" t="s">
        <v>36</v>
      </c>
      <c r="I320" t="s">
        <v>37</v>
      </c>
      <c r="J320">
        <v>3</v>
      </c>
      <c r="K320" t="s">
        <v>16</v>
      </c>
      <c r="L320">
        <v>3000</v>
      </c>
      <c r="M320" s="5">
        <v>12657</v>
      </c>
      <c r="O320" s="5">
        <f t="shared" si="78"/>
        <v>12657</v>
      </c>
      <c r="P320" s="5">
        <f t="shared" si="61"/>
        <v>0</v>
      </c>
      <c r="Q320" s="11">
        <v>0</v>
      </c>
      <c r="R320" s="5">
        <f t="shared" si="73"/>
        <v>0</v>
      </c>
      <c r="S320" s="11">
        <f t="shared" si="62"/>
        <v>0</v>
      </c>
      <c r="T320" s="5">
        <f t="shared" si="77"/>
        <v>0</v>
      </c>
      <c r="U320" s="11">
        <v>0</v>
      </c>
      <c r="V320" s="5">
        <f t="shared" si="68"/>
        <v>0</v>
      </c>
      <c r="W320" s="11">
        <f t="shared" si="69"/>
        <v>0</v>
      </c>
      <c r="X320" s="5">
        <f t="shared" si="63"/>
        <v>12657</v>
      </c>
      <c r="Y320" s="11">
        <v>0</v>
      </c>
      <c r="Z320" s="5">
        <f t="shared" si="79"/>
        <v>12657</v>
      </c>
      <c r="AA320" s="11">
        <f t="shared" si="65"/>
        <v>0</v>
      </c>
      <c r="AB320" s="11">
        <v>0.1</v>
      </c>
    </row>
    <row r="321" spans="1:28">
      <c r="A321">
        <v>2026</v>
      </c>
      <c r="B321" t="s">
        <v>178</v>
      </c>
      <c r="C321" t="s">
        <v>12</v>
      </c>
      <c r="D321" t="s">
        <v>13</v>
      </c>
      <c r="E321" t="s">
        <v>216</v>
      </c>
      <c r="G321" t="s">
        <v>14</v>
      </c>
      <c r="H321" t="s">
        <v>14</v>
      </c>
      <c r="I321" t="s">
        <v>15</v>
      </c>
      <c r="J321">
        <v>4</v>
      </c>
      <c r="K321" t="s">
        <v>16</v>
      </c>
      <c r="L321">
        <v>266</v>
      </c>
      <c r="M321" s="5">
        <v>1064</v>
      </c>
      <c r="O321" s="5">
        <f>Z321</f>
        <v>1064</v>
      </c>
      <c r="P321" s="5">
        <f t="shared" si="61"/>
        <v>0</v>
      </c>
      <c r="Q321" s="11">
        <v>0</v>
      </c>
      <c r="R321" s="5">
        <f t="shared" si="73"/>
        <v>0</v>
      </c>
      <c r="S321" s="11">
        <f t="shared" si="62"/>
        <v>0</v>
      </c>
      <c r="T321" s="5">
        <f t="shared" si="77"/>
        <v>0</v>
      </c>
      <c r="U321" s="11">
        <v>0</v>
      </c>
      <c r="V321" s="5">
        <f t="shared" si="68"/>
        <v>0</v>
      </c>
      <c r="W321" s="11">
        <f t="shared" si="69"/>
        <v>0</v>
      </c>
      <c r="X321" s="5">
        <f t="shared" si="63"/>
        <v>1064</v>
      </c>
      <c r="Y321" s="11">
        <v>0</v>
      </c>
      <c r="Z321" s="5">
        <f>X321+(X321*Y321)</f>
        <v>1064</v>
      </c>
      <c r="AA321" s="11">
        <f t="shared" si="65"/>
        <v>0</v>
      </c>
      <c r="AB321" s="11">
        <v>0.1</v>
      </c>
    </row>
    <row r="322" spans="1:28">
      <c r="A322">
        <v>2026</v>
      </c>
      <c r="B322" t="s">
        <v>178</v>
      </c>
      <c r="C322" t="s">
        <v>12</v>
      </c>
      <c r="D322" t="s">
        <v>13</v>
      </c>
      <c r="E322" t="s">
        <v>217</v>
      </c>
      <c r="G322" t="s">
        <v>14</v>
      </c>
      <c r="H322" t="s">
        <v>14</v>
      </c>
      <c r="I322" t="s">
        <v>18</v>
      </c>
      <c r="J322">
        <v>1</v>
      </c>
      <c r="K322" t="s">
        <v>16</v>
      </c>
      <c r="L322">
        <v>1086.232</v>
      </c>
      <c r="M322" s="5">
        <v>1086.232</v>
      </c>
      <c r="O322" s="5">
        <f t="shared" ref="O322:O335" si="80">Z322</f>
        <v>1086.232</v>
      </c>
      <c r="P322" s="5">
        <f t="shared" ref="P322:P385" si="81">IF(C322="Alta Complejidad",M322,0)</f>
        <v>0</v>
      </c>
      <c r="Q322" s="11">
        <v>0</v>
      </c>
      <c r="R322" s="5">
        <f t="shared" si="73"/>
        <v>0</v>
      </c>
      <c r="S322" s="11">
        <f t="shared" ref="S322:S385" si="82">IFERROR(((R322-P322)/R322),0)</f>
        <v>0</v>
      </c>
      <c r="T322" s="5">
        <f t="shared" si="77"/>
        <v>0</v>
      </c>
      <c r="U322" s="11">
        <v>0</v>
      </c>
      <c r="V322" s="5">
        <f t="shared" si="68"/>
        <v>0</v>
      </c>
      <c r="W322" s="11">
        <f t="shared" si="69"/>
        <v>0</v>
      </c>
      <c r="X322" s="5">
        <f t="shared" ref="X322:X385" si="83">IF(C322="Baja Complejidad",M322,0)</f>
        <v>1086.232</v>
      </c>
      <c r="Y322" s="11">
        <v>0</v>
      </c>
      <c r="Z322" s="5">
        <f t="shared" ref="Z322:Z335" si="84">X322+(X322*Y322)</f>
        <v>1086.232</v>
      </c>
      <c r="AA322" s="11">
        <f t="shared" ref="AA322:AA385" si="85">IFERROR(((Z322-X322)/Z322),0)</f>
        <v>0</v>
      </c>
      <c r="AB322" s="11">
        <v>0.1</v>
      </c>
    </row>
    <row r="323" spans="1:28">
      <c r="A323">
        <v>2026</v>
      </c>
      <c r="B323" t="s">
        <v>178</v>
      </c>
      <c r="C323" t="s">
        <v>12</v>
      </c>
      <c r="D323" t="s">
        <v>13</v>
      </c>
      <c r="E323" t="s">
        <v>218</v>
      </c>
      <c r="G323" t="s">
        <v>14</v>
      </c>
      <c r="H323" t="s">
        <v>14</v>
      </c>
      <c r="I323" t="s">
        <v>20</v>
      </c>
      <c r="J323">
        <v>4</v>
      </c>
      <c r="K323" t="s">
        <v>16</v>
      </c>
      <c r="L323">
        <v>370</v>
      </c>
      <c r="M323" s="5">
        <v>1480</v>
      </c>
      <c r="O323" s="5">
        <f t="shared" si="80"/>
        <v>1480</v>
      </c>
      <c r="P323" s="5">
        <f t="shared" si="81"/>
        <v>0</v>
      </c>
      <c r="Q323" s="11">
        <v>0</v>
      </c>
      <c r="R323" s="5">
        <f t="shared" si="73"/>
        <v>0</v>
      </c>
      <c r="S323" s="11">
        <f t="shared" si="82"/>
        <v>0</v>
      </c>
      <c r="T323" s="5">
        <f t="shared" si="77"/>
        <v>0</v>
      </c>
      <c r="U323" s="11">
        <v>0</v>
      </c>
      <c r="V323" s="5">
        <f t="shared" si="68"/>
        <v>0</v>
      </c>
      <c r="W323" s="11">
        <f t="shared" si="69"/>
        <v>0</v>
      </c>
      <c r="X323" s="5">
        <f t="shared" si="83"/>
        <v>1480</v>
      </c>
      <c r="Y323" s="11">
        <v>0</v>
      </c>
      <c r="Z323" s="5">
        <f t="shared" si="84"/>
        <v>1480</v>
      </c>
      <c r="AA323" s="11">
        <f t="shared" si="85"/>
        <v>0</v>
      </c>
      <c r="AB323" s="11">
        <v>0.1</v>
      </c>
    </row>
    <row r="324" spans="1:28">
      <c r="A324">
        <v>2026</v>
      </c>
      <c r="B324" t="s">
        <v>178</v>
      </c>
      <c r="C324" t="s">
        <v>12</v>
      </c>
      <c r="D324" t="s">
        <v>13</v>
      </c>
      <c r="E324" t="s">
        <v>219</v>
      </c>
      <c r="G324" t="s">
        <v>14</v>
      </c>
      <c r="H324" t="s">
        <v>14</v>
      </c>
      <c r="I324" t="s">
        <v>44</v>
      </c>
      <c r="J324">
        <v>1</v>
      </c>
      <c r="K324" t="s">
        <v>16</v>
      </c>
      <c r="L324">
        <v>2643</v>
      </c>
      <c r="M324" s="5">
        <v>2643</v>
      </c>
      <c r="O324" s="5">
        <f t="shared" si="80"/>
        <v>2643</v>
      </c>
      <c r="P324" s="5">
        <f t="shared" si="81"/>
        <v>0</v>
      </c>
      <c r="Q324" s="11">
        <v>0</v>
      </c>
      <c r="R324" s="5">
        <f t="shared" si="73"/>
        <v>0</v>
      </c>
      <c r="S324" s="11">
        <f t="shared" si="82"/>
        <v>0</v>
      </c>
      <c r="T324" s="5">
        <f t="shared" si="77"/>
        <v>0</v>
      </c>
      <c r="U324" s="11">
        <v>0</v>
      </c>
      <c r="V324" s="5">
        <f t="shared" si="68"/>
        <v>0</v>
      </c>
      <c r="W324" s="11">
        <f t="shared" si="69"/>
        <v>0</v>
      </c>
      <c r="X324" s="5">
        <f t="shared" si="83"/>
        <v>2643</v>
      </c>
      <c r="Y324" s="11">
        <v>0</v>
      </c>
      <c r="Z324" s="5">
        <f t="shared" si="84"/>
        <v>2643</v>
      </c>
      <c r="AA324" s="11">
        <f t="shared" si="85"/>
        <v>0</v>
      </c>
      <c r="AB324" s="11">
        <v>0.1</v>
      </c>
    </row>
    <row r="325" spans="1:28">
      <c r="A325">
        <v>2026</v>
      </c>
      <c r="B325" t="s">
        <v>178</v>
      </c>
      <c r="C325" t="s">
        <v>12</v>
      </c>
      <c r="D325" t="s">
        <v>13</v>
      </c>
      <c r="E325" t="s">
        <v>220</v>
      </c>
      <c r="G325" t="s">
        <v>14</v>
      </c>
      <c r="H325" t="s">
        <v>14</v>
      </c>
      <c r="I325" t="s">
        <v>24</v>
      </c>
      <c r="J325">
        <v>1</v>
      </c>
      <c r="K325" t="s">
        <v>16</v>
      </c>
      <c r="L325">
        <v>135.66</v>
      </c>
      <c r="M325" s="5">
        <v>135.66</v>
      </c>
      <c r="O325" s="5">
        <f t="shared" si="80"/>
        <v>135.66</v>
      </c>
      <c r="P325" s="5">
        <f t="shared" si="81"/>
        <v>0</v>
      </c>
      <c r="Q325" s="11">
        <v>0</v>
      </c>
      <c r="R325" s="5">
        <f t="shared" si="73"/>
        <v>0</v>
      </c>
      <c r="S325" s="11">
        <f t="shared" si="82"/>
        <v>0</v>
      </c>
      <c r="T325" s="5">
        <f t="shared" ref="T325:T356" si="86">IF(C325="Mediana Complejidad",M325,0)</f>
        <v>0</v>
      </c>
      <c r="U325" s="11">
        <v>0</v>
      </c>
      <c r="V325" s="5">
        <f t="shared" ref="V325:V388" si="87">(T325)+(T325*U325)</f>
        <v>0</v>
      </c>
      <c r="W325" s="11">
        <f t="shared" ref="W325:W388" si="88">IFERROR(((V325-T325)/V325),0)</f>
        <v>0</v>
      </c>
      <c r="X325" s="5">
        <f t="shared" si="83"/>
        <v>135.66</v>
      </c>
      <c r="Y325" s="11">
        <v>0</v>
      </c>
      <c r="Z325" s="5">
        <f t="shared" si="84"/>
        <v>135.66</v>
      </c>
      <c r="AA325" s="11">
        <f t="shared" si="85"/>
        <v>0</v>
      </c>
      <c r="AB325" s="11">
        <v>0.1</v>
      </c>
    </row>
    <row r="326" spans="1:28">
      <c r="A326">
        <v>2026</v>
      </c>
      <c r="B326" t="s">
        <v>178</v>
      </c>
      <c r="C326" t="s">
        <v>12</v>
      </c>
      <c r="D326" t="s">
        <v>13</v>
      </c>
      <c r="E326" t="s">
        <v>221</v>
      </c>
      <c r="G326" t="s">
        <v>14</v>
      </c>
      <c r="H326" t="s">
        <v>14</v>
      </c>
      <c r="I326" t="s">
        <v>25</v>
      </c>
      <c r="J326">
        <v>1</v>
      </c>
      <c r="K326" t="s">
        <v>16</v>
      </c>
      <c r="L326">
        <v>3808</v>
      </c>
      <c r="M326" s="5">
        <v>3808</v>
      </c>
      <c r="O326" s="5">
        <f t="shared" si="80"/>
        <v>3808</v>
      </c>
      <c r="P326" s="5">
        <f t="shared" si="81"/>
        <v>0</v>
      </c>
      <c r="Q326" s="11">
        <v>0</v>
      </c>
      <c r="R326" s="5">
        <f t="shared" si="73"/>
        <v>0</v>
      </c>
      <c r="S326" s="11">
        <f t="shared" si="82"/>
        <v>0</v>
      </c>
      <c r="T326" s="5">
        <f t="shared" si="86"/>
        <v>0</v>
      </c>
      <c r="U326" s="11">
        <v>0</v>
      </c>
      <c r="V326" s="5">
        <f t="shared" si="87"/>
        <v>0</v>
      </c>
      <c r="W326" s="11">
        <f t="shared" si="88"/>
        <v>0</v>
      </c>
      <c r="X326" s="5">
        <f t="shared" si="83"/>
        <v>3808</v>
      </c>
      <c r="Y326" s="11">
        <v>0</v>
      </c>
      <c r="Z326" s="5">
        <f t="shared" si="84"/>
        <v>3808</v>
      </c>
      <c r="AA326" s="11">
        <f t="shared" si="85"/>
        <v>0</v>
      </c>
      <c r="AB326" s="11">
        <v>0.1</v>
      </c>
    </row>
    <row r="327" spans="1:28">
      <c r="A327">
        <v>2026</v>
      </c>
      <c r="B327" t="s">
        <v>178</v>
      </c>
      <c r="C327" t="s">
        <v>12</v>
      </c>
      <c r="D327" t="s">
        <v>13</v>
      </c>
      <c r="E327" t="s">
        <v>222</v>
      </c>
      <c r="G327" t="s">
        <v>14</v>
      </c>
      <c r="H327" t="s">
        <v>14</v>
      </c>
      <c r="I327" t="s">
        <v>26</v>
      </c>
      <c r="J327">
        <v>1</v>
      </c>
      <c r="K327" t="s">
        <v>16</v>
      </c>
      <c r="L327">
        <v>111.86</v>
      </c>
      <c r="M327" s="5">
        <v>111.86</v>
      </c>
      <c r="O327" s="5">
        <f t="shared" si="80"/>
        <v>111.86</v>
      </c>
      <c r="P327" s="5">
        <f t="shared" si="81"/>
        <v>0</v>
      </c>
      <c r="Q327" s="11">
        <v>0</v>
      </c>
      <c r="R327" s="5">
        <f t="shared" si="73"/>
        <v>0</v>
      </c>
      <c r="S327" s="11">
        <f t="shared" si="82"/>
        <v>0</v>
      </c>
      <c r="T327" s="5">
        <f t="shared" si="86"/>
        <v>0</v>
      </c>
      <c r="U327" s="11">
        <v>0</v>
      </c>
      <c r="V327" s="5">
        <f t="shared" si="87"/>
        <v>0</v>
      </c>
      <c r="W327" s="11">
        <f t="shared" si="88"/>
        <v>0</v>
      </c>
      <c r="X327" s="5">
        <f t="shared" si="83"/>
        <v>111.86</v>
      </c>
      <c r="Y327" s="11">
        <v>0</v>
      </c>
      <c r="Z327" s="5">
        <f t="shared" si="84"/>
        <v>111.86</v>
      </c>
      <c r="AA327" s="11">
        <f t="shared" si="85"/>
        <v>0</v>
      </c>
      <c r="AB327" s="11">
        <v>0.1</v>
      </c>
    </row>
    <row r="328" spans="1:28">
      <c r="A328">
        <v>2026</v>
      </c>
      <c r="B328" t="s">
        <v>178</v>
      </c>
      <c r="C328" t="s">
        <v>12</v>
      </c>
      <c r="D328" t="s">
        <v>13</v>
      </c>
      <c r="E328" t="s">
        <v>223</v>
      </c>
      <c r="G328" t="s">
        <v>14</v>
      </c>
      <c r="H328" t="s">
        <v>14</v>
      </c>
      <c r="I328" t="s">
        <v>66</v>
      </c>
      <c r="J328">
        <v>2</v>
      </c>
      <c r="K328" t="s">
        <v>16</v>
      </c>
      <c r="L328">
        <v>80300</v>
      </c>
      <c r="M328" s="5">
        <v>642.4</v>
      </c>
      <c r="O328" s="5">
        <f t="shared" si="80"/>
        <v>642.4</v>
      </c>
      <c r="P328" s="5">
        <f t="shared" si="81"/>
        <v>0</v>
      </c>
      <c r="Q328" s="11">
        <v>0</v>
      </c>
      <c r="R328" s="5">
        <f t="shared" si="73"/>
        <v>0</v>
      </c>
      <c r="S328" s="11">
        <f t="shared" si="82"/>
        <v>0</v>
      </c>
      <c r="T328" s="5">
        <f t="shared" si="86"/>
        <v>0</v>
      </c>
      <c r="U328" s="11">
        <v>0</v>
      </c>
      <c r="V328" s="5">
        <f t="shared" si="87"/>
        <v>0</v>
      </c>
      <c r="W328" s="11">
        <f t="shared" si="88"/>
        <v>0</v>
      </c>
      <c r="X328" s="5">
        <f t="shared" si="83"/>
        <v>642.4</v>
      </c>
      <c r="Y328" s="11">
        <v>0</v>
      </c>
      <c r="Z328" s="5">
        <f t="shared" si="84"/>
        <v>642.4</v>
      </c>
      <c r="AA328" s="11">
        <f t="shared" si="85"/>
        <v>0</v>
      </c>
      <c r="AB328" s="11">
        <v>0.1</v>
      </c>
    </row>
    <row r="329" spans="1:28">
      <c r="A329">
        <v>2026</v>
      </c>
      <c r="B329" t="s">
        <v>178</v>
      </c>
      <c r="C329" t="s">
        <v>12</v>
      </c>
      <c r="D329" t="s">
        <v>13</v>
      </c>
      <c r="E329" t="s">
        <v>224</v>
      </c>
      <c r="G329" t="s">
        <v>14</v>
      </c>
      <c r="H329" t="s">
        <v>14</v>
      </c>
      <c r="I329" t="s">
        <v>28</v>
      </c>
      <c r="J329">
        <v>2</v>
      </c>
      <c r="K329" t="s">
        <v>16</v>
      </c>
      <c r="L329">
        <v>17888.080000000002</v>
      </c>
      <c r="M329" s="5">
        <v>35776.160000000003</v>
      </c>
      <c r="O329" s="5">
        <f t="shared" si="80"/>
        <v>35776.160000000003</v>
      </c>
      <c r="P329" s="5">
        <f t="shared" si="81"/>
        <v>0</v>
      </c>
      <c r="Q329" s="11">
        <v>0</v>
      </c>
      <c r="R329" s="5">
        <f t="shared" si="73"/>
        <v>0</v>
      </c>
      <c r="S329" s="11">
        <f t="shared" si="82"/>
        <v>0</v>
      </c>
      <c r="T329" s="5">
        <f t="shared" si="86"/>
        <v>0</v>
      </c>
      <c r="U329" s="11">
        <v>0</v>
      </c>
      <c r="V329" s="5">
        <f t="shared" si="87"/>
        <v>0</v>
      </c>
      <c r="W329" s="11">
        <f t="shared" si="88"/>
        <v>0</v>
      </c>
      <c r="X329" s="5">
        <f t="shared" si="83"/>
        <v>35776.160000000003</v>
      </c>
      <c r="Y329" s="11">
        <v>0</v>
      </c>
      <c r="Z329" s="5">
        <f t="shared" si="84"/>
        <v>35776.160000000003</v>
      </c>
      <c r="AA329" s="11">
        <f t="shared" si="85"/>
        <v>0</v>
      </c>
      <c r="AB329" s="11">
        <v>0.1</v>
      </c>
    </row>
    <row r="330" spans="1:28">
      <c r="A330">
        <v>2026</v>
      </c>
      <c r="B330" t="s">
        <v>178</v>
      </c>
      <c r="C330" t="s">
        <v>12</v>
      </c>
      <c r="D330" t="s">
        <v>13</v>
      </c>
      <c r="E330" t="s">
        <v>225</v>
      </c>
      <c r="G330" t="s">
        <v>14</v>
      </c>
      <c r="H330" t="s">
        <v>14</v>
      </c>
      <c r="I330" t="s">
        <v>29</v>
      </c>
      <c r="J330">
        <v>2</v>
      </c>
      <c r="K330" t="s">
        <v>16</v>
      </c>
      <c r="L330">
        <v>337.3837894736842</v>
      </c>
      <c r="M330" s="5">
        <v>674.76757894736841</v>
      </c>
      <c r="O330" s="5">
        <f t="shared" si="80"/>
        <v>674.76757894736841</v>
      </c>
      <c r="P330" s="5">
        <f t="shared" si="81"/>
        <v>0</v>
      </c>
      <c r="Q330" s="11">
        <v>0</v>
      </c>
      <c r="R330" s="5">
        <f t="shared" si="73"/>
        <v>0</v>
      </c>
      <c r="S330" s="11">
        <f t="shared" si="82"/>
        <v>0</v>
      </c>
      <c r="T330" s="5">
        <f t="shared" si="86"/>
        <v>0</v>
      </c>
      <c r="U330" s="11">
        <v>0</v>
      </c>
      <c r="V330" s="5">
        <f t="shared" si="87"/>
        <v>0</v>
      </c>
      <c r="W330" s="11">
        <f t="shared" si="88"/>
        <v>0</v>
      </c>
      <c r="X330" s="5">
        <f t="shared" si="83"/>
        <v>674.76757894736841</v>
      </c>
      <c r="Y330" s="11">
        <v>0</v>
      </c>
      <c r="Z330" s="5">
        <f t="shared" si="84"/>
        <v>674.76757894736841</v>
      </c>
      <c r="AA330" s="11">
        <f t="shared" si="85"/>
        <v>0</v>
      </c>
      <c r="AB330" s="11">
        <v>0.1</v>
      </c>
    </row>
    <row r="331" spans="1:28">
      <c r="A331">
        <v>2026</v>
      </c>
      <c r="B331" t="s">
        <v>178</v>
      </c>
      <c r="C331" t="s">
        <v>12</v>
      </c>
      <c r="D331" t="s">
        <v>13</v>
      </c>
      <c r="E331" t="s">
        <v>226</v>
      </c>
      <c r="G331" t="s">
        <v>14</v>
      </c>
      <c r="H331" t="s">
        <v>14</v>
      </c>
      <c r="I331" t="s">
        <v>154</v>
      </c>
      <c r="J331">
        <v>1</v>
      </c>
      <c r="K331" t="s">
        <v>16</v>
      </c>
      <c r="L331">
        <v>67900</v>
      </c>
      <c r="M331" s="5">
        <v>6790</v>
      </c>
      <c r="O331" s="5">
        <f t="shared" si="80"/>
        <v>6790</v>
      </c>
      <c r="P331" s="5">
        <f t="shared" si="81"/>
        <v>0</v>
      </c>
      <c r="Q331" s="11">
        <v>0</v>
      </c>
      <c r="R331" s="5">
        <f t="shared" si="73"/>
        <v>0</v>
      </c>
      <c r="S331" s="11">
        <f t="shared" si="82"/>
        <v>0</v>
      </c>
      <c r="T331" s="5">
        <f t="shared" si="86"/>
        <v>0</v>
      </c>
      <c r="U331" s="11">
        <v>0</v>
      </c>
      <c r="V331" s="5">
        <f t="shared" si="87"/>
        <v>0</v>
      </c>
      <c r="W331" s="11">
        <f t="shared" si="88"/>
        <v>0</v>
      </c>
      <c r="X331" s="5">
        <f t="shared" si="83"/>
        <v>6790</v>
      </c>
      <c r="Y331" s="11">
        <v>0</v>
      </c>
      <c r="Z331" s="5">
        <f t="shared" si="84"/>
        <v>6790</v>
      </c>
      <c r="AA331" s="11">
        <f t="shared" si="85"/>
        <v>0</v>
      </c>
      <c r="AB331" s="11">
        <v>0.1</v>
      </c>
    </row>
    <row r="332" spans="1:28">
      <c r="A332">
        <v>2026</v>
      </c>
      <c r="B332" t="s">
        <v>178</v>
      </c>
      <c r="C332" t="s">
        <v>12</v>
      </c>
      <c r="D332" t="s">
        <v>13</v>
      </c>
      <c r="E332" t="s">
        <v>227</v>
      </c>
      <c r="G332" t="s">
        <v>14</v>
      </c>
      <c r="H332" t="s">
        <v>14</v>
      </c>
      <c r="I332" t="s">
        <v>155</v>
      </c>
      <c r="J332">
        <v>1</v>
      </c>
      <c r="K332" t="s">
        <v>16</v>
      </c>
      <c r="L332">
        <v>50300</v>
      </c>
      <c r="M332" s="5">
        <v>5030</v>
      </c>
      <c r="O332" s="5">
        <f t="shared" si="80"/>
        <v>5030</v>
      </c>
      <c r="P332" s="5">
        <f t="shared" si="81"/>
        <v>0</v>
      </c>
      <c r="Q332" s="11">
        <v>0</v>
      </c>
      <c r="R332" s="5">
        <f t="shared" si="73"/>
        <v>0</v>
      </c>
      <c r="S332" s="11">
        <f t="shared" si="82"/>
        <v>0</v>
      </c>
      <c r="T332" s="5">
        <f t="shared" si="86"/>
        <v>0</v>
      </c>
      <c r="U332" s="11">
        <v>0</v>
      </c>
      <c r="V332" s="5">
        <f t="shared" si="87"/>
        <v>0</v>
      </c>
      <c r="W332" s="11">
        <f t="shared" si="88"/>
        <v>0</v>
      </c>
      <c r="X332" s="5">
        <f t="shared" si="83"/>
        <v>5030</v>
      </c>
      <c r="Y332" s="11">
        <v>0</v>
      </c>
      <c r="Z332" s="5">
        <f t="shared" si="84"/>
        <v>5030</v>
      </c>
      <c r="AA332" s="11">
        <f t="shared" si="85"/>
        <v>0</v>
      </c>
      <c r="AB332" s="11">
        <v>0.1</v>
      </c>
    </row>
    <row r="333" spans="1:28">
      <c r="A333">
        <v>2026</v>
      </c>
      <c r="B333" t="s">
        <v>178</v>
      </c>
      <c r="C333" t="s">
        <v>12</v>
      </c>
      <c r="D333" t="s">
        <v>13</v>
      </c>
      <c r="E333" t="s">
        <v>228</v>
      </c>
      <c r="G333" t="s">
        <v>14</v>
      </c>
      <c r="H333" t="s">
        <v>14</v>
      </c>
      <c r="I333" t="s">
        <v>152</v>
      </c>
      <c r="J333">
        <v>1</v>
      </c>
      <c r="K333" t="s">
        <v>16</v>
      </c>
      <c r="L333">
        <v>43500</v>
      </c>
      <c r="M333" s="5">
        <v>3625</v>
      </c>
      <c r="O333" s="5">
        <f t="shared" si="80"/>
        <v>3625</v>
      </c>
      <c r="P333" s="5">
        <f t="shared" si="81"/>
        <v>0</v>
      </c>
      <c r="Q333" s="11">
        <v>0</v>
      </c>
      <c r="R333" s="5">
        <f t="shared" si="73"/>
        <v>0</v>
      </c>
      <c r="S333" s="11">
        <f t="shared" si="82"/>
        <v>0</v>
      </c>
      <c r="T333" s="5">
        <f t="shared" si="86"/>
        <v>0</v>
      </c>
      <c r="U333" s="11">
        <v>0</v>
      </c>
      <c r="V333" s="5">
        <f t="shared" si="87"/>
        <v>0</v>
      </c>
      <c r="W333" s="11">
        <f t="shared" si="88"/>
        <v>0</v>
      </c>
      <c r="X333" s="5">
        <f t="shared" si="83"/>
        <v>3625</v>
      </c>
      <c r="Y333" s="11">
        <v>0</v>
      </c>
      <c r="Z333" s="5">
        <f t="shared" si="84"/>
        <v>3625</v>
      </c>
      <c r="AA333" s="11">
        <f t="shared" si="85"/>
        <v>0</v>
      </c>
      <c r="AB333" s="11">
        <v>0.1</v>
      </c>
    </row>
    <row r="334" spans="1:28">
      <c r="A334">
        <v>2026</v>
      </c>
      <c r="B334" t="s">
        <v>178</v>
      </c>
      <c r="C334" t="s">
        <v>12</v>
      </c>
      <c r="D334" t="s">
        <v>13</v>
      </c>
      <c r="E334">
        <v>1965</v>
      </c>
      <c r="F334">
        <v>1600</v>
      </c>
      <c r="G334" t="s">
        <v>32</v>
      </c>
      <c r="H334" t="s">
        <v>32</v>
      </c>
      <c r="I334" t="s">
        <v>35</v>
      </c>
      <c r="J334">
        <v>80</v>
      </c>
      <c r="K334" t="s">
        <v>38</v>
      </c>
      <c r="L334">
        <v>201.61</v>
      </c>
      <c r="M334" s="5">
        <f>+L334*F334</f>
        <v>322576</v>
      </c>
      <c r="O334" s="5">
        <f t="shared" si="80"/>
        <v>322576</v>
      </c>
      <c r="P334" s="5">
        <f t="shared" si="81"/>
        <v>0</v>
      </c>
      <c r="Q334" s="11">
        <v>0</v>
      </c>
      <c r="R334" s="5">
        <f t="shared" si="73"/>
        <v>0</v>
      </c>
      <c r="S334" s="11">
        <f t="shared" si="82"/>
        <v>0</v>
      </c>
      <c r="T334" s="5">
        <f t="shared" si="86"/>
        <v>0</v>
      </c>
      <c r="U334" s="11">
        <v>0</v>
      </c>
      <c r="V334" s="5">
        <f t="shared" si="87"/>
        <v>0</v>
      </c>
      <c r="W334" s="11">
        <f t="shared" si="88"/>
        <v>0</v>
      </c>
      <c r="X334" s="5">
        <f t="shared" si="83"/>
        <v>322576</v>
      </c>
      <c r="Y334" s="11">
        <v>0</v>
      </c>
      <c r="Z334" s="5">
        <f t="shared" si="84"/>
        <v>322576</v>
      </c>
      <c r="AA334" s="11">
        <f t="shared" si="85"/>
        <v>0</v>
      </c>
      <c r="AB334" s="11">
        <v>0.1</v>
      </c>
    </row>
    <row r="335" spans="1:28">
      <c r="A335">
        <v>2026</v>
      </c>
      <c r="B335" t="s">
        <v>178</v>
      </c>
      <c r="C335" t="s">
        <v>12</v>
      </c>
      <c r="D335" t="s">
        <v>13</v>
      </c>
      <c r="E335">
        <v>1965</v>
      </c>
      <c r="G335" t="s">
        <v>36</v>
      </c>
      <c r="H335" t="s">
        <v>36</v>
      </c>
      <c r="I335" t="s">
        <v>37</v>
      </c>
      <c r="J335">
        <v>3</v>
      </c>
      <c r="K335" t="s">
        <v>16</v>
      </c>
      <c r="L335">
        <v>3000</v>
      </c>
      <c r="M335" s="5">
        <v>12657</v>
      </c>
      <c r="O335" s="5">
        <f t="shared" si="80"/>
        <v>12657</v>
      </c>
      <c r="P335" s="5">
        <f t="shared" si="81"/>
        <v>0</v>
      </c>
      <c r="Q335" s="11">
        <v>0</v>
      </c>
      <c r="R335" s="5">
        <f t="shared" si="73"/>
        <v>0</v>
      </c>
      <c r="S335" s="11">
        <f t="shared" si="82"/>
        <v>0</v>
      </c>
      <c r="T335" s="5">
        <f t="shared" si="86"/>
        <v>0</v>
      </c>
      <c r="U335" s="11">
        <v>0</v>
      </c>
      <c r="V335" s="5">
        <f t="shared" si="87"/>
        <v>0</v>
      </c>
      <c r="W335" s="11">
        <f t="shared" si="88"/>
        <v>0</v>
      </c>
      <c r="X335" s="5">
        <f t="shared" si="83"/>
        <v>12657</v>
      </c>
      <c r="Y335" s="11">
        <v>0</v>
      </c>
      <c r="Z335" s="5">
        <f t="shared" si="84"/>
        <v>12657</v>
      </c>
      <c r="AA335" s="11">
        <f t="shared" si="85"/>
        <v>0</v>
      </c>
      <c r="AB335" s="11">
        <v>0.1</v>
      </c>
    </row>
    <row r="336" spans="1:28">
      <c r="A336">
        <v>2026</v>
      </c>
      <c r="B336" t="s">
        <v>179</v>
      </c>
      <c r="C336" t="s">
        <v>12</v>
      </c>
      <c r="D336" t="s">
        <v>13</v>
      </c>
      <c r="E336" t="s">
        <v>216</v>
      </c>
      <c r="G336" t="s">
        <v>14</v>
      </c>
      <c r="H336" t="s">
        <v>14</v>
      </c>
      <c r="I336" t="s">
        <v>15</v>
      </c>
      <c r="J336">
        <v>4</v>
      </c>
      <c r="K336" t="s">
        <v>16</v>
      </c>
      <c r="L336">
        <v>266</v>
      </c>
      <c r="M336" s="5">
        <v>1064</v>
      </c>
      <c r="O336" s="5">
        <f>Z336</f>
        <v>1064</v>
      </c>
      <c r="P336" s="5">
        <f t="shared" si="81"/>
        <v>0</v>
      </c>
      <c r="Q336" s="11">
        <v>0</v>
      </c>
      <c r="R336" s="5">
        <f t="shared" si="73"/>
        <v>0</v>
      </c>
      <c r="S336" s="11">
        <f t="shared" si="82"/>
        <v>0</v>
      </c>
      <c r="T336" s="5">
        <f t="shared" si="86"/>
        <v>0</v>
      </c>
      <c r="U336" s="11">
        <v>0</v>
      </c>
      <c r="V336" s="5">
        <f t="shared" si="87"/>
        <v>0</v>
      </c>
      <c r="W336" s="11">
        <f t="shared" si="88"/>
        <v>0</v>
      </c>
      <c r="X336" s="5">
        <f t="shared" si="83"/>
        <v>1064</v>
      </c>
      <c r="Y336" s="11">
        <v>0</v>
      </c>
      <c r="Z336" s="5">
        <f>X336+(X336*Y336)</f>
        <v>1064</v>
      </c>
      <c r="AA336" s="11">
        <f t="shared" si="85"/>
        <v>0</v>
      </c>
      <c r="AB336" s="11">
        <v>0.1</v>
      </c>
    </row>
    <row r="337" spans="1:28">
      <c r="A337">
        <v>2026</v>
      </c>
      <c r="B337" t="s">
        <v>179</v>
      </c>
      <c r="C337" t="s">
        <v>12</v>
      </c>
      <c r="D337" t="s">
        <v>13</v>
      </c>
      <c r="E337" t="s">
        <v>217</v>
      </c>
      <c r="G337" t="s">
        <v>14</v>
      </c>
      <c r="H337" t="s">
        <v>14</v>
      </c>
      <c r="I337" t="s">
        <v>18</v>
      </c>
      <c r="J337">
        <v>1</v>
      </c>
      <c r="K337" t="s">
        <v>16</v>
      </c>
      <c r="L337">
        <v>1086.232</v>
      </c>
      <c r="M337" s="5">
        <v>1086.232</v>
      </c>
      <c r="O337" s="5">
        <f t="shared" ref="O337:O350" si="89">Z337</f>
        <v>1086.232</v>
      </c>
      <c r="P337" s="5">
        <f t="shared" si="81"/>
        <v>0</v>
      </c>
      <c r="Q337" s="11">
        <v>0</v>
      </c>
      <c r="R337" s="5">
        <f t="shared" si="73"/>
        <v>0</v>
      </c>
      <c r="S337" s="11">
        <f t="shared" si="82"/>
        <v>0</v>
      </c>
      <c r="T337" s="5">
        <f t="shared" si="86"/>
        <v>0</v>
      </c>
      <c r="U337" s="11">
        <v>0</v>
      </c>
      <c r="V337" s="5">
        <f t="shared" si="87"/>
        <v>0</v>
      </c>
      <c r="W337" s="11">
        <f t="shared" si="88"/>
        <v>0</v>
      </c>
      <c r="X337" s="5">
        <f t="shared" si="83"/>
        <v>1086.232</v>
      </c>
      <c r="Y337" s="11">
        <v>0</v>
      </c>
      <c r="Z337" s="5">
        <f t="shared" ref="Z337:Z350" si="90">X337+(X337*Y337)</f>
        <v>1086.232</v>
      </c>
      <c r="AA337" s="11">
        <f t="shared" si="85"/>
        <v>0</v>
      </c>
      <c r="AB337" s="11">
        <v>0.1</v>
      </c>
    </row>
    <row r="338" spans="1:28">
      <c r="A338">
        <v>2026</v>
      </c>
      <c r="B338" t="s">
        <v>179</v>
      </c>
      <c r="C338" t="s">
        <v>12</v>
      </c>
      <c r="D338" t="s">
        <v>13</v>
      </c>
      <c r="E338" t="s">
        <v>218</v>
      </c>
      <c r="G338" t="s">
        <v>14</v>
      </c>
      <c r="H338" t="s">
        <v>14</v>
      </c>
      <c r="I338" t="s">
        <v>20</v>
      </c>
      <c r="J338">
        <v>4</v>
      </c>
      <c r="K338" t="s">
        <v>16</v>
      </c>
      <c r="L338">
        <v>370</v>
      </c>
      <c r="M338" s="5">
        <v>1480</v>
      </c>
      <c r="O338" s="5">
        <f t="shared" si="89"/>
        <v>1480</v>
      </c>
      <c r="P338" s="5">
        <f t="shared" si="81"/>
        <v>0</v>
      </c>
      <c r="Q338" s="11">
        <v>0</v>
      </c>
      <c r="R338" s="5">
        <f t="shared" si="73"/>
        <v>0</v>
      </c>
      <c r="S338" s="11">
        <f t="shared" si="82"/>
        <v>0</v>
      </c>
      <c r="T338" s="5">
        <f t="shared" si="86"/>
        <v>0</v>
      </c>
      <c r="U338" s="11">
        <v>0</v>
      </c>
      <c r="V338" s="5">
        <f t="shared" si="87"/>
        <v>0</v>
      </c>
      <c r="W338" s="11">
        <f t="shared" si="88"/>
        <v>0</v>
      </c>
      <c r="X338" s="5">
        <f t="shared" si="83"/>
        <v>1480</v>
      </c>
      <c r="Y338" s="11">
        <v>0</v>
      </c>
      <c r="Z338" s="5">
        <f t="shared" si="90"/>
        <v>1480</v>
      </c>
      <c r="AA338" s="11">
        <f t="shared" si="85"/>
        <v>0</v>
      </c>
      <c r="AB338" s="11">
        <v>0.1</v>
      </c>
    </row>
    <row r="339" spans="1:28">
      <c r="A339">
        <v>2026</v>
      </c>
      <c r="B339" t="s">
        <v>179</v>
      </c>
      <c r="C339" t="s">
        <v>12</v>
      </c>
      <c r="D339" t="s">
        <v>13</v>
      </c>
      <c r="E339" t="s">
        <v>219</v>
      </c>
      <c r="G339" t="s">
        <v>14</v>
      </c>
      <c r="H339" t="s">
        <v>14</v>
      </c>
      <c r="I339" t="s">
        <v>44</v>
      </c>
      <c r="J339">
        <v>1</v>
      </c>
      <c r="K339" t="s">
        <v>16</v>
      </c>
      <c r="L339">
        <v>2643</v>
      </c>
      <c r="M339" s="5">
        <v>2643</v>
      </c>
      <c r="O339" s="5">
        <f t="shared" si="89"/>
        <v>2643</v>
      </c>
      <c r="P339" s="5">
        <f t="shared" si="81"/>
        <v>0</v>
      </c>
      <c r="Q339" s="11">
        <v>0</v>
      </c>
      <c r="R339" s="5">
        <f t="shared" si="73"/>
        <v>0</v>
      </c>
      <c r="S339" s="11">
        <f t="shared" si="82"/>
        <v>0</v>
      </c>
      <c r="T339" s="5">
        <f t="shared" si="86"/>
        <v>0</v>
      </c>
      <c r="U339" s="11">
        <v>0</v>
      </c>
      <c r="V339" s="5">
        <f t="shared" si="87"/>
        <v>0</v>
      </c>
      <c r="W339" s="11">
        <f t="shared" si="88"/>
        <v>0</v>
      </c>
      <c r="X339" s="5">
        <f t="shared" si="83"/>
        <v>2643</v>
      </c>
      <c r="Y339" s="11">
        <v>0</v>
      </c>
      <c r="Z339" s="5">
        <f t="shared" si="90"/>
        <v>2643</v>
      </c>
      <c r="AA339" s="11">
        <f t="shared" si="85"/>
        <v>0</v>
      </c>
      <c r="AB339" s="11">
        <v>0.1</v>
      </c>
    </row>
    <row r="340" spans="1:28">
      <c r="A340">
        <v>2026</v>
      </c>
      <c r="B340" t="s">
        <v>179</v>
      </c>
      <c r="C340" t="s">
        <v>12</v>
      </c>
      <c r="D340" t="s">
        <v>13</v>
      </c>
      <c r="E340" t="s">
        <v>220</v>
      </c>
      <c r="G340" t="s">
        <v>14</v>
      </c>
      <c r="H340" t="s">
        <v>14</v>
      </c>
      <c r="I340" t="s">
        <v>24</v>
      </c>
      <c r="J340">
        <v>1</v>
      </c>
      <c r="K340" t="s">
        <v>16</v>
      </c>
      <c r="L340">
        <v>135.66</v>
      </c>
      <c r="M340" s="5">
        <v>135.66</v>
      </c>
      <c r="O340" s="5">
        <f t="shared" si="89"/>
        <v>135.66</v>
      </c>
      <c r="P340" s="5">
        <f t="shared" si="81"/>
        <v>0</v>
      </c>
      <c r="Q340" s="11">
        <v>0</v>
      </c>
      <c r="R340" s="5">
        <f t="shared" si="73"/>
        <v>0</v>
      </c>
      <c r="S340" s="11">
        <f t="shared" si="82"/>
        <v>0</v>
      </c>
      <c r="T340" s="5">
        <f t="shared" si="86"/>
        <v>0</v>
      </c>
      <c r="U340" s="11">
        <v>0</v>
      </c>
      <c r="V340" s="5">
        <f t="shared" si="87"/>
        <v>0</v>
      </c>
      <c r="W340" s="11">
        <f t="shared" si="88"/>
        <v>0</v>
      </c>
      <c r="X340" s="5">
        <f t="shared" si="83"/>
        <v>135.66</v>
      </c>
      <c r="Y340" s="11">
        <v>0</v>
      </c>
      <c r="Z340" s="5">
        <f t="shared" si="90"/>
        <v>135.66</v>
      </c>
      <c r="AA340" s="11">
        <f t="shared" si="85"/>
        <v>0</v>
      </c>
      <c r="AB340" s="11">
        <v>0.1</v>
      </c>
    </row>
    <row r="341" spans="1:28">
      <c r="A341">
        <v>2026</v>
      </c>
      <c r="B341" t="s">
        <v>179</v>
      </c>
      <c r="C341" t="s">
        <v>12</v>
      </c>
      <c r="D341" t="s">
        <v>13</v>
      </c>
      <c r="E341" t="s">
        <v>221</v>
      </c>
      <c r="G341" t="s">
        <v>14</v>
      </c>
      <c r="H341" t="s">
        <v>14</v>
      </c>
      <c r="I341" t="s">
        <v>25</v>
      </c>
      <c r="J341">
        <v>1</v>
      </c>
      <c r="K341" t="s">
        <v>16</v>
      </c>
      <c r="L341">
        <v>3808</v>
      </c>
      <c r="M341" s="5">
        <v>3808</v>
      </c>
      <c r="O341" s="5">
        <f t="shared" si="89"/>
        <v>3808</v>
      </c>
      <c r="P341" s="5">
        <f t="shared" si="81"/>
        <v>0</v>
      </c>
      <c r="Q341" s="11">
        <v>0</v>
      </c>
      <c r="R341" s="5">
        <f t="shared" ref="R341:R404" si="91">P341+(P341*Q341)</f>
        <v>0</v>
      </c>
      <c r="S341" s="11">
        <f t="shared" si="82"/>
        <v>0</v>
      </c>
      <c r="T341" s="5">
        <f t="shared" si="86"/>
        <v>0</v>
      </c>
      <c r="U341" s="11">
        <v>0</v>
      </c>
      <c r="V341" s="5">
        <f t="shared" si="87"/>
        <v>0</v>
      </c>
      <c r="W341" s="11">
        <f t="shared" si="88"/>
        <v>0</v>
      </c>
      <c r="X341" s="5">
        <f t="shared" si="83"/>
        <v>3808</v>
      </c>
      <c r="Y341" s="11">
        <v>0</v>
      </c>
      <c r="Z341" s="5">
        <f t="shared" si="90"/>
        <v>3808</v>
      </c>
      <c r="AA341" s="11">
        <f t="shared" si="85"/>
        <v>0</v>
      </c>
      <c r="AB341" s="11">
        <v>0.1</v>
      </c>
    </row>
    <row r="342" spans="1:28">
      <c r="A342">
        <v>2026</v>
      </c>
      <c r="B342" t="s">
        <v>179</v>
      </c>
      <c r="C342" t="s">
        <v>12</v>
      </c>
      <c r="D342" t="s">
        <v>13</v>
      </c>
      <c r="E342" t="s">
        <v>222</v>
      </c>
      <c r="G342" t="s">
        <v>14</v>
      </c>
      <c r="H342" t="s">
        <v>14</v>
      </c>
      <c r="I342" t="s">
        <v>26</v>
      </c>
      <c r="J342">
        <v>1</v>
      </c>
      <c r="K342" t="s">
        <v>16</v>
      </c>
      <c r="L342">
        <v>111.86</v>
      </c>
      <c r="M342" s="5">
        <v>111.86</v>
      </c>
      <c r="O342" s="5">
        <f t="shared" si="89"/>
        <v>111.86</v>
      </c>
      <c r="P342" s="5">
        <f t="shared" si="81"/>
        <v>0</v>
      </c>
      <c r="Q342" s="11">
        <v>0</v>
      </c>
      <c r="R342" s="5">
        <f t="shared" si="91"/>
        <v>0</v>
      </c>
      <c r="S342" s="11">
        <f t="shared" si="82"/>
        <v>0</v>
      </c>
      <c r="T342" s="5">
        <f t="shared" si="86"/>
        <v>0</v>
      </c>
      <c r="U342" s="11">
        <v>0</v>
      </c>
      <c r="V342" s="5">
        <f t="shared" si="87"/>
        <v>0</v>
      </c>
      <c r="W342" s="11">
        <f t="shared" si="88"/>
        <v>0</v>
      </c>
      <c r="X342" s="5">
        <f t="shared" si="83"/>
        <v>111.86</v>
      </c>
      <c r="Y342" s="11">
        <v>0</v>
      </c>
      <c r="Z342" s="5">
        <f t="shared" si="90"/>
        <v>111.86</v>
      </c>
      <c r="AA342" s="11">
        <f t="shared" si="85"/>
        <v>0</v>
      </c>
      <c r="AB342" s="11">
        <v>0.1</v>
      </c>
    </row>
    <row r="343" spans="1:28">
      <c r="A343">
        <v>2026</v>
      </c>
      <c r="B343" t="s">
        <v>179</v>
      </c>
      <c r="C343" t="s">
        <v>12</v>
      </c>
      <c r="D343" t="s">
        <v>13</v>
      </c>
      <c r="E343" t="s">
        <v>223</v>
      </c>
      <c r="G343" t="s">
        <v>14</v>
      </c>
      <c r="H343" t="s">
        <v>14</v>
      </c>
      <c r="I343" t="s">
        <v>66</v>
      </c>
      <c r="J343">
        <v>2</v>
      </c>
      <c r="K343" t="s">
        <v>16</v>
      </c>
      <c r="L343">
        <v>80300</v>
      </c>
      <c r="M343" s="5">
        <v>642.4</v>
      </c>
      <c r="O343" s="5">
        <f t="shared" si="89"/>
        <v>642.4</v>
      </c>
      <c r="P343" s="5">
        <f t="shared" si="81"/>
        <v>0</v>
      </c>
      <c r="Q343" s="11">
        <v>0</v>
      </c>
      <c r="R343" s="5">
        <f t="shared" si="91"/>
        <v>0</v>
      </c>
      <c r="S343" s="11">
        <f t="shared" si="82"/>
        <v>0</v>
      </c>
      <c r="T343" s="5">
        <f t="shared" si="86"/>
        <v>0</v>
      </c>
      <c r="U343" s="11">
        <v>0</v>
      </c>
      <c r="V343" s="5">
        <f t="shared" si="87"/>
        <v>0</v>
      </c>
      <c r="W343" s="11">
        <f t="shared" si="88"/>
        <v>0</v>
      </c>
      <c r="X343" s="5">
        <f t="shared" si="83"/>
        <v>642.4</v>
      </c>
      <c r="Y343" s="11">
        <v>0</v>
      </c>
      <c r="Z343" s="5">
        <f t="shared" si="90"/>
        <v>642.4</v>
      </c>
      <c r="AA343" s="11">
        <f t="shared" si="85"/>
        <v>0</v>
      </c>
      <c r="AB343" s="11">
        <v>0.1</v>
      </c>
    </row>
    <row r="344" spans="1:28">
      <c r="A344">
        <v>2026</v>
      </c>
      <c r="B344" t="s">
        <v>179</v>
      </c>
      <c r="C344" t="s">
        <v>12</v>
      </c>
      <c r="D344" t="s">
        <v>13</v>
      </c>
      <c r="E344" t="s">
        <v>224</v>
      </c>
      <c r="G344" t="s">
        <v>14</v>
      </c>
      <c r="H344" t="s">
        <v>14</v>
      </c>
      <c r="I344" t="s">
        <v>28</v>
      </c>
      <c r="J344">
        <v>2</v>
      </c>
      <c r="K344" t="s">
        <v>16</v>
      </c>
      <c r="L344">
        <v>17888.080000000002</v>
      </c>
      <c r="M344" s="5">
        <v>35776.160000000003</v>
      </c>
      <c r="O344" s="5">
        <f t="shared" si="89"/>
        <v>35776.160000000003</v>
      </c>
      <c r="P344" s="5">
        <f t="shared" si="81"/>
        <v>0</v>
      </c>
      <c r="Q344" s="11">
        <v>0</v>
      </c>
      <c r="R344" s="5">
        <f t="shared" si="91"/>
        <v>0</v>
      </c>
      <c r="S344" s="11">
        <f t="shared" si="82"/>
        <v>0</v>
      </c>
      <c r="T344" s="5">
        <f t="shared" si="86"/>
        <v>0</v>
      </c>
      <c r="U344" s="11">
        <v>0</v>
      </c>
      <c r="V344" s="5">
        <f t="shared" si="87"/>
        <v>0</v>
      </c>
      <c r="W344" s="11">
        <f t="shared" si="88"/>
        <v>0</v>
      </c>
      <c r="X344" s="5">
        <f t="shared" si="83"/>
        <v>35776.160000000003</v>
      </c>
      <c r="Y344" s="11">
        <v>0</v>
      </c>
      <c r="Z344" s="5">
        <f t="shared" si="90"/>
        <v>35776.160000000003</v>
      </c>
      <c r="AA344" s="11">
        <f t="shared" si="85"/>
        <v>0</v>
      </c>
      <c r="AB344" s="11">
        <v>0.1</v>
      </c>
    </row>
    <row r="345" spans="1:28">
      <c r="A345">
        <v>2026</v>
      </c>
      <c r="B345" t="s">
        <v>179</v>
      </c>
      <c r="C345" t="s">
        <v>12</v>
      </c>
      <c r="D345" t="s">
        <v>13</v>
      </c>
      <c r="E345" t="s">
        <v>225</v>
      </c>
      <c r="G345" t="s">
        <v>14</v>
      </c>
      <c r="H345" t="s">
        <v>14</v>
      </c>
      <c r="I345" t="s">
        <v>29</v>
      </c>
      <c r="J345">
        <v>2</v>
      </c>
      <c r="K345" t="s">
        <v>16</v>
      </c>
      <c r="L345">
        <v>337.3837894736842</v>
      </c>
      <c r="M345" s="5">
        <v>674.76757894736841</v>
      </c>
      <c r="O345" s="5">
        <f t="shared" si="89"/>
        <v>674.76757894736841</v>
      </c>
      <c r="P345" s="5">
        <f t="shared" si="81"/>
        <v>0</v>
      </c>
      <c r="Q345" s="11">
        <v>0</v>
      </c>
      <c r="R345" s="5">
        <f t="shared" si="91"/>
        <v>0</v>
      </c>
      <c r="S345" s="11">
        <f t="shared" si="82"/>
        <v>0</v>
      </c>
      <c r="T345" s="5">
        <f t="shared" si="86"/>
        <v>0</v>
      </c>
      <c r="U345" s="11">
        <v>0</v>
      </c>
      <c r="V345" s="5">
        <f t="shared" si="87"/>
        <v>0</v>
      </c>
      <c r="W345" s="11">
        <f t="shared" si="88"/>
        <v>0</v>
      </c>
      <c r="X345" s="5">
        <f t="shared" si="83"/>
        <v>674.76757894736841</v>
      </c>
      <c r="Y345" s="11">
        <v>0</v>
      </c>
      <c r="Z345" s="5">
        <f t="shared" si="90"/>
        <v>674.76757894736841</v>
      </c>
      <c r="AA345" s="11">
        <f t="shared" si="85"/>
        <v>0</v>
      </c>
      <c r="AB345" s="11">
        <v>0.1</v>
      </c>
    </row>
    <row r="346" spans="1:28">
      <c r="A346">
        <v>2026</v>
      </c>
      <c r="B346" t="s">
        <v>179</v>
      </c>
      <c r="C346" t="s">
        <v>12</v>
      </c>
      <c r="D346" t="s">
        <v>13</v>
      </c>
      <c r="E346" t="s">
        <v>226</v>
      </c>
      <c r="G346" t="s">
        <v>14</v>
      </c>
      <c r="H346" t="s">
        <v>14</v>
      </c>
      <c r="I346" t="s">
        <v>154</v>
      </c>
      <c r="J346">
        <v>1</v>
      </c>
      <c r="K346" t="s">
        <v>16</v>
      </c>
      <c r="L346">
        <v>67900</v>
      </c>
      <c r="M346" s="5">
        <v>6790</v>
      </c>
      <c r="O346" s="5">
        <f t="shared" si="89"/>
        <v>6790</v>
      </c>
      <c r="P346" s="5">
        <f t="shared" si="81"/>
        <v>0</v>
      </c>
      <c r="Q346" s="11">
        <v>0</v>
      </c>
      <c r="R346" s="5">
        <f t="shared" si="91"/>
        <v>0</v>
      </c>
      <c r="S346" s="11">
        <f t="shared" si="82"/>
        <v>0</v>
      </c>
      <c r="T346" s="5">
        <f t="shared" si="86"/>
        <v>0</v>
      </c>
      <c r="U346" s="11">
        <v>0</v>
      </c>
      <c r="V346" s="5">
        <f t="shared" si="87"/>
        <v>0</v>
      </c>
      <c r="W346" s="11">
        <f t="shared" si="88"/>
        <v>0</v>
      </c>
      <c r="X346" s="5">
        <f t="shared" si="83"/>
        <v>6790</v>
      </c>
      <c r="Y346" s="11">
        <v>0</v>
      </c>
      <c r="Z346" s="5">
        <f t="shared" si="90"/>
        <v>6790</v>
      </c>
      <c r="AA346" s="11">
        <f t="shared" si="85"/>
        <v>0</v>
      </c>
      <c r="AB346" s="11">
        <v>0.1</v>
      </c>
    </row>
    <row r="347" spans="1:28">
      <c r="A347">
        <v>2026</v>
      </c>
      <c r="B347" t="s">
        <v>179</v>
      </c>
      <c r="C347" t="s">
        <v>12</v>
      </c>
      <c r="D347" t="s">
        <v>13</v>
      </c>
      <c r="E347" t="s">
        <v>227</v>
      </c>
      <c r="G347" t="s">
        <v>14</v>
      </c>
      <c r="H347" t="s">
        <v>14</v>
      </c>
      <c r="I347" t="s">
        <v>155</v>
      </c>
      <c r="J347">
        <v>1</v>
      </c>
      <c r="K347" t="s">
        <v>16</v>
      </c>
      <c r="L347">
        <v>50300</v>
      </c>
      <c r="M347" s="5">
        <v>5030</v>
      </c>
      <c r="O347" s="5">
        <f t="shared" si="89"/>
        <v>5030</v>
      </c>
      <c r="P347" s="5">
        <f t="shared" si="81"/>
        <v>0</v>
      </c>
      <c r="Q347" s="11">
        <v>0</v>
      </c>
      <c r="R347" s="5">
        <f t="shared" si="91"/>
        <v>0</v>
      </c>
      <c r="S347" s="11">
        <f t="shared" si="82"/>
        <v>0</v>
      </c>
      <c r="T347" s="5">
        <f t="shared" si="86"/>
        <v>0</v>
      </c>
      <c r="U347" s="11">
        <v>0</v>
      </c>
      <c r="V347" s="5">
        <f t="shared" si="87"/>
        <v>0</v>
      </c>
      <c r="W347" s="11">
        <f t="shared" si="88"/>
        <v>0</v>
      </c>
      <c r="X347" s="5">
        <f t="shared" si="83"/>
        <v>5030</v>
      </c>
      <c r="Y347" s="11">
        <v>0</v>
      </c>
      <c r="Z347" s="5">
        <f t="shared" si="90"/>
        <v>5030</v>
      </c>
      <c r="AA347" s="11">
        <f t="shared" si="85"/>
        <v>0</v>
      </c>
      <c r="AB347" s="11">
        <v>0.1</v>
      </c>
    </row>
    <row r="348" spans="1:28">
      <c r="A348">
        <v>2026</v>
      </c>
      <c r="B348" t="s">
        <v>179</v>
      </c>
      <c r="C348" t="s">
        <v>12</v>
      </c>
      <c r="D348" t="s">
        <v>13</v>
      </c>
      <c r="E348" t="s">
        <v>228</v>
      </c>
      <c r="G348" t="s">
        <v>14</v>
      </c>
      <c r="H348" t="s">
        <v>14</v>
      </c>
      <c r="I348" t="s">
        <v>152</v>
      </c>
      <c r="J348">
        <v>1</v>
      </c>
      <c r="K348" t="s">
        <v>16</v>
      </c>
      <c r="L348">
        <v>43500</v>
      </c>
      <c r="M348" s="5">
        <v>3625</v>
      </c>
      <c r="O348" s="5">
        <f t="shared" si="89"/>
        <v>3625</v>
      </c>
      <c r="P348" s="5">
        <f t="shared" si="81"/>
        <v>0</v>
      </c>
      <c r="Q348" s="11">
        <v>0</v>
      </c>
      <c r="R348" s="5">
        <f t="shared" si="91"/>
        <v>0</v>
      </c>
      <c r="S348" s="11">
        <f t="shared" si="82"/>
        <v>0</v>
      </c>
      <c r="T348" s="5">
        <f t="shared" si="86"/>
        <v>0</v>
      </c>
      <c r="U348" s="11">
        <v>0</v>
      </c>
      <c r="V348" s="5">
        <f t="shared" si="87"/>
        <v>0</v>
      </c>
      <c r="W348" s="11">
        <f t="shared" si="88"/>
        <v>0</v>
      </c>
      <c r="X348" s="5">
        <f t="shared" si="83"/>
        <v>3625</v>
      </c>
      <c r="Y348" s="11">
        <v>0</v>
      </c>
      <c r="Z348" s="5">
        <f t="shared" si="90"/>
        <v>3625</v>
      </c>
      <c r="AA348" s="11">
        <f t="shared" si="85"/>
        <v>0</v>
      </c>
      <c r="AB348" s="11">
        <v>0.1</v>
      </c>
    </row>
    <row r="349" spans="1:28">
      <c r="A349">
        <v>2026</v>
      </c>
      <c r="B349" t="s">
        <v>179</v>
      </c>
      <c r="C349" t="s">
        <v>12</v>
      </c>
      <c r="D349" t="s">
        <v>13</v>
      </c>
      <c r="E349">
        <v>1965</v>
      </c>
      <c r="F349">
        <v>1600</v>
      </c>
      <c r="G349" t="s">
        <v>32</v>
      </c>
      <c r="H349" t="s">
        <v>32</v>
      </c>
      <c r="I349" t="s">
        <v>35</v>
      </c>
      <c r="J349">
        <v>80</v>
      </c>
      <c r="K349" t="s">
        <v>38</v>
      </c>
      <c r="L349">
        <v>201.61</v>
      </c>
      <c r="M349" s="5">
        <f>+L349*F349</f>
        <v>322576</v>
      </c>
      <c r="O349" s="5">
        <f t="shared" si="89"/>
        <v>322576</v>
      </c>
      <c r="P349" s="5">
        <f t="shared" si="81"/>
        <v>0</v>
      </c>
      <c r="Q349" s="11">
        <v>0</v>
      </c>
      <c r="R349" s="5">
        <f t="shared" si="91"/>
        <v>0</v>
      </c>
      <c r="S349" s="11">
        <f t="shared" si="82"/>
        <v>0</v>
      </c>
      <c r="T349" s="5">
        <f t="shared" si="86"/>
        <v>0</v>
      </c>
      <c r="U349" s="11">
        <v>0</v>
      </c>
      <c r="V349" s="5">
        <f t="shared" si="87"/>
        <v>0</v>
      </c>
      <c r="W349" s="11">
        <f t="shared" si="88"/>
        <v>0</v>
      </c>
      <c r="X349" s="5">
        <f t="shared" si="83"/>
        <v>322576</v>
      </c>
      <c r="Y349" s="11">
        <v>0</v>
      </c>
      <c r="Z349" s="5">
        <f t="shared" si="90"/>
        <v>322576</v>
      </c>
      <c r="AA349" s="11">
        <f t="shared" si="85"/>
        <v>0</v>
      </c>
      <c r="AB349" s="11">
        <v>0.1</v>
      </c>
    </row>
    <row r="350" spans="1:28">
      <c r="A350">
        <v>2026</v>
      </c>
      <c r="B350" t="s">
        <v>179</v>
      </c>
      <c r="C350" t="s">
        <v>12</v>
      </c>
      <c r="D350" t="s">
        <v>13</v>
      </c>
      <c r="E350">
        <v>1965</v>
      </c>
      <c r="G350" t="s">
        <v>36</v>
      </c>
      <c r="H350" t="s">
        <v>36</v>
      </c>
      <c r="I350" t="s">
        <v>37</v>
      </c>
      <c r="J350">
        <v>3</v>
      </c>
      <c r="K350" t="s">
        <v>16</v>
      </c>
      <c r="L350">
        <v>3000</v>
      </c>
      <c r="M350" s="5">
        <v>12657</v>
      </c>
      <c r="O350" s="5">
        <f t="shared" si="89"/>
        <v>12657</v>
      </c>
      <c r="P350" s="5">
        <f t="shared" si="81"/>
        <v>0</v>
      </c>
      <c r="Q350" s="11">
        <v>0</v>
      </c>
      <c r="R350" s="5">
        <f t="shared" si="91"/>
        <v>0</v>
      </c>
      <c r="S350" s="11">
        <f t="shared" si="82"/>
        <v>0</v>
      </c>
      <c r="T350" s="5">
        <f t="shared" si="86"/>
        <v>0</v>
      </c>
      <c r="U350" s="11">
        <v>0</v>
      </c>
      <c r="V350" s="5">
        <f t="shared" si="87"/>
        <v>0</v>
      </c>
      <c r="W350" s="11">
        <f t="shared" si="88"/>
        <v>0</v>
      </c>
      <c r="X350" s="5">
        <f t="shared" si="83"/>
        <v>12657</v>
      </c>
      <c r="Y350" s="11">
        <v>0</v>
      </c>
      <c r="Z350" s="5">
        <f t="shared" si="90"/>
        <v>12657</v>
      </c>
      <c r="AA350" s="11">
        <f t="shared" si="85"/>
        <v>0</v>
      </c>
      <c r="AB350" s="11">
        <v>0.1</v>
      </c>
    </row>
    <row r="351" spans="1:28">
      <c r="A351">
        <v>2026</v>
      </c>
      <c r="B351" t="s">
        <v>180</v>
      </c>
      <c r="C351" t="s">
        <v>12</v>
      </c>
      <c r="D351" t="s">
        <v>13</v>
      </c>
      <c r="E351" t="s">
        <v>216</v>
      </c>
      <c r="G351" t="s">
        <v>14</v>
      </c>
      <c r="H351" t="s">
        <v>14</v>
      </c>
      <c r="I351" t="s">
        <v>15</v>
      </c>
      <c r="J351">
        <v>4</v>
      </c>
      <c r="K351" t="s">
        <v>16</v>
      </c>
      <c r="L351">
        <v>266</v>
      </c>
      <c r="M351" s="5">
        <v>1064</v>
      </c>
      <c r="O351" s="5">
        <f>Z351</f>
        <v>1064</v>
      </c>
      <c r="P351" s="5">
        <f t="shared" si="81"/>
        <v>0</v>
      </c>
      <c r="Q351" s="11">
        <v>0</v>
      </c>
      <c r="R351" s="5">
        <f t="shared" si="91"/>
        <v>0</v>
      </c>
      <c r="S351" s="11">
        <f t="shared" si="82"/>
        <v>0</v>
      </c>
      <c r="T351" s="5">
        <f t="shared" si="86"/>
        <v>0</v>
      </c>
      <c r="U351" s="11">
        <v>0</v>
      </c>
      <c r="V351" s="5">
        <f t="shared" si="87"/>
        <v>0</v>
      </c>
      <c r="W351" s="11">
        <f t="shared" si="88"/>
        <v>0</v>
      </c>
      <c r="X351" s="5">
        <f t="shared" si="83"/>
        <v>1064</v>
      </c>
      <c r="Y351" s="11">
        <v>0</v>
      </c>
      <c r="Z351" s="5">
        <f>X351+(X351*Y351)</f>
        <v>1064</v>
      </c>
      <c r="AA351" s="11">
        <f t="shared" si="85"/>
        <v>0</v>
      </c>
      <c r="AB351" s="11">
        <v>0.1</v>
      </c>
    </row>
    <row r="352" spans="1:28">
      <c r="A352">
        <v>2026</v>
      </c>
      <c r="B352" t="s">
        <v>180</v>
      </c>
      <c r="C352" t="s">
        <v>12</v>
      </c>
      <c r="D352" t="s">
        <v>13</v>
      </c>
      <c r="E352" t="s">
        <v>217</v>
      </c>
      <c r="G352" t="s">
        <v>14</v>
      </c>
      <c r="H352" t="s">
        <v>14</v>
      </c>
      <c r="I352" t="s">
        <v>18</v>
      </c>
      <c r="J352">
        <v>1</v>
      </c>
      <c r="K352" t="s">
        <v>16</v>
      </c>
      <c r="L352">
        <v>1086.232</v>
      </c>
      <c r="M352" s="5">
        <v>1086.232</v>
      </c>
      <c r="O352" s="5">
        <f t="shared" ref="O352:O365" si="92">Z352</f>
        <v>1086.232</v>
      </c>
      <c r="P352" s="5">
        <f t="shared" si="81"/>
        <v>0</v>
      </c>
      <c r="Q352" s="11">
        <v>0</v>
      </c>
      <c r="R352" s="5">
        <f t="shared" si="91"/>
        <v>0</v>
      </c>
      <c r="S352" s="11">
        <f t="shared" si="82"/>
        <v>0</v>
      </c>
      <c r="T352" s="5">
        <f t="shared" si="86"/>
        <v>0</v>
      </c>
      <c r="U352" s="11">
        <v>0</v>
      </c>
      <c r="V352" s="5">
        <f t="shared" si="87"/>
        <v>0</v>
      </c>
      <c r="W352" s="11">
        <f t="shared" si="88"/>
        <v>0</v>
      </c>
      <c r="X352" s="5">
        <f t="shared" si="83"/>
        <v>1086.232</v>
      </c>
      <c r="Y352" s="11">
        <v>0</v>
      </c>
      <c r="Z352" s="5">
        <f t="shared" ref="Z352:Z365" si="93">X352+(X352*Y352)</f>
        <v>1086.232</v>
      </c>
      <c r="AA352" s="11">
        <f t="shared" si="85"/>
        <v>0</v>
      </c>
      <c r="AB352" s="11">
        <v>0.1</v>
      </c>
    </row>
    <row r="353" spans="1:28">
      <c r="A353">
        <v>2026</v>
      </c>
      <c r="B353" t="s">
        <v>180</v>
      </c>
      <c r="C353" t="s">
        <v>12</v>
      </c>
      <c r="D353" t="s">
        <v>13</v>
      </c>
      <c r="E353" t="s">
        <v>218</v>
      </c>
      <c r="G353" t="s">
        <v>14</v>
      </c>
      <c r="H353" t="s">
        <v>14</v>
      </c>
      <c r="I353" t="s">
        <v>20</v>
      </c>
      <c r="J353">
        <v>4</v>
      </c>
      <c r="K353" t="s">
        <v>16</v>
      </c>
      <c r="L353">
        <v>370</v>
      </c>
      <c r="M353" s="5">
        <v>1480</v>
      </c>
      <c r="O353" s="5">
        <f t="shared" si="92"/>
        <v>1480</v>
      </c>
      <c r="P353" s="5">
        <f t="shared" si="81"/>
        <v>0</v>
      </c>
      <c r="Q353" s="11">
        <v>0</v>
      </c>
      <c r="R353" s="5">
        <f t="shared" si="91"/>
        <v>0</v>
      </c>
      <c r="S353" s="11">
        <f t="shared" si="82"/>
        <v>0</v>
      </c>
      <c r="T353" s="5">
        <f t="shared" si="86"/>
        <v>0</v>
      </c>
      <c r="U353" s="11">
        <v>0</v>
      </c>
      <c r="V353" s="5">
        <f t="shared" si="87"/>
        <v>0</v>
      </c>
      <c r="W353" s="11">
        <f t="shared" si="88"/>
        <v>0</v>
      </c>
      <c r="X353" s="5">
        <f t="shared" si="83"/>
        <v>1480</v>
      </c>
      <c r="Y353" s="11">
        <v>0</v>
      </c>
      <c r="Z353" s="5">
        <f t="shared" si="93"/>
        <v>1480</v>
      </c>
      <c r="AA353" s="11">
        <f t="shared" si="85"/>
        <v>0</v>
      </c>
      <c r="AB353" s="11">
        <v>0.1</v>
      </c>
    </row>
    <row r="354" spans="1:28">
      <c r="A354">
        <v>2026</v>
      </c>
      <c r="B354" t="s">
        <v>180</v>
      </c>
      <c r="C354" t="s">
        <v>12</v>
      </c>
      <c r="D354" t="s">
        <v>13</v>
      </c>
      <c r="E354" t="s">
        <v>219</v>
      </c>
      <c r="G354" t="s">
        <v>14</v>
      </c>
      <c r="H354" t="s">
        <v>14</v>
      </c>
      <c r="I354" t="s">
        <v>44</v>
      </c>
      <c r="J354">
        <v>1</v>
      </c>
      <c r="K354" t="s">
        <v>16</v>
      </c>
      <c r="L354">
        <v>2643</v>
      </c>
      <c r="M354" s="5">
        <v>2643</v>
      </c>
      <c r="O354" s="5">
        <f t="shared" si="92"/>
        <v>2643</v>
      </c>
      <c r="P354" s="5">
        <f t="shared" si="81"/>
        <v>0</v>
      </c>
      <c r="Q354" s="11">
        <v>0</v>
      </c>
      <c r="R354" s="5">
        <f t="shared" si="91"/>
        <v>0</v>
      </c>
      <c r="S354" s="11">
        <f t="shared" si="82"/>
        <v>0</v>
      </c>
      <c r="T354" s="5">
        <f t="shared" si="86"/>
        <v>0</v>
      </c>
      <c r="U354" s="11">
        <v>0</v>
      </c>
      <c r="V354" s="5">
        <f t="shared" si="87"/>
        <v>0</v>
      </c>
      <c r="W354" s="11">
        <f t="shared" si="88"/>
        <v>0</v>
      </c>
      <c r="X354" s="5">
        <f t="shared" si="83"/>
        <v>2643</v>
      </c>
      <c r="Y354" s="11">
        <v>0</v>
      </c>
      <c r="Z354" s="5">
        <f t="shared" si="93"/>
        <v>2643</v>
      </c>
      <c r="AA354" s="11">
        <f t="shared" si="85"/>
        <v>0</v>
      </c>
      <c r="AB354" s="11">
        <v>0.1</v>
      </c>
    </row>
    <row r="355" spans="1:28">
      <c r="A355">
        <v>2026</v>
      </c>
      <c r="B355" t="s">
        <v>180</v>
      </c>
      <c r="C355" t="s">
        <v>12</v>
      </c>
      <c r="D355" t="s">
        <v>13</v>
      </c>
      <c r="E355" t="s">
        <v>220</v>
      </c>
      <c r="G355" t="s">
        <v>14</v>
      </c>
      <c r="H355" t="s">
        <v>14</v>
      </c>
      <c r="I355" t="s">
        <v>24</v>
      </c>
      <c r="J355">
        <v>1</v>
      </c>
      <c r="K355" t="s">
        <v>16</v>
      </c>
      <c r="L355">
        <v>135.66</v>
      </c>
      <c r="M355" s="5">
        <v>135.66</v>
      </c>
      <c r="O355" s="5">
        <f t="shared" si="92"/>
        <v>135.66</v>
      </c>
      <c r="P355" s="5">
        <f t="shared" si="81"/>
        <v>0</v>
      </c>
      <c r="Q355" s="11">
        <v>0</v>
      </c>
      <c r="R355" s="5">
        <f t="shared" si="91"/>
        <v>0</v>
      </c>
      <c r="S355" s="11">
        <f t="shared" si="82"/>
        <v>0</v>
      </c>
      <c r="T355" s="5">
        <f t="shared" si="86"/>
        <v>0</v>
      </c>
      <c r="U355" s="11">
        <v>0</v>
      </c>
      <c r="V355" s="5">
        <f t="shared" si="87"/>
        <v>0</v>
      </c>
      <c r="W355" s="11">
        <f t="shared" si="88"/>
        <v>0</v>
      </c>
      <c r="X355" s="5">
        <f t="shared" si="83"/>
        <v>135.66</v>
      </c>
      <c r="Y355" s="11">
        <v>0</v>
      </c>
      <c r="Z355" s="5">
        <f t="shared" si="93"/>
        <v>135.66</v>
      </c>
      <c r="AA355" s="11">
        <f t="shared" si="85"/>
        <v>0</v>
      </c>
      <c r="AB355" s="11">
        <v>0.1</v>
      </c>
    </row>
    <row r="356" spans="1:28">
      <c r="A356">
        <v>2026</v>
      </c>
      <c r="B356" t="s">
        <v>180</v>
      </c>
      <c r="C356" t="s">
        <v>12</v>
      </c>
      <c r="D356" t="s">
        <v>13</v>
      </c>
      <c r="E356" t="s">
        <v>221</v>
      </c>
      <c r="G356" t="s">
        <v>14</v>
      </c>
      <c r="H356" t="s">
        <v>14</v>
      </c>
      <c r="I356" t="s">
        <v>25</v>
      </c>
      <c r="J356">
        <v>1</v>
      </c>
      <c r="K356" t="s">
        <v>16</v>
      </c>
      <c r="L356">
        <v>3808</v>
      </c>
      <c r="M356" s="5">
        <v>3808</v>
      </c>
      <c r="O356" s="5">
        <f t="shared" si="92"/>
        <v>3808</v>
      </c>
      <c r="P356" s="5">
        <f t="shared" si="81"/>
        <v>0</v>
      </c>
      <c r="Q356" s="11">
        <v>0</v>
      </c>
      <c r="R356" s="5">
        <f t="shared" si="91"/>
        <v>0</v>
      </c>
      <c r="S356" s="11">
        <f t="shared" si="82"/>
        <v>0</v>
      </c>
      <c r="T356" s="5">
        <f t="shared" si="86"/>
        <v>0</v>
      </c>
      <c r="U356" s="11">
        <v>0</v>
      </c>
      <c r="V356" s="5">
        <f t="shared" si="87"/>
        <v>0</v>
      </c>
      <c r="W356" s="11">
        <f t="shared" si="88"/>
        <v>0</v>
      </c>
      <c r="X356" s="5">
        <f t="shared" si="83"/>
        <v>3808</v>
      </c>
      <c r="Y356" s="11">
        <v>0</v>
      </c>
      <c r="Z356" s="5">
        <f t="shared" si="93"/>
        <v>3808</v>
      </c>
      <c r="AA356" s="11">
        <f t="shared" si="85"/>
        <v>0</v>
      </c>
      <c r="AB356" s="11">
        <v>0.1</v>
      </c>
    </row>
    <row r="357" spans="1:28">
      <c r="A357">
        <v>2026</v>
      </c>
      <c r="B357" t="s">
        <v>180</v>
      </c>
      <c r="C357" t="s">
        <v>12</v>
      </c>
      <c r="D357" t="s">
        <v>13</v>
      </c>
      <c r="E357" t="s">
        <v>222</v>
      </c>
      <c r="G357" t="s">
        <v>14</v>
      </c>
      <c r="H357" t="s">
        <v>14</v>
      </c>
      <c r="I357" t="s">
        <v>26</v>
      </c>
      <c r="J357">
        <v>1</v>
      </c>
      <c r="K357" t="s">
        <v>16</v>
      </c>
      <c r="L357">
        <v>111.86</v>
      </c>
      <c r="M357" s="5">
        <v>111.86</v>
      </c>
      <c r="O357" s="5">
        <f t="shared" si="92"/>
        <v>111.86</v>
      </c>
      <c r="P357" s="5">
        <f t="shared" si="81"/>
        <v>0</v>
      </c>
      <c r="Q357" s="11">
        <v>0</v>
      </c>
      <c r="R357" s="5">
        <f t="shared" si="91"/>
        <v>0</v>
      </c>
      <c r="S357" s="11">
        <f t="shared" si="82"/>
        <v>0</v>
      </c>
      <c r="T357" s="5">
        <f t="shared" ref="T357:T365" si="94">IF(C357="Mediana Complejidad",M357,0)</f>
        <v>0</v>
      </c>
      <c r="U357" s="11">
        <v>0</v>
      </c>
      <c r="V357" s="5">
        <f t="shared" si="87"/>
        <v>0</v>
      </c>
      <c r="W357" s="11">
        <f t="shared" si="88"/>
        <v>0</v>
      </c>
      <c r="X357" s="5">
        <f t="shared" si="83"/>
        <v>111.86</v>
      </c>
      <c r="Y357" s="11">
        <v>0</v>
      </c>
      <c r="Z357" s="5">
        <f t="shared" si="93"/>
        <v>111.86</v>
      </c>
      <c r="AA357" s="11">
        <f t="shared" si="85"/>
        <v>0</v>
      </c>
      <c r="AB357" s="11">
        <v>0.1</v>
      </c>
    </row>
    <row r="358" spans="1:28">
      <c r="A358">
        <v>2026</v>
      </c>
      <c r="B358" t="s">
        <v>180</v>
      </c>
      <c r="C358" t="s">
        <v>12</v>
      </c>
      <c r="D358" t="s">
        <v>13</v>
      </c>
      <c r="E358" t="s">
        <v>223</v>
      </c>
      <c r="G358" t="s">
        <v>14</v>
      </c>
      <c r="H358" t="s">
        <v>14</v>
      </c>
      <c r="I358" t="s">
        <v>66</v>
      </c>
      <c r="J358">
        <v>2</v>
      </c>
      <c r="K358" t="s">
        <v>16</v>
      </c>
      <c r="L358">
        <v>80300</v>
      </c>
      <c r="M358" s="5">
        <v>642.4</v>
      </c>
      <c r="O358" s="5">
        <f t="shared" si="92"/>
        <v>642.4</v>
      </c>
      <c r="P358" s="5">
        <f t="shared" si="81"/>
        <v>0</v>
      </c>
      <c r="Q358" s="11">
        <v>0</v>
      </c>
      <c r="R358" s="5">
        <f t="shared" si="91"/>
        <v>0</v>
      </c>
      <c r="S358" s="11">
        <f t="shared" si="82"/>
        <v>0</v>
      </c>
      <c r="T358" s="5">
        <f t="shared" si="94"/>
        <v>0</v>
      </c>
      <c r="U358" s="11">
        <v>0</v>
      </c>
      <c r="V358" s="5">
        <f t="shared" si="87"/>
        <v>0</v>
      </c>
      <c r="W358" s="11">
        <f t="shared" si="88"/>
        <v>0</v>
      </c>
      <c r="X358" s="5">
        <f t="shared" si="83"/>
        <v>642.4</v>
      </c>
      <c r="Y358" s="11">
        <v>0</v>
      </c>
      <c r="Z358" s="5">
        <f t="shared" si="93"/>
        <v>642.4</v>
      </c>
      <c r="AA358" s="11">
        <f t="shared" si="85"/>
        <v>0</v>
      </c>
      <c r="AB358" s="11">
        <v>0.1</v>
      </c>
    </row>
    <row r="359" spans="1:28">
      <c r="A359">
        <v>2026</v>
      </c>
      <c r="B359" t="s">
        <v>180</v>
      </c>
      <c r="C359" t="s">
        <v>12</v>
      </c>
      <c r="D359" t="s">
        <v>13</v>
      </c>
      <c r="E359" t="s">
        <v>224</v>
      </c>
      <c r="G359" t="s">
        <v>14</v>
      </c>
      <c r="H359" t="s">
        <v>14</v>
      </c>
      <c r="I359" t="s">
        <v>28</v>
      </c>
      <c r="J359">
        <v>2</v>
      </c>
      <c r="K359" t="s">
        <v>16</v>
      </c>
      <c r="L359">
        <v>17888.080000000002</v>
      </c>
      <c r="M359" s="5">
        <v>35776.160000000003</v>
      </c>
      <c r="O359" s="5">
        <f t="shared" si="92"/>
        <v>35776.160000000003</v>
      </c>
      <c r="P359" s="5">
        <f t="shared" si="81"/>
        <v>0</v>
      </c>
      <c r="Q359" s="11">
        <v>0</v>
      </c>
      <c r="R359" s="5">
        <f t="shared" si="91"/>
        <v>0</v>
      </c>
      <c r="S359" s="11">
        <f t="shared" si="82"/>
        <v>0</v>
      </c>
      <c r="T359" s="5">
        <f t="shared" si="94"/>
        <v>0</v>
      </c>
      <c r="U359" s="11">
        <v>0</v>
      </c>
      <c r="V359" s="5">
        <f t="shared" si="87"/>
        <v>0</v>
      </c>
      <c r="W359" s="11">
        <f t="shared" si="88"/>
        <v>0</v>
      </c>
      <c r="X359" s="5">
        <f t="shared" si="83"/>
        <v>35776.160000000003</v>
      </c>
      <c r="Y359" s="11">
        <v>0</v>
      </c>
      <c r="Z359" s="5">
        <f t="shared" si="93"/>
        <v>35776.160000000003</v>
      </c>
      <c r="AA359" s="11">
        <f t="shared" si="85"/>
        <v>0</v>
      </c>
      <c r="AB359" s="11">
        <v>0.1</v>
      </c>
    </row>
    <row r="360" spans="1:28">
      <c r="A360">
        <v>2026</v>
      </c>
      <c r="B360" t="s">
        <v>180</v>
      </c>
      <c r="C360" t="s">
        <v>12</v>
      </c>
      <c r="D360" t="s">
        <v>13</v>
      </c>
      <c r="E360" t="s">
        <v>225</v>
      </c>
      <c r="G360" t="s">
        <v>14</v>
      </c>
      <c r="H360" t="s">
        <v>14</v>
      </c>
      <c r="I360" t="s">
        <v>29</v>
      </c>
      <c r="J360">
        <v>2</v>
      </c>
      <c r="K360" t="s">
        <v>16</v>
      </c>
      <c r="L360">
        <v>337.3837894736842</v>
      </c>
      <c r="M360" s="5">
        <v>674.76757894736841</v>
      </c>
      <c r="O360" s="5">
        <f t="shared" si="92"/>
        <v>674.76757894736841</v>
      </c>
      <c r="P360" s="5">
        <f t="shared" si="81"/>
        <v>0</v>
      </c>
      <c r="Q360" s="11">
        <v>0</v>
      </c>
      <c r="R360" s="5">
        <f t="shared" si="91"/>
        <v>0</v>
      </c>
      <c r="S360" s="11">
        <f t="shared" si="82"/>
        <v>0</v>
      </c>
      <c r="T360" s="5">
        <f t="shared" si="94"/>
        <v>0</v>
      </c>
      <c r="U360" s="11">
        <v>0</v>
      </c>
      <c r="V360" s="5">
        <f t="shared" si="87"/>
        <v>0</v>
      </c>
      <c r="W360" s="11">
        <f t="shared" si="88"/>
        <v>0</v>
      </c>
      <c r="X360" s="5">
        <f t="shared" si="83"/>
        <v>674.76757894736841</v>
      </c>
      <c r="Y360" s="11">
        <v>0</v>
      </c>
      <c r="Z360" s="5">
        <f t="shared" si="93"/>
        <v>674.76757894736841</v>
      </c>
      <c r="AA360" s="11">
        <f t="shared" si="85"/>
        <v>0</v>
      </c>
      <c r="AB360" s="11">
        <v>0.1</v>
      </c>
    </row>
    <row r="361" spans="1:28">
      <c r="A361">
        <v>2026</v>
      </c>
      <c r="B361" t="s">
        <v>180</v>
      </c>
      <c r="C361" t="s">
        <v>12</v>
      </c>
      <c r="D361" t="s">
        <v>13</v>
      </c>
      <c r="E361" t="s">
        <v>226</v>
      </c>
      <c r="G361" t="s">
        <v>14</v>
      </c>
      <c r="H361" t="s">
        <v>14</v>
      </c>
      <c r="I361" t="s">
        <v>154</v>
      </c>
      <c r="J361">
        <v>1</v>
      </c>
      <c r="K361" t="s">
        <v>16</v>
      </c>
      <c r="L361">
        <v>67900</v>
      </c>
      <c r="M361" s="5">
        <v>6790</v>
      </c>
      <c r="O361" s="5">
        <f t="shared" si="92"/>
        <v>6790</v>
      </c>
      <c r="P361" s="5">
        <f t="shared" si="81"/>
        <v>0</v>
      </c>
      <c r="Q361" s="11">
        <v>0</v>
      </c>
      <c r="R361" s="5">
        <f t="shared" si="91"/>
        <v>0</v>
      </c>
      <c r="S361" s="11">
        <f t="shared" si="82"/>
        <v>0</v>
      </c>
      <c r="T361" s="5">
        <f t="shared" si="94"/>
        <v>0</v>
      </c>
      <c r="U361" s="11">
        <v>0</v>
      </c>
      <c r="V361" s="5">
        <f t="shared" si="87"/>
        <v>0</v>
      </c>
      <c r="W361" s="11">
        <f t="shared" si="88"/>
        <v>0</v>
      </c>
      <c r="X361" s="5">
        <f t="shared" si="83"/>
        <v>6790</v>
      </c>
      <c r="Y361" s="11">
        <v>0</v>
      </c>
      <c r="Z361" s="5">
        <f t="shared" si="93"/>
        <v>6790</v>
      </c>
      <c r="AA361" s="11">
        <f t="shared" si="85"/>
        <v>0</v>
      </c>
      <c r="AB361" s="11">
        <v>0.1</v>
      </c>
    </row>
    <row r="362" spans="1:28">
      <c r="A362">
        <v>2026</v>
      </c>
      <c r="B362" t="s">
        <v>180</v>
      </c>
      <c r="C362" t="s">
        <v>12</v>
      </c>
      <c r="D362" t="s">
        <v>13</v>
      </c>
      <c r="E362" t="s">
        <v>227</v>
      </c>
      <c r="G362" t="s">
        <v>14</v>
      </c>
      <c r="H362" t="s">
        <v>14</v>
      </c>
      <c r="I362" t="s">
        <v>155</v>
      </c>
      <c r="J362">
        <v>1</v>
      </c>
      <c r="K362" t="s">
        <v>16</v>
      </c>
      <c r="L362">
        <v>50300</v>
      </c>
      <c r="M362" s="5">
        <v>5030</v>
      </c>
      <c r="O362" s="5">
        <f t="shared" si="92"/>
        <v>5030</v>
      </c>
      <c r="P362" s="5">
        <f t="shared" si="81"/>
        <v>0</v>
      </c>
      <c r="Q362" s="11">
        <v>0</v>
      </c>
      <c r="R362" s="5">
        <f t="shared" si="91"/>
        <v>0</v>
      </c>
      <c r="S362" s="11">
        <f t="shared" si="82"/>
        <v>0</v>
      </c>
      <c r="T362" s="5">
        <f t="shared" si="94"/>
        <v>0</v>
      </c>
      <c r="U362" s="11">
        <v>0</v>
      </c>
      <c r="V362" s="5">
        <f t="shared" si="87"/>
        <v>0</v>
      </c>
      <c r="W362" s="11">
        <f t="shared" si="88"/>
        <v>0</v>
      </c>
      <c r="X362" s="5">
        <f t="shared" si="83"/>
        <v>5030</v>
      </c>
      <c r="Y362" s="11">
        <v>0</v>
      </c>
      <c r="Z362" s="5">
        <f t="shared" si="93"/>
        <v>5030</v>
      </c>
      <c r="AA362" s="11">
        <f t="shared" si="85"/>
        <v>0</v>
      </c>
      <c r="AB362" s="11">
        <v>0.1</v>
      </c>
    </row>
    <row r="363" spans="1:28">
      <c r="A363">
        <v>2026</v>
      </c>
      <c r="B363" t="s">
        <v>180</v>
      </c>
      <c r="C363" t="s">
        <v>12</v>
      </c>
      <c r="D363" t="s">
        <v>13</v>
      </c>
      <c r="E363" t="s">
        <v>228</v>
      </c>
      <c r="G363" t="s">
        <v>14</v>
      </c>
      <c r="H363" t="s">
        <v>14</v>
      </c>
      <c r="I363" t="s">
        <v>152</v>
      </c>
      <c r="J363">
        <v>1</v>
      </c>
      <c r="K363" t="s">
        <v>16</v>
      </c>
      <c r="L363">
        <v>43500</v>
      </c>
      <c r="M363" s="5">
        <v>3625</v>
      </c>
      <c r="O363" s="5">
        <f t="shared" si="92"/>
        <v>3625</v>
      </c>
      <c r="P363" s="5">
        <f t="shared" si="81"/>
        <v>0</v>
      </c>
      <c r="Q363" s="11">
        <v>0</v>
      </c>
      <c r="R363" s="5">
        <f t="shared" si="91"/>
        <v>0</v>
      </c>
      <c r="S363" s="11">
        <f t="shared" si="82"/>
        <v>0</v>
      </c>
      <c r="T363" s="5">
        <f t="shared" si="94"/>
        <v>0</v>
      </c>
      <c r="U363" s="11">
        <v>0</v>
      </c>
      <c r="V363" s="5">
        <f t="shared" si="87"/>
        <v>0</v>
      </c>
      <c r="W363" s="11">
        <f t="shared" si="88"/>
        <v>0</v>
      </c>
      <c r="X363" s="5">
        <f t="shared" si="83"/>
        <v>3625</v>
      </c>
      <c r="Y363" s="11">
        <v>0</v>
      </c>
      <c r="Z363" s="5">
        <f t="shared" si="93"/>
        <v>3625</v>
      </c>
      <c r="AA363" s="11">
        <f t="shared" si="85"/>
        <v>0</v>
      </c>
      <c r="AB363" s="11">
        <v>0.1</v>
      </c>
    </row>
    <row r="364" spans="1:28">
      <c r="A364">
        <v>2026</v>
      </c>
      <c r="B364" t="s">
        <v>180</v>
      </c>
      <c r="C364" t="s">
        <v>12</v>
      </c>
      <c r="D364" t="s">
        <v>13</v>
      </c>
      <c r="E364">
        <v>1965</v>
      </c>
      <c r="F364">
        <v>1600</v>
      </c>
      <c r="G364" t="s">
        <v>32</v>
      </c>
      <c r="H364" t="s">
        <v>32</v>
      </c>
      <c r="I364" t="s">
        <v>35</v>
      </c>
      <c r="J364">
        <v>80</v>
      </c>
      <c r="K364" t="s">
        <v>38</v>
      </c>
      <c r="L364">
        <v>201.61</v>
      </c>
      <c r="M364" s="5">
        <f>+L364*F364</f>
        <v>322576</v>
      </c>
      <c r="O364" s="5">
        <f t="shared" si="92"/>
        <v>322576</v>
      </c>
      <c r="P364" s="5">
        <f t="shared" si="81"/>
        <v>0</v>
      </c>
      <c r="Q364" s="11">
        <v>0</v>
      </c>
      <c r="R364" s="5">
        <f t="shared" si="91"/>
        <v>0</v>
      </c>
      <c r="S364" s="11">
        <f t="shared" si="82"/>
        <v>0</v>
      </c>
      <c r="T364" s="5">
        <f t="shared" si="94"/>
        <v>0</v>
      </c>
      <c r="U364" s="11">
        <v>0</v>
      </c>
      <c r="V364" s="5">
        <f t="shared" si="87"/>
        <v>0</v>
      </c>
      <c r="W364" s="11">
        <f t="shared" si="88"/>
        <v>0</v>
      </c>
      <c r="X364" s="5">
        <f t="shared" si="83"/>
        <v>322576</v>
      </c>
      <c r="Y364" s="11">
        <v>0</v>
      </c>
      <c r="Z364" s="5">
        <f t="shared" si="93"/>
        <v>322576</v>
      </c>
      <c r="AA364" s="11">
        <f t="shared" si="85"/>
        <v>0</v>
      </c>
      <c r="AB364" s="11">
        <v>0.1</v>
      </c>
    </row>
    <row r="365" spans="1:28">
      <c r="A365">
        <v>2026</v>
      </c>
      <c r="B365" t="s">
        <v>180</v>
      </c>
      <c r="C365" t="s">
        <v>12</v>
      </c>
      <c r="D365" t="s">
        <v>13</v>
      </c>
      <c r="E365">
        <v>1965</v>
      </c>
      <c r="G365" t="s">
        <v>36</v>
      </c>
      <c r="H365" t="s">
        <v>36</v>
      </c>
      <c r="I365" t="s">
        <v>37</v>
      </c>
      <c r="J365">
        <v>3</v>
      </c>
      <c r="K365" t="s">
        <v>16</v>
      </c>
      <c r="L365">
        <v>3000</v>
      </c>
      <c r="M365" s="5">
        <v>12657</v>
      </c>
      <c r="O365" s="5">
        <f t="shared" si="92"/>
        <v>12657</v>
      </c>
      <c r="P365" s="5">
        <f t="shared" si="81"/>
        <v>0</v>
      </c>
      <c r="Q365" s="11">
        <v>0</v>
      </c>
      <c r="R365" s="5">
        <f t="shared" si="91"/>
        <v>0</v>
      </c>
      <c r="S365" s="11">
        <f t="shared" si="82"/>
        <v>0</v>
      </c>
      <c r="T365" s="5">
        <f t="shared" si="94"/>
        <v>0</v>
      </c>
      <c r="U365" s="11">
        <v>0</v>
      </c>
      <c r="V365" s="5">
        <f t="shared" si="87"/>
        <v>0</v>
      </c>
      <c r="W365" s="11">
        <f t="shared" si="88"/>
        <v>0</v>
      </c>
      <c r="X365" s="5">
        <f t="shared" si="83"/>
        <v>12657</v>
      </c>
      <c r="Y365" s="11">
        <v>0</v>
      </c>
      <c r="Z365" s="5">
        <f t="shared" si="93"/>
        <v>12657</v>
      </c>
      <c r="AA365" s="11">
        <f t="shared" si="85"/>
        <v>0</v>
      </c>
      <c r="AB365" s="11">
        <v>0.1</v>
      </c>
    </row>
    <row r="366" spans="1:28">
      <c r="A366">
        <v>2026</v>
      </c>
      <c r="B366" t="s">
        <v>167</v>
      </c>
      <c r="C366" t="s">
        <v>42</v>
      </c>
      <c r="D366" t="s">
        <v>43</v>
      </c>
      <c r="E366">
        <v>360001</v>
      </c>
      <c r="G366" t="s">
        <v>209</v>
      </c>
      <c r="H366" t="s">
        <v>209</v>
      </c>
      <c r="I366" t="s">
        <v>71</v>
      </c>
      <c r="J366" t="s">
        <v>159</v>
      </c>
      <c r="K366" t="s">
        <v>16</v>
      </c>
      <c r="L366">
        <v>28800</v>
      </c>
      <c r="M366">
        <v>28800</v>
      </c>
      <c r="O366" s="5">
        <f>R366</f>
        <v>34560</v>
      </c>
      <c r="P366" s="5">
        <f t="shared" si="81"/>
        <v>28800</v>
      </c>
      <c r="Q366" s="11">
        <v>0.2</v>
      </c>
      <c r="R366" s="5">
        <f t="shared" si="91"/>
        <v>34560</v>
      </c>
      <c r="S366" s="11">
        <f t="shared" si="82"/>
        <v>0.16666666666666666</v>
      </c>
      <c r="T366" s="5">
        <v>0</v>
      </c>
      <c r="U366" s="11">
        <v>0</v>
      </c>
      <c r="V366" s="5">
        <f t="shared" si="87"/>
        <v>0</v>
      </c>
      <c r="W366" s="11">
        <f t="shared" si="88"/>
        <v>0</v>
      </c>
      <c r="X366" s="5">
        <f t="shared" si="83"/>
        <v>0</v>
      </c>
      <c r="Y366" s="11">
        <v>0</v>
      </c>
      <c r="Z366" s="5">
        <f t="shared" ref="Z366:Z397" si="95">(X366)+(X366*Y366)</f>
        <v>0</v>
      </c>
      <c r="AA366" s="11">
        <f t="shared" si="85"/>
        <v>0</v>
      </c>
      <c r="AB366" s="11">
        <v>0.1</v>
      </c>
    </row>
    <row r="367" spans="1:28">
      <c r="A367">
        <v>2026</v>
      </c>
      <c r="B367" t="s">
        <v>167</v>
      </c>
      <c r="C367" t="s">
        <v>42</v>
      </c>
      <c r="D367" t="s">
        <v>43</v>
      </c>
      <c r="E367">
        <v>709900</v>
      </c>
      <c r="G367" t="s">
        <v>209</v>
      </c>
      <c r="H367" t="s">
        <v>209</v>
      </c>
      <c r="I367" t="s">
        <v>76</v>
      </c>
      <c r="J367" t="s">
        <v>159</v>
      </c>
      <c r="K367" t="s">
        <v>16</v>
      </c>
      <c r="L367">
        <v>36700</v>
      </c>
      <c r="M367">
        <v>36700</v>
      </c>
      <c r="O367" s="5">
        <f t="shared" ref="O367:O380" si="96">R367</f>
        <v>44040</v>
      </c>
      <c r="P367" s="5">
        <f t="shared" si="81"/>
        <v>36700</v>
      </c>
      <c r="Q367" s="11">
        <v>0.2</v>
      </c>
      <c r="R367" s="5">
        <f t="shared" ref="R367:R380" si="97">P367+(P367*Q367)</f>
        <v>44040</v>
      </c>
      <c r="S367" s="11">
        <f t="shared" si="82"/>
        <v>0.16666666666666666</v>
      </c>
      <c r="T367" s="5">
        <v>0</v>
      </c>
      <c r="U367" s="11">
        <v>0</v>
      </c>
      <c r="V367" s="5">
        <f t="shared" si="87"/>
        <v>0</v>
      </c>
      <c r="W367" s="11">
        <f t="shared" si="88"/>
        <v>0</v>
      </c>
      <c r="X367" s="5">
        <f t="shared" si="83"/>
        <v>0</v>
      </c>
      <c r="Y367" s="11">
        <v>0</v>
      </c>
      <c r="Z367" s="5">
        <f t="shared" si="95"/>
        <v>0</v>
      </c>
      <c r="AA367" s="11">
        <f t="shared" si="85"/>
        <v>0</v>
      </c>
      <c r="AB367" s="11">
        <v>0.1</v>
      </c>
    </row>
    <row r="368" spans="1:28">
      <c r="A368">
        <v>2026</v>
      </c>
      <c r="B368" t="s">
        <v>167</v>
      </c>
      <c r="C368" t="s">
        <v>42</v>
      </c>
      <c r="D368" t="s">
        <v>43</v>
      </c>
      <c r="E368">
        <v>709902</v>
      </c>
      <c r="G368" t="s">
        <v>209</v>
      </c>
      <c r="H368" t="s">
        <v>209</v>
      </c>
      <c r="I368" t="s">
        <v>91</v>
      </c>
      <c r="J368" t="s">
        <v>160</v>
      </c>
      <c r="K368" t="s">
        <v>16</v>
      </c>
      <c r="L368">
        <v>28000</v>
      </c>
      <c r="M368">
        <v>28000</v>
      </c>
      <c r="O368" s="5">
        <f t="shared" si="96"/>
        <v>33600</v>
      </c>
      <c r="P368" s="5">
        <f t="shared" si="81"/>
        <v>28000</v>
      </c>
      <c r="Q368" s="11">
        <v>0.2</v>
      </c>
      <c r="R368" s="5">
        <f t="shared" si="97"/>
        <v>33600</v>
      </c>
      <c r="S368" s="11">
        <f t="shared" si="82"/>
        <v>0.16666666666666666</v>
      </c>
      <c r="T368" s="5">
        <v>0</v>
      </c>
      <c r="U368" s="11">
        <v>0</v>
      </c>
      <c r="V368" s="5">
        <f t="shared" si="87"/>
        <v>0</v>
      </c>
      <c r="W368" s="11">
        <f t="shared" si="88"/>
        <v>0</v>
      </c>
      <c r="X368" s="5">
        <f t="shared" si="83"/>
        <v>0</v>
      </c>
      <c r="Y368" s="11">
        <v>0</v>
      </c>
      <c r="Z368" s="5">
        <f t="shared" si="95"/>
        <v>0</v>
      </c>
      <c r="AA368" s="11">
        <f t="shared" si="85"/>
        <v>0</v>
      </c>
      <c r="AB368" s="11">
        <v>0.1</v>
      </c>
    </row>
    <row r="369" spans="1:28">
      <c r="A369">
        <v>2026</v>
      </c>
      <c r="B369" t="s">
        <v>167</v>
      </c>
      <c r="C369" t="s">
        <v>42</v>
      </c>
      <c r="D369" t="s">
        <v>43</v>
      </c>
      <c r="E369">
        <v>709903</v>
      </c>
      <c r="G369" t="s">
        <v>209</v>
      </c>
      <c r="H369" t="s">
        <v>209</v>
      </c>
      <c r="I369" t="s">
        <v>97</v>
      </c>
      <c r="J369" t="s">
        <v>160</v>
      </c>
      <c r="K369" t="s">
        <v>16</v>
      </c>
      <c r="L369">
        <v>36700</v>
      </c>
      <c r="M369">
        <v>36700</v>
      </c>
      <c r="O369" s="5">
        <f t="shared" si="96"/>
        <v>44040</v>
      </c>
      <c r="P369" s="5">
        <f t="shared" si="81"/>
        <v>36700</v>
      </c>
      <c r="Q369" s="11">
        <v>0.2</v>
      </c>
      <c r="R369" s="5">
        <f t="shared" si="97"/>
        <v>44040</v>
      </c>
      <c r="S369" s="11">
        <f t="shared" si="82"/>
        <v>0.16666666666666666</v>
      </c>
      <c r="T369" s="5">
        <v>0</v>
      </c>
      <c r="U369" s="11">
        <v>0</v>
      </c>
      <c r="V369" s="5">
        <f t="shared" si="87"/>
        <v>0</v>
      </c>
      <c r="W369" s="11">
        <f t="shared" si="88"/>
        <v>0</v>
      </c>
      <c r="X369" s="5">
        <f t="shared" si="83"/>
        <v>0</v>
      </c>
      <c r="Y369" s="11">
        <v>0</v>
      </c>
      <c r="Z369" s="5">
        <f t="shared" si="95"/>
        <v>0</v>
      </c>
      <c r="AA369" s="11">
        <f t="shared" si="85"/>
        <v>0</v>
      </c>
      <c r="AB369" s="11">
        <v>0.1</v>
      </c>
    </row>
    <row r="370" spans="1:28">
      <c r="A370">
        <v>2026</v>
      </c>
      <c r="B370" t="s">
        <v>167</v>
      </c>
      <c r="C370" t="s">
        <v>42</v>
      </c>
      <c r="D370" t="s">
        <v>43</v>
      </c>
      <c r="E370">
        <v>603421</v>
      </c>
      <c r="G370" t="s">
        <v>209</v>
      </c>
      <c r="H370" t="s">
        <v>209</v>
      </c>
      <c r="I370" t="s">
        <v>103</v>
      </c>
      <c r="J370" t="s">
        <v>160</v>
      </c>
      <c r="K370" t="s">
        <v>16</v>
      </c>
      <c r="L370">
        <v>21900</v>
      </c>
      <c r="M370">
        <v>21900</v>
      </c>
      <c r="O370" s="5">
        <f t="shared" si="96"/>
        <v>26280</v>
      </c>
      <c r="P370" s="5">
        <f t="shared" si="81"/>
        <v>21900</v>
      </c>
      <c r="Q370" s="11">
        <v>0.2</v>
      </c>
      <c r="R370" s="5">
        <f t="shared" si="97"/>
        <v>26280</v>
      </c>
      <c r="S370" s="11">
        <f t="shared" si="82"/>
        <v>0.16666666666666666</v>
      </c>
      <c r="T370" s="5">
        <v>0</v>
      </c>
      <c r="U370" s="11">
        <v>0</v>
      </c>
      <c r="V370" s="5">
        <f t="shared" si="87"/>
        <v>0</v>
      </c>
      <c r="W370" s="11">
        <f t="shared" si="88"/>
        <v>0</v>
      </c>
      <c r="X370" s="5">
        <f t="shared" si="83"/>
        <v>0</v>
      </c>
      <c r="Y370" s="11">
        <v>0</v>
      </c>
      <c r="Z370" s="5">
        <f t="shared" si="95"/>
        <v>0</v>
      </c>
      <c r="AA370" s="11">
        <f t="shared" si="85"/>
        <v>0</v>
      </c>
      <c r="AB370" s="11">
        <v>0.1</v>
      </c>
    </row>
    <row r="371" spans="1:28">
      <c r="A371">
        <v>2026</v>
      </c>
      <c r="B371" t="s">
        <v>167</v>
      </c>
      <c r="C371" t="s">
        <v>42</v>
      </c>
      <c r="D371" t="s">
        <v>43</v>
      </c>
      <c r="E371">
        <v>603422</v>
      </c>
      <c r="G371" t="s">
        <v>209</v>
      </c>
      <c r="H371" t="s">
        <v>209</v>
      </c>
      <c r="I371" t="s">
        <v>107</v>
      </c>
      <c r="J371" t="s">
        <v>160</v>
      </c>
      <c r="K371" t="s">
        <v>16</v>
      </c>
      <c r="L371">
        <v>114900</v>
      </c>
      <c r="M371">
        <v>114900</v>
      </c>
      <c r="O371" s="5">
        <f t="shared" si="96"/>
        <v>137880</v>
      </c>
      <c r="P371" s="5">
        <f t="shared" si="81"/>
        <v>114900</v>
      </c>
      <c r="Q371" s="11">
        <v>0.2</v>
      </c>
      <c r="R371" s="5">
        <f t="shared" si="97"/>
        <v>137880</v>
      </c>
      <c r="S371" s="11">
        <f t="shared" si="82"/>
        <v>0.16666666666666666</v>
      </c>
      <c r="T371" s="5">
        <v>0</v>
      </c>
      <c r="U371" s="11">
        <v>0</v>
      </c>
      <c r="V371" s="5">
        <f t="shared" si="87"/>
        <v>0</v>
      </c>
      <c r="W371" s="11">
        <f t="shared" si="88"/>
        <v>0</v>
      </c>
      <c r="X371" s="5">
        <f t="shared" si="83"/>
        <v>0</v>
      </c>
      <c r="Y371" s="11">
        <v>0</v>
      </c>
      <c r="Z371" s="5">
        <f t="shared" si="95"/>
        <v>0</v>
      </c>
      <c r="AA371" s="11">
        <f t="shared" si="85"/>
        <v>0</v>
      </c>
      <c r="AB371" s="11">
        <v>0.1</v>
      </c>
    </row>
    <row r="372" spans="1:28">
      <c r="A372">
        <v>2026</v>
      </c>
      <c r="B372" t="s">
        <v>167</v>
      </c>
      <c r="C372" t="s">
        <v>42</v>
      </c>
      <c r="D372" t="s">
        <v>43</v>
      </c>
      <c r="E372">
        <v>603423</v>
      </c>
      <c r="G372" t="s">
        <v>209</v>
      </c>
      <c r="H372" t="s">
        <v>209</v>
      </c>
      <c r="I372" t="s">
        <v>110</v>
      </c>
      <c r="J372" t="s">
        <v>160</v>
      </c>
      <c r="K372" t="s">
        <v>16</v>
      </c>
      <c r="L372">
        <v>28000</v>
      </c>
      <c r="M372">
        <v>28000</v>
      </c>
      <c r="O372" s="5">
        <f t="shared" si="96"/>
        <v>33600</v>
      </c>
      <c r="P372" s="5">
        <f t="shared" si="81"/>
        <v>28000</v>
      </c>
      <c r="Q372" s="11">
        <v>0.2</v>
      </c>
      <c r="R372" s="5">
        <f t="shared" si="97"/>
        <v>33600</v>
      </c>
      <c r="S372" s="11">
        <f t="shared" si="82"/>
        <v>0.16666666666666666</v>
      </c>
      <c r="T372" s="5">
        <v>0</v>
      </c>
      <c r="U372" s="11">
        <v>0</v>
      </c>
      <c r="V372" s="5">
        <f t="shared" si="87"/>
        <v>0</v>
      </c>
      <c r="W372" s="11">
        <f t="shared" si="88"/>
        <v>0</v>
      </c>
      <c r="X372" s="5">
        <f t="shared" si="83"/>
        <v>0</v>
      </c>
      <c r="Y372" s="11">
        <v>0</v>
      </c>
      <c r="Z372" s="5">
        <f t="shared" si="95"/>
        <v>0</v>
      </c>
      <c r="AA372" s="11">
        <f t="shared" si="85"/>
        <v>0</v>
      </c>
      <c r="AB372" s="11">
        <v>0.1</v>
      </c>
    </row>
    <row r="373" spans="1:28">
      <c r="A373">
        <v>2026</v>
      </c>
      <c r="B373" t="s">
        <v>167</v>
      </c>
      <c r="C373" t="s">
        <v>42</v>
      </c>
      <c r="D373" t="s">
        <v>43</v>
      </c>
      <c r="E373">
        <v>294199</v>
      </c>
      <c r="G373" t="s">
        <v>209</v>
      </c>
      <c r="H373" t="s">
        <v>209</v>
      </c>
      <c r="I373" t="s">
        <v>111</v>
      </c>
      <c r="J373" t="s">
        <v>160</v>
      </c>
      <c r="K373" t="s">
        <v>16</v>
      </c>
      <c r="L373">
        <v>49200</v>
      </c>
      <c r="M373">
        <v>49200</v>
      </c>
      <c r="O373" s="5">
        <f t="shared" si="96"/>
        <v>59040</v>
      </c>
      <c r="P373" s="5">
        <f t="shared" si="81"/>
        <v>49200</v>
      </c>
      <c r="Q373" s="11">
        <v>0.2</v>
      </c>
      <c r="R373" s="5">
        <f t="shared" si="97"/>
        <v>59040</v>
      </c>
      <c r="S373" s="11">
        <f t="shared" si="82"/>
        <v>0.16666666666666666</v>
      </c>
      <c r="T373" s="5">
        <v>0</v>
      </c>
      <c r="U373" s="11">
        <v>0</v>
      </c>
      <c r="V373" s="5">
        <f t="shared" si="87"/>
        <v>0</v>
      </c>
      <c r="W373" s="11">
        <f t="shared" si="88"/>
        <v>0</v>
      </c>
      <c r="X373" s="5">
        <f t="shared" si="83"/>
        <v>0</v>
      </c>
      <c r="Y373" s="11">
        <v>0</v>
      </c>
      <c r="Z373" s="5">
        <f t="shared" si="95"/>
        <v>0</v>
      </c>
      <c r="AA373" s="11">
        <f t="shared" si="85"/>
        <v>0</v>
      </c>
      <c r="AB373" s="11">
        <v>0.1</v>
      </c>
    </row>
    <row r="374" spans="1:28">
      <c r="A374">
        <v>2026</v>
      </c>
      <c r="B374" t="s">
        <v>167</v>
      </c>
      <c r="C374" t="s">
        <v>42</v>
      </c>
      <c r="D374" t="s">
        <v>43</v>
      </c>
      <c r="E374">
        <v>294299</v>
      </c>
      <c r="G374" t="s">
        <v>209</v>
      </c>
      <c r="H374" t="s">
        <v>209</v>
      </c>
      <c r="I374" t="s">
        <v>112</v>
      </c>
      <c r="J374" t="s">
        <v>160</v>
      </c>
      <c r="K374" t="s">
        <v>16</v>
      </c>
      <c r="L374">
        <v>141600</v>
      </c>
      <c r="M374">
        <v>141600</v>
      </c>
      <c r="O374" s="5">
        <f t="shared" si="96"/>
        <v>169920</v>
      </c>
      <c r="P374" s="5">
        <f t="shared" si="81"/>
        <v>141600</v>
      </c>
      <c r="Q374" s="11">
        <v>0.2</v>
      </c>
      <c r="R374" s="5">
        <f t="shared" si="97"/>
        <v>169920</v>
      </c>
      <c r="S374" s="11">
        <f t="shared" si="82"/>
        <v>0.16666666666666666</v>
      </c>
      <c r="T374" s="5">
        <v>0</v>
      </c>
      <c r="U374" s="11">
        <v>0</v>
      </c>
      <c r="V374" s="5">
        <f t="shared" si="87"/>
        <v>0</v>
      </c>
      <c r="W374" s="11">
        <f t="shared" si="88"/>
        <v>0</v>
      </c>
      <c r="X374" s="5">
        <f t="shared" si="83"/>
        <v>0</v>
      </c>
      <c r="Y374" s="11">
        <v>0</v>
      </c>
      <c r="Z374" s="5">
        <f t="shared" si="95"/>
        <v>0</v>
      </c>
      <c r="AA374" s="11">
        <f t="shared" si="85"/>
        <v>0</v>
      </c>
      <c r="AB374" s="11">
        <v>0.1</v>
      </c>
    </row>
    <row r="375" spans="1:28">
      <c r="A375">
        <v>2026</v>
      </c>
      <c r="B375" t="s">
        <v>167</v>
      </c>
      <c r="C375" t="s">
        <v>42</v>
      </c>
      <c r="D375" t="s">
        <v>43</v>
      </c>
      <c r="E375">
        <v>294399</v>
      </c>
      <c r="G375" t="s">
        <v>209</v>
      </c>
      <c r="H375" t="s">
        <v>209</v>
      </c>
      <c r="I375" t="s">
        <v>113</v>
      </c>
      <c r="J375" t="s">
        <v>160</v>
      </c>
      <c r="K375" t="s">
        <v>16</v>
      </c>
      <c r="L375">
        <v>174700</v>
      </c>
      <c r="M375">
        <v>174700</v>
      </c>
      <c r="O375" s="5">
        <f t="shared" si="96"/>
        <v>209640</v>
      </c>
      <c r="P375" s="5">
        <f t="shared" si="81"/>
        <v>174700</v>
      </c>
      <c r="Q375" s="11">
        <v>0.2</v>
      </c>
      <c r="R375" s="5">
        <f t="shared" si="97"/>
        <v>209640</v>
      </c>
      <c r="S375" s="11">
        <f t="shared" si="82"/>
        <v>0.16666666666666666</v>
      </c>
      <c r="T375" s="5">
        <v>0</v>
      </c>
      <c r="U375" s="11">
        <v>0</v>
      </c>
      <c r="V375" s="5">
        <f t="shared" si="87"/>
        <v>0</v>
      </c>
      <c r="W375" s="11">
        <f t="shared" si="88"/>
        <v>0</v>
      </c>
      <c r="X375" s="5">
        <f t="shared" si="83"/>
        <v>0</v>
      </c>
      <c r="Y375" s="11">
        <v>0</v>
      </c>
      <c r="Z375" s="5">
        <f t="shared" si="95"/>
        <v>0</v>
      </c>
      <c r="AA375" s="11">
        <f t="shared" si="85"/>
        <v>0</v>
      </c>
      <c r="AB375" s="11">
        <v>0.1</v>
      </c>
    </row>
    <row r="376" spans="1:28">
      <c r="A376">
        <v>2026</v>
      </c>
      <c r="B376" t="s">
        <v>167</v>
      </c>
      <c r="C376" t="s">
        <v>42</v>
      </c>
      <c r="D376" t="s">
        <v>43</v>
      </c>
      <c r="E376">
        <v>294499</v>
      </c>
      <c r="G376" t="s">
        <v>209</v>
      </c>
      <c r="H376" t="s">
        <v>209</v>
      </c>
      <c r="I376" t="s">
        <v>114</v>
      </c>
      <c r="J376" t="s">
        <v>160</v>
      </c>
      <c r="K376" t="s">
        <v>16</v>
      </c>
      <c r="L376">
        <v>204000</v>
      </c>
      <c r="M376">
        <v>204000</v>
      </c>
      <c r="O376" s="5">
        <f t="shared" si="96"/>
        <v>244800</v>
      </c>
      <c r="P376" s="5">
        <f t="shared" si="81"/>
        <v>204000</v>
      </c>
      <c r="Q376" s="11">
        <v>0.2</v>
      </c>
      <c r="R376" s="5">
        <f t="shared" si="97"/>
        <v>244800</v>
      </c>
      <c r="S376" s="11">
        <f t="shared" si="82"/>
        <v>0.16666666666666666</v>
      </c>
      <c r="T376" s="5">
        <v>0</v>
      </c>
      <c r="U376" s="11">
        <v>0</v>
      </c>
      <c r="V376" s="5">
        <f t="shared" si="87"/>
        <v>0</v>
      </c>
      <c r="W376" s="11">
        <f t="shared" si="88"/>
        <v>0</v>
      </c>
      <c r="X376" s="5">
        <f t="shared" si="83"/>
        <v>0</v>
      </c>
      <c r="Y376" s="11">
        <v>0</v>
      </c>
      <c r="Z376" s="5">
        <f t="shared" si="95"/>
        <v>0</v>
      </c>
      <c r="AA376" s="11">
        <f t="shared" si="85"/>
        <v>0</v>
      </c>
      <c r="AB376" s="11">
        <v>0.1</v>
      </c>
    </row>
    <row r="377" spans="1:28">
      <c r="A377">
        <v>2026</v>
      </c>
      <c r="B377" t="s">
        <v>167</v>
      </c>
      <c r="C377" t="s">
        <v>42</v>
      </c>
      <c r="D377" t="s">
        <v>43</v>
      </c>
      <c r="E377">
        <v>284190</v>
      </c>
      <c r="G377" t="s">
        <v>209</v>
      </c>
      <c r="H377" t="s">
        <v>209</v>
      </c>
      <c r="I377" t="s">
        <v>119</v>
      </c>
      <c r="J377" t="s">
        <v>160</v>
      </c>
      <c r="K377" t="s">
        <v>16</v>
      </c>
      <c r="L377">
        <v>49000</v>
      </c>
      <c r="M377">
        <v>49000</v>
      </c>
      <c r="O377" s="5">
        <f t="shared" si="96"/>
        <v>58800</v>
      </c>
      <c r="P377" s="5">
        <f t="shared" si="81"/>
        <v>49000</v>
      </c>
      <c r="Q377" s="11">
        <v>0.2</v>
      </c>
      <c r="R377" s="5">
        <f t="shared" si="97"/>
        <v>58800</v>
      </c>
      <c r="S377" s="11">
        <f t="shared" si="82"/>
        <v>0.16666666666666666</v>
      </c>
      <c r="T377" s="5">
        <v>0</v>
      </c>
      <c r="U377" s="11">
        <v>0</v>
      </c>
      <c r="V377" s="5">
        <f t="shared" si="87"/>
        <v>0</v>
      </c>
      <c r="W377" s="11">
        <f t="shared" si="88"/>
        <v>0</v>
      </c>
      <c r="X377" s="5">
        <f t="shared" si="83"/>
        <v>0</v>
      </c>
      <c r="Y377" s="11">
        <v>0</v>
      </c>
      <c r="Z377" s="5">
        <f t="shared" si="95"/>
        <v>0</v>
      </c>
      <c r="AA377" s="11">
        <f t="shared" si="85"/>
        <v>0</v>
      </c>
      <c r="AB377" s="11">
        <v>0.1</v>
      </c>
    </row>
    <row r="378" spans="1:28">
      <c r="A378">
        <v>2026</v>
      </c>
      <c r="B378" t="s">
        <v>167</v>
      </c>
      <c r="C378" t="s">
        <v>42</v>
      </c>
      <c r="D378" t="s">
        <v>43</v>
      </c>
      <c r="E378">
        <v>284390</v>
      </c>
      <c r="G378" t="s">
        <v>209</v>
      </c>
      <c r="H378" t="s">
        <v>209</v>
      </c>
      <c r="I378" t="s">
        <v>122</v>
      </c>
      <c r="J378" t="s">
        <v>159</v>
      </c>
      <c r="K378" t="s">
        <v>16</v>
      </c>
      <c r="L378">
        <v>224100</v>
      </c>
      <c r="M378">
        <v>224100</v>
      </c>
      <c r="O378" s="5">
        <f t="shared" si="96"/>
        <v>268920</v>
      </c>
      <c r="P378" s="5">
        <f t="shared" si="81"/>
        <v>224100</v>
      </c>
      <c r="Q378" s="11">
        <v>0.2</v>
      </c>
      <c r="R378" s="5">
        <f t="shared" si="97"/>
        <v>268920</v>
      </c>
      <c r="S378" s="11">
        <f t="shared" si="82"/>
        <v>0.16666666666666666</v>
      </c>
      <c r="T378" s="5">
        <v>0</v>
      </c>
      <c r="U378" s="11">
        <v>0</v>
      </c>
      <c r="V378" s="5">
        <f t="shared" si="87"/>
        <v>0</v>
      </c>
      <c r="W378" s="11">
        <f t="shared" si="88"/>
        <v>0</v>
      </c>
      <c r="X378" s="5">
        <f t="shared" si="83"/>
        <v>0</v>
      </c>
      <c r="Y378" s="11">
        <v>0</v>
      </c>
      <c r="Z378" s="5">
        <f t="shared" si="95"/>
        <v>0</v>
      </c>
      <c r="AA378" s="11">
        <f t="shared" si="85"/>
        <v>0</v>
      </c>
      <c r="AB378" s="11">
        <v>0.1</v>
      </c>
    </row>
    <row r="379" spans="1:28">
      <c r="A379">
        <v>2026</v>
      </c>
      <c r="B379" t="s">
        <v>167</v>
      </c>
      <c r="C379" t="s">
        <v>42</v>
      </c>
      <c r="D379" t="s">
        <v>43</v>
      </c>
      <c r="E379">
        <v>287100</v>
      </c>
      <c r="G379" t="s">
        <v>209</v>
      </c>
      <c r="H379" t="s">
        <v>209</v>
      </c>
      <c r="I379" t="s">
        <v>126</v>
      </c>
      <c r="J379" t="s">
        <v>159</v>
      </c>
      <c r="K379" t="s">
        <v>16</v>
      </c>
      <c r="L379">
        <v>38000</v>
      </c>
      <c r="M379">
        <v>38000</v>
      </c>
      <c r="O379" s="5">
        <f t="shared" si="96"/>
        <v>45600</v>
      </c>
      <c r="P379" s="5">
        <f t="shared" si="81"/>
        <v>38000</v>
      </c>
      <c r="Q379" s="11">
        <v>0.2</v>
      </c>
      <c r="R379" s="5">
        <f t="shared" si="97"/>
        <v>45600</v>
      </c>
      <c r="S379" s="11">
        <f t="shared" si="82"/>
        <v>0.16666666666666666</v>
      </c>
      <c r="T379" s="5">
        <v>0</v>
      </c>
      <c r="U379" s="11">
        <v>0</v>
      </c>
      <c r="V379" s="5">
        <f t="shared" si="87"/>
        <v>0</v>
      </c>
      <c r="W379" s="11">
        <f t="shared" si="88"/>
        <v>0</v>
      </c>
      <c r="X379" s="5">
        <f t="shared" si="83"/>
        <v>0</v>
      </c>
      <c r="Y379" s="11">
        <v>0</v>
      </c>
      <c r="Z379" s="5">
        <f t="shared" si="95"/>
        <v>0</v>
      </c>
      <c r="AA379" s="11">
        <f t="shared" si="85"/>
        <v>0</v>
      </c>
      <c r="AB379" s="11">
        <v>0.1</v>
      </c>
    </row>
    <row r="380" spans="1:28">
      <c r="A380">
        <v>2026</v>
      </c>
      <c r="B380" t="s">
        <v>167</v>
      </c>
      <c r="C380" t="s">
        <v>42</v>
      </c>
      <c r="D380" t="s">
        <v>43</v>
      </c>
      <c r="E380">
        <v>287200</v>
      </c>
      <c r="G380" t="s">
        <v>209</v>
      </c>
      <c r="H380" t="s">
        <v>209</v>
      </c>
      <c r="I380" t="s">
        <v>127</v>
      </c>
      <c r="J380" t="s">
        <v>159</v>
      </c>
      <c r="K380" t="s">
        <v>16</v>
      </c>
      <c r="L380">
        <v>39800</v>
      </c>
      <c r="M380">
        <v>39800</v>
      </c>
      <c r="O380" s="5">
        <f t="shared" si="96"/>
        <v>47760</v>
      </c>
      <c r="P380" s="5">
        <f t="shared" si="81"/>
        <v>39800</v>
      </c>
      <c r="Q380" s="11">
        <v>0.2</v>
      </c>
      <c r="R380" s="5">
        <f t="shared" si="97"/>
        <v>47760</v>
      </c>
      <c r="S380" s="11">
        <f t="shared" si="82"/>
        <v>0.16666666666666666</v>
      </c>
      <c r="T380" s="5">
        <v>0</v>
      </c>
      <c r="U380" s="11">
        <v>0</v>
      </c>
      <c r="V380" s="5">
        <f t="shared" si="87"/>
        <v>0</v>
      </c>
      <c r="W380" s="11">
        <f t="shared" si="88"/>
        <v>0</v>
      </c>
      <c r="X380" s="5">
        <f t="shared" si="83"/>
        <v>0</v>
      </c>
      <c r="Y380" s="11">
        <v>0</v>
      </c>
      <c r="Z380" s="5">
        <f t="shared" si="95"/>
        <v>0</v>
      </c>
      <c r="AA380" s="11">
        <f t="shared" si="85"/>
        <v>0</v>
      </c>
      <c r="AB380" s="11">
        <v>0.1</v>
      </c>
    </row>
    <row r="381" spans="1:28">
      <c r="A381">
        <v>2026</v>
      </c>
      <c r="B381" t="s">
        <v>175</v>
      </c>
      <c r="C381" t="s">
        <v>42</v>
      </c>
      <c r="D381" t="s">
        <v>43</v>
      </c>
      <c r="E381">
        <v>360001</v>
      </c>
      <c r="G381" t="s">
        <v>209</v>
      </c>
      <c r="H381" t="s">
        <v>209</v>
      </c>
      <c r="I381" t="s">
        <v>71</v>
      </c>
      <c r="J381" t="s">
        <v>159</v>
      </c>
      <c r="K381" t="s">
        <v>16</v>
      </c>
      <c r="L381">
        <v>28800</v>
      </c>
      <c r="M381">
        <v>28800</v>
      </c>
      <c r="O381" s="5">
        <f>R381</f>
        <v>34560</v>
      </c>
      <c r="P381" s="5">
        <f t="shared" si="81"/>
        <v>28800</v>
      </c>
      <c r="Q381" s="11">
        <v>0.2</v>
      </c>
      <c r="R381" s="5">
        <f>P381+(P381*Q381)</f>
        <v>34560</v>
      </c>
      <c r="S381" s="11">
        <f t="shared" si="82"/>
        <v>0.16666666666666666</v>
      </c>
      <c r="T381" s="5">
        <v>0</v>
      </c>
      <c r="U381" s="11">
        <v>0</v>
      </c>
      <c r="V381" s="5">
        <f t="shared" si="87"/>
        <v>0</v>
      </c>
      <c r="W381" s="11">
        <f t="shared" si="88"/>
        <v>0</v>
      </c>
      <c r="X381" s="5">
        <f t="shared" si="83"/>
        <v>0</v>
      </c>
      <c r="Y381" s="11">
        <v>0</v>
      </c>
      <c r="Z381" s="5">
        <f t="shared" si="95"/>
        <v>0</v>
      </c>
      <c r="AA381" s="11">
        <f t="shared" si="85"/>
        <v>0</v>
      </c>
      <c r="AB381" s="11">
        <v>0.1</v>
      </c>
    </row>
    <row r="382" spans="1:28">
      <c r="A382">
        <v>2026</v>
      </c>
      <c r="B382" t="s">
        <v>175</v>
      </c>
      <c r="C382" t="s">
        <v>42</v>
      </c>
      <c r="D382" t="s">
        <v>43</v>
      </c>
      <c r="E382">
        <v>709900</v>
      </c>
      <c r="G382" t="s">
        <v>209</v>
      </c>
      <c r="H382" t="s">
        <v>209</v>
      </c>
      <c r="I382" t="s">
        <v>76</v>
      </c>
      <c r="J382" t="s">
        <v>159</v>
      </c>
      <c r="K382" t="s">
        <v>16</v>
      </c>
      <c r="L382">
        <v>36700</v>
      </c>
      <c r="M382">
        <v>36700</v>
      </c>
      <c r="O382" s="5">
        <f t="shared" ref="O382:O395" si="98">R382</f>
        <v>44040</v>
      </c>
      <c r="P382" s="5">
        <f t="shared" si="81"/>
        <v>36700</v>
      </c>
      <c r="Q382" s="11">
        <v>0.2</v>
      </c>
      <c r="R382" s="5">
        <f t="shared" ref="R382:R395" si="99">P382+(P382*Q382)</f>
        <v>44040</v>
      </c>
      <c r="S382" s="11">
        <f t="shared" si="82"/>
        <v>0.16666666666666666</v>
      </c>
      <c r="T382" s="5">
        <v>0</v>
      </c>
      <c r="U382" s="11">
        <v>0</v>
      </c>
      <c r="V382" s="5">
        <f t="shared" si="87"/>
        <v>0</v>
      </c>
      <c r="W382" s="11">
        <f t="shared" si="88"/>
        <v>0</v>
      </c>
      <c r="X382" s="5">
        <f t="shared" si="83"/>
        <v>0</v>
      </c>
      <c r="Y382" s="11">
        <v>0</v>
      </c>
      <c r="Z382" s="5">
        <f t="shared" si="95"/>
        <v>0</v>
      </c>
      <c r="AA382" s="11">
        <f t="shared" si="85"/>
        <v>0</v>
      </c>
      <c r="AB382" s="11">
        <v>0.1</v>
      </c>
    </row>
    <row r="383" spans="1:28">
      <c r="A383">
        <v>2026</v>
      </c>
      <c r="B383" t="s">
        <v>175</v>
      </c>
      <c r="C383" t="s">
        <v>42</v>
      </c>
      <c r="D383" t="s">
        <v>43</v>
      </c>
      <c r="E383">
        <v>709902</v>
      </c>
      <c r="G383" t="s">
        <v>209</v>
      </c>
      <c r="H383" t="s">
        <v>209</v>
      </c>
      <c r="I383" t="s">
        <v>91</v>
      </c>
      <c r="J383" t="s">
        <v>160</v>
      </c>
      <c r="K383" t="s">
        <v>16</v>
      </c>
      <c r="L383">
        <v>28000</v>
      </c>
      <c r="M383">
        <v>28000</v>
      </c>
      <c r="O383" s="5">
        <f t="shared" si="98"/>
        <v>33600</v>
      </c>
      <c r="P383" s="5">
        <f t="shared" si="81"/>
        <v>28000</v>
      </c>
      <c r="Q383" s="11">
        <v>0.2</v>
      </c>
      <c r="R383" s="5">
        <f t="shared" si="99"/>
        <v>33600</v>
      </c>
      <c r="S383" s="11">
        <f t="shared" si="82"/>
        <v>0.16666666666666666</v>
      </c>
      <c r="T383" s="5">
        <v>0</v>
      </c>
      <c r="U383" s="11">
        <v>0</v>
      </c>
      <c r="V383" s="5">
        <f t="shared" si="87"/>
        <v>0</v>
      </c>
      <c r="W383" s="11">
        <f t="shared" si="88"/>
        <v>0</v>
      </c>
      <c r="X383" s="5">
        <f t="shared" si="83"/>
        <v>0</v>
      </c>
      <c r="Y383" s="11">
        <v>0</v>
      </c>
      <c r="Z383" s="5">
        <f t="shared" si="95"/>
        <v>0</v>
      </c>
      <c r="AA383" s="11">
        <f t="shared" si="85"/>
        <v>0</v>
      </c>
      <c r="AB383" s="11">
        <v>0.1</v>
      </c>
    </row>
    <row r="384" spans="1:28">
      <c r="A384">
        <v>2026</v>
      </c>
      <c r="B384" t="s">
        <v>175</v>
      </c>
      <c r="C384" t="s">
        <v>42</v>
      </c>
      <c r="D384" t="s">
        <v>43</v>
      </c>
      <c r="E384">
        <v>709903</v>
      </c>
      <c r="G384" t="s">
        <v>209</v>
      </c>
      <c r="H384" t="s">
        <v>209</v>
      </c>
      <c r="I384" t="s">
        <v>97</v>
      </c>
      <c r="J384" t="s">
        <v>160</v>
      </c>
      <c r="K384" t="s">
        <v>16</v>
      </c>
      <c r="L384">
        <v>36700</v>
      </c>
      <c r="M384">
        <v>36700</v>
      </c>
      <c r="O384" s="5">
        <f t="shared" si="98"/>
        <v>44040</v>
      </c>
      <c r="P384" s="5">
        <f t="shared" si="81"/>
        <v>36700</v>
      </c>
      <c r="Q384" s="11">
        <v>0.2</v>
      </c>
      <c r="R384" s="5">
        <f t="shared" si="99"/>
        <v>44040</v>
      </c>
      <c r="S384" s="11">
        <f t="shared" si="82"/>
        <v>0.16666666666666666</v>
      </c>
      <c r="T384" s="5">
        <v>0</v>
      </c>
      <c r="U384" s="11">
        <v>0</v>
      </c>
      <c r="V384" s="5">
        <f t="shared" si="87"/>
        <v>0</v>
      </c>
      <c r="W384" s="11">
        <f t="shared" si="88"/>
        <v>0</v>
      </c>
      <c r="X384" s="5">
        <f t="shared" si="83"/>
        <v>0</v>
      </c>
      <c r="Y384" s="11">
        <v>0</v>
      </c>
      <c r="Z384" s="5">
        <f t="shared" si="95"/>
        <v>0</v>
      </c>
      <c r="AA384" s="11">
        <f t="shared" si="85"/>
        <v>0</v>
      </c>
      <c r="AB384" s="11">
        <v>0.1</v>
      </c>
    </row>
    <row r="385" spans="1:28">
      <c r="A385">
        <v>2026</v>
      </c>
      <c r="B385" t="s">
        <v>175</v>
      </c>
      <c r="C385" t="s">
        <v>42</v>
      </c>
      <c r="D385" t="s">
        <v>43</v>
      </c>
      <c r="E385">
        <v>603421</v>
      </c>
      <c r="G385" t="s">
        <v>209</v>
      </c>
      <c r="H385" t="s">
        <v>209</v>
      </c>
      <c r="I385" t="s">
        <v>103</v>
      </c>
      <c r="J385" t="s">
        <v>160</v>
      </c>
      <c r="K385" t="s">
        <v>16</v>
      </c>
      <c r="L385">
        <v>21900</v>
      </c>
      <c r="M385">
        <v>21900</v>
      </c>
      <c r="O385" s="5">
        <f t="shared" si="98"/>
        <v>26280</v>
      </c>
      <c r="P385" s="5">
        <f t="shared" si="81"/>
        <v>21900</v>
      </c>
      <c r="Q385" s="11">
        <v>0.2</v>
      </c>
      <c r="R385" s="5">
        <f t="shared" si="99"/>
        <v>26280</v>
      </c>
      <c r="S385" s="11">
        <f t="shared" si="82"/>
        <v>0.16666666666666666</v>
      </c>
      <c r="T385" s="5">
        <v>0</v>
      </c>
      <c r="U385" s="11">
        <v>0</v>
      </c>
      <c r="V385" s="5">
        <f t="shared" si="87"/>
        <v>0</v>
      </c>
      <c r="W385" s="11">
        <f t="shared" si="88"/>
        <v>0</v>
      </c>
      <c r="X385" s="5">
        <f t="shared" si="83"/>
        <v>0</v>
      </c>
      <c r="Y385" s="11">
        <v>0</v>
      </c>
      <c r="Z385" s="5">
        <f t="shared" si="95"/>
        <v>0</v>
      </c>
      <c r="AA385" s="11">
        <f t="shared" si="85"/>
        <v>0</v>
      </c>
      <c r="AB385" s="11">
        <v>0.1</v>
      </c>
    </row>
    <row r="386" spans="1:28">
      <c r="A386">
        <v>2026</v>
      </c>
      <c r="B386" t="s">
        <v>175</v>
      </c>
      <c r="C386" t="s">
        <v>42</v>
      </c>
      <c r="D386" t="s">
        <v>43</v>
      </c>
      <c r="E386">
        <v>603422</v>
      </c>
      <c r="G386" t="s">
        <v>209</v>
      </c>
      <c r="H386" t="s">
        <v>209</v>
      </c>
      <c r="I386" t="s">
        <v>107</v>
      </c>
      <c r="J386" t="s">
        <v>160</v>
      </c>
      <c r="K386" t="s">
        <v>16</v>
      </c>
      <c r="L386">
        <v>114900</v>
      </c>
      <c r="M386">
        <v>114900</v>
      </c>
      <c r="O386" s="5">
        <f t="shared" si="98"/>
        <v>137880</v>
      </c>
      <c r="P386" s="5">
        <f t="shared" ref="P386:P449" si="100">IF(C386="Alta Complejidad",M386,0)</f>
        <v>114900</v>
      </c>
      <c r="Q386" s="11">
        <v>0.2</v>
      </c>
      <c r="R386" s="5">
        <f t="shared" si="99"/>
        <v>137880</v>
      </c>
      <c r="S386" s="11">
        <f t="shared" ref="S386:S449" si="101">IFERROR(((R386-P386)/R386),0)</f>
        <v>0.16666666666666666</v>
      </c>
      <c r="T386" s="5">
        <v>0</v>
      </c>
      <c r="U386" s="11">
        <v>0</v>
      </c>
      <c r="V386" s="5">
        <f t="shared" si="87"/>
        <v>0</v>
      </c>
      <c r="W386" s="11">
        <f t="shared" si="88"/>
        <v>0</v>
      </c>
      <c r="X386" s="5">
        <f t="shared" ref="X386:X449" si="102">IF(C386="Baja Complejidad",M386,0)</f>
        <v>0</v>
      </c>
      <c r="Y386" s="11">
        <v>0</v>
      </c>
      <c r="Z386" s="5">
        <f t="shared" si="95"/>
        <v>0</v>
      </c>
      <c r="AA386" s="11">
        <f t="shared" ref="AA386:AA449" si="103">IFERROR(((Z386-X386)/Z386),0)</f>
        <v>0</v>
      </c>
      <c r="AB386" s="11">
        <v>0.1</v>
      </c>
    </row>
    <row r="387" spans="1:28">
      <c r="A387">
        <v>2026</v>
      </c>
      <c r="B387" t="s">
        <v>175</v>
      </c>
      <c r="C387" t="s">
        <v>42</v>
      </c>
      <c r="D387" t="s">
        <v>43</v>
      </c>
      <c r="E387">
        <v>603423</v>
      </c>
      <c r="G387" t="s">
        <v>209</v>
      </c>
      <c r="H387" t="s">
        <v>209</v>
      </c>
      <c r="I387" t="s">
        <v>110</v>
      </c>
      <c r="J387" t="s">
        <v>160</v>
      </c>
      <c r="K387" t="s">
        <v>16</v>
      </c>
      <c r="L387">
        <v>28000</v>
      </c>
      <c r="M387">
        <v>28000</v>
      </c>
      <c r="O387" s="5">
        <f t="shared" si="98"/>
        <v>33600</v>
      </c>
      <c r="P387" s="5">
        <f t="shared" si="100"/>
        <v>28000</v>
      </c>
      <c r="Q387" s="11">
        <v>0.2</v>
      </c>
      <c r="R387" s="5">
        <f t="shared" si="99"/>
        <v>33600</v>
      </c>
      <c r="S387" s="11">
        <f t="shared" si="101"/>
        <v>0.16666666666666666</v>
      </c>
      <c r="T387" s="5">
        <v>0</v>
      </c>
      <c r="U387" s="11">
        <v>0</v>
      </c>
      <c r="V387" s="5">
        <f t="shared" si="87"/>
        <v>0</v>
      </c>
      <c r="W387" s="11">
        <f t="shared" si="88"/>
        <v>0</v>
      </c>
      <c r="X387" s="5">
        <f t="shared" si="102"/>
        <v>0</v>
      </c>
      <c r="Y387" s="11">
        <v>0</v>
      </c>
      <c r="Z387" s="5">
        <f t="shared" si="95"/>
        <v>0</v>
      </c>
      <c r="AA387" s="11">
        <f t="shared" si="103"/>
        <v>0</v>
      </c>
      <c r="AB387" s="11">
        <v>0.1</v>
      </c>
    </row>
    <row r="388" spans="1:28">
      <c r="A388">
        <v>2026</v>
      </c>
      <c r="B388" t="s">
        <v>175</v>
      </c>
      <c r="C388" t="s">
        <v>42</v>
      </c>
      <c r="D388" t="s">
        <v>43</v>
      </c>
      <c r="E388">
        <v>294199</v>
      </c>
      <c r="G388" t="s">
        <v>209</v>
      </c>
      <c r="H388" t="s">
        <v>209</v>
      </c>
      <c r="I388" t="s">
        <v>111</v>
      </c>
      <c r="J388" t="s">
        <v>160</v>
      </c>
      <c r="K388" t="s">
        <v>16</v>
      </c>
      <c r="L388">
        <v>49200</v>
      </c>
      <c r="M388">
        <v>49200</v>
      </c>
      <c r="O388" s="5">
        <f t="shared" si="98"/>
        <v>59040</v>
      </c>
      <c r="P388" s="5">
        <f t="shared" si="100"/>
        <v>49200</v>
      </c>
      <c r="Q388" s="11">
        <v>0.2</v>
      </c>
      <c r="R388" s="5">
        <f t="shared" si="99"/>
        <v>59040</v>
      </c>
      <c r="S388" s="11">
        <f t="shared" si="101"/>
        <v>0.16666666666666666</v>
      </c>
      <c r="T388" s="5">
        <v>0</v>
      </c>
      <c r="U388" s="11">
        <v>0</v>
      </c>
      <c r="V388" s="5">
        <f t="shared" si="87"/>
        <v>0</v>
      </c>
      <c r="W388" s="11">
        <f t="shared" si="88"/>
        <v>0</v>
      </c>
      <c r="X388" s="5">
        <f t="shared" si="102"/>
        <v>0</v>
      </c>
      <c r="Y388" s="11">
        <v>0</v>
      </c>
      <c r="Z388" s="5">
        <f t="shared" si="95"/>
        <v>0</v>
      </c>
      <c r="AA388" s="11">
        <f t="shared" si="103"/>
        <v>0</v>
      </c>
      <c r="AB388" s="11">
        <v>0.1</v>
      </c>
    </row>
    <row r="389" spans="1:28">
      <c r="A389">
        <v>2026</v>
      </c>
      <c r="B389" t="s">
        <v>175</v>
      </c>
      <c r="C389" t="s">
        <v>42</v>
      </c>
      <c r="D389" t="s">
        <v>43</v>
      </c>
      <c r="E389">
        <v>294299</v>
      </c>
      <c r="G389" t="s">
        <v>209</v>
      </c>
      <c r="H389" t="s">
        <v>209</v>
      </c>
      <c r="I389" t="s">
        <v>112</v>
      </c>
      <c r="J389" t="s">
        <v>160</v>
      </c>
      <c r="K389" t="s">
        <v>16</v>
      </c>
      <c r="L389">
        <v>141600</v>
      </c>
      <c r="M389">
        <v>141600</v>
      </c>
      <c r="O389" s="5">
        <f t="shared" si="98"/>
        <v>169920</v>
      </c>
      <c r="P389" s="5">
        <f t="shared" si="100"/>
        <v>141600</v>
      </c>
      <c r="Q389" s="11">
        <v>0.2</v>
      </c>
      <c r="R389" s="5">
        <f t="shared" si="99"/>
        <v>169920</v>
      </c>
      <c r="S389" s="11">
        <f t="shared" si="101"/>
        <v>0.16666666666666666</v>
      </c>
      <c r="T389" s="5">
        <v>0</v>
      </c>
      <c r="U389" s="11">
        <v>0</v>
      </c>
      <c r="V389" s="5">
        <f t="shared" ref="V389:V452" si="104">(T389)+(T389*U389)</f>
        <v>0</v>
      </c>
      <c r="W389" s="11">
        <f t="shared" ref="W389:W452" si="105">IFERROR(((V389-T389)/V389),0)</f>
        <v>0</v>
      </c>
      <c r="X389" s="5">
        <f t="shared" si="102"/>
        <v>0</v>
      </c>
      <c r="Y389" s="11">
        <v>0</v>
      </c>
      <c r="Z389" s="5">
        <f t="shared" si="95"/>
        <v>0</v>
      </c>
      <c r="AA389" s="11">
        <f t="shared" si="103"/>
        <v>0</v>
      </c>
      <c r="AB389" s="11">
        <v>0.1</v>
      </c>
    </row>
    <row r="390" spans="1:28">
      <c r="A390">
        <v>2026</v>
      </c>
      <c r="B390" t="s">
        <v>175</v>
      </c>
      <c r="C390" t="s">
        <v>42</v>
      </c>
      <c r="D390" t="s">
        <v>43</v>
      </c>
      <c r="E390">
        <v>294399</v>
      </c>
      <c r="G390" t="s">
        <v>209</v>
      </c>
      <c r="H390" t="s">
        <v>209</v>
      </c>
      <c r="I390" t="s">
        <v>113</v>
      </c>
      <c r="J390" t="s">
        <v>160</v>
      </c>
      <c r="K390" t="s">
        <v>16</v>
      </c>
      <c r="L390">
        <v>174700</v>
      </c>
      <c r="M390">
        <v>174700</v>
      </c>
      <c r="O390" s="5">
        <f t="shared" si="98"/>
        <v>209640</v>
      </c>
      <c r="P390" s="5">
        <f t="shared" si="100"/>
        <v>174700</v>
      </c>
      <c r="Q390" s="11">
        <v>0.2</v>
      </c>
      <c r="R390" s="5">
        <f t="shared" si="99"/>
        <v>209640</v>
      </c>
      <c r="S390" s="11">
        <f t="shared" si="101"/>
        <v>0.16666666666666666</v>
      </c>
      <c r="T390" s="5">
        <v>0</v>
      </c>
      <c r="U390" s="11">
        <v>0</v>
      </c>
      <c r="V390" s="5">
        <f t="shared" si="104"/>
        <v>0</v>
      </c>
      <c r="W390" s="11">
        <f t="shared" si="105"/>
        <v>0</v>
      </c>
      <c r="X390" s="5">
        <f t="shared" si="102"/>
        <v>0</v>
      </c>
      <c r="Y390" s="11">
        <v>0</v>
      </c>
      <c r="Z390" s="5">
        <f t="shared" si="95"/>
        <v>0</v>
      </c>
      <c r="AA390" s="11">
        <f t="shared" si="103"/>
        <v>0</v>
      </c>
      <c r="AB390" s="11">
        <v>0.1</v>
      </c>
    </row>
    <row r="391" spans="1:28">
      <c r="A391">
        <v>2026</v>
      </c>
      <c r="B391" t="s">
        <v>175</v>
      </c>
      <c r="C391" t="s">
        <v>42</v>
      </c>
      <c r="D391" t="s">
        <v>43</v>
      </c>
      <c r="E391">
        <v>294499</v>
      </c>
      <c r="G391" t="s">
        <v>209</v>
      </c>
      <c r="H391" t="s">
        <v>209</v>
      </c>
      <c r="I391" t="s">
        <v>114</v>
      </c>
      <c r="J391" t="s">
        <v>160</v>
      </c>
      <c r="K391" t="s">
        <v>16</v>
      </c>
      <c r="L391">
        <v>204000</v>
      </c>
      <c r="M391">
        <v>204000</v>
      </c>
      <c r="O391" s="5">
        <f t="shared" si="98"/>
        <v>244800</v>
      </c>
      <c r="P391" s="5">
        <f t="shared" si="100"/>
        <v>204000</v>
      </c>
      <c r="Q391" s="11">
        <v>0.2</v>
      </c>
      <c r="R391" s="5">
        <f t="shared" si="99"/>
        <v>244800</v>
      </c>
      <c r="S391" s="11">
        <f t="shared" si="101"/>
        <v>0.16666666666666666</v>
      </c>
      <c r="T391" s="5">
        <v>0</v>
      </c>
      <c r="U391" s="11">
        <v>0</v>
      </c>
      <c r="V391" s="5">
        <f t="shared" si="104"/>
        <v>0</v>
      </c>
      <c r="W391" s="11">
        <f t="shared" si="105"/>
        <v>0</v>
      </c>
      <c r="X391" s="5">
        <f t="shared" si="102"/>
        <v>0</v>
      </c>
      <c r="Y391" s="11">
        <v>0</v>
      </c>
      <c r="Z391" s="5">
        <f t="shared" si="95"/>
        <v>0</v>
      </c>
      <c r="AA391" s="11">
        <f t="shared" si="103"/>
        <v>0</v>
      </c>
      <c r="AB391" s="11">
        <v>0.1</v>
      </c>
    </row>
    <row r="392" spans="1:28">
      <c r="A392">
        <v>2026</v>
      </c>
      <c r="B392" t="s">
        <v>175</v>
      </c>
      <c r="C392" t="s">
        <v>42</v>
      </c>
      <c r="D392" t="s">
        <v>43</v>
      </c>
      <c r="E392">
        <v>284190</v>
      </c>
      <c r="G392" t="s">
        <v>209</v>
      </c>
      <c r="H392" t="s">
        <v>209</v>
      </c>
      <c r="I392" t="s">
        <v>119</v>
      </c>
      <c r="J392" t="s">
        <v>160</v>
      </c>
      <c r="K392" t="s">
        <v>16</v>
      </c>
      <c r="L392">
        <v>49000</v>
      </c>
      <c r="M392">
        <v>49000</v>
      </c>
      <c r="O392" s="5">
        <f t="shared" si="98"/>
        <v>58800</v>
      </c>
      <c r="P392" s="5">
        <f t="shared" si="100"/>
        <v>49000</v>
      </c>
      <c r="Q392" s="11">
        <v>0.2</v>
      </c>
      <c r="R392" s="5">
        <f t="shared" si="99"/>
        <v>58800</v>
      </c>
      <c r="S392" s="11">
        <f t="shared" si="101"/>
        <v>0.16666666666666666</v>
      </c>
      <c r="T392" s="5">
        <v>0</v>
      </c>
      <c r="U392" s="11">
        <v>0</v>
      </c>
      <c r="V392" s="5">
        <f t="shared" si="104"/>
        <v>0</v>
      </c>
      <c r="W392" s="11">
        <f t="shared" si="105"/>
        <v>0</v>
      </c>
      <c r="X392" s="5">
        <f t="shared" si="102"/>
        <v>0</v>
      </c>
      <c r="Y392" s="11">
        <v>0</v>
      </c>
      <c r="Z392" s="5">
        <f t="shared" si="95"/>
        <v>0</v>
      </c>
      <c r="AA392" s="11">
        <f t="shared" si="103"/>
        <v>0</v>
      </c>
      <c r="AB392" s="11">
        <v>0.1</v>
      </c>
    </row>
    <row r="393" spans="1:28">
      <c r="A393">
        <v>2026</v>
      </c>
      <c r="B393" t="s">
        <v>175</v>
      </c>
      <c r="C393" t="s">
        <v>42</v>
      </c>
      <c r="D393" t="s">
        <v>43</v>
      </c>
      <c r="E393">
        <v>284390</v>
      </c>
      <c r="G393" t="s">
        <v>209</v>
      </c>
      <c r="H393" t="s">
        <v>209</v>
      </c>
      <c r="I393" t="s">
        <v>122</v>
      </c>
      <c r="J393" t="s">
        <v>159</v>
      </c>
      <c r="K393" t="s">
        <v>16</v>
      </c>
      <c r="L393">
        <v>224100</v>
      </c>
      <c r="M393">
        <v>224100</v>
      </c>
      <c r="O393" s="5">
        <f t="shared" si="98"/>
        <v>268920</v>
      </c>
      <c r="P393" s="5">
        <f t="shared" si="100"/>
        <v>224100</v>
      </c>
      <c r="Q393" s="11">
        <v>0.2</v>
      </c>
      <c r="R393" s="5">
        <f t="shared" si="99"/>
        <v>268920</v>
      </c>
      <c r="S393" s="11">
        <f t="shared" si="101"/>
        <v>0.16666666666666666</v>
      </c>
      <c r="T393" s="5">
        <v>0</v>
      </c>
      <c r="U393" s="11">
        <v>0</v>
      </c>
      <c r="V393" s="5">
        <f t="shared" si="104"/>
        <v>0</v>
      </c>
      <c r="W393" s="11">
        <f t="shared" si="105"/>
        <v>0</v>
      </c>
      <c r="X393" s="5">
        <f t="shared" si="102"/>
        <v>0</v>
      </c>
      <c r="Y393" s="11">
        <v>0</v>
      </c>
      <c r="Z393" s="5">
        <f t="shared" si="95"/>
        <v>0</v>
      </c>
      <c r="AA393" s="11">
        <f t="shared" si="103"/>
        <v>0</v>
      </c>
      <c r="AB393" s="11">
        <v>0.1</v>
      </c>
    </row>
    <row r="394" spans="1:28">
      <c r="A394">
        <v>2026</v>
      </c>
      <c r="B394" t="s">
        <v>175</v>
      </c>
      <c r="C394" t="s">
        <v>42</v>
      </c>
      <c r="D394" t="s">
        <v>43</v>
      </c>
      <c r="E394">
        <v>287100</v>
      </c>
      <c r="G394" t="s">
        <v>209</v>
      </c>
      <c r="H394" t="s">
        <v>209</v>
      </c>
      <c r="I394" t="s">
        <v>126</v>
      </c>
      <c r="J394" t="s">
        <v>159</v>
      </c>
      <c r="K394" t="s">
        <v>16</v>
      </c>
      <c r="L394">
        <v>38000</v>
      </c>
      <c r="M394">
        <v>38000</v>
      </c>
      <c r="O394" s="5">
        <f t="shared" si="98"/>
        <v>45600</v>
      </c>
      <c r="P394" s="5">
        <f t="shared" si="100"/>
        <v>38000</v>
      </c>
      <c r="Q394" s="11">
        <v>0.2</v>
      </c>
      <c r="R394" s="5">
        <f t="shared" si="99"/>
        <v>45600</v>
      </c>
      <c r="S394" s="11">
        <f t="shared" si="101"/>
        <v>0.16666666666666666</v>
      </c>
      <c r="T394" s="5">
        <v>0</v>
      </c>
      <c r="U394" s="11">
        <v>0</v>
      </c>
      <c r="V394" s="5">
        <f t="shared" si="104"/>
        <v>0</v>
      </c>
      <c r="W394" s="11">
        <f t="shared" si="105"/>
        <v>0</v>
      </c>
      <c r="X394" s="5">
        <f t="shared" si="102"/>
        <v>0</v>
      </c>
      <c r="Y394" s="11">
        <v>0</v>
      </c>
      <c r="Z394" s="5">
        <f t="shared" si="95"/>
        <v>0</v>
      </c>
      <c r="AA394" s="11">
        <f t="shared" si="103"/>
        <v>0</v>
      </c>
      <c r="AB394" s="11">
        <v>0.1</v>
      </c>
    </row>
    <row r="395" spans="1:28">
      <c r="A395">
        <v>2026</v>
      </c>
      <c r="B395" t="s">
        <v>175</v>
      </c>
      <c r="C395" t="s">
        <v>42</v>
      </c>
      <c r="D395" t="s">
        <v>43</v>
      </c>
      <c r="E395">
        <v>287200</v>
      </c>
      <c r="G395" t="s">
        <v>209</v>
      </c>
      <c r="H395" t="s">
        <v>209</v>
      </c>
      <c r="I395" t="s">
        <v>127</v>
      </c>
      <c r="J395" t="s">
        <v>159</v>
      </c>
      <c r="K395" t="s">
        <v>16</v>
      </c>
      <c r="L395">
        <v>39800</v>
      </c>
      <c r="M395">
        <v>39800</v>
      </c>
      <c r="O395" s="5">
        <f t="shared" si="98"/>
        <v>47760</v>
      </c>
      <c r="P395" s="5">
        <f t="shared" si="100"/>
        <v>39800</v>
      </c>
      <c r="Q395" s="11">
        <v>0.2</v>
      </c>
      <c r="R395" s="5">
        <f t="shared" si="99"/>
        <v>47760</v>
      </c>
      <c r="S395" s="11">
        <f t="shared" si="101"/>
        <v>0.16666666666666666</v>
      </c>
      <c r="T395" s="5">
        <v>0</v>
      </c>
      <c r="U395" s="11">
        <v>0</v>
      </c>
      <c r="V395" s="5">
        <f t="shared" si="104"/>
        <v>0</v>
      </c>
      <c r="W395" s="11">
        <f t="shared" si="105"/>
        <v>0</v>
      </c>
      <c r="X395" s="5">
        <f t="shared" si="102"/>
        <v>0</v>
      </c>
      <c r="Y395" s="11">
        <v>0</v>
      </c>
      <c r="Z395" s="5">
        <f t="shared" si="95"/>
        <v>0</v>
      </c>
      <c r="AA395" s="11">
        <f t="shared" si="103"/>
        <v>0</v>
      </c>
      <c r="AB395" s="11">
        <v>0.1</v>
      </c>
    </row>
    <row r="396" spans="1:28">
      <c r="A396">
        <v>2026</v>
      </c>
      <c r="B396" t="s">
        <v>176</v>
      </c>
      <c r="C396" t="s">
        <v>42</v>
      </c>
      <c r="D396" t="s">
        <v>43</v>
      </c>
      <c r="E396">
        <v>360001</v>
      </c>
      <c r="G396" t="s">
        <v>209</v>
      </c>
      <c r="H396" t="s">
        <v>209</v>
      </c>
      <c r="I396" t="s">
        <v>71</v>
      </c>
      <c r="J396" t="s">
        <v>159</v>
      </c>
      <c r="K396" t="s">
        <v>16</v>
      </c>
      <c r="L396">
        <v>28800</v>
      </c>
      <c r="M396">
        <v>28800</v>
      </c>
      <c r="O396" s="5">
        <f>R396</f>
        <v>34560</v>
      </c>
      <c r="P396" s="5">
        <f t="shared" si="100"/>
        <v>28800</v>
      </c>
      <c r="Q396" s="11">
        <v>0.2</v>
      </c>
      <c r="R396" s="5">
        <f>P396+(P396*Q396)</f>
        <v>34560</v>
      </c>
      <c r="S396" s="11">
        <f t="shared" si="101"/>
        <v>0.16666666666666666</v>
      </c>
      <c r="T396" s="5">
        <v>0</v>
      </c>
      <c r="U396" s="11">
        <v>0</v>
      </c>
      <c r="V396" s="5">
        <f t="shared" si="104"/>
        <v>0</v>
      </c>
      <c r="W396" s="11">
        <f t="shared" si="105"/>
        <v>0</v>
      </c>
      <c r="X396" s="5">
        <f t="shared" si="102"/>
        <v>0</v>
      </c>
      <c r="Y396" s="11">
        <v>0</v>
      </c>
      <c r="Z396" s="5">
        <f t="shared" si="95"/>
        <v>0</v>
      </c>
      <c r="AA396" s="11">
        <f t="shared" si="103"/>
        <v>0</v>
      </c>
      <c r="AB396" s="11">
        <v>0.1</v>
      </c>
    </row>
    <row r="397" spans="1:28">
      <c r="A397">
        <v>2026</v>
      </c>
      <c r="B397" t="s">
        <v>176</v>
      </c>
      <c r="C397" t="s">
        <v>42</v>
      </c>
      <c r="D397" t="s">
        <v>43</v>
      </c>
      <c r="E397">
        <v>709900</v>
      </c>
      <c r="G397" t="s">
        <v>209</v>
      </c>
      <c r="H397" t="s">
        <v>209</v>
      </c>
      <c r="I397" t="s">
        <v>76</v>
      </c>
      <c r="J397" t="s">
        <v>159</v>
      </c>
      <c r="K397" t="s">
        <v>16</v>
      </c>
      <c r="L397">
        <v>36700</v>
      </c>
      <c r="M397">
        <v>36700</v>
      </c>
      <c r="O397" s="5">
        <f t="shared" ref="O397:O410" si="106">R397</f>
        <v>44040</v>
      </c>
      <c r="P397" s="5">
        <f t="shared" si="100"/>
        <v>36700</v>
      </c>
      <c r="Q397" s="11">
        <v>0.2</v>
      </c>
      <c r="R397" s="5">
        <f t="shared" ref="R397:R410" si="107">P397+(P397*Q397)</f>
        <v>44040</v>
      </c>
      <c r="S397" s="11">
        <f t="shared" si="101"/>
        <v>0.16666666666666666</v>
      </c>
      <c r="T397" s="5">
        <v>0</v>
      </c>
      <c r="U397" s="11">
        <v>0</v>
      </c>
      <c r="V397" s="5">
        <f t="shared" si="104"/>
        <v>0</v>
      </c>
      <c r="W397" s="11">
        <f t="shared" si="105"/>
        <v>0</v>
      </c>
      <c r="X397" s="5">
        <f t="shared" si="102"/>
        <v>0</v>
      </c>
      <c r="Y397" s="11">
        <v>0</v>
      </c>
      <c r="Z397" s="5">
        <f t="shared" si="95"/>
        <v>0</v>
      </c>
      <c r="AA397" s="11">
        <f t="shared" si="103"/>
        <v>0</v>
      </c>
      <c r="AB397" s="11">
        <v>0.1</v>
      </c>
    </row>
    <row r="398" spans="1:28">
      <c r="A398">
        <v>2026</v>
      </c>
      <c r="B398" t="s">
        <v>176</v>
      </c>
      <c r="C398" t="s">
        <v>42</v>
      </c>
      <c r="D398" t="s">
        <v>43</v>
      </c>
      <c r="E398">
        <v>709902</v>
      </c>
      <c r="G398" t="s">
        <v>209</v>
      </c>
      <c r="H398" t="s">
        <v>209</v>
      </c>
      <c r="I398" t="s">
        <v>91</v>
      </c>
      <c r="J398" t="s">
        <v>160</v>
      </c>
      <c r="K398" t="s">
        <v>16</v>
      </c>
      <c r="L398">
        <v>28000</v>
      </c>
      <c r="M398">
        <v>28000</v>
      </c>
      <c r="O398" s="5">
        <f t="shared" si="106"/>
        <v>33600</v>
      </c>
      <c r="P398" s="5">
        <f t="shared" si="100"/>
        <v>28000</v>
      </c>
      <c r="Q398" s="11">
        <v>0.2</v>
      </c>
      <c r="R398" s="5">
        <f t="shared" si="107"/>
        <v>33600</v>
      </c>
      <c r="S398" s="11">
        <f t="shared" si="101"/>
        <v>0.16666666666666666</v>
      </c>
      <c r="T398" s="5">
        <v>0</v>
      </c>
      <c r="U398" s="11">
        <v>0</v>
      </c>
      <c r="V398" s="5">
        <f t="shared" si="104"/>
        <v>0</v>
      </c>
      <c r="W398" s="11">
        <f t="shared" si="105"/>
        <v>0</v>
      </c>
      <c r="X398" s="5">
        <f t="shared" si="102"/>
        <v>0</v>
      </c>
      <c r="Y398" s="11">
        <v>0</v>
      </c>
      <c r="Z398" s="5">
        <f t="shared" ref="Z398:Z429" si="108">(X398)+(X398*Y398)</f>
        <v>0</v>
      </c>
      <c r="AA398" s="11">
        <f t="shared" si="103"/>
        <v>0</v>
      </c>
      <c r="AB398" s="11">
        <v>0.1</v>
      </c>
    </row>
    <row r="399" spans="1:28">
      <c r="A399">
        <v>2026</v>
      </c>
      <c r="B399" t="s">
        <v>176</v>
      </c>
      <c r="C399" t="s">
        <v>42</v>
      </c>
      <c r="D399" t="s">
        <v>43</v>
      </c>
      <c r="E399">
        <v>709903</v>
      </c>
      <c r="G399" t="s">
        <v>209</v>
      </c>
      <c r="H399" t="s">
        <v>209</v>
      </c>
      <c r="I399" t="s">
        <v>97</v>
      </c>
      <c r="J399" t="s">
        <v>160</v>
      </c>
      <c r="K399" t="s">
        <v>16</v>
      </c>
      <c r="L399">
        <v>36700</v>
      </c>
      <c r="M399">
        <v>36700</v>
      </c>
      <c r="O399" s="5">
        <f t="shared" si="106"/>
        <v>44040</v>
      </c>
      <c r="P399" s="5">
        <f t="shared" si="100"/>
        <v>36700</v>
      </c>
      <c r="Q399" s="11">
        <v>0.2</v>
      </c>
      <c r="R399" s="5">
        <f t="shared" si="107"/>
        <v>44040</v>
      </c>
      <c r="S399" s="11">
        <f t="shared" si="101"/>
        <v>0.16666666666666666</v>
      </c>
      <c r="T399" s="5">
        <v>0</v>
      </c>
      <c r="U399" s="11">
        <v>0</v>
      </c>
      <c r="V399" s="5">
        <f t="shared" si="104"/>
        <v>0</v>
      </c>
      <c r="W399" s="11">
        <f t="shared" si="105"/>
        <v>0</v>
      </c>
      <c r="X399" s="5">
        <f t="shared" si="102"/>
        <v>0</v>
      </c>
      <c r="Y399" s="11">
        <v>0</v>
      </c>
      <c r="Z399" s="5">
        <f t="shared" si="108"/>
        <v>0</v>
      </c>
      <c r="AA399" s="11">
        <f t="shared" si="103"/>
        <v>0</v>
      </c>
      <c r="AB399" s="11">
        <v>0.1</v>
      </c>
    </row>
    <row r="400" spans="1:28">
      <c r="A400">
        <v>2026</v>
      </c>
      <c r="B400" t="s">
        <v>176</v>
      </c>
      <c r="C400" t="s">
        <v>42</v>
      </c>
      <c r="D400" t="s">
        <v>43</v>
      </c>
      <c r="E400">
        <v>603421</v>
      </c>
      <c r="G400" t="s">
        <v>209</v>
      </c>
      <c r="H400" t="s">
        <v>209</v>
      </c>
      <c r="I400" t="s">
        <v>103</v>
      </c>
      <c r="J400" t="s">
        <v>160</v>
      </c>
      <c r="K400" t="s">
        <v>16</v>
      </c>
      <c r="L400">
        <v>21900</v>
      </c>
      <c r="M400">
        <v>21900</v>
      </c>
      <c r="O400" s="5">
        <f t="shared" si="106"/>
        <v>26280</v>
      </c>
      <c r="P400" s="5">
        <f t="shared" si="100"/>
        <v>21900</v>
      </c>
      <c r="Q400" s="11">
        <v>0.2</v>
      </c>
      <c r="R400" s="5">
        <f t="shared" si="107"/>
        <v>26280</v>
      </c>
      <c r="S400" s="11">
        <f t="shared" si="101"/>
        <v>0.16666666666666666</v>
      </c>
      <c r="T400" s="5">
        <v>0</v>
      </c>
      <c r="U400" s="11">
        <v>0</v>
      </c>
      <c r="V400" s="5">
        <f t="shared" si="104"/>
        <v>0</v>
      </c>
      <c r="W400" s="11">
        <f t="shared" si="105"/>
        <v>0</v>
      </c>
      <c r="X400" s="5">
        <f t="shared" si="102"/>
        <v>0</v>
      </c>
      <c r="Y400" s="11">
        <v>0</v>
      </c>
      <c r="Z400" s="5">
        <f t="shared" si="108"/>
        <v>0</v>
      </c>
      <c r="AA400" s="11">
        <f t="shared" si="103"/>
        <v>0</v>
      </c>
      <c r="AB400" s="11">
        <v>0.1</v>
      </c>
    </row>
    <row r="401" spans="1:28">
      <c r="A401">
        <v>2026</v>
      </c>
      <c r="B401" t="s">
        <v>176</v>
      </c>
      <c r="C401" t="s">
        <v>42</v>
      </c>
      <c r="D401" t="s">
        <v>43</v>
      </c>
      <c r="E401">
        <v>603422</v>
      </c>
      <c r="G401" t="s">
        <v>209</v>
      </c>
      <c r="H401" t="s">
        <v>209</v>
      </c>
      <c r="I401" t="s">
        <v>107</v>
      </c>
      <c r="J401" t="s">
        <v>160</v>
      </c>
      <c r="K401" t="s">
        <v>16</v>
      </c>
      <c r="L401">
        <v>114900</v>
      </c>
      <c r="M401">
        <v>114900</v>
      </c>
      <c r="O401" s="5">
        <f t="shared" si="106"/>
        <v>137880</v>
      </c>
      <c r="P401" s="5">
        <f t="shared" si="100"/>
        <v>114900</v>
      </c>
      <c r="Q401" s="11">
        <v>0.2</v>
      </c>
      <c r="R401" s="5">
        <f t="shared" si="107"/>
        <v>137880</v>
      </c>
      <c r="S401" s="11">
        <f t="shared" si="101"/>
        <v>0.16666666666666666</v>
      </c>
      <c r="T401" s="5">
        <v>0</v>
      </c>
      <c r="U401" s="11">
        <v>0</v>
      </c>
      <c r="V401" s="5">
        <f t="shared" si="104"/>
        <v>0</v>
      </c>
      <c r="W401" s="11">
        <f t="shared" si="105"/>
        <v>0</v>
      </c>
      <c r="X401" s="5">
        <f t="shared" si="102"/>
        <v>0</v>
      </c>
      <c r="Y401" s="11">
        <v>0</v>
      </c>
      <c r="Z401" s="5">
        <f t="shared" si="108"/>
        <v>0</v>
      </c>
      <c r="AA401" s="11">
        <f t="shared" si="103"/>
        <v>0</v>
      </c>
      <c r="AB401" s="11">
        <v>0.1</v>
      </c>
    </row>
    <row r="402" spans="1:28">
      <c r="A402">
        <v>2026</v>
      </c>
      <c r="B402" t="s">
        <v>176</v>
      </c>
      <c r="C402" t="s">
        <v>42</v>
      </c>
      <c r="D402" t="s">
        <v>43</v>
      </c>
      <c r="E402">
        <v>603423</v>
      </c>
      <c r="G402" t="s">
        <v>209</v>
      </c>
      <c r="H402" t="s">
        <v>209</v>
      </c>
      <c r="I402" t="s">
        <v>110</v>
      </c>
      <c r="J402" t="s">
        <v>160</v>
      </c>
      <c r="K402" t="s">
        <v>16</v>
      </c>
      <c r="L402">
        <v>28000</v>
      </c>
      <c r="M402">
        <v>28000</v>
      </c>
      <c r="O402" s="5">
        <f t="shared" si="106"/>
        <v>33600</v>
      </c>
      <c r="P402" s="5">
        <f t="shared" si="100"/>
        <v>28000</v>
      </c>
      <c r="Q402" s="11">
        <v>0.2</v>
      </c>
      <c r="R402" s="5">
        <f t="shared" si="107"/>
        <v>33600</v>
      </c>
      <c r="S402" s="11">
        <f t="shared" si="101"/>
        <v>0.16666666666666666</v>
      </c>
      <c r="T402" s="5">
        <v>0</v>
      </c>
      <c r="U402" s="11">
        <v>0</v>
      </c>
      <c r="V402" s="5">
        <f t="shared" si="104"/>
        <v>0</v>
      </c>
      <c r="W402" s="11">
        <f t="shared" si="105"/>
        <v>0</v>
      </c>
      <c r="X402" s="5">
        <f t="shared" si="102"/>
        <v>0</v>
      </c>
      <c r="Y402" s="11">
        <v>0</v>
      </c>
      <c r="Z402" s="5">
        <f t="shared" si="108"/>
        <v>0</v>
      </c>
      <c r="AA402" s="11">
        <f t="shared" si="103"/>
        <v>0</v>
      </c>
      <c r="AB402" s="11">
        <v>0.1</v>
      </c>
    </row>
    <row r="403" spans="1:28">
      <c r="A403">
        <v>2026</v>
      </c>
      <c r="B403" t="s">
        <v>176</v>
      </c>
      <c r="C403" t="s">
        <v>42</v>
      </c>
      <c r="D403" t="s">
        <v>43</v>
      </c>
      <c r="E403">
        <v>294199</v>
      </c>
      <c r="G403" t="s">
        <v>209</v>
      </c>
      <c r="H403" t="s">
        <v>209</v>
      </c>
      <c r="I403" t="s">
        <v>111</v>
      </c>
      <c r="J403" t="s">
        <v>160</v>
      </c>
      <c r="K403" t="s">
        <v>16</v>
      </c>
      <c r="L403">
        <v>49200</v>
      </c>
      <c r="M403">
        <v>49200</v>
      </c>
      <c r="O403" s="5">
        <f t="shared" si="106"/>
        <v>59040</v>
      </c>
      <c r="P403" s="5">
        <f t="shared" si="100"/>
        <v>49200</v>
      </c>
      <c r="Q403" s="11">
        <v>0.2</v>
      </c>
      <c r="R403" s="5">
        <f t="shared" si="107"/>
        <v>59040</v>
      </c>
      <c r="S403" s="11">
        <f t="shared" si="101"/>
        <v>0.16666666666666666</v>
      </c>
      <c r="T403" s="5">
        <v>0</v>
      </c>
      <c r="U403" s="11">
        <v>0</v>
      </c>
      <c r="V403" s="5">
        <f t="shared" si="104"/>
        <v>0</v>
      </c>
      <c r="W403" s="11">
        <f t="shared" si="105"/>
        <v>0</v>
      </c>
      <c r="X403" s="5">
        <f t="shared" si="102"/>
        <v>0</v>
      </c>
      <c r="Y403" s="11">
        <v>0</v>
      </c>
      <c r="Z403" s="5">
        <f t="shared" si="108"/>
        <v>0</v>
      </c>
      <c r="AA403" s="11">
        <f t="shared" si="103"/>
        <v>0</v>
      </c>
      <c r="AB403" s="11">
        <v>0.1</v>
      </c>
    </row>
    <row r="404" spans="1:28">
      <c r="A404">
        <v>2026</v>
      </c>
      <c r="B404" t="s">
        <v>176</v>
      </c>
      <c r="C404" t="s">
        <v>42</v>
      </c>
      <c r="D404" t="s">
        <v>43</v>
      </c>
      <c r="E404">
        <v>294299</v>
      </c>
      <c r="G404" t="s">
        <v>209</v>
      </c>
      <c r="H404" t="s">
        <v>209</v>
      </c>
      <c r="I404" t="s">
        <v>112</v>
      </c>
      <c r="J404" t="s">
        <v>160</v>
      </c>
      <c r="K404" t="s">
        <v>16</v>
      </c>
      <c r="L404">
        <v>141600</v>
      </c>
      <c r="M404">
        <v>141600</v>
      </c>
      <c r="O404" s="5">
        <f t="shared" si="106"/>
        <v>169920</v>
      </c>
      <c r="P404" s="5">
        <f t="shared" si="100"/>
        <v>141600</v>
      </c>
      <c r="Q404" s="11">
        <v>0.2</v>
      </c>
      <c r="R404" s="5">
        <f t="shared" si="107"/>
        <v>169920</v>
      </c>
      <c r="S404" s="11">
        <f t="shared" si="101"/>
        <v>0.16666666666666666</v>
      </c>
      <c r="T404" s="5">
        <v>0</v>
      </c>
      <c r="U404" s="11">
        <v>0</v>
      </c>
      <c r="V404" s="5">
        <f t="shared" si="104"/>
        <v>0</v>
      </c>
      <c r="W404" s="11">
        <f t="shared" si="105"/>
        <v>0</v>
      </c>
      <c r="X404" s="5">
        <f t="shared" si="102"/>
        <v>0</v>
      </c>
      <c r="Y404" s="11">
        <v>0</v>
      </c>
      <c r="Z404" s="5">
        <f t="shared" si="108"/>
        <v>0</v>
      </c>
      <c r="AA404" s="11">
        <f t="shared" si="103"/>
        <v>0</v>
      </c>
      <c r="AB404" s="11">
        <v>0.1</v>
      </c>
    </row>
    <row r="405" spans="1:28">
      <c r="A405">
        <v>2026</v>
      </c>
      <c r="B405" t="s">
        <v>176</v>
      </c>
      <c r="C405" t="s">
        <v>42</v>
      </c>
      <c r="D405" t="s">
        <v>43</v>
      </c>
      <c r="E405">
        <v>294399</v>
      </c>
      <c r="G405" t="s">
        <v>209</v>
      </c>
      <c r="H405" t="s">
        <v>209</v>
      </c>
      <c r="I405" t="s">
        <v>113</v>
      </c>
      <c r="J405" t="s">
        <v>160</v>
      </c>
      <c r="K405" t="s">
        <v>16</v>
      </c>
      <c r="L405">
        <v>174700</v>
      </c>
      <c r="M405">
        <v>174700</v>
      </c>
      <c r="O405" s="5">
        <f t="shared" si="106"/>
        <v>209640</v>
      </c>
      <c r="P405" s="5">
        <f t="shared" si="100"/>
        <v>174700</v>
      </c>
      <c r="Q405" s="11">
        <v>0.2</v>
      </c>
      <c r="R405" s="5">
        <f t="shared" si="107"/>
        <v>209640</v>
      </c>
      <c r="S405" s="11">
        <f t="shared" si="101"/>
        <v>0.16666666666666666</v>
      </c>
      <c r="T405" s="5">
        <v>0</v>
      </c>
      <c r="U405" s="11">
        <v>0</v>
      </c>
      <c r="V405" s="5">
        <f t="shared" si="104"/>
        <v>0</v>
      </c>
      <c r="W405" s="11">
        <f t="shared" si="105"/>
        <v>0</v>
      </c>
      <c r="X405" s="5">
        <f t="shared" si="102"/>
        <v>0</v>
      </c>
      <c r="Y405" s="11">
        <v>0</v>
      </c>
      <c r="Z405" s="5">
        <f t="shared" si="108"/>
        <v>0</v>
      </c>
      <c r="AA405" s="11">
        <f t="shared" si="103"/>
        <v>0</v>
      </c>
      <c r="AB405" s="11">
        <v>0.1</v>
      </c>
    </row>
    <row r="406" spans="1:28">
      <c r="A406">
        <v>2026</v>
      </c>
      <c r="B406" t="s">
        <v>176</v>
      </c>
      <c r="C406" t="s">
        <v>42</v>
      </c>
      <c r="D406" t="s">
        <v>43</v>
      </c>
      <c r="E406">
        <v>294499</v>
      </c>
      <c r="G406" t="s">
        <v>209</v>
      </c>
      <c r="H406" t="s">
        <v>209</v>
      </c>
      <c r="I406" t="s">
        <v>114</v>
      </c>
      <c r="J406" t="s">
        <v>160</v>
      </c>
      <c r="K406" t="s">
        <v>16</v>
      </c>
      <c r="L406">
        <v>204000</v>
      </c>
      <c r="M406">
        <v>204000</v>
      </c>
      <c r="O406" s="5">
        <f t="shared" si="106"/>
        <v>244800</v>
      </c>
      <c r="P406" s="5">
        <f t="shared" si="100"/>
        <v>204000</v>
      </c>
      <c r="Q406" s="11">
        <v>0.2</v>
      </c>
      <c r="R406" s="5">
        <f t="shared" si="107"/>
        <v>244800</v>
      </c>
      <c r="S406" s="11">
        <f t="shared" si="101"/>
        <v>0.16666666666666666</v>
      </c>
      <c r="T406" s="5">
        <v>0</v>
      </c>
      <c r="U406" s="11">
        <v>0</v>
      </c>
      <c r="V406" s="5">
        <f t="shared" si="104"/>
        <v>0</v>
      </c>
      <c r="W406" s="11">
        <f t="shared" si="105"/>
        <v>0</v>
      </c>
      <c r="X406" s="5">
        <f t="shared" si="102"/>
        <v>0</v>
      </c>
      <c r="Y406" s="11">
        <v>0</v>
      </c>
      <c r="Z406" s="5">
        <f t="shared" si="108"/>
        <v>0</v>
      </c>
      <c r="AA406" s="11">
        <f t="shared" si="103"/>
        <v>0</v>
      </c>
      <c r="AB406" s="11">
        <v>0.1</v>
      </c>
    </row>
    <row r="407" spans="1:28">
      <c r="A407">
        <v>2026</v>
      </c>
      <c r="B407" t="s">
        <v>176</v>
      </c>
      <c r="C407" t="s">
        <v>42</v>
      </c>
      <c r="D407" t="s">
        <v>43</v>
      </c>
      <c r="E407">
        <v>284190</v>
      </c>
      <c r="G407" t="s">
        <v>209</v>
      </c>
      <c r="H407" t="s">
        <v>209</v>
      </c>
      <c r="I407" t="s">
        <v>119</v>
      </c>
      <c r="J407" t="s">
        <v>160</v>
      </c>
      <c r="K407" t="s">
        <v>16</v>
      </c>
      <c r="L407">
        <v>49000</v>
      </c>
      <c r="M407">
        <v>49000</v>
      </c>
      <c r="O407" s="5">
        <f t="shared" si="106"/>
        <v>58800</v>
      </c>
      <c r="P407" s="5">
        <f t="shared" si="100"/>
        <v>49000</v>
      </c>
      <c r="Q407" s="11">
        <v>0.2</v>
      </c>
      <c r="R407" s="5">
        <f t="shared" si="107"/>
        <v>58800</v>
      </c>
      <c r="S407" s="11">
        <f t="shared" si="101"/>
        <v>0.16666666666666666</v>
      </c>
      <c r="T407" s="5">
        <v>0</v>
      </c>
      <c r="U407" s="11">
        <v>0</v>
      </c>
      <c r="V407" s="5">
        <f t="shared" si="104"/>
        <v>0</v>
      </c>
      <c r="W407" s="11">
        <f t="shared" si="105"/>
        <v>0</v>
      </c>
      <c r="X407" s="5">
        <f t="shared" si="102"/>
        <v>0</v>
      </c>
      <c r="Y407" s="11">
        <v>0</v>
      </c>
      <c r="Z407" s="5">
        <f t="shared" si="108"/>
        <v>0</v>
      </c>
      <c r="AA407" s="11">
        <f t="shared" si="103"/>
        <v>0</v>
      </c>
      <c r="AB407" s="11">
        <v>0.1</v>
      </c>
    </row>
    <row r="408" spans="1:28">
      <c r="A408">
        <v>2026</v>
      </c>
      <c r="B408" t="s">
        <v>176</v>
      </c>
      <c r="C408" t="s">
        <v>42</v>
      </c>
      <c r="D408" t="s">
        <v>43</v>
      </c>
      <c r="E408">
        <v>284390</v>
      </c>
      <c r="G408" t="s">
        <v>209</v>
      </c>
      <c r="H408" t="s">
        <v>209</v>
      </c>
      <c r="I408" t="s">
        <v>122</v>
      </c>
      <c r="J408" t="s">
        <v>159</v>
      </c>
      <c r="K408" t="s">
        <v>16</v>
      </c>
      <c r="L408">
        <v>224100</v>
      </c>
      <c r="M408">
        <v>224100</v>
      </c>
      <c r="O408" s="5">
        <f t="shared" si="106"/>
        <v>268920</v>
      </c>
      <c r="P408" s="5">
        <f t="shared" si="100"/>
        <v>224100</v>
      </c>
      <c r="Q408" s="11">
        <v>0.2</v>
      </c>
      <c r="R408" s="5">
        <f t="shared" si="107"/>
        <v>268920</v>
      </c>
      <c r="S408" s="11">
        <f t="shared" si="101"/>
        <v>0.16666666666666666</v>
      </c>
      <c r="T408" s="5">
        <v>0</v>
      </c>
      <c r="U408" s="11">
        <v>0</v>
      </c>
      <c r="V408" s="5">
        <f t="shared" si="104"/>
        <v>0</v>
      </c>
      <c r="W408" s="11">
        <f t="shared" si="105"/>
        <v>0</v>
      </c>
      <c r="X408" s="5">
        <f t="shared" si="102"/>
        <v>0</v>
      </c>
      <c r="Y408" s="11">
        <v>0</v>
      </c>
      <c r="Z408" s="5">
        <f t="shared" si="108"/>
        <v>0</v>
      </c>
      <c r="AA408" s="11">
        <f t="shared" si="103"/>
        <v>0</v>
      </c>
      <c r="AB408" s="11">
        <v>0.1</v>
      </c>
    </row>
    <row r="409" spans="1:28">
      <c r="A409">
        <v>2026</v>
      </c>
      <c r="B409" t="s">
        <v>176</v>
      </c>
      <c r="C409" t="s">
        <v>42</v>
      </c>
      <c r="D409" t="s">
        <v>43</v>
      </c>
      <c r="E409">
        <v>287100</v>
      </c>
      <c r="G409" t="s">
        <v>209</v>
      </c>
      <c r="H409" t="s">
        <v>209</v>
      </c>
      <c r="I409" t="s">
        <v>126</v>
      </c>
      <c r="J409" t="s">
        <v>159</v>
      </c>
      <c r="K409" t="s">
        <v>16</v>
      </c>
      <c r="L409">
        <v>38000</v>
      </c>
      <c r="M409">
        <v>38000</v>
      </c>
      <c r="O409" s="5">
        <f t="shared" si="106"/>
        <v>45600</v>
      </c>
      <c r="P409" s="5">
        <f t="shared" si="100"/>
        <v>38000</v>
      </c>
      <c r="Q409" s="11">
        <v>0.2</v>
      </c>
      <c r="R409" s="5">
        <f t="shared" si="107"/>
        <v>45600</v>
      </c>
      <c r="S409" s="11">
        <f t="shared" si="101"/>
        <v>0.16666666666666666</v>
      </c>
      <c r="T409" s="5">
        <v>0</v>
      </c>
      <c r="U409" s="11">
        <v>0</v>
      </c>
      <c r="V409" s="5">
        <f t="shared" si="104"/>
        <v>0</v>
      </c>
      <c r="W409" s="11">
        <f t="shared" si="105"/>
        <v>0</v>
      </c>
      <c r="X409" s="5">
        <f t="shared" si="102"/>
        <v>0</v>
      </c>
      <c r="Y409" s="11">
        <v>0</v>
      </c>
      <c r="Z409" s="5">
        <f t="shared" si="108"/>
        <v>0</v>
      </c>
      <c r="AA409" s="11">
        <f t="shared" si="103"/>
        <v>0</v>
      </c>
      <c r="AB409" s="11">
        <v>0.1</v>
      </c>
    </row>
    <row r="410" spans="1:28">
      <c r="A410">
        <v>2026</v>
      </c>
      <c r="B410" t="s">
        <v>176</v>
      </c>
      <c r="C410" t="s">
        <v>42</v>
      </c>
      <c r="D410" t="s">
        <v>43</v>
      </c>
      <c r="E410">
        <v>287200</v>
      </c>
      <c r="G410" t="s">
        <v>209</v>
      </c>
      <c r="H410" t="s">
        <v>209</v>
      </c>
      <c r="I410" t="s">
        <v>127</v>
      </c>
      <c r="J410" t="s">
        <v>159</v>
      </c>
      <c r="K410" t="s">
        <v>16</v>
      </c>
      <c r="L410">
        <v>39800</v>
      </c>
      <c r="M410">
        <v>39800</v>
      </c>
      <c r="O410" s="5">
        <f t="shared" si="106"/>
        <v>47760</v>
      </c>
      <c r="P410" s="5">
        <f t="shared" si="100"/>
        <v>39800</v>
      </c>
      <c r="Q410" s="11">
        <v>0.2</v>
      </c>
      <c r="R410" s="5">
        <f t="shared" si="107"/>
        <v>47760</v>
      </c>
      <c r="S410" s="11">
        <f t="shared" si="101"/>
        <v>0.16666666666666666</v>
      </c>
      <c r="T410" s="5">
        <v>0</v>
      </c>
      <c r="U410" s="11">
        <v>0</v>
      </c>
      <c r="V410" s="5">
        <f t="shared" si="104"/>
        <v>0</v>
      </c>
      <c r="W410" s="11">
        <f t="shared" si="105"/>
        <v>0</v>
      </c>
      <c r="X410" s="5">
        <f t="shared" si="102"/>
        <v>0</v>
      </c>
      <c r="Y410" s="11">
        <v>0</v>
      </c>
      <c r="Z410" s="5">
        <f t="shared" si="108"/>
        <v>0</v>
      </c>
      <c r="AA410" s="11">
        <f t="shared" si="103"/>
        <v>0</v>
      </c>
      <c r="AB410" s="11">
        <v>0.1</v>
      </c>
    </row>
    <row r="411" spans="1:28">
      <c r="A411">
        <v>2026</v>
      </c>
      <c r="B411" t="s">
        <v>177</v>
      </c>
      <c r="C411" t="s">
        <v>42</v>
      </c>
      <c r="D411" t="s">
        <v>43</v>
      </c>
      <c r="E411">
        <v>360001</v>
      </c>
      <c r="G411" t="s">
        <v>209</v>
      </c>
      <c r="H411" t="s">
        <v>209</v>
      </c>
      <c r="I411" t="s">
        <v>71</v>
      </c>
      <c r="J411" t="s">
        <v>159</v>
      </c>
      <c r="K411" t="s">
        <v>16</v>
      </c>
      <c r="L411">
        <v>28800</v>
      </c>
      <c r="M411">
        <v>28800</v>
      </c>
      <c r="O411" s="5">
        <f>R411</f>
        <v>34560</v>
      </c>
      <c r="P411" s="5">
        <f t="shared" si="100"/>
        <v>28800</v>
      </c>
      <c r="Q411" s="11">
        <v>0.2</v>
      </c>
      <c r="R411" s="5">
        <f>P411+(P411*Q411)</f>
        <v>34560</v>
      </c>
      <c r="S411" s="11">
        <f t="shared" si="101"/>
        <v>0.16666666666666666</v>
      </c>
      <c r="T411" s="5">
        <v>0</v>
      </c>
      <c r="U411" s="11">
        <v>0</v>
      </c>
      <c r="V411" s="5">
        <f t="shared" si="104"/>
        <v>0</v>
      </c>
      <c r="W411" s="11">
        <f t="shared" si="105"/>
        <v>0</v>
      </c>
      <c r="X411" s="5">
        <f t="shared" si="102"/>
        <v>0</v>
      </c>
      <c r="Y411" s="11">
        <v>0</v>
      </c>
      <c r="Z411" s="5">
        <f t="shared" si="108"/>
        <v>0</v>
      </c>
      <c r="AA411" s="11">
        <f t="shared" si="103"/>
        <v>0</v>
      </c>
      <c r="AB411" s="11">
        <v>0.1</v>
      </c>
    </row>
    <row r="412" spans="1:28">
      <c r="A412">
        <v>2026</v>
      </c>
      <c r="B412" t="s">
        <v>177</v>
      </c>
      <c r="C412" t="s">
        <v>42</v>
      </c>
      <c r="D412" t="s">
        <v>43</v>
      </c>
      <c r="E412">
        <v>709900</v>
      </c>
      <c r="G412" t="s">
        <v>209</v>
      </c>
      <c r="H412" t="s">
        <v>209</v>
      </c>
      <c r="I412" t="s">
        <v>76</v>
      </c>
      <c r="J412" t="s">
        <v>159</v>
      </c>
      <c r="K412" t="s">
        <v>16</v>
      </c>
      <c r="L412">
        <v>36700</v>
      </c>
      <c r="M412">
        <v>36700</v>
      </c>
      <c r="O412" s="5">
        <f t="shared" ref="O412:O425" si="109">R412</f>
        <v>44040</v>
      </c>
      <c r="P412" s="5">
        <f t="shared" si="100"/>
        <v>36700</v>
      </c>
      <c r="Q412" s="11">
        <v>0.2</v>
      </c>
      <c r="R412" s="5">
        <f t="shared" ref="R412:R425" si="110">P412+(P412*Q412)</f>
        <v>44040</v>
      </c>
      <c r="S412" s="11">
        <f t="shared" si="101"/>
        <v>0.16666666666666666</v>
      </c>
      <c r="T412" s="5">
        <v>0</v>
      </c>
      <c r="U412" s="11">
        <v>0</v>
      </c>
      <c r="V412" s="5">
        <f t="shared" si="104"/>
        <v>0</v>
      </c>
      <c r="W412" s="11">
        <f t="shared" si="105"/>
        <v>0</v>
      </c>
      <c r="X412" s="5">
        <f t="shared" si="102"/>
        <v>0</v>
      </c>
      <c r="Y412" s="11">
        <v>0</v>
      </c>
      <c r="Z412" s="5">
        <f t="shared" si="108"/>
        <v>0</v>
      </c>
      <c r="AA412" s="11">
        <f t="shared" si="103"/>
        <v>0</v>
      </c>
      <c r="AB412" s="11">
        <v>0.1</v>
      </c>
    </row>
    <row r="413" spans="1:28">
      <c r="A413">
        <v>2026</v>
      </c>
      <c r="B413" t="s">
        <v>177</v>
      </c>
      <c r="C413" t="s">
        <v>42</v>
      </c>
      <c r="D413" t="s">
        <v>43</v>
      </c>
      <c r="E413">
        <v>709902</v>
      </c>
      <c r="G413" t="s">
        <v>209</v>
      </c>
      <c r="H413" t="s">
        <v>209</v>
      </c>
      <c r="I413" t="s">
        <v>91</v>
      </c>
      <c r="J413" t="s">
        <v>160</v>
      </c>
      <c r="K413" t="s">
        <v>16</v>
      </c>
      <c r="L413">
        <v>28000</v>
      </c>
      <c r="M413">
        <v>28000</v>
      </c>
      <c r="O413" s="5">
        <f t="shared" si="109"/>
        <v>33600</v>
      </c>
      <c r="P413" s="5">
        <f t="shared" si="100"/>
        <v>28000</v>
      </c>
      <c r="Q413" s="11">
        <v>0.2</v>
      </c>
      <c r="R413" s="5">
        <f t="shared" si="110"/>
        <v>33600</v>
      </c>
      <c r="S413" s="11">
        <f t="shared" si="101"/>
        <v>0.16666666666666666</v>
      </c>
      <c r="T413" s="5">
        <v>0</v>
      </c>
      <c r="U413" s="11">
        <v>0</v>
      </c>
      <c r="V413" s="5">
        <f t="shared" si="104"/>
        <v>0</v>
      </c>
      <c r="W413" s="11">
        <f t="shared" si="105"/>
        <v>0</v>
      </c>
      <c r="X413" s="5">
        <f t="shared" si="102"/>
        <v>0</v>
      </c>
      <c r="Y413" s="11">
        <v>0</v>
      </c>
      <c r="Z413" s="5">
        <f t="shared" si="108"/>
        <v>0</v>
      </c>
      <c r="AA413" s="11">
        <f t="shared" si="103"/>
        <v>0</v>
      </c>
      <c r="AB413" s="11">
        <v>0.1</v>
      </c>
    </row>
    <row r="414" spans="1:28">
      <c r="A414">
        <v>2026</v>
      </c>
      <c r="B414" t="s">
        <v>177</v>
      </c>
      <c r="C414" t="s">
        <v>42</v>
      </c>
      <c r="D414" t="s">
        <v>43</v>
      </c>
      <c r="E414">
        <v>709903</v>
      </c>
      <c r="G414" t="s">
        <v>209</v>
      </c>
      <c r="H414" t="s">
        <v>209</v>
      </c>
      <c r="I414" t="s">
        <v>97</v>
      </c>
      <c r="J414" t="s">
        <v>160</v>
      </c>
      <c r="K414" t="s">
        <v>16</v>
      </c>
      <c r="L414">
        <v>36700</v>
      </c>
      <c r="M414">
        <v>36700</v>
      </c>
      <c r="O414" s="5">
        <f t="shared" si="109"/>
        <v>44040</v>
      </c>
      <c r="P414" s="5">
        <f t="shared" si="100"/>
        <v>36700</v>
      </c>
      <c r="Q414" s="11">
        <v>0.2</v>
      </c>
      <c r="R414" s="5">
        <f t="shared" si="110"/>
        <v>44040</v>
      </c>
      <c r="S414" s="11">
        <f t="shared" si="101"/>
        <v>0.16666666666666666</v>
      </c>
      <c r="T414" s="5">
        <v>0</v>
      </c>
      <c r="U414" s="11">
        <v>0</v>
      </c>
      <c r="V414" s="5">
        <f t="shared" si="104"/>
        <v>0</v>
      </c>
      <c r="W414" s="11">
        <f t="shared" si="105"/>
        <v>0</v>
      </c>
      <c r="X414" s="5">
        <f t="shared" si="102"/>
        <v>0</v>
      </c>
      <c r="Y414" s="11">
        <v>0</v>
      </c>
      <c r="Z414" s="5">
        <f t="shared" si="108"/>
        <v>0</v>
      </c>
      <c r="AA414" s="11">
        <f t="shared" si="103"/>
        <v>0</v>
      </c>
      <c r="AB414" s="11">
        <v>0.1</v>
      </c>
    </row>
    <row r="415" spans="1:28">
      <c r="A415">
        <v>2026</v>
      </c>
      <c r="B415" t="s">
        <v>177</v>
      </c>
      <c r="C415" t="s">
        <v>42</v>
      </c>
      <c r="D415" t="s">
        <v>43</v>
      </c>
      <c r="E415">
        <v>603421</v>
      </c>
      <c r="G415" t="s">
        <v>209</v>
      </c>
      <c r="H415" t="s">
        <v>209</v>
      </c>
      <c r="I415" t="s">
        <v>103</v>
      </c>
      <c r="J415" t="s">
        <v>160</v>
      </c>
      <c r="K415" t="s">
        <v>16</v>
      </c>
      <c r="L415">
        <v>21900</v>
      </c>
      <c r="M415">
        <v>21900</v>
      </c>
      <c r="O415" s="5">
        <f t="shared" si="109"/>
        <v>26280</v>
      </c>
      <c r="P415" s="5">
        <f t="shared" si="100"/>
        <v>21900</v>
      </c>
      <c r="Q415" s="11">
        <v>0.2</v>
      </c>
      <c r="R415" s="5">
        <f t="shared" si="110"/>
        <v>26280</v>
      </c>
      <c r="S415" s="11">
        <f t="shared" si="101"/>
        <v>0.16666666666666666</v>
      </c>
      <c r="T415" s="5">
        <v>0</v>
      </c>
      <c r="U415" s="11">
        <v>0</v>
      </c>
      <c r="V415" s="5">
        <f t="shared" si="104"/>
        <v>0</v>
      </c>
      <c r="W415" s="11">
        <f t="shared" si="105"/>
        <v>0</v>
      </c>
      <c r="X415" s="5">
        <f t="shared" si="102"/>
        <v>0</v>
      </c>
      <c r="Y415" s="11">
        <v>0</v>
      </c>
      <c r="Z415" s="5">
        <f t="shared" si="108"/>
        <v>0</v>
      </c>
      <c r="AA415" s="11">
        <f t="shared" si="103"/>
        <v>0</v>
      </c>
      <c r="AB415" s="11">
        <v>0.1</v>
      </c>
    </row>
    <row r="416" spans="1:28">
      <c r="A416">
        <v>2026</v>
      </c>
      <c r="B416" t="s">
        <v>177</v>
      </c>
      <c r="C416" t="s">
        <v>42</v>
      </c>
      <c r="D416" t="s">
        <v>43</v>
      </c>
      <c r="E416">
        <v>603422</v>
      </c>
      <c r="G416" t="s">
        <v>209</v>
      </c>
      <c r="H416" t="s">
        <v>209</v>
      </c>
      <c r="I416" t="s">
        <v>107</v>
      </c>
      <c r="J416" t="s">
        <v>160</v>
      </c>
      <c r="K416" t="s">
        <v>16</v>
      </c>
      <c r="L416">
        <v>114900</v>
      </c>
      <c r="M416">
        <v>114900</v>
      </c>
      <c r="O416" s="5">
        <f t="shared" si="109"/>
        <v>137880</v>
      </c>
      <c r="P416" s="5">
        <f t="shared" si="100"/>
        <v>114900</v>
      </c>
      <c r="Q416" s="11">
        <v>0.2</v>
      </c>
      <c r="R416" s="5">
        <f t="shared" si="110"/>
        <v>137880</v>
      </c>
      <c r="S416" s="11">
        <f t="shared" si="101"/>
        <v>0.16666666666666666</v>
      </c>
      <c r="T416" s="5">
        <v>0</v>
      </c>
      <c r="U416" s="11">
        <v>0</v>
      </c>
      <c r="V416" s="5">
        <f t="shared" si="104"/>
        <v>0</v>
      </c>
      <c r="W416" s="11">
        <f t="shared" si="105"/>
        <v>0</v>
      </c>
      <c r="X416" s="5">
        <f t="shared" si="102"/>
        <v>0</v>
      </c>
      <c r="Y416" s="11">
        <v>0</v>
      </c>
      <c r="Z416" s="5">
        <f t="shared" si="108"/>
        <v>0</v>
      </c>
      <c r="AA416" s="11">
        <f t="shared" si="103"/>
        <v>0</v>
      </c>
      <c r="AB416" s="11">
        <v>0.1</v>
      </c>
    </row>
    <row r="417" spans="1:28">
      <c r="A417">
        <v>2026</v>
      </c>
      <c r="B417" t="s">
        <v>177</v>
      </c>
      <c r="C417" t="s">
        <v>42</v>
      </c>
      <c r="D417" t="s">
        <v>43</v>
      </c>
      <c r="E417">
        <v>603423</v>
      </c>
      <c r="G417" t="s">
        <v>209</v>
      </c>
      <c r="H417" t="s">
        <v>209</v>
      </c>
      <c r="I417" t="s">
        <v>110</v>
      </c>
      <c r="J417" t="s">
        <v>160</v>
      </c>
      <c r="K417" t="s">
        <v>16</v>
      </c>
      <c r="L417">
        <v>28000</v>
      </c>
      <c r="M417">
        <v>28000</v>
      </c>
      <c r="O417" s="5">
        <f t="shared" si="109"/>
        <v>33600</v>
      </c>
      <c r="P417" s="5">
        <f t="shared" si="100"/>
        <v>28000</v>
      </c>
      <c r="Q417" s="11">
        <v>0.2</v>
      </c>
      <c r="R417" s="5">
        <f t="shared" si="110"/>
        <v>33600</v>
      </c>
      <c r="S417" s="11">
        <f t="shared" si="101"/>
        <v>0.16666666666666666</v>
      </c>
      <c r="T417" s="5">
        <v>0</v>
      </c>
      <c r="U417" s="11">
        <v>0</v>
      </c>
      <c r="V417" s="5">
        <f t="shared" si="104"/>
        <v>0</v>
      </c>
      <c r="W417" s="11">
        <f t="shared" si="105"/>
        <v>0</v>
      </c>
      <c r="X417" s="5">
        <f t="shared" si="102"/>
        <v>0</v>
      </c>
      <c r="Y417" s="11">
        <v>0</v>
      </c>
      <c r="Z417" s="5">
        <f t="shared" si="108"/>
        <v>0</v>
      </c>
      <c r="AA417" s="11">
        <f t="shared" si="103"/>
        <v>0</v>
      </c>
      <c r="AB417" s="11">
        <v>0.1</v>
      </c>
    </row>
    <row r="418" spans="1:28">
      <c r="A418">
        <v>2026</v>
      </c>
      <c r="B418" t="s">
        <v>177</v>
      </c>
      <c r="C418" t="s">
        <v>42</v>
      </c>
      <c r="D418" t="s">
        <v>43</v>
      </c>
      <c r="E418">
        <v>294199</v>
      </c>
      <c r="G418" t="s">
        <v>209</v>
      </c>
      <c r="H418" t="s">
        <v>209</v>
      </c>
      <c r="I418" t="s">
        <v>111</v>
      </c>
      <c r="J418" t="s">
        <v>160</v>
      </c>
      <c r="K418" t="s">
        <v>16</v>
      </c>
      <c r="L418">
        <v>49200</v>
      </c>
      <c r="M418">
        <v>49200</v>
      </c>
      <c r="O418" s="5">
        <f t="shared" si="109"/>
        <v>59040</v>
      </c>
      <c r="P418" s="5">
        <f t="shared" si="100"/>
        <v>49200</v>
      </c>
      <c r="Q418" s="11">
        <v>0.2</v>
      </c>
      <c r="R418" s="5">
        <f t="shared" si="110"/>
        <v>59040</v>
      </c>
      <c r="S418" s="11">
        <f t="shared" si="101"/>
        <v>0.16666666666666666</v>
      </c>
      <c r="T418" s="5">
        <v>0</v>
      </c>
      <c r="U418" s="11">
        <v>0</v>
      </c>
      <c r="V418" s="5">
        <f t="shared" si="104"/>
        <v>0</v>
      </c>
      <c r="W418" s="11">
        <f t="shared" si="105"/>
        <v>0</v>
      </c>
      <c r="X418" s="5">
        <f t="shared" si="102"/>
        <v>0</v>
      </c>
      <c r="Y418" s="11">
        <v>0</v>
      </c>
      <c r="Z418" s="5">
        <f t="shared" si="108"/>
        <v>0</v>
      </c>
      <c r="AA418" s="11">
        <f t="shared" si="103"/>
        <v>0</v>
      </c>
      <c r="AB418" s="11">
        <v>0.1</v>
      </c>
    </row>
    <row r="419" spans="1:28">
      <c r="A419">
        <v>2026</v>
      </c>
      <c r="B419" t="s">
        <v>177</v>
      </c>
      <c r="C419" t="s">
        <v>42</v>
      </c>
      <c r="D419" t="s">
        <v>43</v>
      </c>
      <c r="E419">
        <v>294299</v>
      </c>
      <c r="G419" t="s">
        <v>209</v>
      </c>
      <c r="H419" t="s">
        <v>209</v>
      </c>
      <c r="I419" t="s">
        <v>112</v>
      </c>
      <c r="J419" t="s">
        <v>160</v>
      </c>
      <c r="K419" t="s">
        <v>16</v>
      </c>
      <c r="L419">
        <v>141600</v>
      </c>
      <c r="M419">
        <v>141600</v>
      </c>
      <c r="O419" s="5">
        <f t="shared" si="109"/>
        <v>169920</v>
      </c>
      <c r="P419" s="5">
        <f t="shared" si="100"/>
        <v>141600</v>
      </c>
      <c r="Q419" s="11">
        <v>0.2</v>
      </c>
      <c r="R419" s="5">
        <f t="shared" si="110"/>
        <v>169920</v>
      </c>
      <c r="S419" s="11">
        <f t="shared" si="101"/>
        <v>0.16666666666666666</v>
      </c>
      <c r="T419" s="5">
        <v>0</v>
      </c>
      <c r="U419" s="11">
        <v>0</v>
      </c>
      <c r="V419" s="5">
        <f t="shared" si="104"/>
        <v>0</v>
      </c>
      <c r="W419" s="11">
        <f t="shared" si="105"/>
        <v>0</v>
      </c>
      <c r="X419" s="5">
        <f t="shared" si="102"/>
        <v>0</v>
      </c>
      <c r="Y419" s="11">
        <v>0</v>
      </c>
      <c r="Z419" s="5">
        <f t="shared" si="108"/>
        <v>0</v>
      </c>
      <c r="AA419" s="11">
        <f t="shared" si="103"/>
        <v>0</v>
      </c>
      <c r="AB419" s="11">
        <v>0.1</v>
      </c>
    </row>
    <row r="420" spans="1:28">
      <c r="A420">
        <v>2026</v>
      </c>
      <c r="B420" t="s">
        <v>177</v>
      </c>
      <c r="C420" t="s">
        <v>42</v>
      </c>
      <c r="D420" t="s">
        <v>43</v>
      </c>
      <c r="E420">
        <v>294399</v>
      </c>
      <c r="G420" t="s">
        <v>209</v>
      </c>
      <c r="H420" t="s">
        <v>209</v>
      </c>
      <c r="I420" t="s">
        <v>113</v>
      </c>
      <c r="J420" t="s">
        <v>160</v>
      </c>
      <c r="K420" t="s">
        <v>16</v>
      </c>
      <c r="L420">
        <v>174700</v>
      </c>
      <c r="M420">
        <v>174700</v>
      </c>
      <c r="O420" s="5">
        <f t="shared" si="109"/>
        <v>209640</v>
      </c>
      <c r="P420" s="5">
        <f t="shared" si="100"/>
        <v>174700</v>
      </c>
      <c r="Q420" s="11">
        <v>0.2</v>
      </c>
      <c r="R420" s="5">
        <f t="shared" si="110"/>
        <v>209640</v>
      </c>
      <c r="S420" s="11">
        <f t="shared" si="101"/>
        <v>0.16666666666666666</v>
      </c>
      <c r="T420" s="5">
        <v>0</v>
      </c>
      <c r="U420" s="11">
        <v>0</v>
      </c>
      <c r="V420" s="5">
        <f t="shared" si="104"/>
        <v>0</v>
      </c>
      <c r="W420" s="11">
        <f t="shared" si="105"/>
        <v>0</v>
      </c>
      <c r="X420" s="5">
        <f t="shared" si="102"/>
        <v>0</v>
      </c>
      <c r="Y420" s="11">
        <v>0</v>
      </c>
      <c r="Z420" s="5">
        <f t="shared" si="108"/>
        <v>0</v>
      </c>
      <c r="AA420" s="11">
        <f t="shared" si="103"/>
        <v>0</v>
      </c>
      <c r="AB420" s="11">
        <v>0.1</v>
      </c>
    </row>
    <row r="421" spans="1:28">
      <c r="A421">
        <v>2026</v>
      </c>
      <c r="B421" t="s">
        <v>177</v>
      </c>
      <c r="C421" t="s">
        <v>42</v>
      </c>
      <c r="D421" t="s">
        <v>43</v>
      </c>
      <c r="E421">
        <v>294499</v>
      </c>
      <c r="G421" t="s">
        <v>209</v>
      </c>
      <c r="H421" t="s">
        <v>209</v>
      </c>
      <c r="I421" t="s">
        <v>114</v>
      </c>
      <c r="J421" t="s">
        <v>160</v>
      </c>
      <c r="K421" t="s">
        <v>16</v>
      </c>
      <c r="L421">
        <v>204000</v>
      </c>
      <c r="M421">
        <v>204000</v>
      </c>
      <c r="O421" s="5">
        <f t="shared" si="109"/>
        <v>244800</v>
      </c>
      <c r="P421" s="5">
        <f t="shared" si="100"/>
        <v>204000</v>
      </c>
      <c r="Q421" s="11">
        <v>0.2</v>
      </c>
      <c r="R421" s="5">
        <f t="shared" si="110"/>
        <v>244800</v>
      </c>
      <c r="S421" s="11">
        <f t="shared" si="101"/>
        <v>0.16666666666666666</v>
      </c>
      <c r="T421" s="5">
        <v>0</v>
      </c>
      <c r="U421" s="11">
        <v>0</v>
      </c>
      <c r="V421" s="5">
        <f t="shared" si="104"/>
        <v>0</v>
      </c>
      <c r="W421" s="11">
        <f t="shared" si="105"/>
        <v>0</v>
      </c>
      <c r="X421" s="5">
        <f t="shared" si="102"/>
        <v>0</v>
      </c>
      <c r="Y421" s="11">
        <v>0</v>
      </c>
      <c r="Z421" s="5">
        <f t="shared" si="108"/>
        <v>0</v>
      </c>
      <c r="AA421" s="11">
        <f t="shared" si="103"/>
        <v>0</v>
      </c>
      <c r="AB421" s="11">
        <v>0.1</v>
      </c>
    </row>
    <row r="422" spans="1:28">
      <c r="A422">
        <v>2026</v>
      </c>
      <c r="B422" t="s">
        <v>177</v>
      </c>
      <c r="C422" t="s">
        <v>42</v>
      </c>
      <c r="D422" t="s">
        <v>43</v>
      </c>
      <c r="E422">
        <v>284190</v>
      </c>
      <c r="G422" t="s">
        <v>209</v>
      </c>
      <c r="H422" t="s">
        <v>209</v>
      </c>
      <c r="I422" t="s">
        <v>119</v>
      </c>
      <c r="J422" t="s">
        <v>160</v>
      </c>
      <c r="K422" t="s">
        <v>16</v>
      </c>
      <c r="L422">
        <v>49000</v>
      </c>
      <c r="M422">
        <v>49000</v>
      </c>
      <c r="O422" s="5">
        <f t="shared" si="109"/>
        <v>58800</v>
      </c>
      <c r="P422" s="5">
        <f t="shared" si="100"/>
        <v>49000</v>
      </c>
      <c r="Q422" s="11">
        <v>0.2</v>
      </c>
      <c r="R422" s="5">
        <f t="shared" si="110"/>
        <v>58800</v>
      </c>
      <c r="S422" s="11">
        <f t="shared" si="101"/>
        <v>0.16666666666666666</v>
      </c>
      <c r="T422" s="5">
        <v>0</v>
      </c>
      <c r="U422" s="11">
        <v>0</v>
      </c>
      <c r="V422" s="5">
        <f t="shared" si="104"/>
        <v>0</v>
      </c>
      <c r="W422" s="11">
        <f t="shared" si="105"/>
        <v>0</v>
      </c>
      <c r="X422" s="5">
        <f t="shared" si="102"/>
        <v>0</v>
      </c>
      <c r="Y422" s="11">
        <v>0</v>
      </c>
      <c r="Z422" s="5">
        <f t="shared" si="108"/>
        <v>0</v>
      </c>
      <c r="AA422" s="11">
        <f t="shared" si="103"/>
        <v>0</v>
      </c>
      <c r="AB422" s="11">
        <v>0.1</v>
      </c>
    </row>
    <row r="423" spans="1:28">
      <c r="A423">
        <v>2026</v>
      </c>
      <c r="B423" t="s">
        <v>177</v>
      </c>
      <c r="C423" t="s">
        <v>42</v>
      </c>
      <c r="D423" t="s">
        <v>43</v>
      </c>
      <c r="E423">
        <v>284390</v>
      </c>
      <c r="G423" t="s">
        <v>209</v>
      </c>
      <c r="H423" t="s">
        <v>209</v>
      </c>
      <c r="I423" t="s">
        <v>122</v>
      </c>
      <c r="J423" t="s">
        <v>159</v>
      </c>
      <c r="K423" t="s">
        <v>16</v>
      </c>
      <c r="L423">
        <v>224100</v>
      </c>
      <c r="M423">
        <v>224100</v>
      </c>
      <c r="O423" s="5">
        <f t="shared" si="109"/>
        <v>268920</v>
      </c>
      <c r="P423" s="5">
        <f t="shared" si="100"/>
        <v>224100</v>
      </c>
      <c r="Q423" s="11">
        <v>0.2</v>
      </c>
      <c r="R423" s="5">
        <f t="shared" si="110"/>
        <v>268920</v>
      </c>
      <c r="S423" s="11">
        <f t="shared" si="101"/>
        <v>0.16666666666666666</v>
      </c>
      <c r="T423" s="5">
        <v>0</v>
      </c>
      <c r="U423" s="11">
        <v>0</v>
      </c>
      <c r="V423" s="5">
        <f t="shared" si="104"/>
        <v>0</v>
      </c>
      <c r="W423" s="11">
        <f t="shared" si="105"/>
        <v>0</v>
      </c>
      <c r="X423" s="5">
        <f t="shared" si="102"/>
        <v>0</v>
      </c>
      <c r="Y423" s="11">
        <v>0</v>
      </c>
      <c r="Z423" s="5">
        <f t="shared" si="108"/>
        <v>0</v>
      </c>
      <c r="AA423" s="11">
        <f t="shared" si="103"/>
        <v>0</v>
      </c>
      <c r="AB423" s="11">
        <v>0.1</v>
      </c>
    </row>
    <row r="424" spans="1:28">
      <c r="A424">
        <v>2026</v>
      </c>
      <c r="B424" t="s">
        <v>177</v>
      </c>
      <c r="C424" t="s">
        <v>42</v>
      </c>
      <c r="D424" t="s">
        <v>43</v>
      </c>
      <c r="E424">
        <v>287100</v>
      </c>
      <c r="G424" t="s">
        <v>209</v>
      </c>
      <c r="H424" t="s">
        <v>209</v>
      </c>
      <c r="I424" t="s">
        <v>126</v>
      </c>
      <c r="J424" t="s">
        <v>159</v>
      </c>
      <c r="K424" t="s">
        <v>16</v>
      </c>
      <c r="L424">
        <v>38000</v>
      </c>
      <c r="M424">
        <v>38000</v>
      </c>
      <c r="O424" s="5">
        <f t="shared" si="109"/>
        <v>45600</v>
      </c>
      <c r="P424" s="5">
        <f t="shared" si="100"/>
        <v>38000</v>
      </c>
      <c r="Q424" s="11">
        <v>0.2</v>
      </c>
      <c r="R424" s="5">
        <f t="shared" si="110"/>
        <v>45600</v>
      </c>
      <c r="S424" s="11">
        <f t="shared" si="101"/>
        <v>0.16666666666666666</v>
      </c>
      <c r="T424" s="5">
        <v>0</v>
      </c>
      <c r="U424" s="11">
        <v>0</v>
      </c>
      <c r="V424" s="5">
        <f t="shared" si="104"/>
        <v>0</v>
      </c>
      <c r="W424" s="11">
        <f t="shared" si="105"/>
        <v>0</v>
      </c>
      <c r="X424" s="5">
        <f t="shared" si="102"/>
        <v>0</v>
      </c>
      <c r="Y424" s="11">
        <v>0</v>
      </c>
      <c r="Z424" s="5">
        <f t="shared" si="108"/>
        <v>0</v>
      </c>
      <c r="AA424" s="11">
        <f t="shared" si="103"/>
        <v>0</v>
      </c>
      <c r="AB424" s="11">
        <v>0.1</v>
      </c>
    </row>
    <row r="425" spans="1:28">
      <c r="A425">
        <v>2026</v>
      </c>
      <c r="B425" t="s">
        <v>177</v>
      </c>
      <c r="C425" t="s">
        <v>42</v>
      </c>
      <c r="D425" t="s">
        <v>43</v>
      </c>
      <c r="E425">
        <v>287200</v>
      </c>
      <c r="G425" t="s">
        <v>209</v>
      </c>
      <c r="H425" t="s">
        <v>209</v>
      </c>
      <c r="I425" t="s">
        <v>127</v>
      </c>
      <c r="J425" t="s">
        <v>159</v>
      </c>
      <c r="K425" t="s">
        <v>16</v>
      </c>
      <c r="L425">
        <v>39800</v>
      </c>
      <c r="M425">
        <v>39800</v>
      </c>
      <c r="O425" s="5">
        <f t="shared" si="109"/>
        <v>47760</v>
      </c>
      <c r="P425" s="5">
        <f t="shared" si="100"/>
        <v>39800</v>
      </c>
      <c r="Q425" s="11">
        <v>0.2</v>
      </c>
      <c r="R425" s="5">
        <f t="shared" si="110"/>
        <v>47760</v>
      </c>
      <c r="S425" s="11">
        <f t="shared" si="101"/>
        <v>0.16666666666666666</v>
      </c>
      <c r="T425" s="5">
        <v>0</v>
      </c>
      <c r="U425" s="11">
        <v>0</v>
      </c>
      <c r="V425" s="5">
        <f t="shared" si="104"/>
        <v>0</v>
      </c>
      <c r="W425" s="11">
        <f t="shared" si="105"/>
        <v>0</v>
      </c>
      <c r="X425" s="5">
        <f t="shared" si="102"/>
        <v>0</v>
      </c>
      <c r="Y425" s="11">
        <v>0</v>
      </c>
      <c r="Z425" s="5">
        <f t="shared" si="108"/>
        <v>0</v>
      </c>
      <c r="AA425" s="11">
        <f t="shared" si="103"/>
        <v>0</v>
      </c>
      <c r="AB425" s="11">
        <v>0.1</v>
      </c>
    </row>
    <row r="426" spans="1:28">
      <c r="A426">
        <v>2026</v>
      </c>
      <c r="B426" t="s">
        <v>178</v>
      </c>
      <c r="C426" t="s">
        <v>42</v>
      </c>
      <c r="D426" t="s">
        <v>43</v>
      </c>
      <c r="E426">
        <v>360001</v>
      </c>
      <c r="G426" t="s">
        <v>209</v>
      </c>
      <c r="H426" t="s">
        <v>209</v>
      </c>
      <c r="I426" t="s">
        <v>71</v>
      </c>
      <c r="J426" t="s">
        <v>159</v>
      </c>
      <c r="K426" t="s">
        <v>16</v>
      </c>
      <c r="L426">
        <v>28800</v>
      </c>
      <c r="M426">
        <v>28800</v>
      </c>
      <c r="O426" s="5">
        <f>R426</f>
        <v>34560</v>
      </c>
      <c r="P426" s="5">
        <f t="shared" si="100"/>
        <v>28800</v>
      </c>
      <c r="Q426" s="11">
        <v>0.2</v>
      </c>
      <c r="R426" s="5">
        <f>P426+(P426*Q426)</f>
        <v>34560</v>
      </c>
      <c r="S426" s="11">
        <f t="shared" si="101"/>
        <v>0.16666666666666666</v>
      </c>
      <c r="T426" s="5">
        <v>0</v>
      </c>
      <c r="U426" s="11">
        <v>0</v>
      </c>
      <c r="V426" s="5">
        <f t="shared" si="104"/>
        <v>0</v>
      </c>
      <c r="W426" s="11">
        <f t="shared" si="105"/>
        <v>0</v>
      </c>
      <c r="X426" s="5">
        <f t="shared" si="102"/>
        <v>0</v>
      </c>
      <c r="Y426" s="11">
        <v>0</v>
      </c>
      <c r="Z426" s="5">
        <f t="shared" si="108"/>
        <v>0</v>
      </c>
      <c r="AA426" s="11">
        <f t="shared" si="103"/>
        <v>0</v>
      </c>
      <c r="AB426" s="11">
        <v>0.1</v>
      </c>
    </row>
    <row r="427" spans="1:28">
      <c r="A427">
        <v>2026</v>
      </c>
      <c r="B427" t="s">
        <v>178</v>
      </c>
      <c r="C427" t="s">
        <v>42</v>
      </c>
      <c r="D427" t="s">
        <v>43</v>
      </c>
      <c r="E427">
        <v>709900</v>
      </c>
      <c r="G427" t="s">
        <v>209</v>
      </c>
      <c r="H427" t="s">
        <v>209</v>
      </c>
      <c r="I427" t="s">
        <v>76</v>
      </c>
      <c r="J427" t="s">
        <v>159</v>
      </c>
      <c r="K427" t="s">
        <v>16</v>
      </c>
      <c r="L427">
        <v>36700</v>
      </c>
      <c r="M427">
        <v>36700</v>
      </c>
      <c r="O427" s="5">
        <f t="shared" ref="O427:O440" si="111">R427</f>
        <v>44040</v>
      </c>
      <c r="P427" s="5">
        <f t="shared" si="100"/>
        <v>36700</v>
      </c>
      <c r="Q427" s="11">
        <v>0.2</v>
      </c>
      <c r="R427" s="5">
        <f t="shared" ref="R427:R440" si="112">P427+(P427*Q427)</f>
        <v>44040</v>
      </c>
      <c r="S427" s="11">
        <f t="shared" si="101"/>
        <v>0.16666666666666666</v>
      </c>
      <c r="T427" s="5">
        <v>0</v>
      </c>
      <c r="U427" s="11">
        <v>0</v>
      </c>
      <c r="V427" s="5">
        <f t="shared" si="104"/>
        <v>0</v>
      </c>
      <c r="W427" s="11">
        <f t="shared" si="105"/>
        <v>0</v>
      </c>
      <c r="X427" s="5">
        <f t="shared" si="102"/>
        <v>0</v>
      </c>
      <c r="Y427" s="11">
        <v>0</v>
      </c>
      <c r="Z427" s="5">
        <f t="shared" si="108"/>
        <v>0</v>
      </c>
      <c r="AA427" s="11">
        <f t="shared" si="103"/>
        <v>0</v>
      </c>
      <c r="AB427" s="11">
        <v>0.1</v>
      </c>
    </row>
    <row r="428" spans="1:28">
      <c r="A428">
        <v>2026</v>
      </c>
      <c r="B428" t="s">
        <v>178</v>
      </c>
      <c r="C428" t="s">
        <v>42</v>
      </c>
      <c r="D428" t="s">
        <v>43</v>
      </c>
      <c r="E428">
        <v>709902</v>
      </c>
      <c r="G428" t="s">
        <v>209</v>
      </c>
      <c r="H428" t="s">
        <v>209</v>
      </c>
      <c r="I428" t="s">
        <v>91</v>
      </c>
      <c r="J428" t="s">
        <v>160</v>
      </c>
      <c r="K428" t="s">
        <v>16</v>
      </c>
      <c r="L428">
        <v>28000</v>
      </c>
      <c r="M428">
        <v>28000</v>
      </c>
      <c r="O428" s="5">
        <f t="shared" si="111"/>
        <v>33600</v>
      </c>
      <c r="P428" s="5">
        <f t="shared" si="100"/>
        <v>28000</v>
      </c>
      <c r="Q428" s="11">
        <v>0.2</v>
      </c>
      <c r="R428" s="5">
        <f t="shared" si="112"/>
        <v>33600</v>
      </c>
      <c r="S428" s="11">
        <f t="shared" si="101"/>
        <v>0.16666666666666666</v>
      </c>
      <c r="T428" s="5">
        <v>0</v>
      </c>
      <c r="U428" s="11">
        <v>0</v>
      </c>
      <c r="V428" s="5">
        <f t="shared" si="104"/>
        <v>0</v>
      </c>
      <c r="W428" s="11">
        <f t="shared" si="105"/>
        <v>0</v>
      </c>
      <c r="X428" s="5">
        <f t="shared" si="102"/>
        <v>0</v>
      </c>
      <c r="Y428" s="11">
        <v>0</v>
      </c>
      <c r="Z428" s="5">
        <f t="shared" si="108"/>
        <v>0</v>
      </c>
      <c r="AA428" s="11">
        <f t="shared" si="103"/>
        <v>0</v>
      </c>
      <c r="AB428" s="11">
        <v>0.1</v>
      </c>
    </row>
    <row r="429" spans="1:28">
      <c r="A429">
        <v>2026</v>
      </c>
      <c r="B429" t="s">
        <v>178</v>
      </c>
      <c r="C429" t="s">
        <v>42</v>
      </c>
      <c r="D429" t="s">
        <v>43</v>
      </c>
      <c r="E429">
        <v>709903</v>
      </c>
      <c r="G429" t="s">
        <v>209</v>
      </c>
      <c r="H429" t="s">
        <v>209</v>
      </c>
      <c r="I429" t="s">
        <v>97</v>
      </c>
      <c r="J429" t="s">
        <v>160</v>
      </c>
      <c r="K429" t="s">
        <v>16</v>
      </c>
      <c r="L429">
        <v>36700</v>
      </c>
      <c r="M429">
        <v>36700</v>
      </c>
      <c r="O429" s="5">
        <f t="shared" si="111"/>
        <v>44040</v>
      </c>
      <c r="P429" s="5">
        <f t="shared" si="100"/>
        <v>36700</v>
      </c>
      <c r="Q429" s="11">
        <v>0.2</v>
      </c>
      <c r="R429" s="5">
        <f t="shared" si="112"/>
        <v>44040</v>
      </c>
      <c r="S429" s="11">
        <f t="shared" si="101"/>
        <v>0.16666666666666666</v>
      </c>
      <c r="T429" s="5">
        <v>0</v>
      </c>
      <c r="U429" s="11">
        <v>0</v>
      </c>
      <c r="V429" s="5">
        <f t="shared" si="104"/>
        <v>0</v>
      </c>
      <c r="W429" s="11">
        <f t="shared" si="105"/>
        <v>0</v>
      </c>
      <c r="X429" s="5">
        <f t="shared" si="102"/>
        <v>0</v>
      </c>
      <c r="Y429" s="11">
        <v>0</v>
      </c>
      <c r="Z429" s="5">
        <f t="shared" si="108"/>
        <v>0</v>
      </c>
      <c r="AA429" s="11">
        <f t="shared" si="103"/>
        <v>0</v>
      </c>
      <c r="AB429" s="11">
        <v>0.1</v>
      </c>
    </row>
    <row r="430" spans="1:28">
      <c r="A430">
        <v>2026</v>
      </c>
      <c r="B430" t="s">
        <v>178</v>
      </c>
      <c r="C430" t="s">
        <v>42</v>
      </c>
      <c r="D430" t="s">
        <v>43</v>
      </c>
      <c r="E430">
        <v>603421</v>
      </c>
      <c r="G430" t="s">
        <v>209</v>
      </c>
      <c r="H430" t="s">
        <v>209</v>
      </c>
      <c r="I430" t="s">
        <v>103</v>
      </c>
      <c r="J430" t="s">
        <v>160</v>
      </c>
      <c r="K430" t="s">
        <v>16</v>
      </c>
      <c r="L430">
        <v>21900</v>
      </c>
      <c r="M430">
        <v>21900</v>
      </c>
      <c r="O430" s="5">
        <f t="shared" si="111"/>
        <v>26280</v>
      </c>
      <c r="P430" s="5">
        <f t="shared" si="100"/>
        <v>21900</v>
      </c>
      <c r="Q430" s="11">
        <v>0.2</v>
      </c>
      <c r="R430" s="5">
        <f t="shared" si="112"/>
        <v>26280</v>
      </c>
      <c r="S430" s="11">
        <f t="shared" si="101"/>
        <v>0.16666666666666666</v>
      </c>
      <c r="T430" s="5">
        <v>0</v>
      </c>
      <c r="U430" s="11">
        <v>0</v>
      </c>
      <c r="V430" s="5">
        <f t="shared" si="104"/>
        <v>0</v>
      </c>
      <c r="W430" s="11">
        <f t="shared" si="105"/>
        <v>0</v>
      </c>
      <c r="X430" s="5">
        <f t="shared" si="102"/>
        <v>0</v>
      </c>
      <c r="Y430" s="11">
        <v>0</v>
      </c>
      <c r="Z430" s="5">
        <f t="shared" ref="Z430:Z461" si="113">(X430)+(X430*Y430)</f>
        <v>0</v>
      </c>
      <c r="AA430" s="11">
        <f t="shared" si="103"/>
        <v>0</v>
      </c>
      <c r="AB430" s="11">
        <v>0.1</v>
      </c>
    </row>
    <row r="431" spans="1:28">
      <c r="A431">
        <v>2026</v>
      </c>
      <c r="B431" t="s">
        <v>178</v>
      </c>
      <c r="C431" t="s">
        <v>42</v>
      </c>
      <c r="D431" t="s">
        <v>43</v>
      </c>
      <c r="E431">
        <v>603422</v>
      </c>
      <c r="G431" t="s">
        <v>209</v>
      </c>
      <c r="H431" t="s">
        <v>209</v>
      </c>
      <c r="I431" t="s">
        <v>107</v>
      </c>
      <c r="J431" t="s">
        <v>160</v>
      </c>
      <c r="K431" t="s">
        <v>16</v>
      </c>
      <c r="L431">
        <v>114900</v>
      </c>
      <c r="M431">
        <v>114900</v>
      </c>
      <c r="O431" s="5">
        <f t="shared" si="111"/>
        <v>137880</v>
      </c>
      <c r="P431" s="5">
        <f t="shared" si="100"/>
        <v>114900</v>
      </c>
      <c r="Q431" s="11">
        <v>0.2</v>
      </c>
      <c r="R431" s="5">
        <f t="shared" si="112"/>
        <v>137880</v>
      </c>
      <c r="S431" s="11">
        <f t="shared" si="101"/>
        <v>0.16666666666666666</v>
      </c>
      <c r="T431" s="5">
        <v>0</v>
      </c>
      <c r="U431" s="11">
        <v>0</v>
      </c>
      <c r="V431" s="5">
        <f t="shared" si="104"/>
        <v>0</v>
      </c>
      <c r="W431" s="11">
        <f t="shared" si="105"/>
        <v>0</v>
      </c>
      <c r="X431" s="5">
        <f t="shared" si="102"/>
        <v>0</v>
      </c>
      <c r="Y431" s="11">
        <v>0</v>
      </c>
      <c r="Z431" s="5">
        <f t="shared" si="113"/>
        <v>0</v>
      </c>
      <c r="AA431" s="11">
        <f t="shared" si="103"/>
        <v>0</v>
      </c>
      <c r="AB431" s="11">
        <v>0.1</v>
      </c>
    </row>
    <row r="432" spans="1:28">
      <c r="A432">
        <v>2026</v>
      </c>
      <c r="B432" t="s">
        <v>178</v>
      </c>
      <c r="C432" t="s">
        <v>42</v>
      </c>
      <c r="D432" t="s">
        <v>43</v>
      </c>
      <c r="E432">
        <v>603423</v>
      </c>
      <c r="G432" t="s">
        <v>209</v>
      </c>
      <c r="H432" t="s">
        <v>209</v>
      </c>
      <c r="I432" t="s">
        <v>110</v>
      </c>
      <c r="J432" t="s">
        <v>160</v>
      </c>
      <c r="K432" t="s">
        <v>16</v>
      </c>
      <c r="L432">
        <v>28000</v>
      </c>
      <c r="M432">
        <v>28000</v>
      </c>
      <c r="O432" s="5">
        <f t="shared" si="111"/>
        <v>33600</v>
      </c>
      <c r="P432" s="5">
        <f t="shared" si="100"/>
        <v>28000</v>
      </c>
      <c r="Q432" s="11">
        <v>0.2</v>
      </c>
      <c r="R432" s="5">
        <f t="shared" si="112"/>
        <v>33600</v>
      </c>
      <c r="S432" s="11">
        <f t="shared" si="101"/>
        <v>0.16666666666666666</v>
      </c>
      <c r="T432" s="5">
        <v>0</v>
      </c>
      <c r="U432" s="11">
        <v>0</v>
      </c>
      <c r="V432" s="5">
        <f t="shared" si="104"/>
        <v>0</v>
      </c>
      <c r="W432" s="11">
        <f t="shared" si="105"/>
        <v>0</v>
      </c>
      <c r="X432" s="5">
        <f t="shared" si="102"/>
        <v>0</v>
      </c>
      <c r="Y432" s="11">
        <v>0</v>
      </c>
      <c r="Z432" s="5">
        <f t="shared" si="113"/>
        <v>0</v>
      </c>
      <c r="AA432" s="11">
        <f t="shared" si="103"/>
        <v>0</v>
      </c>
      <c r="AB432" s="11">
        <v>0.1</v>
      </c>
    </row>
    <row r="433" spans="1:28">
      <c r="A433">
        <v>2026</v>
      </c>
      <c r="B433" t="s">
        <v>178</v>
      </c>
      <c r="C433" t="s">
        <v>42</v>
      </c>
      <c r="D433" t="s">
        <v>43</v>
      </c>
      <c r="E433">
        <v>294199</v>
      </c>
      <c r="G433" t="s">
        <v>209</v>
      </c>
      <c r="H433" t="s">
        <v>209</v>
      </c>
      <c r="I433" t="s">
        <v>111</v>
      </c>
      <c r="J433" t="s">
        <v>160</v>
      </c>
      <c r="K433" t="s">
        <v>16</v>
      </c>
      <c r="L433">
        <v>49200</v>
      </c>
      <c r="M433">
        <v>49200</v>
      </c>
      <c r="O433" s="5">
        <f t="shared" si="111"/>
        <v>59040</v>
      </c>
      <c r="P433" s="5">
        <f t="shared" si="100"/>
        <v>49200</v>
      </c>
      <c r="Q433" s="11">
        <v>0.2</v>
      </c>
      <c r="R433" s="5">
        <f t="shared" si="112"/>
        <v>59040</v>
      </c>
      <c r="S433" s="11">
        <f t="shared" si="101"/>
        <v>0.16666666666666666</v>
      </c>
      <c r="T433" s="5">
        <v>0</v>
      </c>
      <c r="U433" s="11">
        <v>0</v>
      </c>
      <c r="V433" s="5">
        <f t="shared" si="104"/>
        <v>0</v>
      </c>
      <c r="W433" s="11">
        <f t="shared" si="105"/>
        <v>0</v>
      </c>
      <c r="X433" s="5">
        <f t="shared" si="102"/>
        <v>0</v>
      </c>
      <c r="Y433" s="11">
        <v>0</v>
      </c>
      <c r="Z433" s="5">
        <f t="shared" si="113"/>
        <v>0</v>
      </c>
      <c r="AA433" s="11">
        <f t="shared" si="103"/>
        <v>0</v>
      </c>
      <c r="AB433" s="11">
        <v>0.1</v>
      </c>
    </row>
    <row r="434" spans="1:28">
      <c r="A434">
        <v>2026</v>
      </c>
      <c r="B434" t="s">
        <v>178</v>
      </c>
      <c r="C434" t="s">
        <v>42</v>
      </c>
      <c r="D434" t="s">
        <v>43</v>
      </c>
      <c r="E434">
        <v>294299</v>
      </c>
      <c r="G434" t="s">
        <v>209</v>
      </c>
      <c r="H434" t="s">
        <v>209</v>
      </c>
      <c r="I434" t="s">
        <v>112</v>
      </c>
      <c r="J434" t="s">
        <v>160</v>
      </c>
      <c r="K434" t="s">
        <v>16</v>
      </c>
      <c r="L434">
        <v>141600</v>
      </c>
      <c r="M434">
        <v>141600</v>
      </c>
      <c r="O434" s="5">
        <f t="shared" si="111"/>
        <v>169920</v>
      </c>
      <c r="P434" s="5">
        <f t="shared" si="100"/>
        <v>141600</v>
      </c>
      <c r="Q434" s="11">
        <v>0.2</v>
      </c>
      <c r="R434" s="5">
        <f t="shared" si="112"/>
        <v>169920</v>
      </c>
      <c r="S434" s="11">
        <f t="shared" si="101"/>
        <v>0.16666666666666666</v>
      </c>
      <c r="T434" s="5">
        <v>0</v>
      </c>
      <c r="U434" s="11">
        <v>0</v>
      </c>
      <c r="V434" s="5">
        <f t="shared" si="104"/>
        <v>0</v>
      </c>
      <c r="W434" s="11">
        <f t="shared" si="105"/>
        <v>0</v>
      </c>
      <c r="X434" s="5">
        <f t="shared" si="102"/>
        <v>0</v>
      </c>
      <c r="Y434" s="11">
        <v>0</v>
      </c>
      <c r="Z434" s="5">
        <f t="shared" si="113"/>
        <v>0</v>
      </c>
      <c r="AA434" s="11">
        <f t="shared" si="103"/>
        <v>0</v>
      </c>
      <c r="AB434" s="11">
        <v>0.1</v>
      </c>
    </row>
    <row r="435" spans="1:28">
      <c r="A435">
        <v>2026</v>
      </c>
      <c r="B435" t="s">
        <v>178</v>
      </c>
      <c r="C435" t="s">
        <v>42</v>
      </c>
      <c r="D435" t="s">
        <v>43</v>
      </c>
      <c r="E435">
        <v>294399</v>
      </c>
      <c r="G435" t="s">
        <v>209</v>
      </c>
      <c r="H435" t="s">
        <v>209</v>
      </c>
      <c r="I435" t="s">
        <v>113</v>
      </c>
      <c r="J435" t="s">
        <v>160</v>
      </c>
      <c r="K435" t="s">
        <v>16</v>
      </c>
      <c r="L435">
        <v>174700</v>
      </c>
      <c r="M435">
        <v>174700</v>
      </c>
      <c r="O435" s="5">
        <f t="shared" si="111"/>
        <v>209640</v>
      </c>
      <c r="P435" s="5">
        <f t="shared" si="100"/>
        <v>174700</v>
      </c>
      <c r="Q435" s="11">
        <v>0.2</v>
      </c>
      <c r="R435" s="5">
        <f t="shared" si="112"/>
        <v>209640</v>
      </c>
      <c r="S435" s="11">
        <f t="shared" si="101"/>
        <v>0.16666666666666666</v>
      </c>
      <c r="T435" s="5">
        <v>0</v>
      </c>
      <c r="U435" s="11">
        <v>0</v>
      </c>
      <c r="V435" s="5">
        <f t="shared" si="104"/>
        <v>0</v>
      </c>
      <c r="W435" s="11">
        <f t="shared" si="105"/>
        <v>0</v>
      </c>
      <c r="X435" s="5">
        <f t="shared" si="102"/>
        <v>0</v>
      </c>
      <c r="Y435" s="11">
        <v>0</v>
      </c>
      <c r="Z435" s="5">
        <f t="shared" si="113"/>
        <v>0</v>
      </c>
      <c r="AA435" s="11">
        <f t="shared" si="103"/>
        <v>0</v>
      </c>
      <c r="AB435" s="11">
        <v>0.1</v>
      </c>
    </row>
    <row r="436" spans="1:28">
      <c r="A436">
        <v>2026</v>
      </c>
      <c r="B436" t="s">
        <v>178</v>
      </c>
      <c r="C436" t="s">
        <v>42</v>
      </c>
      <c r="D436" t="s">
        <v>43</v>
      </c>
      <c r="E436">
        <v>294499</v>
      </c>
      <c r="G436" t="s">
        <v>209</v>
      </c>
      <c r="H436" t="s">
        <v>209</v>
      </c>
      <c r="I436" t="s">
        <v>114</v>
      </c>
      <c r="J436" t="s">
        <v>160</v>
      </c>
      <c r="K436" t="s">
        <v>16</v>
      </c>
      <c r="L436">
        <v>204000</v>
      </c>
      <c r="M436">
        <v>204000</v>
      </c>
      <c r="O436" s="5">
        <f t="shared" si="111"/>
        <v>244800</v>
      </c>
      <c r="P436" s="5">
        <f t="shared" si="100"/>
        <v>204000</v>
      </c>
      <c r="Q436" s="11">
        <v>0.2</v>
      </c>
      <c r="R436" s="5">
        <f t="shared" si="112"/>
        <v>244800</v>
      </c>
      <c r="S436" s="11">
        <f t="shared" si="101"/>
        <v>0.16666666666666666</v>
      </c>
      <c r="T436" s="5">
        <v>0</v>
      </c>
      <c r="U436" s="11">
        <v>0</v>
      </c>
      <c r="V436" s="5">
        <f t="shared" si="104"/>
        <v>0</v>
      </c>
      <c r="W436" s="11">
        <f t="shared" si="105"/>
        <v>0</v>
      </c>
      <c r="X436" s="5">
        <f t="shared" si="102"/>
        <v>0</v>
      </c>
      <c r="Y436" s="11">
        <v>0</v>
      </c>
      <c r="Z436" s="5">
        <f t="shared" si="113"/>
        <v>0</v>
      </c>
      <c r="AA436" s="11">
        <f t="shared" si="103"/>
        <v>0</v>
      </c>
      <c r="AB436" s="11">
        <v>0.1</v>
      </c>
    </row>
    <row r="437" spans="1:28">
      <c r="A437">
        <v>2026</v>
      </c>
      <c r="B437" t="s">
        <v>178</v>
      </c>
      <c r="C437" t="s">
        <v>42</v>
      </c>
      <c r="D437" t="s">
        <v>43</v>
      </c>
      <c r="E437">
        <v>284190</v>
      </c>
      <c r="G437" t="s">
        <v>209</v>
      </c>
      <c r="H437" t="s">
        <v>209</v>
      </c>
      <c r="I437" t="s">
        <v>119</v>
      </c>
      <c r="J437" t="s">
        <v>160</v>
      </c>
      <c r="K437" t="s">
        <v>16</v>
      </c>
      <c r="L437">
        <v>49000</v>
      </c>
      <c r="M437">
        <v>49000</v>
      </c>
      <c r="O437" s="5">
        <f t="shared" si="111"/>
        <v>58800</v>
      </c>
      <c r="P437" s="5">
        <f t="shared" si="100"/>
        <v>49000</v>
      </c>
      <c r="Q437" s="11">
        <v>0.2</v>
      </c>
      <c r="R437" s="5">
        <f t="shared" si="112"/>
        <v>58800</v>
      </c>
      <c r="S437" s="11">
        <f t="shared" si="101"/>
        <v>0.16666666666666666</v>
      </c>
      <c r="T437" s="5">
        <v>0</v>
      </c>
      <c r="U437" s="11">
        <v>0</v>
      </c>
      <c r="V437" s="5">
        <f t="shared" si="104"/>
        <v>0</v>
      </c>
      <c r="W437" s="11">
        <f t="shared" si="105"/>
        <v>0</v>
      </c>
      <c r="X437" s="5">
        <f t="shared" si="102"/>
        <v>0</v>
      </c>
      <c r="Y437" s="11">
        <v>0</v>
      </c>
      <c r="Z437" s="5">
        <f t="shared" si="113"/>
        <v>0</v>
      </c>
      <c r="AA437" s="11">
        <f t="shared" si="103"/>
        <v>0</v>
      </c>
      <c r="AB437" s="11">
        <v>0.1</v>
      </c>
    </row>
    <row r="438" spans="1:28">
      <c r="A438">
        <v>2026</v>
      </c>
      <c r="B438" t="s">
        <v>178</v>
      </c>
      <c r="C438" t="s">
        <v>42</v>
      </c>
      <c r="D438" t="s">
        <v>43</v>
      </c>
      <c r="E438">
        <v>284390</v>
      </c>
      <c r="G438" t="s">
        <v>209</v>
      </c>
      <c r="H438" t="s">
        <v>209</v>
      </c>
      <c r="I438" t="s">
        <v>122</v>
      </c>
      <c r="J438" t="s">
        <v>159</v>
      </c>
      <c r="K438" t="s">
        <v>16</v>
      </c>
      <c r="L438">
        <v>224100</v>
      </c>
      <c r="M438">
        <v>224100</v>
      </c>
      <c r="O438" s="5">
        <f t="shared" si="111"/>
        <v>268920</v>
      </c>
      <c r="P438" s="5">
        <f t="shared" si="100"/>
        <v>224100</v>
      </c>
      <c r="Q438" s="11">
        <v>0.2</v>
      </c>
      <c r="R438" s="5">
        <f t="shared" si="112"/>
        <v>268920</v>
      </c>
      <c r="S438" s="11">
        <f t="shared" si="101"/>
        <v>0.16666666666666666</v>
      </c>
      <c r="T438" s="5">
        <v>0</v>
      </c>
      <c r="U438" s="11">
        <v>0</v>
      </c>
      <c r="V438" s="5">
        <f t="shared" si="104"/>
        <v>0</v>
      </c>
      <c r="W438" s="11">
        <f t="shared" si="105"/>
        <v>0</v>
      </c>
      <c r="X438" s="5">
        <f t="shared" si="102"/>
        <v>0</v>
      </c>
      <c r="Y438" s="11">
        <v>0</v>
      </c>
      <c r="Z438" s="5">
        <f t="shared" si="113"/>
        <v>0</v>
      </c>
      <c r="AA438" s="11">
        <f t="shared" si="103"/>
        <v>0</v>
      </c>
      <c r="AB438" s="11">
        <v>0.1</v>
      </c>
    </row>
    <row r="439" spans="1:28">
      <c r="A439">
        <v>2026</v>
      </c>
      <c r="B439" t="s">
        <v>178</v>
      </c>
      <c r="C439" t="s">
        <v>42</v>
      </c>
      <c r="D439" t="s">
        <v>43</v>
      </c>
      <c r="E439">
        <v>287100</v>
      </c>
      <c r="G439" t="s">
        <v>209</v>
      </c>
      <c r="H439" t="s">
        <v>209</v>
      </c>
      <c r="I439" t="s">
        <v>126</v>
      </c>
      <c r="J439" t="s">
        <v>159</v>
      </c>
      <c r="K439" t="s">
        <v>16</v>
      </c>
      <c r="L439">
        <v>38000</v>
      </c>
      <c r="M439">
        <v>38000</v>
      </c>
      <c r="O439" s="5">
        <f t="shared" si="111"/>
        <v>45600</v>
      </c>
      <c r="P439" s="5">
        <f t="shared" si="100"/>
        <v>38000</v>
      </c>
      <c r="Q439" s="11">
        <v>0.2</v>
      </c>
      <c r="R439" s="5">
        <f t="shared" si="112"/>
        <v>45600</v>
      </c>
      <c r="S439" s="11">
        <f t="shared" si="101"/>
        <v>0.16666666666666666</v>
      </c>
      <c r="T439" s="5">
        <v>0</v>
      </c>
      <c r="U439" s="11">
        <v>0</v>
      </c>
      <c r="V439" s="5">
        <f t="shared" si="104"/>
        <v>0</v>
      </c>
      <c r="W439" s="11">
        <f t="shared" si="105"/>
        <v>0</v>
      </c>
      <c r="X439" s="5">
        <f t="shared" si="102"/>
        <v>0</v>
      </c>
      <c r="Y439" s="11">
        <v>0</v>
      </c>
      <c r="Z439" s="5">
        <f t="shared" si="113"/>
        <v>0</v>
      </c>
      <c r="AA439" s="11">
        <f t="shared" si="103"/>
        <v>0</v>
      </c>
      <c r="AB439" s="11">
        <v>0.1</v>
      </c>
    </row>
    <row r="440" spans="1:28">
      <c r="A440">
        <v>2026</v>
      </c>
      <c r="B440" t="s">
        <v>178</v>
      </c>
      <c r="C440" t="s">
        <v>42</v>
      </c>
      <c r="D440" t="s">
        <v>43</v>
      </c>
      <c r="E440">
        <v>287200</v>
      </c>
      <c r="G440" t="s">
        <v>209</v>
      </c>
      <c r="H440" t="s">
        <v>209</v>
      </c>
      <c r="I440" t="s">
        <v>127</v>
      </c>
      <c r="J440" t="s">
        <v>159</v>
      </c>
      <c r="K440" t="s">
        <v>16</v>
      </c>
      <c r="L440">
        <v>39800</v>
      </c>
      <c r="M440">
        <v>39800</v>
      </c>
      <c r="O440" s="5">
        <f t="shared" si="111"/>
        <v>47760</v>
      </c>
      <c r="P440" s="5">
        <f t="shared" si="100"/>
        <v>39800</v>
      </c>
      <c r="Q440" s="11">
        <v>0.2</v>
      </c>
      <c r="R440" s="5">
        <f t="shared" si="112"/>
        <v>47760</v>
      </c>
      <c r="S440" s="11">
        <f t="shared" si="101"/>
        <v>0.16666666666666666</v>
      </c>
      <c r="T440" s="5">
        <v>0</v>
      </c>
      <c r="U440" s="11">
        <v>0</v>
      </c>
      <c r="V440" s="5">
        <f t="shared" si="104"/>
        <v>0</v>
      </c>
      <c r="W440" s="11">
        <f t="shared" si="105"/>
        <v>0</v>
      </c>
      <c r="X440" s="5">
        <f t="shared" si="102"/>
        <v>0</v>
      </c>
      <c r="Y440" s="11">
        <v>0</v>
      </c>
      <c r="Z440" s="5">
        <f t="shared" si="113"/>
        <v>0</v>
      </c>
      <c r="AA440" s="11">
        <f t="shared" si="103"/>
        <v>0</v>
      </c>
      <c r="AB440" s="11">
        <v>0.1</v>
      </c>
    </row>
    <row r="441" spans="1:28">
      <c r="A441">
        <v>2026</v>
      </c>
      <c r="B441" t="s">
        <v>179</v>
      </c>
      <c r="C441" t="s">
        <v>42</v>
      </c>
      <c r="D441" t="s">
        <v>43</v>
      </c>
      <c r="E441">
        <v>360001</v>
      </c>
      <c r="G441" t="s">
        <v>209</v>
      </c>
      <c r="H441" t="s">
        <v>209</v>
      </c>
      <c r="I441" t="s">
        <v>71</v>
      </c>
      <c r="J441" t="s">
        <v>159</v>
      </c>
      <c r="K441" t="s">
        <v>16</v>
      </c>
      <c r="L441">
        <v>28800</v>
      </c>
      <c r="M441">
        <v>28800</v>
      </c>
      <c r="O441" s="5">
        <f>R441</f>
        <v>34560</v>
      </c>
      <c r="P441" s="5">
        <f t="shared" si="100"/>
        <v>28800</v>
      </c>
      <c r="Q441" s="11">
        <v>0.2</v>
      </c>
      <c r="R441" s="5">
        <f>P441+(P441*Q441)</f>
        <v>34560</v>
      </c>
      <c r="S441" s="11">
        <f t="shared" si="101"/>
        <v>0.16666666666666666</v>
      </c>
      <c r="T441" s="5">
        <v>0</v>
      </c>
      <c r="U441" s="11">
        <v>0</v>
      </c>
      <c r="V441" s="5">
        <f t="shared" si="104"/>
        <v>0</v>
      </c>
      <c r="W441" s="11">
        <f t="shared" si="105"/>
        <v>0</v>
      </c>
      <c r="X441" s="5">
        <f t="shared" si="102"/>
        <v>0</v>
      </c>
      <c r="Y441" s="11">
        <v>0</v>
      </c>
      <c r="Z441" s="5">
        <f t="shared" si="113"/>
        <v>0</v>
      </c>
      <c r="AA441" s="11">
        <f t="shared" si="103"/>
        <v>0</v>
      </c>
      <c r="AB441" s="11">
        <v>0.1</v>
      </c>
    </row>
    <row r="442" spans="1:28">
      <c r="A442">
        <v>2026</v>
      </c>
      <c r="B442" t="s">
        <v>179</v>
      </c>
      <c r="C442" t="s">
        <v>42</v>
      </c>
      <c r="D442" t="s">
        <v>43</v>
      </c>
      <c r="E442">
        <v>709900</v>
      </c>
      <c r="G442" t="s">
        <v>209</v>
      </c>
      <c r="H442" t="s">
        <v>209</v>
      </c>
      <c r="I442" t="s">
        <v>76</v>
      </c>
      <c r="J442" t="s">
        <v>159</v>
      </c>
      <c r="K442" t="s">
        <v>16</v>
      </c>
      <c r="L442">
        <v>36700</v>
      </c>
      <c r="M442">
        <v>36700</v>
      </c>
      <c r="O442" s="5">
        <f t="shared" ref="O442:O455" si="114">R442</f>
        <v>44040</v>
      </c>
      <c r="P442" s="5">
        <f t="shared" si="100"/>
        <v>36700</v>
      </c>
      <c r="Q442" s="11">
        <v>0.2</v>
      </c>
      <c r="R442" s="5">
        <f t="shared" ref="R442:R455" si="115">P442+(P442*Q442)</f>
        <v>44040</v>
      </c>
      <c r="S442" s="11">
        <f t="shared" si="101"/>
        <v>0.16666666666666666</v>
      </c>
      <c r="T442" s="5">
        <v>0</v>
      </c>
      <c r="U442" s="11">
        <v>0</v>
      </c>
      <c r="V442" s="5">
        <f t="shared" si="104"/>
        <v>0</v>
      </c>
      <c r="W442" s="11">
        <f t="shared" si="105"/>
        <v>0</v>
      </c>
      <c r="X442" s="5">
        <f t="shared" si="102"/>
        <v>0</v>
      </c>
      <c r="Y442" s="11">
        <v>0</v>
      </c>
      <c r="Z442" s="5">
        <f t="shared" si="113"/>
        <v>0</v>
      </c>
      <c r="AA442" s="11">
        <f t="shared" si="103"/>
        <v>0</v>
      </c>
      <c r="AB442" s="11">
        <v>0.1</v>
      </c>
    </row>
    <row r="443" spans="1:28">
      <c r="A443">
        <v>2026</v>
      </c>
      <c r="B443" t="s">
        <v>179</v>
      </c>
      <c r="C443" t="s">
        <v>42</v>
      </c>
      <c r="D443" t="s">
        <v>43</v>
      </c>
      <c r="E443">
        <v>709902</v>
      </c>
      <c r="G443" t="s">
        <v>209</v>
      </c>
      <c r="H443" t="s">
        <v>209</v>
      </c>
      <c r="I443" t="s">
        <v>91</v>
      </c>
      <c r="J443" t="s">
        <v>160</v>
      </c>
      <c r="K443" t="s">
        <v>16</v>
      </c>
      <c r="L443">
        <v>28000</v>
      </c>
      <c r="M443">
        <v>28000</v>
      </c>
      <c r="O443" s="5">
        <f t="shared" si="114"/>
        <v>33600</v>
      </c>
      <c r="P443" s="5">
        <f t="shared" si="100"/>
        <v>28000</v>
      </c>
      <c r="Q443" s="11">
        <v>0.2</v>
      </c>
      <c r="R443" s="5">
        <f t="shared" si="115"/>
        <v>33600</v>
      </c>
      <c r="S443" s="11">
        <f t="shared" si="101"/>
        <v>0.16666666666666666</v>
      </c>
      <c r="T443" s="5">
        <v>0</v>
      </c>
      <c r="U443" s="11">
        <v>0</v>
      </c>
      <c r="V443" s="5">
        <f t="shared" si="104"/>
        <v>0</v>
      </c>
      <c r="W443" s="11">
        <f t="shared" si="105"/>
        <v>0</v>
      </c>
      <c r="X443" s="5">
        <f t="shared" si="102"/>
        <v>0</v>
      </c>
      <c r="Y443" s="11">
        <v>0</v>
      </c>
      <c r="Z443" s="5">
        <f t="shared" si="113"/>
        <v>0</v>
      </c>
      <c r="AA443" s="11">
        <f t="shared" si="103"/>
        <v>0</v>
      </c>
      <c r="AB443" s="11">
        <v>0.1</v>
      </c>
    </row>
    <row r="444" spans="1:28">
      <c r="A444">
        <v>2026</v>
      </c>
      <c r="B444" t="s">
        <v>179</v>
      </c>
      <c r="C444" t="s">
        <v>42</v>
      </c>
      <c r="D444" t="s">
        <v>43</v>
      </c>
      <c r="E444">
        <v>709903</v>
      </c>
      <c r="G444" t="s">
        <v>209</v>
      </c>
      <c r="H444" t="s">
        <v>209</v>
      </c>
      <c r="I444" t="s">
        <v>97</v>
      </c>
      <c r="J444" t="s">
        <v>160</v>
      </c>
      <c r="K444" t="s">
        <v>16</v>
      </c>
      <c r="L444">
        <v>36700</v>
      </c>
      <c r="M444">
        <v>36700</v>
      </c>
      <c r="O444" s="5">
        <f t="shared" si="114"/>
        <v>44040</v>
      </c>
      <c r="P444" s="5">
        <f t="shared" si="100"/>
        <v>36700</v>
      </c>
      <c r="Q444" s="11">
        <v>0.2</v>
      </c>
      <c r="R444" s="5">
        <f t="shared" si="115"/>
        <v>44040</v>
      </c>
      <c r="S444" s="11">
        <f t="shared" si="101"/>
        <v>0.16666666666666666</v>
      </c>
      <c r="T444" s="5">
        <v>0</v>
      </c>
      <c r="U444" s="11">
        <v>0</v>
      </c>
      <c r="V444" s="5">
        <f t="shared" si="104"/>
        <v>0</v>
      </c>
      <c r="W444" s="11">
        <f t="shared" si="105"/>
        <v>0</v>
      </c>
      <c r="X444" s="5">
        <f t="shared" si="102"/>
        <v>0</v>
      </c>
      <c r="Y444" s="11">
        <v>0</v>
      </c>
      <c r="Z444" s="5">
        <f t="shared" si="113"/>
        <v>0</v>
      </c>
      <c r="AA444" s="11">
        <f t="shared" si="103"/>
        <v>0</v>
      </c>
      <c r="AB444" s="11">
        <v>0.1</v>
      </c>
    </row>
    <row r="445" spans="1:28">
      <c r="A445">
        <v>2026</v>
      </c>
      <c r="B445" t="s">
        <v>179</v>
      </c>
      <c r="C445" t="s">
        <v>42</v>
      </c>
      <c r="D445" t="s">
        <v>43</v>
      </c>
      <c r="E445">
        <v>603421</v>
      </c>
      <c r="G445" t="s">
        <v>209</v>
      </c>
      <c r="H445" t="s">
        <v>209</v>
      </c>
      <c r="I445" t="s">
        <v>103</v>
      </c>
      <c r="J445" t="s">
        <v>160</v>
      </c>
      <c r="K445" t="s">
        <v>16</v>
      </c>
      <c r="L445">
        <v>21900</v>
      </c>
      <c r="M445">
        <v>21900</v>
      </c>
      <c r="O445" s="5">
        <f t="shared" si="114"/>
        <v>26280</v>
      </c>
      <c r="P445" s="5">
        <f t="shared" si="100"/>
        <v>21900</v>
      </c>
      <c r="Q445" s="11">
        <v>0.2</v>
      </c>
      <c r="R445" s="5">
        <f t="shared" si="115"/>
        <v>26280</v>
      </c>
      <c r="S445" s="11">
        <f t="shared" si="101"/>
        <v>0.16666666666666666</v>
      </c>
      <c r="T445" s="5">
        <v>0</v>
      </c>
      <c r="U445" s="11">
        <v>0</v>
      </c>
      <c r="V445" s="5">
        <f t="shared" si="104"/>
        <v>0</v>
      </c>
      <c r="W445" s="11">
        <f t="shared" si="105"/>
        <v>0</v>
      </c>
      <c r="X445" s="5">
        <f t="shared" si="102"/>
        <v>0</v>
      </c>
      <c r="Y445" s="11">
        <v>0</v>
      </c>
      <c r="Z445" s="5">
        <f t="shared" si="113"/>
        <v>0</v>
      </c>
      <c r="AA445" s="11">
        <f t="shared" si="103"/>
        <v>0</v>
      </c>
      <c r="AB445" s="11">
        <v>0.1</v>
      </c>
    </row>
    <row r="446" spans="1:28">
      <c r="A446">
        <v>2026</v>
      </c>
      <c r="B446" t="s">
        <v>179</v>
      </c>
      <c r="C446" t="s">
        <v>42</v>
      </c>
      <c r="D446" t="s">
        <v>43</v>
      </c>
      <c r="E446">
        <v>603422</v>
      </c>
      <c r="G446" t="s">
        <v>209</v>
      </c>
      <c r="H446" t="s">
        <v>209</v>
      </c>
      <c r="I446" t="s">
        <v>107</v>
      </c>
      <c r="J446" t="s">
        <v>160</v>
      </c>
      <c r="K446" t="s">
        <v>16</v>
      </c>
      <c r="L446">
        <v>114900</v>
      </c>
      <c r="M446">
        <v>114900</v>
      </c>
      <c r="O446" s="5">
        <f t="shared" si="114"/>
        <v>137880</v>
      </c>
      <c r="P446" s="5">
        <f t="shared" si="100"/>
        <v>114900</v>
      </c>
      <c r="Q446" s="11">
        <v>0.2</v>
      </c>
      <c r="R446" s="5">
        <f t="shared" si="115"/>
        <v>137880</v>
      </c>
      <c r="S446" s="11">
        <f t="shared" si="101"/>
        <v>0.16666666666666666</v>
      </c>
      <c r="T446" s="5">
        <v>0</v>
      </c>
      <c r="U446" s="11">
        <v>0</v>
      </c>
      <c r="V446" s="5">
        <f t="shared" si="104"/>
        <v>0</v>
      </c>
      <c r="W446" s="11">
        <f t="shared" si="105"/>
        <v>0</v>
      </c>
      <c r="X446" s="5">
        <f t="shared" si="102"/>
        <v>0</v>
      </c>
      <c r="Y446" s="11">
        <v>0</v>
      </c>
      <c r="Z446" s="5">
        <f t="shared" si="113"/>
        <v>0</v>
      </c>
      <c r="AA446" s="11">
        <f t="shared" si="103"/>
        <v>0</v>
      </c>
      <c r="AB446" s="11">
        <v>0.1</v>
      </c>
    </row>
    <row r="447" spans="1:28">
      <c r="A447">
        <v>2026</v>
      </c>
      <c r="B447" t="s">
        <v>179</v>
      </c>
      <c r="C447" t="s">
        <v>42</v>
      </c>
      <c r="D447" t="s">
        <v>43</v>
      </c>
      <c r="E447">
        <v>603423</v>
      </c>
      <c r="G447" t="s">
        <v>209</v>
      </c>
      <c r="H447" t="s">
        <v>209</v>
      </c>
      <c r="I447" t="s">
        <v>110</v>
      </c>
      <c r="J447" t="s">
        <v>160</v>
      </c>
      <c r="K447" t="s">
        <v>16</v>
      </c>
      <c r="L447">
        <v>28000</v>
      </c>
      <c r="M447">
        <v>28000</v>
      </c>
      <c r="O447" s="5">
        <f t="shared" si="114"/>
        <v>33600</v>
      </c>
      <c r="P447" s="5">
        <f t="shared" si="100"/>
        <v>28000</v>
      </c>
      <c r="Q447" s="11">
        <v>0.2</v>
      </c>
      <c r="R447" s="5">
        <f t="shared" si="115"/>
        <v>33600</v>
      </c>
      <c r="S447" s="11">
        <f t="shared" si="101"/>
        <v>0.16666666666666666</v>
      </c>
      <c r="T447" s="5">
        <v>0</v>
      </c>
      <c r="U447" s="11">
        <v>0</v>
      </c>
      <c r="V447" s="5">
        <f t="shared" si="104"/>
        <v>0</v>
      </c>
      <c r="W447" s="11">
        <f t="shared" si="105"/>
        <v>0</v>
      </c>
      <c r="X447" s="5">
        <f t="shared" si="102"/>
        <v>0</v>
      </c>
      <c r="Y447" s="11">
        <v>0</v>
      </c>
      <c r="Z447" s="5">
        <f t="shared" si="113"/>
        <v>0</v>
      </c>
      <c r="AA447" s="11">
        <f t="shared" si="103"/>
        <v>0</v>
      </c>
      <c r="AB447" s="11">
        <v>0.1</v>
      </c>
    </row>
    <row r="448" spans="1:28">
      <c r="A448">
        <v>2026</v>
      </c>
      <c r="B448" t="s">
        <v>179</v>
      </c>
      <c r="C448" t="s">
        <v>42</v>
      </c>
      <c r="D448" t="s">
        <v>43</v>
      </c>
      <c r="E448">
        <v>294199</v>
      </c>
      <c r="G448" t="s">
        <v>209</v>
      </c>
      <c r="H448" t="s">
        <v>209</v>
      </c>
      <c r="I448" t="s">
        <v>111</v>
      </c>
      <c r="J448" t="s">
        <v>160</v>
      </c>
      <c r="K448" t="s">
        <v>16</v>
      </c>
      <c r="L448">
        <v>49200</v>
      </c>
      <c r="M448">
        <v>49200</v>
      </c>
      <c r="O448" s="5">
        <f t="shared" si="114"/>
        <v>59040</v>
      </c>
      <c r="P448" s="5">
        <f t="shared" si="100"/>
        <v>49200</v>
      </c>
      <c r="Q448" s="11">
        <v>0.2</v>
      </c>
      <c r="R448" s="5">
        <f t="shared" si="115"/>
        <v>59040</v>
      </c>
      <c r="S448" s="11">
        <f t="shared" si="101"/>
        <v>0.16666666666666666</v>
      </c>
      <c r="T448" s="5">
        <v>0</v>
      </c>
      <c r="U448" s="11">
        <v>0</v>
      </c>
      <c r="V448" s="5">
        <f t="shared" si="104"/>
        <v>0</v>
      </c>
      <c r="W448" s="11">
        <f t="shared" si="105"/>
        <v>0</v>
      </c>
      <c r="X448" s="5">
        <f t="shared" si="102"/>
        <v>0</v>
      </c>
      <c r="Y448" s="11">
        <v>0</v>
      </c>
      <c r="Z448" s="5">
        <f t="shared" si="113"/>
        <v>0</v>
      </c>
      <c r="AA448" s="11">
        <f t="shared" si="103"/>
        <v>0</v>
      </c>
      <c r="AB448" s="11">
        <v>0.1</v>
      </c>
    </row>
    <row r="449" spans="1:28">
      <c r="A449">
        <v>2026</v>
      </c>
      <c r="B449" t="s">
        <v>179</v>
      </c>
      <c r="C449" t="s">
        <v>42</v>
      </c>
      <c r="D449" t="s">
        <v>43</v>
      </c>
      <c r="E449">
        <v>294299</v>
      </c>
      <c r="G449" t="s">
        <v>209</v>
      </c>
      <c r="H449" t="s">
        <v>209</v>
      </c>
      <c r="I449" t="s">
        <v>112</v>
      </c>
      <c r="J449" t="s">
        <v>160</v>
      </c>
      <c r="K449" t="s">
        <v>16</v>
      </c>
      <c r="L449">
        <v>141600</v>
      </c>
      <c r="M449">
        <v>141600</v>
      </c>
      <c r="O449" s="5">
        <f t="shared" si="114"/>
        <v>169920</v>
      </c>
      <c r="P449" s="5">
        <f t="shared" si="100"/>
        <v>141600</v>
      </c>
      <c r="Q449" s="11">
        <v>0.2</v>
      </c>
      <c r="R449" s="5">
        <f t="shared" si="115"/>
        <v>169920</v>
      </c>
      <c r="S449" s="11">
        <f t="shared" si="101"/>
        <v>0.16666666666666666</v>
      </c>
      <c r="T449" s="5">
        <v>0</v>
      </c>
      <c r="U449" s="11">
        <v>0</v>
      </c>
      <c r="V449" s="5">
        <f t="shared" si="104"/>
        <v>0</v>
      </c>
      <c r="W449" s="11">
        <f t="shared" si="105"/>
        <v>0</v>
      </c>
      <c r="X449" s="5">
        <f t="shared" si="102"/>
        <v>0</v>
      </c>
      <c r="Y449" s="11">
        <v>0</v>
      </c>
      <c r="Z449" s="5">
        <f t="shared" si="113"/>
        <v>0</v>
      </c>
      <c r="AA449" s="11">
        <f t="shared" si="103"/>
        <v>0</v>
      </c>
      <c r="AB449" s="11">
        <v>0.1</v>
      </c>
    </row>
    <row r="450" spans="1:28">
      <c r="A450">
        <v>2026</v>
      </c>
      <c r="B450" t="s">
        <v>179</v>
      </c>
      <c r="C450" t="s">
        <v>42</v>
      </c>
      <c r="D450" t="s">
        <v>43</v>
      </c>
      <c r="E450">
        <v>294399</v>
      </c>
      <c r="G450" t="s">
        <v>209</v>
      </c>
      <c r="H450" t="s">
        <v>209</v>
      </c>
      <c r="I450" t="s">
        <v>113</v>
      </c>
      <c r="J450" t="s">
        <v>160</v>
      </c>
      <c r="K450" t="s">
        <v>16</v>
      </c>
      <c r="L450">
        <v>174700</v>
      </c>
      <c r="M450">
        <v>174700</v>
      </c>
      <c r="O450" s="5">
        <f t="shared" si="114"/>
        <v>209640</v>
      </c>
      <c r="P450" s="5">
        <f t="shared" ref="P450:P470" si="116">IF(C450="Alta Complejidad",M450,0)</f>
        <v>174700</v>
      </c>
      <c r="Q450" s="11">
        <v>0.2</v>
      </c>
      <c r="R450" s="5">
        <f t="shared" si="115"/>
        <v>209640</v>
      </c>
      <c r="S450" s="11">
        <f t="shared" ref="S450:S513" si="117">IFERROR(((R450-P450)/R450),0)</f>
        <v>0.16666666666666666</v>
      </c>
      <c r="T450" s="5">
        <v>0</v>
      </c>
      <c r="U450" s="11">
        <v>0</v>
      </c>
      <c r="V450" s="5">
        <f t="shared" si="104"/>
        <v>0</v>
      </c>
      <c r="W450" s="11">
        <f t="shared" si="105"/>
        <v>0</v>
      </c>
      <c r="X450" s="5">
        <f t="shared" ref="X450:X470" si="118">IF(C450="Baja Complejidad",M450,0)</f>
        <v>0</v>
      </c>
      <c r="Y450" s="11">
        <v>0</v>
      </c>
      <c r="Z450" s="5">
        <f t="shared" si="113"/>
        <v>0</v>
      </c>
      <c r="AA450" s="11">
        <f t="shared" ref="AA450:AA513" si="119">IFERROR(((Z450-X450)/Z450),0)</f>
        <v>0</v>
      </c>
      <c r="AB450" s="11">
        <v>0.1</v>
      </c>
    </row>
    <row r="451" spans="1:28">
      <c r="A451">
        <v>2026</v>
      </c>
      <c r="B451" t="s">
        <v>179</v>
      </c>
      <c r="C451" t="s">
        <v>42</v>
      </c>
      <c r="D451" t="s">
        <v>43</v>
      </c>
      <c r="E451">
        <v>294499</v>
      </c>
      <c r="G451" t="s">
        <v>209</v>
      </c>
      <c r="H451" t="s">
        <v>209</v>
      </c>
      <c r="I451" t="s">
        <v>114</v>
      </c>
      <c r="J451" t="s">
        <v>160</v>
      </c>
      <c r="K451" t="s">
        <v>16</v>
      </c>
      <c r="L451">
        <v>204000</v>
      </c>
      <c r="M451">
        <v>204000</v>
      </c>
      <c r="O451" s="5">
        <f t="shared" si="114"/>
        <v>244800</v>
      </c>
      <c r="P451" s="5">
        <f t="shared" si="116"/>
        <v>204000</v>
      </c>
      <c r="Q451" s="11">
        <v>0.2</v>
      </c>
      <c r="R451" s="5">
        <f t="shared" si="115"/>
        <v>244800</v>
      </c>
      <c r="S451" s="11">
        <f t="shared" si="117"/>
        <v>0.16666666666666666</v>
      </c>
      <c r="T451" s="5">
        <v>0</v>
      </c>
      <c r="U451" s="11">
        <v>0</v>
      </c>
      <c r="V451" s="5">
        <f t="shared" si="104"/>
        <v>0</v>
      </c>
      <c r="W451" s="11">
        <f t="shared" si="105"/>
        <v>0</v>
      </c>
      <c r="X451" s="5">
        <f t="shared" si="118"/>
        <v>0</v>
      </c>
      <c r="Y451" s="11">
        <v>0</v>
      </c>
      <c r="Z451" s="5">
        <f t="shared" si="113"/>
        <v>0</v>
      </c>
      <c r="AA451" s="11">
        <f t="shared" si="119"/>
        <v>0</v>
      </c>
      <c r="AB451" s="11">
        <v>0.1</v>
      </c>
    </row>
    <row r="452" spans="1:28">
      <c r="A452">
        <v>2026</v>
      </c>
      <c r="B452" t="s">
        <v>179</v>
      </c>
      <c r="C452" t="s">
        <v>42</v>
      </c>
      <c r="D452" t="s">
        <v>43</v>
      </c>
      <c r="E452">
        <v>284190</v>
      </c>
      <c r="G452" t="s">
        <v>209</v>
      </c>
      <c r="H452" t="s">
        <v>209</v>
      </c>
      <c r="I452" t="s">
        <v>119</v>
      </c>
      <c r="J452" t="s">
        <v>160</v>
      </c>
      <c r="K452" t="s">
        <v>16</v>
      </c>
      <c r="L452">
        <v>49000</v>
      </c>
      <c r="M452">
        <v>49000</v>
      </c>
      <c r="O452" s="5">
        <f t="shared" si="114"/>
        <v>58800</v>
      </c>
      <c r="P452" s="5">
        <f t="shared" si="116"/>
        <v>49000</v>
      </c>
      <c r="Q452" s="11">
        <v>0.2</v>
      </c>
      <c r="R452" s="5">
        <f t="shared" si="115"/>
        <v>58800</v>
      </c>
      <c r="S452" s="11">
        <f t="shared" si="117"/>
        <v>0.16666666666666666</v>
      </c>
      <c r="T452" s="5">
        <v>0</v>
      </c>
      <c r="U452" s="11">
        <v>0</v>
      </c>
      <c r="V452" s="5">
        <f t="shared" si="104"/>
        <v>0</v>
      </c>
      <c r="W452" s="11">
        <f t="shared" si="105"/>
        <v>0</v>
      </c>
      <c r="X452" s="5">
        <f t="shared" si="118"/>
        <v>0</v>
      </c>
      <c r="Y452" s="11">
        <v>0</v>
      </c>
      <c r="Z452" s="5">
        <f t="shared" si="113"/>
        <v>0</v>
      </c>
      <c r="AA452" s="11">
        <f t="shared" si="119"/>
        <v>0</v>
      </c>
      <c r="AB452" s="11">
        <v>0.1</v>
      </c>
    </row>
    <row r="453" spans="1:28">
      <c r="A453">
        <v>2026</v>
      </c>
      <c r="B453" t="s">
        <v>179</v>
      </c>
      <c r="C453" t="s">
        <v>42</v>
      </c>
      <c r="D453" t="s">
        <v>43</v>
      </c>
      <c r="E453">
        <v>284390</v>
      </c>
      <c r="G453" t="s">
        <v>209</v>
      </c>
      <c r="H453" t="s">
        <v>209</v>
      </c>
      <c r="I453" t="s">
        <v>122</v>
      </c>
      <c r="J453" t="s">
        <v>159</v>
      </c>
      <c r="K453" t="s">
        <v>16</v>
      </c>
      <c r="L453">
        <v>224100</v>
      </c>
      <c r="M453">
        <v>224100</v>
      </c>
      <c r="O453" s="5">
        <f t="shared" si="114"/>
        <v>268920</v>
      </c>
      <c r="P453" s="5">
        <f t="shared" si="116"/>
        <v>224100</v>
      </c>
      <c r="Q453" s="11">
        <v>0.2</v>
      </c>
      <c r="R453" s="5">
        <f t="shared" si="115"/>
        <v>268920</v>
      </c>
      <c r="S453" s="11">
        <f t="shared" si="117"/>
        <v>0.16666666666666666</v>
      </c>
      <c r="T453" s="5">
        <v>0</v>
      </c>
      <c r="U453" s="11">
        <v>0</v>
      </c>
      <c r="V453" s="5">
        <f t="shared" ref="V453:V516" si="120">(T453)+(T453*U453)</f>
        <v>0</v>
      </c>
      <c r="W453" s="11">
        <f t="shared" ref="W453:W516" si="121">IFERROR(((V453-T453)/V453),0)</f>
        <v>0</v>
      </c>
      <c r="X453" s="5">
        <f t="shared" si="118"/>
        <v>0</v>
      </c>
      <c r="Y453" s="11">
        <v>0</v>
      </c>
      <c r="Z453" s="5">
        <f t="shared" si="113"/>
        <v>0</v>
      </c>
      <c r="AA453" s="11">
        <f t="shared" si="119"/>
        <v>0</v>
      </c>
      <c r="AB453" s="11">
        <v>0.1</v>
      </c>
    </row>
    <row r="454" spans="1:28">
      <c r="A454">
        <v>2026</v>
      </c>
      <c r="B454" t="s">
        <v>179</v>
      </c>
      <c r="C454" t="s">
        <v>42</v>
      </c>
      <c r="D454" t="s">
        <v>43</v>
      </c>
      <c r="E454">
        <v>287100</v>
      </c>
      <c r="G454" t="s">
        <v>209</v>
      </c>
      <c r="H454" t="s">
        <v>209</v>
      </c>
      <c r="I454" t="s">
        <v>126</v>
      </c>
      <c r="J454" t="s">
        <v>159</v>
      </c>
      <c r="K454" t="s">
        <v>16</v>
      </c>
      <c r="L454">
        <v>38000</v>
      </c>
      <c r="M454">
        <v>38000</v>
      </c>
      <c r="O454" s="5">
        <f t="shared" si="114"/>
        <v>45600</v>
      </c>
      <c r="P454" s="5">
        <f t="shared" si="116"/>
        <v>38000</v>
      </c>
      <c r="Q454" s="11">
        <v>0.2</v>
      </c>
      <c r="R454" s="5">
        <f t="shared" si="115"/>
        <v>45600</v>
      </c>
      <c r="S454" s="11">
        <f t="shared" si="117"/>
        <v>0.16666666666666666</v>
      </c>
      <c r="T454" s="5">
        <v>0</v>
      </c>
      <c r="U454" s="11">
        <v>0</v>
      </c>
      <c r="V454" s="5">
        <f t="shared" si="120"/>
        <v>0</v>
      </c>
      <c r="W454" s="11">
        <f t="shared" si="121"/>
        <v>0</v>
      </c>
      <c r="X454" s="5">
        <f t="shared" si="118"/>
        <v>0</v>
      </c>
      <c r="Y454" s="11">
        <v>0</v>
      </c>
      <c r="Z454" s="5">
        <f t="shared" si="113"/>
        <v>0</v>
      </c>
      <c r="AA454" s="11">
        <f t="shared" si="119"/>
        <v>0</v>
      </c>
      <c r="AB454" s="11">
        <v>0.1</v>
      </c>
    </row>
    <row r="455" spans="1:28">
      <c r="A455">
        <v>2026</v>
      </c>
      <c r="B455" t="s">
        <v>179</v>
      </c>
      <c r="C455" t="s">
        <v>42</v>
      </c>
      <c r="D455" t="s">
        <v>43</v>
      </c>
      <c r="E455">
        <v>287200</v>
      </c>
      <c r="G455" t="s">
        <v>209</v>
      </c>
      <c r="H455" t="s">
        <v>209</v>
      </c>
      <c r="I455" t="s">
        <v>127</v>
      </c>
      <c r="J455" t="s">
        <v>159</v>
      </c>
      <c r="K455" t="s">
        <v>16</v>
      </c>
      <c r="L455">
        <v>39800</v>
      </c>
      <c r="M455">
        <v>39800</v>
      </c>
      <c r="O455" s="5">
        <f t="shared" si="114"/>
        <v>47760</v>
      </c>
      <c r="P455" s="5">
        <f t="shared" si="116"/>
        <v>39800</v>
      </c>
      <c r="Q455" s="11">
        <v>0.2</v>
      </c>
      <c r="R455" s="5">
        <f t="shared" si="115"/>
        <v>47760</v>
      </c>
      <c r="S455" s="11">
        <f t="shared" si="117"/>
        <v>0.16666666666666666</v>
      </c>
      <c r="T455" s="5">
        <v>0</v>
      </c>
      <c r="U455" s="11">
        <v>0</v>
      </c>
      <c r="V455" s="5">
        <f t="shared" si="120"/>
        <v>0</v>
      </c>
      <c r="W455" s="11">
        <f t="shared" si="121"/>
        <v>0</v>
      </c>
      <c r="X455" s="5">
        <f t="shared" si="118"/>
        <v>0</v>
      </c>
      <c r="Y455" s="11">
        <v>0</v>
      </c>
      <c r="Z455" s="5">
        <f t="shared" si="113"/>
        <v>0</v>
      </c>
      <c r="AA455" s="11">
        <f t="shared" si="119"/>
        <v>0</v>
      </c>
      <c r="AB455" s="11">
        <v>0.1</v>
      </c>
    </row>
    <row r="456" spans="1:28">
      <c r="A456">
        <v>2026</v>
      </c>
      <c r="B456" t="s">
        <v>180</v>
      </c>
      <c r="C456" t="s">
        <v>42</v>
      </c>
      <c r="D456" t="s">
        <v>43</v>
      </c>
      <c r="E456">
        <v>360001</v>
      </c>
      <c r="G456" t="s">
        <v>209</v>
      </c>
      <c r="H456" t="s">
        <v>209</v>
      </c>
      <c r="I456" t="s">
        <v>71</v>
      </c>
      <c r="J456" t="s">
        <v>159</v>
      </c>
      <c r="K456" t="s">
        <v>16</v>
      </c>
      <c r="L456">
        <v>28800</v>
      </c>
      <c r="M456">
        <v>28800</v>
      </c>
      <c r="O456" s="5">
        <f>R456</f>
        <v>34560</v>
      </c>
      <c r="P456" s="5">
        <f t="shared" si="116"/>
        <v>28800</v>
      </c>
      <c r="Q456" s="11">
        <v>0.2</v>
      </c>
      <c r="R456" s="5">
        <f>P456+(P456*Q456)</f>
        <v>34560</v>
      </c>
      <c r="S456" s="11">
        <f t="shared" si="117"/>
        <v>0.16666666666666666</v>
      </c>
      <c r="T456" s="5">
        <v>0</v>
      </c>
      <c r="U456" s="11">
        <v>0</v>
      </c>
      <c r="V456" s="5">
        <f t="shared" si="120"/>
        <v>0</v>
      </c>
      <c r="W456" s="11">
        <f t="shared" si="121"/>
        <v>0</v>
      </c>
      <c r="X456" s="5">
        <f t="shared" si="118"/>
        <v>0</v>
      </c>
      <c r="Y456" s="11">
        <v>0</v>
      </c>
      <c r="Z456" s="5">
        <f t="shared" si="113"/>
        <v>0</v>
      </c>
      <c r="AA456" s="11">
        <f t="shared" si="119"/>
        <v>0</v>
      </c>
      <c r="AB456" s="11">
        <v>0.1</v>
      </c>
    </row>
    <row r="457" spans="1:28">
      <c r="A457">
        <v>2026</v>
      </c>
      <c r="B457" t="s">
        <v>180</v>
      </c>
      <c r="C457" t="s">
        <v>42</v>
      </c>
      <c r="D457" t="s">
        <v>43</v>
      </c>
      <c r="E457">
        <v>709900</v>
      </c>
      <c r="G457" t="s">
        <v>209</v>
      </c>
      <c r="H457" t="s">
        <v>209</v>
      </c>
      <c r="I457" t="s">
        <v>76</v>
      </c>
      <c r="J457" t="s">
        <v>159</v>
      </c>
      <c r="K457" t="s">
        <v>16</v>
      </c>
      <c r="L457">
        <v>36700</v>
      </c>
      <c r="M457">
        <v>36700</v>
      </c>
      <c r="O457" s="5">
        <f t="shared" ref="O457:O470" si="122">R457</f>
        <v>44040</v>
      </c>
      <c r="P457" s="5">
        <f t="shared" si="116"/>
        <v>36700</v>
      </c>
      <c r="Q457" s="11">
        <v>0.2</v>
      </c>
      <c r="R457" s="5">
        <f t="shared" ref="R457:R470" si="123">P457+(P457*Q457)</f>
        <v>44040</v>
      </c>
      <c r="S457" s="11">
        <f t="shared" si="117"/>
        <v>0.16666666666666666</v>
      </c>
      <c r="T457" s="5">
        <v>0</v>
      </c>
      <c r="U457" s="11">
        <v>0</v>
      </c>
      <c r="V457" s="5">
        <f t="shared" si="120"/>
        <v>0</v>
      </c>
      <c r="W457" s="11">
        <f t="shared" si="121"/>
        <v>0</v>
      </c>
      <c r="X457" s="5">
        <f t="shared" si="118"/>
        <v>0</v>
      </c>
      <c r="Y457" s="11">
        <v>0</v>
      </c>
      <c r="Z457" s="5">
        <f t="shared" si="113"/>
        <v>0</v>
      </c>
      <c r="AA457" s="11">
        <f t="shared" si="119"/>
        <v>0</v>
      </c>
      <c r="AB457" s="11">
        <v>0.1</v>
      </c>
    </row>
    <row r="458" spans="1:28">
      <c r="A458">
        <v>2026</v>
      </c>
      <c r="B458" t="s">
        <v>180</v>
      </c>
      <c r="C458" t="s">
        <v>42</v>
      </c>
      <c r="D458" t="s">
        <v>43</v>
      </c>
      <c r="E458">
        <v>709902</v>
      </c>
      <c r="G458" t="s">
        <v>209</v>
      </c>
      <c r="H458" t="s">
        <v>209</v>
      </c>
      <c r="I458" t="s">
        <v>91</v>
      </c>
      <c r="J458" t="s">
        <v>160</v>
      </c>
      <c r="K458" t="s">
        <v>16</v>
      </c>
      <c r="L458">
        <v>28000</v>
      </c>
      <c r="M458">
        <v>28000</v>
      </c>
      <c r="O458" s="5">
        <f t="shared" si="122"/>
        <v>33600</v>
      </c>
      <c r="P458" s="5">
        <f t="shared" si="116"/>
        <v>28000</v>
      </c>
      <c r="Q458" s="11">
        <v>0.2</v>
      </c>
      <c r="R458" s="5">
        <f t="shared" si="123"/>
        <v>33600</v>
      </c>
      <c r="S458" s="11">
        <f t="shared" si="117"/>
        <v>0.16666666666666666</v>
      </c>
      <c r="T458" s="5">
        <v>0</v>
      </c>
      <c r="U458" s="11">
        <v>0</v>
      </c>
      <c r="V458" s="5">
        <f t="shared" si="120"/>
        <v>0</v>
      </c>
      <c r="W458" s="11">
        <f t="shared" si="121"/>
        <v>0</v>
      </c>
      <c r="X458" s="5">
        <f t="shared" si="118"/>
        <v>0</v>
      </c>
      <c r="Y458" s="11">
        <v>0</v>
      </c>
      <c r="Z458" s="5">
        <f t="shared" si="113"/>
        <v>0</v>
      </c>
      <c r="AA458" s="11">
        <f t="shared" si="119"/>
        <v>0</v>
      </c>
      <c r="AB458" s="11">
        <v>0.1</v>
      </c>
    </row>
    <row r="459" spans="1:28">
      <c r="A459">
        <v>2026</v>
      </c>
      <c r="B459" t="s">
        <v>180</v>
      </c>
      <c r="C459" t="s">
        <v>42</v>
      </c>
      <c r="D459" t="s">
        <v>43</v>
      </c>
      <c r="E459">
        <v>709903</v>
      </c>
      <c r="G459" t="s">
        <v>209</v>
      </c>
      <c r="H459" t="s">
        <v>209</v>
      </c>
      <c r="I459" t="s">
        <v>97</v>
      </c>
      <c r="J459" t="s">
        <v>160</v>
      </c>
      <c r="K459" t="s">
        <v>16</v>
      </c>
      <c r="L459">
        <v>36700</v>
      </c>
      <c r="M459">
        <v>36700</v>
      </c>
      <c r="O459" s="5">
        <f t="shared" si="122"/>
        <v>44040</v>
      </c>
      <c r="P459" s="5">
        <f t="shared" si="116"/>
        <v>36700</v>
      </c>
      <c r="Q459" s="11">
        <v>0.2</v>
      </c>
      <c r="R459" s="5">
        <f t="shared" si="123"/>
        <v>44040</v>
      </c>
      <c r="S459" s="11">
        <f t="shared" si="117"/>
        <v>0.16666666666666666</v>
      </c>
      <c r="T459" s="5">
        <v>0</v>
      </c>
      <c r="U459" s="11">
        <v>0</v>
      </c>
      <c r="V459" s="5">
        <f t="shared" si="120"/>
        <v>0</v>
      </c>
      <c r="W459" s="11">
        <f t="shared" si="121"/>
        <v>0</v>
      </c>
      <c r="X459" s="5">
        <f t="shared" si="118"/>
        <v>0</v>
      </c>
      <c r="Y459" s="11">
        <v>0</v>
      </c>
      <c r="Z459" s="5">
        <f t="shared" si="113"/>
        <v>0</v>
      </c>
      <c r="AA459" s="11">
        <f t="shared" si="119"/>
        <v>0</v>
      </c>
      <c r="AB459" s="11">
        <v>0.1</v>
      </c>
    </row>
    <row r="460" spans="1:28">
      <c r="A460">
        <v>2026</v>
      </c>
      <c r="B460" t="s">
        <v>180</v>
      </c>
      <c r="C460" t="s">
        <v>42</v>
      </c>
      <c r="D460" t="s">
        <v>43</v>
      </c>
      <c r="E460">
        <v>603421</v>
      </c>
      <c r="G460" t="s">
        <v>209</v>
      </c>
      <c r="H460" t="s">
        <v>209</v>
      </c>
      <c r="I460" t="s">
        <v>103</v>
      </c>
      <c r="J460" t="s">
        <v>160</v>
      </c>
      <c r="K460" t="s">
        <v>16</v>
      </c>
      <c r="L460">
        <v>21900</v>
      </c>
      <c r="M460">
        <v>21900</v>
      </c>
      <c r="O460" s="5">
        <f t="shared" si="122"/>
        <v>26280</v>
      </c>
      <c r="P460" s="5">
        <f t="shared" si="116"/>
        <v>21900</v>
      </c>
      <c r="Q460" s="11">
        <v>0.2</v>
      </c>
      <c r="R460" s="5">
        <f t="shared" si="123"/>
        <v>26280</v>
      </c>
      <c r="S460" s="11">
        <f t="shared" si="117"/>
        <v>0.16666666666666666</v>
      </c>
      <c r="T460" s="5">
        <v>0</v>
      </c>
      <c r="U460" s="11">
        <v>0</v>
      </c>
      <c r="V460" s="5">
        <f t="shared" si="120"/>
        <v>0</v>
      </c>
      <c r="W460" s="11">
        <f t="shared" si="121"/>
        <v>0</v>
      </c>
      <c r="X460" s="5">
        <f t="shared" si="118"/>
        <v>0</v>
      </c>
      <c r="Y460" s="11">
        <v>0</v>
      </c>
      <c r="Z460" s="5">
        <f t="shared" si="113"/>
        <v>0</v>
      </c>
      <c r="AA460" s="11">
        <f t="shared" si="119"/>
        <v>0</v>
      </c>
      <c r="AB460" s="11">
        <v>0.1</v>
      </c>
    </row>
    <row r="461" spans="1:28">
      <c r="A461">
        <v>2026</v>
      </c>
      <c r="B461" t="s">
        <v>180</v>
      </c>
      <c r="C461" t="s">
        <v>42</v>
      </c>
      <c r="D461" t="s">
        <v>43</v>
      </c>
      <c r="E461">
        <v>603422</v>
      </c>
      <c r="G461" t="s">
        <v>209</v>
      </c>
      <c r="H461" t="s">
        <v>209</v>
      </c>
      <c r="I461" t="s">
        <v>107</v>
      </c>
      <c r="J461" t="s">
        <v>160</v>
      </c>
      <c r="K461" t="s">
        <v>16</v>
      </c>
      <c r="L461">
        <v>114900</v>
      </c>
      <c r="M461">
        <v>114900</v>
      </c>
      <c r="O461" s="5">
        <f t="shared" si="122"/>
        <v>137880</v>
      </c>
      <c r="P461" s="5">
        <f t="shared" si="116"/>
        <v>114900</v>
      </c>
      <c r="Q461" s="11">
        <v>0.2</v>
      </c>
      <c r="R461" s="5">
        <f t="shared" si="123"/>
        <v>137880</v>
      </c>
      <c r="S461" s="11">
        <f t="shared" si="117"/>
        <v>0.16666666666666666</v>
      </c>
      <c r="T461" s="5">
        <v>0</v>
      </c>
      <c r="U461" s="11">
        <v>0</v>
      </c>
      <c r="V461" s="5">
        <f t="shared" si="120"/>
        <v>0</v>
      </c>
      <c r="W461" s="11">
        <f t="shared" si="121"/>
        <v>0</v>
      </c>
      <c r="X461" s="5">
        <f t="shared" si="118"/>
        <v>0</v>
      </c>
      <c r="Y461" s="11">
        <v>0</v>
      </c>
      <c r="Z461" s="5">
        <f t="shared" si="113"/>
        <v>0</v>
      </c>
      <c r="AA461" s="11">
        <f t="shared" si="119"/>
        <v>0</v>
      </c>
      <c r="AB461" s="11">
        <v>0.1</v>
      </c>
    </row>
    <row r="462" spans="1:28">
      <c r="A462">
        <v>2026</v>
      </c>
      <c r="B462" t="s">
        <v>180</v>
      </c>
      <c r="C462" t="s">
        <v>42</v>
      </c>
      <c r="D462" t="s">
        <v>43</v>
      </c>
      <c r="E462">
        <v>603423</v>
      </c>
      <c r="G462" t="s">
        <v>209</v>
      </c>
      <c r="H462" t="s">
        <v>209</v>
      </c>
      <c r="I462" t="s">
        <v>110</v>
      </c>
      <c r="J462" t="s">
        <v>160</v>
      </c>
      <c r="K462" t="s">
        <v>16</v>
      </c>
      <c r="L462">
        <v>28000</v>
      </c>
      <c r="M462">
        <v>28000</v>
      </c>
      <c r="O462" s="5">
        <f t="shared" si="122"/>
        <v>33600</v>
      </c>
      <c r="P462" s="5">
        <f t="shared" si="116"/>
        <v>28000</v>
      </c>
      <c r="Q462" s="11">
        <v>0.2</v>
      </c>
      <c r="R462" s="5">
        <f t="shared" si="123"/>
        <v>33600</v>
      </c>
      <c r="S462" s="11">
        <f t="shared" si="117"/>
        <v>0.16666666666666666</v>
      </c>
      <c r="T462" s="5">
        <v>0</v>
      </c>
      <c r="U462" s="11">
        <v>0</v>
      </c>
      <c r="V462" s="5">
        <f t="shared" si="120"/>
        <v>0</v>
      </c>
      <c r="W462" s="11">
        <f t="shared" si="121"/>
        <v>0</v>
      </c>
      <c r="X462" s="5">
        <f t="shared" si="118"/>
        <v>0</v>
      </c>
      <c r="Y462" s="11">
        <v>0</v>
      </c>
      <c r="Z462" s="5">
        <f t="shared" ref="Z462:Z493" si="124">(X462)+(X462*Y462)</f>
        <v>0</v>
      </c>
      <c r="AA462" s="11">
        <f t="shared" si="119"/>
        <v>0</v>
      </c>
      <c r="AB462" s="11">
        <v>0.1</v>
      </c>
    </row>
    <row r="463" spans="1:28">
      <c r="A463">
        <v>2026</v>
      </c>
      <c r="B463" t="s">
        <v>180</v>
      </c>
      <c r="C463" t="s">
        <v>42</v>
      </c>
      <c r="D463" t="s">
        <v>43</v>
      </c>
      <c r="E463">
        <v>294199</v>
      </c>
      <c r="G463" t="s">
        <v>209</v>
      </c>
      <c r="H463" t="s">
        <v>209</v>
      </c>
      <c r="I463" t="s">
        <v>111</v>
      </c>
      <c r="J463" t="s">
        <v>160</v>
      </c>
      <c r="K463" t="s">
        <v>16</v>
      </c>
      <c r="L463">
        <v>49200</v>
      </c>
      <c r="M463">
        <v>49200</v>
      </c>
      <c r="O463" s="5">
        <f t="shared" si="122"/>
        <v>59040</v>
      </c>
      <c r="P463" s="5">
        <f t="shared" si="116"/>
        <v>49200</v>
      </c>
      <c r="Q463" s="11">
        <v>0.2</v>
      </c>
      <c r="R463" s="5">
        <f t="shared" si="123"/>
        <v>59040</v>
      </c>
      <c r="S463" s="11">
        <f t="shared" si="117"/>
        <v>0.16666666666666666</v>
      </c>
      <c r="T463" s="5">
        <v>0</v>
      </c>
      <c r="U463" s="11">
        <v>0</v>
      </c>
      <c r="V463" s="5">
        <f t="shared" si="120"/>
        <v>0</v>
      </c>
      <c r="W463" s="11">
        <f t="shared" si="121"/>
        <v>0</v>
      </c>
      <c r="X463" s="5">
        <f t="shared" si="118"/>
        <v>0</v>
      </c>
      <c r="Y463" s="11">
        <v>0</v>
      </c>
      <c r="Z463" s="5">
        <f t="shared" si="124"/>
        <v>0</v>
      </c>
      <c r="AA463" s="11">
        <f t="shared" si="119"/>
        <v>0</v>
      </c>
      <c r="AB463" s="11">
        <v>0.1</v>
      </c>
    </row>
    <row r="464" spans="1:28">
      <c r="A464">
        <v>2026</v>
      </c>
      <c r="B464" t="s">
        <v>180</v>
      </c>
      <c r="C464" t="s">
        <v>42</v>
      </c>
      <c r="D464" t="s">
        <v>43</v>
      </c>
      <c r="E464">
        <v>294299</v>
      </c>
      <c r="G464" t="s">
        <v>209</v>
      </c>
      <c r="H464" t="s">
        <v>209</v>
      </c>
      <c r="I464" t="s">
        <v>112</v>
      </c>
      <c r="J464" t="s">
        <v>160</v>
      </c>
      <c r="K464" t="s">
        <v>16</v>
      </c>
      <c r="L464">
        <v>141600</v>
      </c>
      <c r="M464">
        <v>141600</v>
      </c>
      <c r="O464" s="5">
        <f t="shared" si="122"/>
        <v>169920</v>
      </c>
      <c r="P464" s="5">
        <f t="shared" si="116"/>
        <v>141600</v>
      </c>
      <c r="Q464" s="11">
        <v>0.2</v>
      </c>
      <c r="R464" s="5">
        <f t="shared" si="123"/>
        <v>169920</v>
      </c>
      <c r="S464" s="11">
        <f t="shared" si="117"/>
        <v>0.16666666666666666</v>
      </c>
      <c r="T464" s="5">
        <v>0</v>
      </c>
      <c r="U464" s="11">
        <v>0</v>
      </c>
      <c r="V464" s="5">
        <f t="shared" si="120"/>
        <v>0</v>
      </c>
      <c r="W464" s="11">
        <f t="shared" si="121"/>
        <v>0</v>
      </c>
      <c r="X464" s="5">
        <f t="shared" si="118"/>
        <v>0</v>
      </c>
      <c r="Y464" s="11">
        <v>0</v>
      </c>
      <c r="Z464" s="5">
        <f t="shared" si="124"/>
        <v>0</v>
      </c>
      <c r="AA464" s="11">
        <f t="shared" si="119"/>
        <v>0</v>
      </c>
      <c r="AB464" s="11">
        <v>0.1</v>
      </c>
    </row>
    <row r="465" spans="1:28">
      <c r="A465">
        <v>2026</v>
      </c>
      <c r="B465" t="s">
        <v>180</v>
      </c>
      <c r="C465" t="s">
        <v>42</v>
      </c>
      <c r="D465" t="s">
        <v>43</v>
      </c>
      <c r="E465">
        <v>294399</v>
      </c>
      <c r="G465" t="s">
        <v>209</v>
      </c>
      <c r="H465" t="s">
        <v>209</v>
      </c>
      <c r="I465" t="s">
        <v>113</v>
      </c>
      <c r="J465" t="s">
        <v>160</v>
      </c>
      <c r="K465" t="s">
        <v>16</v>
      </c>
      <c r="L465">
        <v>174700</v>
      </c>
      <c r="M465">
        <v>174700</v>
      </c>
      <c r="O465" s="5">
        <f t="shared" si="122"/>
        <v>209640</v>
      </c>
      <c r="P465" s="5">
        <f t="shared" si="116"/>
        <v>174700</v>
      </c>
      <c r="Q465" s="11">
        <v>0.2</v>
      </c>
      <c r="R465" s="5">
        <f t="shared" si="123"/>
        <v>209640</v>
      </c>
      <c r="S465" s="11">
        <f t="shared" si="117"/>
        <v>0.16666666666666666</v>
      </c>
      <c r="T465" s="5">
        <v>0</v>
      </c>
      <c r="U465" s="11">
        <v>0</v>
      </c>
      <c r="V465" s="5">
        <f t="shared" si="120"/>
        <v>0</v>
      </c>
      <c r="W465" s="11">
        <f t="shared" si="121"/>
        <v>0</v>
      </c>
      <c r="X465" s="5">
        <f t="shared" si="118"/>
        <v>0</v>
      </c>
      <c r="Y465" s="11">
        <v>0</v>
      </c>
      <c r="Z465" s="5">
        <f t="shared" si="124"/>
        <v>0</v>
      </c>
      <c r="AA465" s="11">
        <f t="shared" si="119"/>
        <v>0</v>
      </c>
      <c r="AB465" s="11">
        <v>0.1</v>
      </c>
    </row>
    <row r="466" spans="1:28">
      <c r="A466">
        <v>2026</v>
      </c>
      <c r="B466" t="s">
        <v>180</v>
      </c>
      <c r="C466" t="s">
        <v>42</v>
      </c>
      <c r="D466" t="s">
        <v>43</v>
      </c>
      <c r="E466">
        <v>294499</v>
      </c>
      <c r="G466" t="s">
        <v>209</v>
      </c>
      <c r="H466" t="s">
        <v>209</v>
      </c>
      <c r="I466" t="s">
        <v>114</v>
      </c>
      <c r="J466" t="s">
        <v>160</v>
      </c>
      <c r="K466" t="s">
        <v>16</v>
      </c>
      <c r="L466">
        <v>204000</v>
      </c>
      <c r="M466">
        <v>204000</v>
      </c>
      <c r="O466" s="5">
        <f t="shared" si="122"/>
        <v>244800</v>
      </c>
      <c r="P466" s="5">
        <f t="shared" si="116"/>
        <v>204000</v>
      </c>
      <c r="Q466" s="11">
        <v>0.2</v>
      </c>
      <c r="R466" s="5">
        <f t="shared" si="123"/>
        <v>244800</v>
      </c>
      <c r="S466" s="11">
        <f t="shared" si="117"/>
        <v>0.16666666666666666</v>
      </c>
      <c r="T466" s="5">
        <v>0</v>
      </c>
      <c r="U466" s="11">
        <v>0</v>
      </c>
      <c r="V466" s="5">
        <f t="shared" si="120"/>
        <v>0</v>
      </c>
      <c r="W466" s="11">
        <f t="shared" si="121"/>
        <v>0</v>
      </c>
      <c r="X466" s="5">
        <f t="shared" si="118"/>
        <v>0</v>
      </c>
      <c r="Y466" s="11">
        <v>0</v>
      </c>
      <c r="Z466" s="5">
        <f t="shared" si="124"/>
        <v>0</v>
      </c>
      <c r="AA466" s="11">
        <f t="shared" si="119"/>
        <v>0</v>
      </c>
      <c r="AB466" s="11">
        <v>0.1</v>
      </c>
    </row>
    <row r="467" spans="1:28">
      <c r="A467">
        <v>2026</v>
      </c>
      <c r="B467" t="s">
        <v>180</v>
      </c>
      <c r="C467" t="s">
        <v>42</v>
      </c>
      <c r="D467" t="s">
        <v>43</v>
      </c>
      <c r="E467">
        <v>284190</v>
      </c>
      <c r="G467" t="s">
        <v>209</v>
      </c>
      <c r="H467" t="s">
        <v>209</v>
      </c>
      <c r="I467" t="s">
        <v>119</v>
      </c>
      <c r="J467" t="s">
        <v>160</v>
      </c>
      <c r="K467" t="s">
        <v>16</v>
      </c>
      <c r="L467">
        <v>49000</v>
      </c>
      <c r="M467">
        <v>49000</v>
      </c>
      <c r="O467" s="5">
        <f t="shared" si="122"/>
        <v>58800</v>
      </c>
      <c r="P467" s="5">
        <f t="shared" si="116"/>
        <v>49000</v>
      </c>
      <c r="Q467" s="11">
        <v>0.2</v>
      </c>
      <c r="R467" s="5">
        <f t="shared" si="123"/>
        <v>58800</v>
      </c>
      <c r="S467" s="11">
        <f t="shared" si="117"/>
        <v>0.16666666666666666</v>
      </c>
      <c r="T467" s="5">
        <v>0</v>
      </c>
      <c r="U467" s="11">
        <v>0</v>
      </c>
      <c r="V467" s="5">
        <f t="shared" si="120"/>
        <v>0</v>
      </c>
      <c r="W467" s="11">
        <f t="shared" si="121"/>
        <v>0</v>
      </c>
      <c r="X467" s="5">
        <f t="shared" si="118"/>
        <v>0</v>
      </c>
      <c r="Y467" s="11">
        <v>0</v>
      </c>
      <c r="Z467" s="5">
        <f t="shared" si="124"/>
        <v>0</v>
      </c>
      <c r="AA467" s="11">
        <f t="shared" si="119"/>
        <v>0</v>
      </c>
      <c r="AB467" s="11">
        <v>0.1</v>
      </c>
    </row>
    <row r="468" spans="1:28">
      <c r="A468">
        <v>2026</v>
      </c>
      <c r="B468" t="s">
        <v>180</v>
      </c>
      <c r="C468" t="s">
        <v>42</v>
      </c>
      <c r="D468" t="s">
        <v>43</v>
      </c>
      <c r="E468">
        <v>284390</v>
      </c>
      <c r="G468" t="s">
        <v>209</v>
      </c>
      <c r="H468" t="s">
        <v>209</v>
      </c>
      <c r="I468" t="s">
        <v>122</v>
      </c>
      <c r="J468" t="s">
        <v>159</v>
      </c>
      <c r="K468" t="s">
        <v>16</v>
      </c>
      <c r="L468">
        <v>224100</v>
      </c>
      <c r="M468">
        <v>224100</v>
      </c>
      <c r="O468" s="5">
        <f t="shared" si="122"/>
        <v>268920</v>
      </c>
      <c r="P468" s="5">
        <f t="shared" si="116"/>
        <v>224100</v>
      </c>
      <c r="Q468" s="11">
        <v>0.2</v>
      </c>
      <c r="R468" s="5">
        <f t="shared" si="123"/>
        <v>268920</v>
      </c>
      <c r="S468" s="11">
        <f t="shared" si="117"/>
        <v>0.16666666666666666</v>
      </c>
      <c r="T468" s="5">
        <v>0</v>
      </c>
      <c r="U468" s="11">
        <v>0</v>
      </c>
      <c r="V468" s="5">
        <f t="shared" si="120"/>
        <v>0</v>
      </c>
      <c r="W468" s="11">
        <f t="shared" si="121"/>
        <v>0</v>
      </c>
      <c r="X468" s="5">
        <f t="shared" si="118"/>
        <v>0</v>
      </c>
      <c r="Y468" s="11">
        <v>0</v>
      </c>
      <c r="Z468" s="5">
        <f t="shared" si="124"/>
        <v>0</v>
      </c>
      <c r="AA468" s="11">
        <f t="shared" si="119"/>
        <v>0</v>
      </c>
      <c r="AB468" s="11">
        <v>0.1</v>
      </c>
    </row>
    <row r="469" spans="1:28">
      <c r="A469">
        <v>2026</v>
      </c>
      <c r="B469" t="s">
        <v>180</v>
      </c>
      <c r="C469" t="s">
        <v>42</v>
      </c>
      <c r="D469" t="s">
        <v>43</v>
      </c>
      <c r="E469">
        <v>287100</v>
      </c>
      <c r="G469" t="s">
        <v>209</v>
      </c>
      <c r="H469" t="s">
        <v>209</v>
      </c>
      <c r="I469" t="s">
        <v>126</v>
      </c>
      <c r="J469" t="s">
        <v>159</v>
      </c>
      <c r="K469" t="s">
        <v>16</v>
      </c>
      <c r="L469">
        <v>38000</v>
      </c>
      <c r="M469">
        <v>38000</v>
      </c>
      <c r="O469" s="5">
        <f t="shared" si="122"/>
        <v>45600</v>
      </c>
      <c r="P469" s="5">
        <f t="shared" si="116"/>
        <v>38000</v>
      </c>
      <c r="Q469" s="11">
        <v>0.2</v>
      </c>
      <c r="R469" s="5">
        <f t="shared" si="123"/>
        <v>45600</v>
      </c>
      <c r="S469" s="11">
        <f t="shared" si="117"/>
        <v>0.16666666666666666</v>
      </c>
      <c r="T469" s="5">
        <v>0</v>
      </c>
      <c r="U469" s="11">
        <v>0</v>
      </c>
      <c r="V469" s="5">
        <f t="shared" si="120"/>
        <v>0</v>
      </c>
      <c r="W469" s="11">
        <f t="shared" si="121"/>
        <v>0</v>
      </c>
      <c r="X469" s="5">
        <f t="shared" si="118"/>
        <v>0</v>
      </c>
      <c r="Y469" s="11">
        <v>0</v>
      </c>
      <c r="Z469" s="5">
        <f t="shared" si="124"/>
        <v>0</v>
      </c>
      <c r="AA469" s="11">
        <f t="shared" si="119"/>
        <v>0</v>
      </c>
      <c r="AB469" s="11">
        <v>0.1</v>
      </c>
    </row>
    <row r="470" spans="1:28">
      <c r="A470">
        <v>2026</v>
      </c>
      <c r="B470" t="s">
        <v>180</v>
      </c>
      <c r="C470" t="s">
        <v>42</v>
      </c>
      <c r="D470" t="s">
        <v>43</v>
      </c>
      <c r="E470">
        <v>287200</v>
      </c>
      <c r="G470" t="s">
        <v>209</v>
      </c>
      <c r="H470" t="s">
        <v>209</v>
      </c>
      <c r="I470" t="s">
        <v>127</v>
      </c>
      <c r="J470" t="s">
        <v>159</v>
      </c>
      <c r="K470" t="s">
        <v>16</v>
      </c>
      <c r="L470">
        <v>39800</v>
      </c>
      <c r="M470">
        <v>39800</v>
      </c>
      <c r="O470" s="5">
        <f t="shared" si="122"/>
        <v>47760</v>
      </c>
      <c r="P470" s="5">
        <f t="shared" si="116"/>
        <v>39800</v>
      </c>
      <c r="Q470" s="11">
        <v>0.2</v>
      </c>
      <c r="R470" s="5">
        <f t="shared" si="123"/>
        <v>47760</v>
      </c>
      <c r="S470" s="11">
        <f t="shared" si="117"/>
        <v>0.16666666666666666</v>
      </c>
      <c r="T470" s="5">
        <v>0</v>
      </c>
      <c r="U470" s="11">
        <v>0</v>
      </c>
      <c r="V470" s="5">
        <f t="shared" si="120"/>
        <v>0</v>
      </c>
      <c r="W470" s="11">
        <f t="shared" si="121"/>
        <v>0</v>
      </c>
      <c r="X470" s="5">
        <f t="shared" si="118"/>
        <v>0</v>
      </c>
      <c r="Y470" s="11">
        <v>0</v>
      </c>
      <c r="Z470" s="5">
        <f t="shared" si="124"/>
        <v>0</v>
      </c>
      <c r="AA470" s="11">
        <f t="shared" si="119"/>
        <v>0</v>
      </c>
      <c r="AB470" s="11">
        <v>0.1</v>
      </c>
    </row>
    <row r="471" spans="1:28">
      <c r="A471">
        <v>2026</v>
      </c>
      <c r="B471" t="s">
        <v>167</v>
      </c>
      <c r="C471" t="s">
        <v>12</v>
      </c>
      <c r="D471" t="s">
        <v>13</v>
      </c>
      <c r="G471" t="s">
        <v>209</v>
      </c>
      <c r="H471" t="s">
        <v>209</v>
      </c>
      <c r="I471" t="s">
        <v>71</v>
      </c>
      <c r="J471" t="s">
        <v>159</v>
      </c>
      <c r="K471" t="s">
        <v>16</v>
      </c>
      <c r="L471">
        <v>28800</v>
      </c>
      <c r="M471" s="5">
        <v>28800</v>
      </c>
      <c r="O471" s="5"/>
      <c r="P471" s="5">
        <v>0</v>
      </c>
      <c r="Q471" s="11">
        <v>0</v>
      </c>
      <c r="R471" s="5">
        <v>0</v>
      </c>
      <c r="S471" s="12">
        <v>0</v>
      </c>
      <c r="T471" s="5">
        <v>0</v>
      </c>
      <c r="U471" s="11">
        <v>0</v>
      </c>
      <c r="V471" s="5">
        <v>0</v>
      </c>
      <c r="W471" s="11">
        <v>0</v>
      </c>
      <c r="X471" s="5">
        <f t="shared" ref="X471:X502" si="125">M471</f>
        <v>28800</v>
      </c>
      <c r="Y471" s="11">
        <v>0.2</v>
      </c>
      <c r="Z471" s="5">
        <f>X471+(X471*Y471)</f>
        <v>34560</v>
      </c>
      <c r="AA471" s="11">
        <f t="shared" si="119"/>
        <v>0.16666666666666666</v>
      </c>
      <c r="AB471" s="11">
        <v>0.1</v>
      </c>
    </row>
    <row r="472" spans="1:28">
      <c r="A472">
        <v>2026</v>
      </c>
      <c r="B472" t="s">
        <v>167</v>
      </c>
      <c r="C472" t="s">
        <v>12</v>
      </c>
      <c r="D472" t="s">
        <v>13</v>
      </c>
      <c r="G472" t="s">
        <v>209</v>
      </c>
      <c r="H472" t="s">
        <v>209</v>
      </c>
      <c r="I472" t="s">
        <v>76</v>
      </c>
      <c r="J472" t="s">
        <v>159</v>
      </c>
      <c r="K472" t="s">
        <v>16</v>
      </c>
      <c r="L472">
        <v>36700</v>
      </c>
      <c r="M472" s="5">
        <v>36700</v>
      </c>
      <c r="O472" s="5"/>
      <c r="P472" s="5">
        <v>0</v>
      </c>
      <c r="Q472" s="11">
        <v>0</v>
      </c>
      <c r="R472" s="5">
        <v>0</v>
      </c>
      <c r="S472" s="12">
        <v>0</v>
      </c>
      <c r="T472" s="5">
        <v>0</v>
      </c>
      <c r="U472" s="11">
        <v>0</v>
      </c>
      <c r="V472" s="5">
        <v>0</v>
      </c>
      <c r="W472" s="11">
        <v>0</v>
      </c>
      <c r="X472" s="5">
        <f t="shared" si="125"/>
        <v>36700</v>
      </c>
      <c r="Y472" s="11">
        <v>0.2</v>
      </c>
      <c r="Z472" s="5">
        <f t="shared" ref="Z472:Z485" si="126">X472+(X472*Y472)</f>
        <v>44040</v>
      </c>
      <c r="AA472" s="11">
        <f t="shared" si="119"/>
        <v>0.16666666666666666</v>
      </c>
      <c r="AB472" s="11">
        <v>0.1</v>
      </c>
    </row>
    <row r="473" spans="1:28">
      <c r="A473">
        <v>2026</v>
      </c>
      <c r="B473" t="s">
        <v>167</v>
      </c>
      <c r="C473" t="s">
        <v>12</v>
      </c>
      <c r="D473" t="s">
        <v>13</v>
      </c>
      <c r="G473" t="s">
        <v>209</v>
      </c>
      <c r="H473" t="s">
        <v>209</v>
      </c>
      <c r="I473" t="s">
        <v>91</v>
      </c>
      <c r="J473" t="s">
        <v>160</v>
      </c>
      <c r="K473" t="s">
        <v>16</v>
      </c>
      <c r="L473">
        <v>28000</v>
      </c>
      <c r="M473" s="5">
        <v>28000</v>
      </c>
      <c r="O473" s="5"/>
      <c r="P473" s="5">
        <v>0</v>
      </c>
      <c r="Q473" s="11">
        <v>0</v>
      </c>
      <c r="R473" s="5">
        <v>0</v>
      </c>
      <c r="S473" s="12">
        <v>0</v>
      </c>
      <c r="T473" s="5">
        <v>0</v>
      </c>
      <c r="U473" s="11">
        <v>0</v>
      </c>
      <c r="V473" s="5">
        <v>0</v>
      </c>
      <c r="W473" s="11">
        <v>0</v>
      </c>
      <c r="X473" s="5">
        <f t="shared" si="125"/>
        <v>28000</v>
      </c>
      <c r="Y473" s="11">
        <v>0.2</v>
      </c>
      <c r="Z473" s="5">
        <f t="shared" si="126"/>
        <v>33600</v>
      </c>
      <c r="AA473" s="11">
        <f t="shared" si="119"/>
        <v>0.16666666666666666</v>
      </c>
      <c r="AB473" s="11">
        <v>0.1</v>
      </c>
    </row>
    <row r="474" spans="1:28">
      <c r="A474">
        <v>2026</v>
      </c>
      <c r="B474" t="s">
        <v>167</v>
      </c>
      <c r="C474" t="s">
        <v>12</v>
      </c>
      <c r="D474" t="s">
        <v>13</v>
      </c>
      <c r="G474" t="s">
        <v>209</v>
      </c>
      <c r="H474" t="s">
        <v>209</v>
      </c>
      <c r="I474" t="s">
        <v>97</v>
      </c>
      <c r="J474" t="s">
        <v>160</v>
      </c>
      <c r="K474" t="s">
        <v>16</v>
      </c>
      <c r="L474">
        <v>36700</v>
      </c>
      <c r="M474" s="5">
        <v>36700</v>
      </c>
      <c r="O474" s="5"/>
      <c r="P474" s="5">
        <v>0</v>
      </c>
      <c r="Q474" s="11">
        <v>0</v>
      </c>
      <c r="R474" s="5">
        <v>0</v>
      </c>
      <c r="S474" s="12">
        <v>0</v>
      </c>
      <c r="T474" s="5">
        <v>0</v>
      </c>
      <c r="U474" s="11">
        <v>0</v>
      </c>
      <c r="V474" s="5">
        <v>0</v>
      </c>
      <c r="W474" s="11">
        <v>0</v>
      </c>
      <c r="X474" s="5">
        <f t="shared" si="125"/>
        <v>36700</v>
      </c>
      <c r="Y474" s="11">
        <v>0.2</v>
      </c>
      <c r="Z474" s="5">
        <f t="shared" si="126"/>
        <v>44040</v>
      </c>
      <c r="AA474" s="11">
        <f t="shared" si="119"/>
        <v>0.16666666666666666</v>
      </c>
      <c r="AB474" s="11">
        <v>0.1</v>
      </c>
    </row>
    <row r="475" spans="1:28">
      <c r="A475">
        <v>2026</v>
      </c>
      <c r="B475" t="s">
        <v>167</v>
      </c>
      <c r="C475" t="s">
        <v>12</v>
      </c>
      <c r="D475" t="s">
        <v>13</v>
      </c>
      <c r="G475" t="s">
        <v>209</v>
      </c>
      <c r="H475" t="s">
        <v>209</v>
      </c>
      <c r="I475" t="s">
        <v>103</v>
      </c>
      <c r="J475" t="s">
        <v>160</v>
      </c>
      <c r="K475" t="s">
        <v>16</v>
      </c>
      <c r="L475">
        <v>21900</v>
      </c>
      <c r="M475" s="5">
        <v>21900</v>
      </c>
      <c r="O475" s="5"/>
      <c r="P475" s="5">
        <v>0</v>
      </c>
      <c r="Q475" s="11">
        <v>0</v>
      </c>
      <c r="R475" s="5">
        <v>0</v>
      </c>
      <c r="S475" s="12">
        <v>0</v>
      </c>
      <c r="T475" s="5">
        <v>0</v>
      </c>
      <c r="U475" s="11">
        <v>0</v>
      </c>
      <c r="V475" s="5">
        <v>0</v>
      </c>
      <c r="W475" s="11">
        <v>0</v>
      </c>
      <c r="X475" s="5">
        <f t="shared" si="125"/>
        <v>21900</v>
      </c>
      <c r="Y475" s="11">
        <v>0.2</v>
      </c>
      <c r="Z475" s="5">
        <f t="shared" si="126"/>
        <v>26280</v>
      </c>
      <c r="AA475" s="11">
        <f t="shared" si="119"/>
        <v>0.16666666666666666</v>
      </c>
      <c r="AB475" s="11">
        <v>0.1</v>
      </c>
    </row>
    <row r="476" spans="1:28">
      <c r="A476">
        <v>2026</v>
      </c>
      <c r="B476" t="s">
        <v>167</v>
      </c>
      <c r="C476" t="s">
        <v>12</v>
      </c>
      <c r="D476" t="s">
        <v>13</v>
      </c>
      <c r="G476" t="s">
        <v>209</v>
      </c>
      <c r="H476" t="s">
        <v>209</v>
      </c>
      <c r="I476" t="s">
        <v>107</v>
      </c>
      <c r="J476" t="s">
        <v>160</v>
      </c>
      <c r="K476" t="s">
        <v>16</v>
      </c>
      <c r="L476">
        <v>114900</v>
      </c>
      <c r="M476" s="5">
        <v>114900</v>
      </c>
      <c r="O476" s="5"/>
      <c r="P476" s="5">
        <v>0</v>
      </c>
      <c r="Q476" s="11">
        <v>0</v>
      </c>
      <c r="R476" s="5">
        <v>0</v>
      </c>
      <c r="S476" s="12">
        <v>0</v>
      </c>
      <c r="T476" s="5">
        <v>0</v>
      </c>
      <c r="U476" s="11">
        <v>0</v>
      </c>
      <c r="V476" s="5">
        <v>0</v>
      </c>
      <c r="W476" s="11">
        <v>0</v>
      </c>
      <c r="X476" s="5">
        <f t="shared" si="125"/>
        <v>114900</v>
      </c>
      <c r="Y476" s="11">
        <v>0.2</v>
      </c>
      <c r="Z476" s="5">
        <f t="shared" si="126"/>
        <v>137880</v>
      </c>
      <c r="AA476" s="11">
        <f t="shared" si="119"/>
        <v>0.16666666666666666</v>
      </c>
      <c r="AB476" s="11">
        <v>0.1</v>
      </c>
    </row>
    <row r="477" spans="1:28">
      <c r="A477">
        <v>2026</v>
      </c>
      <c r="B477" t="s">
        <v>167</v>
      </c>
      <c r="C477" t="s">
        <v>12</v>
      </c>
      <c r="D477" t="s">
        <v>13</v>
      </c>
      <c r="G477" t="s">
        <v>209</v>
      </c>
      <c r="H477" t="s">
        <v>209</v>
      </c>
      <c r="I477" t="s">
        <v>110</v>
      </c>
      <c r="J477" t="s">
        <v>160</v>
      </c>
      <c r="K477" t="s">
        <v>16</v>
      </c>
      <c r="L477">
        <v>28000</v>
      </c>
      <c r="M477" s="5">
        <v>28000</v>
      </c>
      <c r="O477" s="5"/>
      <c r="P477" s="5">
        <v>0</v>
      </c>
      <c r="Q477" s="11">
        <v>0</v>
      </c>
      <c r="R477" s="5">
        <v>0</v>
      </c>
      <c r="S477" s="12">
        <v>0</v>
      </c>
      <c r="T477" s="5">
        <v>0</v>
      </c>
      <c r="U477" s="11">
        <v>0</v>
      </c>
      <c r="V477" s="5">
        <v>0</v>
      </c>
      <c r="W477" s="11">
        <v>0</v>
      </c>
      <c r="X477" s="5">
        <f t="shared" si="125"/>
        <v>28000</v>
      </c>
      <c r="Y477" s="11">
        <v>0.2</v>
      </c>
      <c r="Z477" s="5">
        <f t="shared" si="126"/>
        <v>33600</v>
      </c>
      <c r="AA477" s="11">
        <f t="shared" si="119"/>
        <v>0.16666666666666666</v>
      </c>
      <c r="AB477" s="11">
        <v>0.1</v>
      </c>
    </row>
    <row r="478" spans="1:28">
      <c r="A478">
        <v>2026</v>
      </c>
      <c r="B478" t="s">
        <v>167</v>
      </c>
      <c r="C478" t="s">
        <v>12</v>
      </c>
      <c r="D478" t="s">
        <v>13</v>
      </c>
      <c r="G478" t="s">
        <v>209</v>
      </c>
      <c r="H478" t="s">
        <v>209</v>
      </c>
      <c r="I478" t="s">
        <v>111</v>
      </c>
      <c r="J478" t="s">
        <v>160</v>
      </c>
      <c r="K478" t="s">
        <v>16</v>
      </c>
      <c r="L478">
        <v>49200</v>
      </c>
      <c r="M478" s="5">
        <v>49200</v>
      </c>
      <c r="O478" s="5"/>
      <c r="P478" s="5">
        <v>0</v>
      </c>
      <c r="Q478" s="11">
        <v>0</v>
      </c>
      <c r="R478" s="5">
        <v>0</v>
      </c>
      <c r="S478" s="12">
        <v>0</v>
      </c>
      <c r="T478" s="5">
        <v>0</v>
      </c>
      <c r="U478" s="11">
        <v>0</v>
      </c>
      <c r="V478" s="5">
        <v>0</v>
      </c>
      <c r="W478" s="11">
        <v>0</v>
      </c>
      <c r="X478" s="5">
        <f t="shared" si="125"/>
        <v>49200</v>
      </c>
      <c r="Y478" s="11">
        <v>0.2</v>
      </c>
      <c r="Z478" s="5">
        <f t="shared" si="126"/>
        <v>59040</v>
      </c>
      <c r="AA478" s="11">
        <f t="shared" si="119"/>
        <v>0.16666666666666666</v>
      </c>
      <c r="AB478" s="11">
        <v>0.1</v>
      </c>
    </row>
    <row r="479" spans="1:28">
      <c r="A479">
        <v>2026</v>
      </c>
      <c r="B479" t="s">
        <v>167</v>
      </c>
      <c r="C479" t="s">
        <v>12</v>
      </c>
      <c r="D479" t="s">
        <v>13</v>
      </c>
      <c r="G479" t="s">
        <v>209</v>
      </c>
      <c r="H479" t="s">
        <v>209</v>
      </c>
      <c r="I479" t="s">
        <v>112</v>
      </c>
      <c r="J479" t="s">
        <v>160</v>
      </c>
      <c r="K479" t="s">
        <v>16</v>
      </c>
      <c r="L479">
        <v>141600</v>
      </c>
      <c r="M479" s="5">
        <v>141600</v>
      </c>
      <c r="O479" s="5"/>
      <c r="P479" s="5">
        <v>0</v>
      </c>
      <c r="Q479" s="11">
        <v>0</v>
      </c>
      <c r="R479" s="5">
        <v>0</v>
      </c>
      <c r="S479" s="12">
        <v>0</v>
      </c>
      <c r="T479" s="5">
        <v>0</v>
      </c>
      <c r="U479" s="11">
        <v>0</v>
      </c>
      <c r="V479" s="5">
        <v>0</v>
      </c>
      <c r="W479" s="11">
        <v>0</v>
      </c>
      <c r="X479" s="5">
        <f t="shared" si="125"/>
        <v>141600</v>
      </c>
      <c r="Y479" s="11">
        <v>0.2</v>
      </c>
      <c r="Z479" s="5">
        <f t="shared" si="126"/>
        <v>169920</v>
      </c>
      <c r="AA479" s="11">
        <f t="shared" si="119"/>
        <v>0.16666666666666666</v>
      </c>
      <c r="AB479" s="11">
        <v>0.1</v>
      </c>
    </row>
    <row r="480" spans="1:28">
      <c r="A480">
        <v>2026</v>
      </c>
      <c r="B480" t="s">
        <v>167</v>
      </c>
      <c r="C480" t="s">
        <v>12</v>
      </c>
      <c r="D480" t="s">
        <v>13</v>
      </c>
      <c r="G480" t="s">
        <v>209</v>
      </c>
      <c r="H480" t="s">
        <v>209</v>
      </c>
      <c r="I480" t="s">
        <v>113</v>
      </c>
      <c r="J480" t="s">
        <v>160</v>
      </c>
      <c r="K480" t="s">
        <v>16</v>
      </c>
      <c r="L480">
        <v>174700</v>
      </c>
      <c r="M480" s="5">
        <v>174700</v>
      </c>
      <c r="O480" s="5"/>
      <c r="P480" s="5">
        <v>0</v>
      </c>
      <c r="Q480" s="11">
        <v>0</v>
      </c>
      <c r="R480" s="5">
        <v>0</v>
      </c>
      <c r="S480" s="12">
        <v>0</v>
      </c>
      <c r="T480" s="5">
        <v>0</v>
      </c>
      <c r="U480" s="11">
        <v>0</v>
      </c>
      <c r="V480" s="5">
        <v>0</v>
      </c>
      <c r="W480" s="11">
        <v>0</v>
      </c>
      <c r="X480" s="5">
        <f t="shared" si="125"/>
        <v>174700</v>
      </c>
      <c r="Y480" s="11">
        <v>0.2</v>
      </c>
      <c r="Z480" s="5">
        <f t="shared" si="126"/>
        <v>209640</v>
      </c>
      <c r="AA480" s="11">
        <f t="shared" si="119"/>
        <v>0.16666666666666666</v>
      </c>
      <c r="AB480" s="11">
        <v>0.1</v>
      </c>
    </row>
    <row r="481" spans="1:28">
      <c r="A481">
        <v>2026</v>
      </c>
      <c r="B481" t="s">
        <v>167</v>
      </c>
      <c r="C481" t="s">
        <v>12</v>
      </c>
      <c r="D481" t="s">
        <v>13</v>
      </c>
      <c r="G481" t="s">
        <v>209</v>
      </c>
      <c r="H481" t="s">
        <v>209</v>
      </c>
      <c r="I481" t="s">
        <v>114</v>
      </c>
      <c r="J481" t="s">
        <v>160</v>
      </c>
      <c r="K481" t="s">
        <v>16</v>
      </c>
      <c r="L481">
        <v>204000</v>
      </c>
      <c r="M481" s="5">
        <v>204000</v>
      </c>
      <c r="O481" s="5"/>
      <c r="P481" s="5">
        <v>0</v>
      </c>
      <c r="Q481" s="11">
        <v>0</v>
      </c>
      <c r="R481" s="5">
        <v>0</v>
      </c>
      <c r="S481" s="12">
        <v>0</v>
      </c>
      <c r="T481" s="5">
        <v>0</v>
      </c>
      <c r="U481" s="11">
        <v>0</v>
      </c>
      <c r="V481" s="5">
        <v>0</v>
      </c>
      <c r="W481" s="11">
        <v>0</v>
      </c>
      <c r="X481" s="5">
        <f t="shared" si="125"/>
        <v>204000</v>
      </c>
      <c r="Y481" s="11">
        <v>0.2</v>
      </c>
      <c r="Z481" s="5">
        <f t="shared" si="126"/>
        <v>244800</v>
      </c>
      <c r="AA481" s="11">
        <f t="shared" si="119"/>
        <v>0.16666666666666666</v>
      </c>
      <c r="AB481" s="11">
        <v>0.1</v>
      </c>
    </row>
    <row r="482" spans="1:28">
      <c r="A482">
        <v>2026</v>
      </c>
      <c r="B482" t="s">
        <v>167</v>
      </c>
      <c r="C482" t="s">
        <v>12</v>
      </c>
      <c r="D482" t="s">
        <v>13</v>
      </c>
      <c r="G482" t="s">
        <v>209</v>
      </c>
      <c r="H482" t="s">
        <v>209</v>
      </c>
      <c r="I482" t="s">
        <v>119</v>
      </c>
      <c r="J482" t="s">
        <v>160</v>
      </c>
      <c r="K482" t="s">
        <v>16</v>
      </c>
      <c r="L482">
        <v>49000</v>
      </c>
      <c r="M482" s="5">
        <v>49000</v>
      </c>
      <c r="O482" s="5"/>
      <c r="P482" s="5">
        <v>0</v>
      </c>
      <c r="Q482" s="11">
        <v>0</v>
      </c>
      <c r="R482" s="5">
        <v>0</v>
      </c>
      <c r="S482" s="12">
        <v>0</v>
      </c>
      <c r="T482" s="5">
        <v>0</v>
      </c>
      <c r="U482" s="11">
        <v>0</v>
      </c>
      <c r="V482" s="5">
        <v>0</v>
      </c>
      <c r="W482" s="11">
        <v>0</v>
      </c>
      <c r="X482" s="5">
        <f t="shared" si="125"/>
        <v>49000</v>
      </c>
      <c r="Y482" s="11">
        <v>0.2</v>
      </c>
      <c r="Z482" s="5">
        <f t="shared" si="126"/>
        <v>58800</v>
      </c>
      <c r="AA482" s="11">
        <f t="shared" si="119"/>
        <v>0.16666666666666666</v>
      </c>
      <c r="AB482" s="11">
        <v>0.1</v>
      </c>
    </row>
    <row r="483" spans="1:28">
      <c r="A483">
        <v>2026</v>
      </c>
      <c r="B483" t="s">
        <v>167</v>
      </c>
      <c r="C483" t="s">
        <v>12</v>
      </c>
      <c r="D483" t="s">
        <v>13</v>
      </c>
      <c r="G483" t="s">
        <v>209</v>
      </c>
      <c r="H483" t="s">
        <v>209</v>
      </c>
      <c r="I483" t="s">
        <v>122</v>
      </c>
      <c r="J483" t="s">
        <v>159</v>
      </c>
      <c r="K483" t="s">
        <v>16</v>
      </c>
      <c r="L483">
        <v>224100</v>
      </c>
      <c r="M483" s="5">
        <v>224100</v>
      </c>
      <c r="O483" s="5"/>
      <c r="P483" s="5">
        <v>0</v>
      </c>
      <c r="Q483" s="11">
        <v>0</v>
      </c>
      <c r="R483" s="5">
        <v>0</v>
      </c>
      <c r="S483" s="12">
        <v>0</v>
      </c>
      <c r="T483" s="5">
        <v>0</v>
      </c>
      <c r="U483" s="11">
        <v>0</v>
      </c>
      <c r="V483" s="5">
        <v>0</v>
      </c>
      <c r="W483" s="11">
        <v>0</v>
      </c>
      <c r="X483" s="5">
        <f t="shared" si="125"/>
        <v>224100</v>
      </c>
      <c r="Y483" s="11">
        <v>0.2</v>
      </c>
      <c r="Z483" s="5">
        <f t="shared" si="126"/>
        <v>268920</v>
      </c>
      <c r="AA483" s="11">
        <f t="shared" si="119"/>
        <v>0.16666666666666666</v>
      </c>
      <c r="AB483" s="11">
        <v>0.1</v>
      </c>
    </row>
    <row r="484" spans="1:28">
      <c r="A484">
        <v>2026</v>
      </c>
      <c r="B484" t="s">
        <v>167</v>
      </c>
      <c r="C484" t="s">
        <v>12</v>
      </c>
      <c r="D484" t="s">
        <v>13</v>
      </c>
      <c r="G484" t="s">
        <v>209</v>
      </c>
      <c r="H484" t="s">
        <v>209</v>
      </c>
      <c r="I484" t="s">
        <v>126</v>
      </c>
      <c r="J484" t="s">
        <v>159</v>
      </c>
      <c r="K484" t="s">
        <v>16</v>
      </c>
      <c r="L484">
        <v>38000</v>
      </c>
      <c r="M484" s="5">
        <v>38000</v>
      </c>
      <c r="O484" s="5"/>
      <c r="P484" s="5">
        <v>0</v>
      </c>
      <c r="Q484" s="11">
        <v>0</v>
      </c>
      <c r="R484" s="5">
        <v>0</v>
      </c>
      <c r="S484" s="12">
        <v>0</v>
      </c>
      <c r="T484" s="5">
        <v>0</v>
      </c>
      <c r="U484" s="11">
        <v>0</v>
      </c>
      <c r="V484" s="5">
        <v>0</v>
      </c>
      <c r="W484" s="11">
        <v>0</v>
      </c>
      <c r="X484" s="5">
        <f t="shared" si="125"/>
        <v>38000</v>
      </c>
      <c r="Y484" s="11">
        <v>0.2</v>
      </c>
      <c r="Z484" s="5">
        <f t="shared" si="126"/>
        <v>45600</v>
      </c>
      <c r="AA484" s="11">
        <f t="shared" si="119"/>
        <v>0.16666666666666666</v>
      </c>
      <c r="AB484" s="11">
        <v>0.1</v>
      </c>
    </row>
    <row r="485" spans="1:28">
      <c r="A485">
        <v>2026</v>
      </c>
      <c r="B485" t="s">
        <v>167</v>
      </c>
      <c r="C485" t="s">
        <v>12</v>
      </c>
      <c r="D485" t="s">
        <v>13</v>
      </c>
      <c r="G485" t="s">
        <v>209</v>
      </c>
      <c r="H485" t="s">
        <v>209</v>
      </c>
      <c r="I485" t="s">
        <v>127</v>
      </c>
      <c r="J485" t="s">
        <v>159</v>
      </c>
      <c r="K485" t="s">
        <v>16</v>
      </c>
      <c r="L485">
        <v>39800</v>
      </c>
      <c r="M485" s="5">
        <v>39800</v>
      </c>
      <c r="O485" s="5"/>
      <c r="P485" s="5">
        <v>0</v>
      </c>
      <c r="Q485" s="11">
        <v>0</v>
      </c>
      <c r="R485" s="5">
        <v>0</v>
      </c>
      <c r="S485" s="12">
        <v>0</v>
      </c>
      <c r="T485" s="5">
        <v>0</v>
      </c>
      <c r="U485" s="11">
        <v>0</v>
      </c>
      <c r="V485" s="5">
        <v>0</v>
      </c>
      <c r="W485" s="11">
        <v>0</v>
      </c>
      <c r="X485" s="5">
        <f t="shared" si="125"/>
        <v>39800</v>
      </c>
      <c r="Y485" s="11">
        <v>0.2</v>
      </c>
      <c r="Z485" s="5">
        <f t="shared" si="126"/>
        <v>47760</v>
      </c>
      <c r="AA485" s="11">
        <f t="shared" si="119"/>
        <v>0.16666666666666666</v>
      </c>
      <c r="AB485" s="11">
        <v>0.1</v>
      </c>
    </row>
    <row r="486" spans="1:28">
      <c r="A486">
        <v>2026</v>
      </c>
      <c r="B486" t="s">
        <v>175</v>
      </c>
      <c r="C486" t="s">
        <v>12</v>
      </c>
      <c r="D486" t="s">
        <v>13</v>
      </c>
      <c r="G486" t="s">
        <v>209</v>
      </c>
      <c r="H486" t="s">
        <v>209</v>
      </c>
      <c r="I486" t="s">
        <v>71</v>
      </c>
      <c r="J486" t="s">
        <v>159</v>
      </c>
      <c r="K486" t="s">
        <v>16</v>
      </c>
      <c r="L486">
        <v>28800</v>
      </c>
      <c r="M486" s="5">
        <v>28800</v>
      </c>
      <c r="O486" s="5"/>
      <c r="P486" s="5">
        <v>0</v>
      </c>
      <c r="Q486" s="11">
        <v>0</v>
      </c>
      <c r="R486" s="5">
        <v>0</v>
      </c>
      <c r="S486" s="12">
        <v>0</v>
      </c>
      <c r="T486" s="5">
        <v>0</v>
      </c>
      <c r="U486" s="11">
        <v>0</v>
      </c>
      <c r="V486" s="5">
        <v>0</v>
      </c>
      <c r="W486" s="11">
        <v>0</v>
      </c>
      <c r="X486" s="5">
        <f t="shared" si="125"/>
        <v>28800</v>
      </c>
      <c r="Y486" s="11">
        <v>0.2</v>
      </c>
      <c r="Z486" s="5">
        <f>X486+(X486*Y486)</f>
        <v>34560</v>
      </c>
      <c r="AA486" s="11">
        <f t="shared" si="119"/>
        <v>0.16666666666666666</v>
      </c>
      <c r="AB486" s="11">
        <v>0.1</v>
      </c>
    </row>
    <row r="487" spans="1:28">
      <c r="A487">
        <v>2026</v>
      </c>
      <c r="B487" t="s">
        <v>175</v>
      </c>
      <c r="C487" t="s">
        <v>12</v>
      </c>
      <c r="D487" t="s">
        <v>13</v>
      </c>
      <c r="G487" t="s">
        <v>209</v>
      </c>
      <c r="H487" t="s">
        <v>209</v>
      </c>
      <c r="I487" t="s">
        <v>76</v>
      </c>
      <c r="J487" t="s">
        <v>159</v>
      </c>
      <c r="K487" t="s">
        <v>16</v>
      </c>
      <c r="L487">
        <v>36700</v>
      </c>
      <c r="M487" s="5">
        <v>36700</v>
      </c>
      <c r="O487" s="5"/>
      <c r="P487" s="5">
        <v>0</v>
      </c>
      <c r="Q487" s="11">
        <v>0</v>
      </c>
      <c r="R487" s="5">
        <v>0</v>
      </c>
      <c r="S487" s="12">
        <v>0</v>
      </c>
      <c r="T487" s="5">
        <v>0</v>
      </c>
      <c r="U487" s="11">
        <v>0</v>
      </c>
      <c r="V487" s="5">
        <v>0</v>
      </c>
      <c r="W487" s="11">
        <v>0</v>
      </c>
      <c r="X487" s="5">
        <f t="shared" si="125"/>
        <v>36700</v>
      </c>
      <c r="Y487" s="11">
        <v>0.2</v>
      </c>
      <c r="Z487" s="5">
        <f t="shared" ref="Z487:Z500" si="127">X487+(X487*Y487)</f>
        <v>44040</v>
      </c>
      <c r="AA487" s="11">
        <f t="shared" si="119"/>
        <v>0.16666666666666666</v>
      </c>
      <c r="AB487" s="11">
        <v>0.1</v>
      </c>
    </row>
    <row r="488" spans="1:28">
      <c r="A488">
        <v>2026</v>
      </c>
      <c r="B488" t="s">
        <v>175</v>
      </c>
      <c r="C488" t="s">
        <v>12</v>
      </c>
      <c r="D488" t="s">
        <v>13</v>
      </c>
      <c r="G488" t="s">
        <v>209</v>
      </c>
      <c r="H488" t="s">
        <v>209</v>
      </c>
      <c r="I488" t="s">
        <v>91</v>
      </c>
      <c r="J488" t="s">
        <v>160</v>
      </c>
      <c r="K488" t="s">
        <v>16</v>
      </c>
      <c r="L488">
        <v>28000</v>
      </c>
      <c r="M488" s="5">
        <v>28000</v>
      </c>
      <c r="O488" s="5"/>
      <c r="P488" s="5">
        <v>0</v>
      </c>
      <c r="Q488" s="11">
        <v>0</v>
      </c>
      <c r="R488" s="5">
        <v>0</v>
      </c>
      <c r="S488" s="12">
        <v>0</v>
      </c>
      <c r="T488" s="5">
        <v>0</v>
      </c>
      <c r="U488" s="11">
        <v>0</v>
      </c>
      <c r="V488" s="5">
        <v>0</v>
      </c>
      <c r="W488" s="11">
        <v>0</v>
      </c>
      <c r="X488" s="5">
        <f t="shared" si="125"/>
        <v>28000</v>
      </c>
      <c r="Y488" s="11">
        <v>0.2</v>
      </c>
      <c r="Z488" s="5">
        <f t="shared" si="127"/>
        <v>33600</v>
      </c>
      <c r="AA488" s="11">
        <f t="shared" si="119"/>
        <v>0.16666666666666666</v>
      </c>
      <c r="AB488" s="11">
        <v>0.1</v>
      </c>
    </row>
    <row r="489" spans="1:28">
      <c r="A489">
        <v>2026</v>
      </c>
      <c r="B489" t="s">
        <v>175</v>
      </c>
      <c r="C489" t="s">
        <v>12</v>
      </c>
      <c r="D489" t="s">
        <v>13</v>
      </c>
      <c r="G489" t="s">
        <v>209</v>
      </c>
      <c r="H489" t="s">
        <v>209</v>
      </c>
      <c r="I489" t="s">
        <v>97</v>
      </c>
      <c r="J489" t="s">
        <v>160</v>
      </c>
      <c r="K489" t="s">
        <v>16</v>
      </c>
      <c r="L489">
        <v>36700</v>
      </c>
      <c r="M489" s="5">
        <v>36700</v>
      </c>
      <c r="O489" s="5"/>
      <c r="P489" s="5">
        <v>0</v>
      </c>
      <c r="Q489" s="11">
        <v>0</v>
      </c>
      <c r="R489" s="5">
        <v>0</v>
      </c>
      <c r="S489" s="12">
        <v>0</v>
      </c>
      <c r="T489" s="5">
        <v>0</v>
      </c>
      <c r="U489" s="11">
        <v>0</v>
      </c>
      <c r="V489" s="5">
        <v>0</v>
      </c>
      <c r="W489" s="11">
        <v>0</v>
      </c>
      <c r="X489" s="5">
        <f t="shared" si="125"/>
        <v>36700</v>
      </c>
      <c r="Y489" s="11">
        <v>0.2</v>
      </c>
      <c r="Z489" s="5">
        <f t="shared" si="127"/>
        <v>44040</v>
      </c>
      <c r="AA489" s="11">
        <f t="shared" si="119"/>
        <v>0.16666666666666666</v>
      </c>
      <c r="AB489" s="11">
        <v>0.1</v>
      </c>
    </row>
    <row r="490" spans="1:28">
      <c r="A490">
        <v>2026</v>
      </c>
      <c r="B490" t="s">
        <v>175</v>
      </c>
      <c r="C490" t="s">
        <v>12</v>
      </c>
      <c r="D490" t="s">
        <v>13</v>
      </c>
      <c r="G490" t="s">
        <v>209</v>
      </c>
      <c r="H490" t="s">
        <v>209</v>
      </c>
      <c r="I490" t="s">
        <v>103</v>
      </c>
      <c r="J490" t="s">
        <v>160</v>
      </c>
      <c r="K490" t="s">
        <v>16</v>
      </c>
      <c r="L490">
        <v>21900</v>
      </c>
      <c r="M490" s="5">
        <v>21900</v>
      </c>
      <c r="O490" s="5"/>
      <c r="P490" s="5">
        <v>0</v>
      </c>
      <c r="Q490" s="11">
        <v>0</v>
      </c>
      <c r="R490" s="5">
        <v>0</v>
      </c>
      <c r="S490" s="12">
        <v>0</v>
      </c>
      <c r="T490" s="5">
        <v>0</v>
      </c>
      <c r="U490" s="11">
        <v>0</v>
      </c>
      <c r="V490" s="5">
        <v>0</v>
      </c>
      <c r="W490" s="11">
        <v>0</v>
      </c>
      <c r="X490" s="5">
        <f t="shared" si="125"/>
        <v>21900</v>
      </c>
      <c r="Y490" s="11">
        <v>0.2</v>
      </c>
      <c r="Z490" s="5">
        <f t="shared" si="127"/>
        <v>26280</v>
      </c>
      <c r="AA490" s="11">
        <f t="shared" si="119"/>
        <v>0.16666666666666666</v>
      </c>
      <c r="AB490" s="11">
        <v>0.1</v>
      </c>
    </row>
    <row r="491" spans="1:28">
      <c r="A491">
        <v>2026</v>
      </c>
      <c r="B491" t="s">
        <v>175</v>
      </c>
      <c r="C491" t="s">
        <v>12</v>
      </c>
      <c r="D491" t="s">
        <v>13</v>
      </c>
      <c r="G491" t="s">
        <v>209</v>
      </c>
      <c r="H491" t="s">
        <v>209</v>
      </c>
      <c r="I491" t="s">
        <v>107</v>
      </c>
      <c r="J491" t="s">
        <v>160</v>
      </c>
      <c r="K491" t="s">
        <v>16</v>
      </c>
      <c r="L491">
        <v>114900</v>
      </c>
      <c r="M491" s="5">
        <v>114900</v>
      </c>
      <c r="O491" s="5"/>
      <c r="P491" s="5">
        <v>0</v>
      </c>
      <c r="Q491" s="11">
        <v>0</v>
      </c>
      <c r="R491" s="5">
        <v>0</v>
      </c>
      <c r="S491" s="12">
        <v>0</v>
      </c>
      <c r="T491" s="5">
        <v>0</v>
      </c>
      <c r="U491" s="11">
        <v>0</v>
      </c>
      <c r="V491" s="5">
        <v>0</v>
      </c>
      <c r="W491" s="11">
        <v>0</v>
      </c>
      <c r="X491" s="5">
        <f t="shared" si="125"/>
        <v>114900</v>
      </c>
      <c r="Y491" s="11">
        <v>0.2</v>
      </c>
      <c r="Z491" s="5">
        <f t="shared" si="127"/>
        <v>137880</v>
      </c>
      <c r="AA491" s="11">
        <f t="shared" si="119"/>
        <v>0.16666666666666666</v>
      </c>
      <c r="AB491" s="11">
        <v>0.1</v>
      </c>
    </row>
    <row r="492" spans="1:28">
      <c r="A492">
        <v>2026</v>
      </c>
      <c r="B492" t="s">
        <v>175</v>
      </c>
      <c r="C492" t="s">
        <v>12</v>
      </c>
      <c r="D492" t="s">
        <v>13</v>
      </c>
      <c r="G492" t="s">
        <v>209</v>
      </c>
      <c r="H492" t="s">
        <v>209</v>
      </c>
      <c r="I492" t="s">
        <v>110</v>
      </c>
      <c r="J492" t="s">
        <v>160</v>
      </c>
      <c r="K492" t="s">
        <v>16</v>
      </c>
      <c r="L492">
        <v>28000</v>
      </c>
      <c r="M492" s="5">
        <v>28000</v>
      </c>
      <c r="O492" s="5"/>
      <c r="P492" s="5">
        <v>0</v>
      </c>
      <c r="Q492" s="11">
        <v>0</v>
      </c>
      <c r="R492" s="5">
        <v>0</v>
      </c>
      <c r="S492" s="12">
        <v>0</v>
      </c>
      <c r="T492" s="5">
        <v>0</v>
      </c>
      <c r="U492" s="11">
        <v>0</v>
      </c>
      <c r="V492" s="5">
        <v>0</v>
      </c>
      <c r="W492" s="11">
        <v>0</v>
      </c>
      <c r="X492" s="5">
        <f t="shared" si="125"/>
        <v>28000</v>
      </c>
      <c r="Y492" s="11">
        <v>0.2</v>
      </c>
      <c r="Z492" s="5">
        <f t="shared" si="127"/>
        <v>33600</v>
      </c>
      <c r="AA492" s="11">
        <f t="shared" si="119"/>
        <v>0.16666666666666666</v>
      </c>
      <c r="AB492" s="11">
        <v>0.1</v>
      </c>
    </row>
    <row r="493" spans="1:28">
      <c r="A493">
        <v>2026</v>
      </c>
      <c r="B493" t="s">
        <v>175</v>
      </c>
      <c r="C493" t="s">
        <v>12</v>
      </c>
      <c r="D493" t="s">
        <v>13</v>
      </c>
      <c r="G493" t="s">
        <v>209</v>
      </c>
      <c r="H493" t="s">
        <v>209</v>
      </c>
      <c r="I493" t="s">
        <v>111</v>
      </c>
      <c r="J493" t="s">
        <v>160</v>
      </c>
      <c r="K493" t="s">
        <v>16</v>
      </c>
      <c r="L493">
        <v>49200</v>
      </c>
      <c r="M493" s="5">
        <v>49200</v>
      </c>
      <c r="O493" s="5"/>
      <c r="P493" s="5">
        <v>0</v>
      </c>
      <c r="Q493" s="11">
        <v>0</v>
      </c>
      <c r="R493" s="5">
        <v>0</v>
      </c>
      <c r="S493" s="12">
        <v>0</v>
      </c>
      <c r="T493" s="5">
        <v>0</v>
      </c>
      <c r="U493" s="11">
        <v>0</v>
      </c>
      <c r="V493" s="5">
        <v>0</v>
      </c>
      <c r="W493" s="11">
        <v>0</v>
      </c>
      <c r="X493" s="5">
        <f t="shared" si="125"/>
        <v>49200</v>
      </c>
      <c r="Y493" s="11">
        <v>0.2</v>
      </c>
      <c r="Z493" s="5">
        <f t="shared" si="127"/>
        <v>59040</v>
      </c>
      <c r="AA493" s="11">
        <f t="shared" si="119"/>
        <v>0.16666666666666666</v>
      </c>
      <c r="AB493" s="11">
        <v>0.1</v>
      </c>
    </row>
    <row r="494" spans="1:28">
      <c r="A494">
        <v>2026</v>
      </c>
      <c r="B494" t="s">
        <v>175</v>
      </c>
      <c r="C494" t="s">
        <v>12</v>
      </c>
      <c r="D494" t="s">
        <v>13</v>
      </c>
      <c r="G494" t="s">
        <v>209</v>
      </c>
      <c r="H494" t="s">
        <v>209</v>
      </c>
      <c r="I494" t="s">
        <v>112</v>
      </c>
      <c r="J494" t="s">
        <v>160</v>
      </c>
      <c r="K494" t="s">
        <v>16</v>
      </c>
      <c r="L494">
        <v>141600</v>
      </c>
      <c r="M494" s="5">
        <v>141600</v>
      </c>
      <c r="O494" s="5"/>
      <c r="P494" s="5">
        <v>0</v>
      </c>
      <c r="Q494" s="11">
        <v>0</v>
      </c>
      <c r="R494" s="5">
        <v>0</v>
      </c>
      <c r="S494" s="12">
        <v>0</v>
      </c>
      <c r="T494" s="5">
        <v>0</v>
      </c>
      <c r="U494" s="11">
        <v>0</v>
      </c>
      <c r="V494" s="5">
        <v>0</v>
      </c>
      <c r="W494" s="11">
        <v>0</v>
      </c>
      <c r="X494" s="5">
        <f t="shared" si="125"/>
        <v>141600</v>
      </c>
      <c r="Y494" s="11">
        <v>0.2</v>
      </c>
      <c r="Z494" s="5">
        <f t="shared" si="127"/>
        <v>169920</v>
      </c>
      <c r="AA494" s="11">
        <f t="shared" si="119"/>
        <v>0.16666666666666666</v>
      </c>
      <c r="AB494" s="11">
        <v>0.1</v>
      </c>
    </row>
    <row r="495" spans="1:28">
      <c r="A495">
        <v>2026</v>
      </c>
      <c r="B495" t="s">
        <v>175</v>
      </c>
      <c r="C495" t="s">
        <v>12</v>
      </c>
      <c r="D495" t="s">
        <v>13</v>
      </c>
      <c r="G495" t="s">
        <v>209</v>
      </c>
      <c r="H495" t="s">
        <v>209</v>
      </c>
      <c r="I495" t="s">
        <v>113</v>
      </c>
      <c r="J495" t="s">
        <v>160</v>
      </c>
      <c r="K495" t="s">
        <v>16</v>
      </c>
      <c r="L495">
        <v>174700</v>
      </c>
      <c r="M495" s="5">
        <v>174700</v>
      </c>
      <c r="O495" s="5"/>
      <c r="P495" s="5">
        <v>0</v>
      </c>
      <c r="Q495" s="11">
        <v>0</v>
      </c>
      <c r="R495" s="5">
        <v>0</v>
      </c>
      <c r="S495" s="12">
        <v>0</v>
      </c>
      <c r="T495" s="5">
        <v>0</v>
      </c>
      <c r="U495" s="11">
        <v>0</v>
      </c>
      <c r="V495" s="5">
        <v>0</v>
      </c>
      <c r="W495" s="11">
        <v>0</v>
      </c>
      <c r="X495" s="5">
        <f t="shared" si="125"/>
        <v>174700</v>
      </c>
      <c r="Y495" s="11">
        <v>0.2</v>
      </c>
      <c r="Z495" s="5">
        <f t="shared" si="127"/>
        <v>209640</v>
      </c>
      <c r="AA495" s="11">
        <f t="shared" si="119"/>
        <v>0.16666666666666666</v>
      </c>
      <c r="AB495" s="11">
        <v>0.1</v>
      </c>
    </row>
    <row r="496" spans="1:28">
      <c r="A496">
        <v>2026</v>
      </c>
      <c r="B496" t="s">
        <v>175</v>
      </c>
      <c r="C496" t="s">
        <v>12</v>
      </c>
      <c r="D496" t="s">
        <v>13</v>
      </c>
      <c r="G496" t="s">
        <v>209</v>
      </c>
      <c r="H496" t="s">
        <v>209</v>
      </c>
      <c r="I496" t="s">
        <v>114</v>
      </c>
      <c r="J496" t="s">
        <v>160</v>
      </c>
      <c r="K496" t="s">
        <v>16</v>
      </c>
      <c r="L496">
        <v>204000</v>
      </c>
      <c r="M496" s="5">
        <v>204000</v>
      </c>
      <c r="O496" s="5"/>
      <c r="P496" s="5">
        <v>0</v>
      </c>
      <c r="Q496" s="11">
        <v>0</v>
      </c>
      <c r="R496" s="5">
        <v>0</v>
      </c>
      <c r="S496" s="12">
        <v>0</v>
      </c>
      <c r="T496" s="5">
        <v>0</v>
      </c>
      <c r="U496" s="11">
        <v>0</v>
      </c>
      <c r="V496" s="5">
        <v>0</v>
      </c>
      <c r="W496" s="11">
        <v>0</v>
      </c>
      <c r="X496" s="5">
        <f t="shared" si="125"/>
        <v>204000</v>
      </c>
      <c r="Y496" s="11">
        <v>0.2</v>
      </c>
      <c r="Z496" s="5">
        <f t="shared" si="127"/>
        <v>244800</v>
      </c>
      <c r="AA496" s="11">
        <f t="shared" si="119"/>
        <v>0.16666666666666666</v>
      </c>
      <c r="AB496" s="11">
        <v>0.1</v>
      </c>
    </row>
    <row r="497" spans="1:28">
      <c r="A497">
        <v>2026</v>
      </c>
      <c r="B497" t="s">
        <v>175</v>
      </c>
      <c r="C497" t="s">
        <v>12</v>
      </c>
      <c r="D497" t="s">
        <v>13</v>
      </c>
      <c r="G497" t="s">
        <v>209</v>
      </c>
      <c r="H497" t="s">
        <v>209</v>
      </c>
      <c r="I497" t="s">
        <v>119</v>
      </c>
      <c r="J497" t="s">
        <v>160</v>
      </c>
      <c r="K497" t="s">
        <v>16</v>
      </c>
      <c r="L497">
        <v>49000</v>
      </c>
      <c r="M497" s="5">
        <v>49000</v>
      </c>
      <c r="O497" s="5"/>
      <c r="P497" s="5">
        <v>0</v>
      </c>
      <c r="Q497" s="11">
        <v>0</v>
      </c>
      <c r="R497" s="5">
        <v>0</v>
      </c>
      <c r="S497" s="12">
        <v>0</v>
      </c>
      <c r="T497" s="5">
        <v>0</v>
      </c>
      <c r="U497" s="11">
        <v>0</v>
      </c>
      <c r="V497" s="5">
        <v>0</v>
      </c>
      <c r="W497" s="11">
        <v>0</v>
      </c>
      <c r="X497" s="5">
        <f t="shared" si="125"/>
        <v>49000</v>
      </c>
      <c r="Y497" s="11">
        <v>0.2</v>
      </c>
      <c r="Z497" s="5">
        <f t="shared" si="127"/>
        <v>58800</v>
      </c>
      <c r="AA497" s="11">
        <f t="shared" si="119"/>
        <v>0.16666666666666666</v>
      </c>
      <c r="AB497" s="11">
        <v>0.1</v>
      </c>
    </row>
    <row r="498" spans="1:28">
      <c r="A498">
        <v>2026</v>
      </c>
      <c r="B498" t="s">
        <v>175</v>
      </c>
      <c r="C498" t="s">
        <v>12</v>
      </c>
      <c r="D498" t="s">
        <v>13</v>
      </c>
      <c r="G498" t="s">
        <v>209</v>
      </c>
      <c r="H498" t="s">
        <v>209</v>
      </c>
      <c r="I498" t="s">
        <v>122</v>
      </c>
      <c r="J498" t="s">
        <v>159</v>
      </c>
      <c r="K498" t="s">
        <v>16</v>
      </c>
      <c r="L498">
        <v>224100</v>
      </c>
      <c r="M498" s="5">
        <v>224100</v>
      </c>
      <c r="O498" s="5"/>
      <c r="P498" s="5">
        <v>0</v>
      </c>
      <c r="Q498" s="11">
        <v>0</v>
      </c>
      <c r="R498" s="5">
        <v>0</v>
      </c>
      <c r="S498" s="12">
        <v>0</v>
      </c>
      <c r="T498" s="5">
        <v>0</v>
      </c>
      <c r="U498" s="11">
        <v>0</v>
      </c>
      <c r="V498" s="5">
        <v>0</v>
      </c>
      <c r="W498" s="11">
        <v>0</v>
      </c>
      <c r="X498" s="5">
        <f t="shared" si="125"/>
        <v>224100</v>
      </c>
      <c r="Y498" s="11">
        <v>0.2</v>
      </c>
      <c r="Z498" s="5">
        <f t="shared" si="127"/>
        <v>268920</v>
      </c>
      <c r="AA498" s="11">
        <f t="shared" si="119"/>
        <v>0.16666666666666666</v>
      </c>
      <c r="AB498" s="11">
        <v>0.1</v>
      </c>
    </row>
    <row r="499" spans="1:28">
      <c r="A499">
        <v>2026</v>
      </c>
      <c r="B499" t="s">
        <v>175</v>
      </c>
      <c r="C499" t="s">
        <v>12</v>
      </c>
      <c r="D499" t="s">
        <v>13</v>
      </c>
      <c r="G499" t="s">
        <v>209</v>
      </c>
      <c r="H499" t="s">
        <v>209</v>
      </c>
      <c r="I499" t="s">
        <v>126</v>
      </c>
      <c r="J499" t="s">
        <v>159</v>
      </c>
      <c r="K499" t="s">
        <v>16</v>
      </c>
      <c r="L499">
        <v>38000</v>
      </c>
      <c r="M499" s="5">
        <v>38000</v>
      </c>
      <c r="O499" s="5"/>
      <c r="P499" s="5">
        <v>0</v>
      </c>
      <c r="Q499" s="11">
        <v>0</v>
      </c>
      <c r="R499" s="5">
        <v>0</v>
      </c>
      <c r="S499" s="12">
        <v>0</v>
      </c>
      <c r="T499" s="5">
        <v>0</v>
      </c>
      <c r="U499" s="11">
        <v>0</v>
      </c>
      <c r="V499" s="5">
        <v>0</v>
      </c>
      <c r="W499" s="11">
        <v>0</v>
      </c>
      <c r="X499" s="5">
        <f t="shared" si="125"/>
        <v>38000</v>
      </c>
      <c r="Y499" s="11">
        <v>0.2</v>
      </c>
      <c r="Z499" s="5">
        <f t="shared" si="127"/>
        <v>45600</v>
      </c>
      <c r="AA499" s="11">
        <f t="shared" si="119"/>
        <v>0.16666666666666666</v>
      </c>
      <c r="AB499" s="11">
        <v>0.1</v>
      </c>
    </row>
    <row r="500" spans="1:28">
      <c r="A500">
        <v>2026</v>
      </c>
      <c r="B500" t="s">
        <v>175</v>
      </c>
      <c r="C500" t="s">
        <v>12</v>
      </c>
      <c r="D500" t="s">
        <v>13</v>
      </c>
      <c r="G500" t="s">
        <v>209</v>
      </c>
      <c r="H500" t="s">
        <v>209</v>
      </c>
      <c r="I500" t="s">
        <v>127</v>
      </c>
      <c r="J500" t="s">
        <v>159</v>
      </c>
      <c r="K500" t="s">
        <v>16</v>
      </c>
      <c r="L500">
        <v>39800</v>
      </c>
      <c r="M500" s="5">
        <v>39800</v>
      </c>
      <c r="O500" s="5"/>
      <c r="P500" s="5">
        <v>0</v>
      </c>
      <c r="Q500" s="11">
        <v>0</v>
      </c>
      <c r="R500" s="5">
        <v>0</v>
      </c>
      <c r="S500" s="12">
        <v>0</v>
      </c>
      <c r="T500" s="5">
        <v>0</v>
      </c>
      <c r="U500" s="11">
        <v>0</v>
      </c>
      <c r="V500" s="5">
        <v>0</v>
      </c>
      <c r="W500" s="11">
        <v>0</v>
      </c>
      <c r="X500" s="5">
        <f t="shared" si="125"/>
        <v>39800</v>
      </c>
      <c r="Y500" s="11">
        <v>0.2</v>
      </c>
      <c r="Z500" s="5">
        <f t="shared" si="127"/>
        <v>47760</v>
      </c>
      <c r="AA500" s="11">
        <f t="shared" si="119"/>
        <v>0.16666666666666666</v>
      </c>
      <c r="AB500" s="11">
        <v>0.1</v>
      </c>
    </row>
    <row r="501" spans="1:28">
      <c r="A501">
        <v>2026</v>
      </c>
      <c r="B501" t="s">
        <v>176</v>
      </c>
      <c r="C501" t="s">
        <v>12</v>
      </c>
      <c r="D501" t="s">
        <v>13</v>
      </c>
      <c r="G501" t="s">
        <v>209</v>
      </c>
      <c r="H501" t="s">
        <v>209</v>
      </c>
      <c r="I501" t="s">
        <v>71</v>
      </c>
      <c r="J501" t="s">
        <v>159</v>
      </c>
      <c r="K501" t="s">
        <v>16</v>
      </c>
      <c r="L501">
        <v>28800</v>
      </c>
      <c r="M501" s="5">
        <v>28800</v>
      </c>
      <c r="O501" s="5"/>
      <c r="P501" s="5">
        <v>0</v>
      </c>
      <c r="Q501" s="11">
        <v>0</v>
      </c>
      <c r="R501" s="5">
        <v>0</v>
      </c>
      <c r="S501" s="12">
        <v>0</v>
      </c>
      <c r="T501" s="5">
        <v>0</v>
      </c>
      <c r="U501" s="11">
        <v>0</v>
      </c>
      <c r="V501" s="5">
        <v>0</v>
      </c>
      <c r="W501" s="11">
        <v>0</v>
      </c>
      <c r="X501" s="5">
        <f t="shared" si="125"/>
        <v>28800</v>
      </c>
      <c r="Y501" s="11">
        <v>0.2</v>
      </c>
      <c r="Z501" s="5">
        <f>X501+(X501*Y501)</f>
        <v>34560</v>
      </c>
      <c r="AA501" s="11">
        <f t="shared" si="119"/>
        <v>0.16666666666666666</v>
      </c>
      <c r="AB501" s="11">
        <v>0.1</v>
      </c>
    </row>
    <row r="502" spans="1:28">
      <c r="A502">
        <v>2026</v>
      </c>
      <c r="B502" t="s">
        <v>176</v>
      </c>
      <c r="C502" t="s">
        <v>12</v>
      </c>
      <c r="D502" t="s">
        <v>13</v>
      </c>
      <c r="G502" t="s">
        <v>209</v>
      </c>
      <c r="H502" t="s">
        <v>209</v>
      </c>
      <c r="I502" t="s">
        <v>76</v>
      </c>
      <c r="J502" t="s">
        <v>159</v>
      </c>
      <c r="K502" t="s">
        <v>16</v>
      </c>
      <c r="L502">
        <v>36700</v>
      </c>
      <c r="M502" s="5">
        <v>36700</v>
      </c>
      <c r="O502" s="5"/>
      <c r="P502" s="5">
        <v>0</v>
      </c>
      <c r="Q502" s="11">
        <v>0</v>
      </c>
      <c r="R502" s="5">
        <v>0</v>
      </c>
      <c r="S502" s="12">
        <v>0</v>
      </c>
      <c r="T502" s="5">
        <v>0</v>
      </c>
      <c r="U502" s="11">
        <v>0</v>
      </c>
      <c r="V502" s="5">
        <v>0</v>
      </c>
      <c r="W502" s="11">
        <v>0</v>
      </c>
      <c r="X502" s="5">
        <f t="shared" si="125"/>
        <v>36700</v>
      </c>
      <c r="Y502" s="11">
        <v>0.2</v>
      </c>
      <c r="Z502" s="5">
        <f t="shared" ref="Z502:Z515" si="128">X502+(X502*Y502)</f>
        <v>44040</v>
      </c>
      <c r="AA502" s="11">
        <f t="shared" si="119"/>
        <v>0.16666666666666666</v>
      </c>
      <c r="AB502" s="11">
        <v>0.1</v>
      </c>
    </row>
    <row r="503" spans="1:28">
      <c r="A503">
        <v>2026</v>
      </c>
      <c r="B503" t="s">
        <v>176</v>
      </c>
      <c r="C503" t="s">
        <v>12</v>
      </c>
      <c r="D503" t="s">
        <v>13</v>
      </c>
      <c r="G503" t="s">
        <v>209</v>
      </c>
      <c r="H503" t="s">
        <v>209</v>
      </c>
      <c r="I503" t="s">
        <v>91</v>
      </c>
      <c r="J503" t="s">
        <v>160</v>
      </c>
      <c r="K503" t="s">
        <v>16</v>
      </c>
      <c r="L503">
        <v>28000</v>
      </c>
      <c r="M503" s="5">
        <v>28000</v>
      </c>
      <c r="O503" s="5"/>
      <c r="P503" s="5">
        <v>0</v>
      </c>
      <c r="Q503" s="11">
        <v>0</v>
      </c>
      <c r="R503" s="5">
        <v>0</v>
      </c>
      <c r="S503" s="12">
        <v>0</v>
      </c>
      <c r="T503" s="5">
        <v>0</v>
      </c>
      <c r="U503" s="11">
        <v>0</v>
      </c>
      <c r="V503" s="5">
        <v>0</v>
      </c>
      <c r="W503" s="11">
        <v>0</v>
      </c>
      <c r="X503" s="5">
        <f t="shared" ref="X503:X534" si="129">M503</f>
        <v>28000</v>
      </c>
      <c r="Y503" s="11">
        <v>0.2</v>
      </c>
      <c r="Z503" s="5">
        <f t="shared" si="128"/>
        <v>33600</v>
      </c>
      <c r="AA503" s="11">
        <f t="shared" si="119"/>
        <v>0.16666666666666666</v>
      </c>
      <c r="AB503" s="11">
        <v>0.1</v>
      </c>
    </row>
    <row r="504" spans="1:28">
      <c r="A504">
        <v>2026</v>
      </c>
      <c r="B504" t="s">
        <v>176</v>
      </c>
      <c r="C504" t="s">
        <v>12</v>
      </c>
      <c r="D504" t="s">
        <v>13</v>
      </c>
      <c r="G504" t="s">
        <v>209</v>
      </c>
      <c r="H504" t="s">
        <v>209</v>
      </c>
      <c r="I504" t="s">
        <v>97</v>
      </c>
      <c r="J504" t="s">
        <v>160</v>
      </c>
      <c r="K504" t="s">
        <v>16</v>
      </c>
      <c r="L504">
        <v>36700</v>
      </c>
      <c r="M504" s="5">
        <v>36700</v>
      </c>
      <c r="O504" s="5"/>
      <c r="P504" s="5">
        <v>0</v>
      </c>
      <c r="Q504" s="11">
        <v>0</v>
      </c>
      <c r="R504" s="5">
        <v>0</v>
      </c>
      <c r="S504" s="12">
        <v>0</v>
      </c>
      <c r="T504" s="5">
        <v>0</v>
      </c>
      <c r="U504" s="11">
        <v>0</v>
      </c>
      <c r="V504" s="5">
        <v>0</v>
      </c>
      <c r="W504" s="11">
        <v>0</v>
      </c>
      <c r="X504" s="5">
        <f t="shared" si="129"/>
        <v>36700</v>
      </c>
      <c r="Y504" s="11">
        <v>0.2</v>
      </c>
      <c r="Z504" s="5">
        <f t="shared" si="128"/>
        <v>44040</v>
      </c>
      <c r="AA504" s="11">
        <f t="shared" si="119"/>
        <v>0.16666666666666666</v>
      </c>
      <c r="AB504" s="11">
        <v>0.1</v>
      </c>
    </row>
    <row r="505" spans="1:28">
      <c r="A505">
        <v>2026</v>
      </c>
      <c r="B505" t="s">
        <v>176</v>
      </c>
      <c r="C505" t="s">
        <v>12</v>
      </c>
      <c r="D505" t="s">
        <v>13</v>
      </c>
      <c r="G505" t="s">
        <v>209</v>
      </c>
      <c r="H505" t="s">
        <v>209</v>
      </c>
      <c r="I505" t="s">
        <v>103</v>
      </c>
      <c r="J505" t="s">
        <v>160</v>
      </c>
      <c r="K505" t="s">
        <v>16</v>
      </c>
      <c r="L505">
        <v>21900</v>
      </c>
      <c r="M505" s="5">
        <v>21900</v>
      </c>
      <c r="O505" s="5"/>
      <c r="P505" s="5">
        <v>0</v>
      </c>
      <c r="Q505" s="11">
        <v>0</v>
      </c>
      <c r="R505" s="5">
        <v>0</v>
      </c>
      <c r="S505" s="12">
        <v>0</v>
      </c>
      <c r="T505" s="5">
        <v>0</v>
      </c>
      <c r="U505" s="11">
        <v>0</v>
      </c>
      <c r="V505" s="5">
        <v>0</v>
      </c>
      <c r="W505" s="11">
        <v>0</v>
      </c>
      <c r="X505" s="5">
        <f t="shared" si="129"/>
        <v>21900</v>
      </c>
      <c r="Y505" s="11">
        <v>0.2</v>
      </c>
      <c r="Z505" s="5">
        <f t="shared" si="128"/>
        <v>26280</v>
      </c>
      <c r="AA505" s="11">
        <f t="shared" si="119"/>
        <v>0.16666666666666666</v>
      </c>
      <c r="AB505" s="11">
        <v>0.1</v>
      </c>
    </row>
    <row r="506" spans="1:28">
      <c r="A506">
        <v>2026</v>
      </c>
      <c r="B506" t="s">
        <v>176</v>
      </c>
      <c r="C506" t="s">
        <v>12</v>
      </c>
      <c r="D506" t="s">
        <v>13</v>
      </c>
      <c r="G506" t="s">
        <v>209</v>
      </c>
      <c r="H506" t="s">
        <v>209</v>
      </c>
      <c r="I506" t="s">
        <v>107</v>
      </c>
      <c r="J506" t="s">
        <v>160</v>
      </c>
      <c r="K506" t="s">
        <v>16</v>
      </c>
      <c r="L506">
        <v>114900</v>
      </c>
      <c r="M506" s="5">
        <v>114900</v>
      </c>
      <c r="O506" s="5"/>
      <c r="P506" s="5">
        <v>0</v>
      </c>
      <c r="Q506" s="11">
        <v>0</v>
      </c>
      <c r="R506" s="5">
        <v>0</v>
      </c>
      <c r="S506" s="12">
        <v>0</v>
      </c>
      <c r="T506" s="5">
        <v>0</v>
      </c>
      <c r="U506" s="11">
        <v>0</v>
      </c>
      <c r="V506" s="5">
        <v>0</v>
      </c>
      <c r="W506" s="11">
        <v>0</v>
      </c>
      <c r="X506" s="5">
        <f t="shared" si="129"/>
        <v>114900</v>
      </c>
      <c r="Y506" s="11">
        <v>0.2</v>
      </c>
      <c r="Z506" s="5">
        <f t="shared" si="128"/>
        <v>137880</v>
      </c>
      <c r="AA506" s="11">
        <f t="shared" si="119"/>
        <v>0.16666666666666666</v>
      </c>
      <c r="AB506" s="11">
        <v>0.1</v>
      </c>
    </row>
    <row r="507" spans="1:28">
      <c r="A507">
        <v>2026</v>
      </c>
      <c r="B507" t="s">
        <v>176</v>
      </c>
      <c r="C507" t="s">
        <v>12</v>
      </c>
      <c r="D507" t="s">
        <v>13</v>
      </c>
      <c r="G507" t="s">
        <v>209</v>
      </c>
      <c r="H507" t="s">
        <v>209</v>
      </c>
      <c r="I507" t="s">
        <v>110</v>
      </c>
      <c r="J507" t="s">
        <v>160</v>
      </c>
      <c r="K507" t="s">
        <v>16</v>
      </c>
      <c r="L507">
        <v>28000</v>
      </c>
      <c r="M507" s="5">
        <v>28000</v>
      </c>
      <c r="O507" s="5"/>
      <c r="P507" s="5">
        <v>0</v>
      </c>
      <c r="Q507" s="11">
        <v>0</v>
      </c>
      <c r="R507" s="5">
        <v>0</v>
      </c>
      <c r="S507" s="12">
        <v>0</v>
      </c>
      <c r="T507" s="5">
        <v>0</v>
      </c>
      <c r="U507" s="11">
        <v>0</v>
      </c>
      <c r="V507" s="5">
        <v>0</v>
      </c>
      <c r="W507" s="11">
        <v>0</v>
      </c>
      <c r="X507" s="5">
        <f t="shared" si="129"/>
        <v>28000</v>
      </c>
      <c r="Y507" s="11">
        <v>0.2</v>
      </c>
      <c r="Z507" s="5">
        <f t="shared" si="128"/>
        <v>33600</v>
      </c>
      <c r="AA507" s="11">
        <f t="shared" si="119"/>
        <v>0.16666666666666666</v>
      </c>
      <c r="AB507" s="11">
        <v>0.1</v>
      </c>
    </row>
    <row r="508" spans="1:28">
      <c r="A508">
        <v>2026</v>
      </c>
      <c r="B508" t="s">
        <v>176</v>
      </c>
      <c r="C508" t="s">
        <v>12</v>
      </c>
      <c r="D508" t="s">
        <v>13</v>
      </c>
      <c r="G508" t="s">
        <v>209</v>
      </c>
      <c r="H508" t="s">
        <v>209</v>
      </c>
      <c r="I508" t="s">
        <v>111</v>
      </c>
      <c r="J508" t="s">
        <v>160</v>
      </c>
      <c r="K508" t="s">
        <v>16</v>
      </c>
      <c r="L508">
        <v>49200</v>
      </c>
      <c r="M508" s="5">
        <v>49200</v>
      </c>
      <c r="O508" s="5"/>
      <c r="P508" s="5">
        <v>0</v>
      </c>
      <c r="Q508" s="11">
        <v>0</v>
      </c>
      <c r="R508" s="5">
        <v>0</v>
      </c>
      <c r="S508" s="12">
        <v>0</v>
      </c>
      <c r="T508" s="5">
        <v>0</v>
      </c>
      <c r="U508" s="11">
        <v>0</v>
      </c>
      <c r="V508" s="5">
        <v>0</v>
      </c>
      <c r="W508" s="11">
        <v>0</v>
      </c>
      <c r="X508" s="5">
        <f t="shared" si="129"/>
        <v>49200</v>
      </c>
      <c r="Y508" s="11">
        <v>0.2</v>
      </c>
      <c r="Z508" s="5">
        <f t="shared" si="128"/>
        <v>59040</v>
      </c>
      <c r="AA508" s="11">
        <f t="shared" si="119"/>
        <v>0.16666666666666666</v>
      </c>
      <c r="AB508" s="11">
        <v>0.1</v>
      </c>
    </row>
    <row r="509" spans="1:28">
      <c r="A509">
        <v>2026</v>
      </c>
      <c r="B509" t="s">
        <v>176</v>
      </c>
      <c r="C509" t="s">
        <v>12</v>
      </c>
      <c r="D509" t="s">
        <v>13</v>
      </c>
      <c r="G509" t="s">
        <v>209</v>
      </c>
      <c r="H509" t="s">
        <v>209</v>
      </c>
      <c r="I509" t="s">
        <v>112</v>
      </c>
      <c r="J509" t="s">
        <v>160</v>
      </c>
      <c r="K509" t="s">
        <v>16</v>
      </c>
      <c r="L509">
        <v>141600</v>
      </c>
      <c r="M509" s="5">
        <v>141600</v>
      </c>
      <c r="O509" s="5"/>
      <c r="P509" s="5">
        <v>0</v>
      </c>
      <c r="Q509" s="11">
        <v>0</v>
      </c>
      <c r="R509" s="5">
        <v>0</v>
      </c>
      <c r="S509" s="12">
        <v>0</v>
      </c>
      <c r="T509" s="5">
        <v>0</v>
      </c>
      <c r="U509" s="11">
        <v>0</v>
      </c>
      <c r="V509" s="5">
        <v>0</v>
      </c>
      <c r="W509" s="11">
        <v>0</v>
      </c>
      <c r="X509" s="5">
        <f t="shared" si="129"/>
        <v>141600</v>
      </c>
      <c r="Y509" s="11">
        <v>0.2</v>
      </c>
      <c r="Z509" s="5">
        <f t="shared" si="128"/>
        <v>169920</v>
      </c>
      <c r="AA509" s="11">
        <f t="shared" si="119"/>
        <v>0.16666666666666666</v>
      </c>
      <c r="AB509" s="11">
        <v>0.1</v>
      </c>
    </row>
    <row r="510" spans="1:28">
      <c r="A510">
        <v>2026</v>
      </c>
      <c r="B510" t="s">
        <v>176</v>
      </c>
      <c r="C510" t="s">
        <v>12</v>
      </c>
      <c r="D510" t="s">
        <v>13</v>
      </c>
      <c r="G510" t="s">
        <v>209</v>
      </c>
      <c r="H510" t="s">
        <v>209</v>
      </c>
      <c r="I510" t="s">
        <v>113</v>
      </c>
      <c r="J510" t="s">
        <v>160</v>
      </c>
      <c r="K510" t="s">
        <v>16</v>
      </c>
      <c r="L510">
        <v>174700</v>
      </c>
      <c r="M510" s="5">
        <v>174700</v>
      </c>
      <c r="O510" s="5"/>
      <c r="P510" s="5">
        <v>0</v>
      </c>
      <c r="Q510" s="11">
        <v>0</v>
      </c>
      <c r="R510" s="5">
        <v>0</v>
      </c>
      <c r="S510" s="12">
        <v>0</v>
      </c>
      <c r="T510" s="5">
        <v>0</v>
      </c>
      <c r="U510" s="11">
        <v>0</v>
      </c>
      <c r="V510" s="5">
        <v>0</v>
      </c>
      <c r="W510" s="11">
        <v>0</v>
      </c>
      <c r="X510" s="5">
        <f t="shared" si="129"/>
        <v>174700</v>
      </c>
      <c r="Y510" s="11">
        <v>0.2</v>
      </c>
      <c r="Z510" s="5">
        <f t="shared" si="128"/>
        <v>209640</v>
      </c>
      <c r="AA510" s="11">
        <f t="shared" si="119"/>
        <v>0.16666666666666666</v>
      </c>
      <c r="AB510" s="11">
        <v>0.1</v>
      </c>
    </row>
    <row r="511" spans="1:28">
      <c r="A511">
        <v>2026</v>
      </c>
      <c r="B511" t="s">
        <v>176</v>
      </c>
      <c r="C511" t="s">
        <v>12</v>
      </c>
      <c r="D511" t="s">
        <v>13</v>
      </c>
      <c r="G511" t="s">
        <v>209</v>
      </c>
      <c r="H511" t="s">
        <v>209</v>
      </c>
      <c r="I511" t="s">
        <v>114</v>
      </c>
      <c r="J511" t="s">
        <v>160</v>
      </c>
      <c r="K511" t="s">
        <v>16</v>
      </c>
      <c r="L511">
        <v>204000</v>
      </c>
      <c r="M511" s="5">
        <v>204000</v>
      </c>
      <c r="O511" s="5"/>
      <c r="P511" s="5">
        <v>0</v>
      </c>
      <c r="Q511" s="11">
        <v>0</v>
      </c>
      <c r="R511" s="5">
        <v>0</v>
      </c>
      <c r="S511" s="12">
        <v>0</v>
      </c>
      <c r="T511" s="5">
        <v>0</v>
      </c>
      <c r="U511" s="11">
        <v>0</v>
      </c>
      <c r="V511" s="5">
        <v>0</v>
      </c>
      <c r="W511" s="11">
        <v>0</v>
      </c>
      <c r="X511" s="5">
        <f t="shared" si="129"/>
        <v>204000</v>
      </c>
      <c r="Y511" s="11">
        <v>0.2</v>
      </c>
      <c r="Z511" s="5">
        <f t="shared" si="128"/>
        <v>244800</v>
      </c>
      <c r="AA511" s="11">
        <f t="shared" si="119"/>
        <v>0.16666666666666666</v>
      </c>
      <c r="AB511" s="11">
        <v>0.1</v>
      </c>
    </row>
    <row r="512" spans="1:28">
      <c r="A512">
        <v>2026</v>
      </c>
      <c r="B512" t="s">
        <v>176</v>
      </c>
      <c r="C512" t="s">
        <v>12</v>
      </c>
      <c r="D512" t="s">
        <v>13</v>
      </c>
      <c r="G512" t="s">
        <v>209</v>
      </c>
      <c r="H512" t="s">
        <v>209</v>
      </c>
      <c r="I512" t="s">
        <v>119</v>
      </c>
      <c r="J512" t="s">
        <v>160</v>
      </c>
      <c r="K512" t="s">
        <v>16</v>
      </c>
      <c r="L512">
        <v>49000</v>
      </c>
      <c r="M512" s="5">
        <v>49000</v>
      </c>
      <c r="O512" s="5"/>
      <c r="P512" s="5">
        <v>0</v>
      </c>
      <c r="Q512" s="11">
        <v>0</v>
      </c>
      <c r="R512" s="5">
        <v>0</v>
      </c>
      <c r="S512" s="12">
        <v>0</v>
      </c>
      <c r="T512" s="5">
        <v>0</v>
      </c>
      <c r="U512" s="11">
        <v>0</v>
      </c>
      <c r="V512" s="5">
        <v>0</v>
      </c>
      <c r="W512" s="11">
        <v>0</v>
      </c>
      <c r="X512" s="5">
        <f t="shared" si="129"/>
        <v>49000</v>
      </c>
      <c r="Y512" s="11">
        <v>0.2</v>
      </c>
      <c r="Z512" s="5">
        <f t="shared" si="128"/>
        <v>58800</v>
      </c>
      <c r="AA512" s="11">
        <f t="shared" si="119"/>
        <v>0.16666666666666666</v>
      </c>
      <c r="AB512" s="11">
        <v>0.1</v>
      </c>
    </row>
    <row r="513" spans="1:28">
      <c r="A513">
        <v>2026</v>
      </c>
      <c r="B513" t="s">
        <v>176</v>
      </c>
      <c r="C513" t="s">
        <v>12</v>
      </c>
      <c r="D513" t="s">
        <v>13</v>
      </c>
      <c r="G513" t="s">
        <v>209</v>
      </c>
      <c r="H513" t="s">
        <v>209</v>
      </c>
      <c r="I513" t="s">
        <v>122</v>
      </c>
      <c r="J513" t="s">
        <v>159</v>
      </c>
      <c r="K513" t="s">
        <v>16</v>
      </c>
      <c r="L513">
        <v>224100</v>
      </c>
      <c r="M513" s="5">
        <v>224100</v>
      </c>
      <c r="O513" s="5"/>
      <c r="P513" s="5">
        <v>0</v>
      </c>
      <c r="Q513" s="11">
        <v>0</v>
      </c>
      <c r="R513" s="5">
        <v>0</v>
      </c>
      <c r="S513" s="12">
        <v>0</v>
      </c>
      <c r="T513" s="5">
        <v>0</v>
      </c>
      <c r="U513" s="11">
        <v>0</v>
      </c>
      <c r="V513" s="5">
        <v>0</v>
      </c>
      <c r="W513" s="11">
        <v>0</v>
      </c>
      <c r="X513" s="5">
        <f t="shared" si="129"/>
        <v>224100</v>
      </c>
      <c r="Y513" s="11">
        <v>0.2</v>
      </c>
      <c r="Z513" s="5">
        <f t="shared" si="128"/>
        <v>268920</v>
      </c>
      <c r="AA513" s="11">
        <f t="shared" si="119"/>
        <v>0.16666666666666666</v>
      </c>
      <c r="AB513" s="11">
        <v>0.1</v>
      </c>
    </row>
    <row r="514" spans="1:28">
      <c r="A514">
        <v>2026</v>
      </c>
      <c r="B514" t="s">
        <v>176</v>
      </c>
      <c r="C514" t="s">
        <v>12</v>
      </c>
      <c r="D514" t="s">
        <v>13</v>
      </c>
      <c r="G514" t="s">
        <v>209</v>
      </c>
      <c r="H514" t="s">
        <v>209</v>
      </c>
      <c r="I514" t="s">
        <v>126</v>
      </c>
      <c r="J514" t="s">
        <v>159</v>
      </c>
      <c r="K514" t="s">
        <v>16</v>
      </c>
      <c r="L514">
        <v>38000</v>
      </c>
      <c r="M514" s="5">
        <v>38000</v>
      </c>
      <c r="O514" s="5"/>
      <c r="P514" s="5">
        <v>0</v>
      </c>
      <c r="Q514" s="11">
        <v>0</v>
      </c>
      <c r="R514" s="5">
        <v>0</v>
      </c>
      <c r="S514" s="12">
        <v>0</v>
      </c>
      <c r="T514" s="5">
        <v>0</v>
      </c>
      <c r="U514" s="11">
        <v>0</v>
      </c>
      <c r="V514" s="5">
        <v>0</v>
      </c>
      <c r="W514" s="11">
        <v>0</v>
      </c>
      <c r="X514" s="5">
        <f t="shared" si="129"/>
        <v>38000</v>
      </c>
      <c r="Y514" s="11">
        <v>0.2</v>
      </c>
      <c r="Z514" s="5">
        <f t="shared" si="128"/>
        <v>45600</v>
      </c>
      <c r="AA514" s="11">
        <f t="shared" ref="AA514:AA577" si="130">IFERROR(((Z514-X514)/Z514),0)</f>
        <v>0.16666666666666666</v>
      </c>
      <c r="AB514" s="11">
        <v>0.1</v>
      </c>
    </row>
    <row r="515" spans="1:28">
      <c r="A515">
        <v>2026</v>
      </c>
      <c r="B515" t="s">
        <v>176</v>
      </c>
      <c r="C515" t="s">
        <v>12</v>
      </c>
      <c r="D515" t="s">
        <v>13</v>
      </c>
      <c r="G515" t="s">
        <v>209</v>
      </c>
      <c r="H515" t="s">
        <v>209</v>
      </c>
      <c r="I515" t="s">
        <v>127</v>
      </c>
      <c r="J515" t="s">
        <v>159</v>
      </c>
      <c r="K515" t="s">
        <v>16</v>
      </c>
      <c r="L515">
        <v>39800</v>
      </c>
      <c r="M515" s="5">
        <v>39800</v>
      </c>
      <c r="O515" s="5"/>
      <c r="P515" s="5">
        <v>0</v>
      </c>
      <c r="Q515" s="11">
        <v>0</v>
      </c>
      <c r="R515" s="5">
        <v>0</v>
      </c>
      <c r="S515" s="12">
        <v>0</v>
      </c>
      <c r="T515" s="5">
        <v>0</v>
      </c>
      <c r="U515" s="11">
        <v>0</v>
      </c>
      <c r="V515" s="5">
        <v>0</v>
      </c>
      <c r="W515" s="11">
        <v>0</v>
      </c>
      <c r="X515" s="5">
        <f t="shared" si="129"/>
        <v>39800</v>
      </c>
      <c r="Y515" s="11">
        <v>0.2</v>
      </c>
      <c r="Z515" s="5">
        <f t="shared" si="128"/>
        <v>47760</v>
      </c>
      <c r="AA515" s="11">
        <f t="shared" si="130"/>
        <v>0.16666666666666666</v>
      </c>
      <c r="AB515" s="11">
        <v>0.1</v>
      </c>
    </row>
    <row r="516" spans="1:28">
      <c r="A516">
        <v>2026</v>
      </c>
      <c r="B516" t="s">
        <v>177</v>
      </c>
      <c r="C516" t="s">
        <v>12</v>
      </c>
      <c r="D516" t="s">
        <v>13</v>
      </c>
      <c r="G516" t="s">
        <v>209</v>
      </c>
      <c r="H516" t="s">
        <v>209</v>
      </c>
      <c r="I516" t="s">
        <v>71</v>
      </c>
      <c r="J516" t="s">
        <v>159</v>
      </c>
      <c r="K516" t="s">
        <v>16</v>
      </c>
      <c r="L516">
        <v>28800</v>
      </c>
      <c r="M516" s="5">
        <v>28800</v>
      </c>
      <c r="O516" s="5"/>
      <c r="P516" s="5">
        <v>0</v>
      </c>
      <c r="Q516" s="11">
        <v>0</v>
      </c>
      <c r="R516" s="5">
        <v>0</v>
      </c>
      <c r="S516" s="12">
        <v>0</v>
      </c>
      <c r="T516" s="5">
        <v>0</v>
      </c>
      <c r="U516" s="11">
        <v>0</v>
      </c>
      <c r="V516" s="5">
        <v>0</v>
      </c>
      <c r="W516" s="11">
        <v>0</v>
      </c>
      <c r="X516" s="5">
        <f t="shared" si="129"/>
        <v>28800</v>
      </c>
      <c r="Y516" s="11">
        <v>0.2</v>
      </c>
      <c r="Z516" s="5">
        <f>X516+(X516*Y516)</f>
        <v>34560</v>
      </c>
      <c r="AA516" s="11">
        <f t="shared" si="130"/>
        <v>0.16666666666666666</v>
      </c>
      <c r="AB516" s="11">
        <v>0.1</v>
      </c>
    </row>
    <row r="517" spans="1:28">
      <c r="A517">
        <v>2026</v>
      </c>
      <c r="B517" t="s">
        <v>177</v>
      </c>
      <c r="C517" t="s">
        <v>12</v>
      </c>
      <c r="D517" t="s">
        <v>13</v>
      </c>
      <c r="G517" t="s">
        <v>209</v>
      </c>
      <c r="H517" t="s">
        <v>209</v>
      </c>
      <c r="I517" t="s">
        <v>76</v>
      </c>
      <c r="J517" t="s">
        <v>159</v>
      </c>
      <c r="K517" t="s">
        <v>16</v>
      </c>
      <c r="L517">
        <v>36700</v>
      </c>
      <c r="M517" s="5">
        <v>36700</v>
      </c>
      <c r="O517" s="5"/>
      <c r="P517" s="5">
        <v>0</v>
      </c>
      <c r="Q517" s="11">
        <v>0</v>
      </c>
      <c r="R517" s="5">
        <v>0</v>
      </c>
      <c r="S517" s="12">
        <v>0</v>
      </c>
      <c r="T517" s="5">
        <v>0</v>
      </c>
      <c r="U517" s="11">
        <v>0</v>
      </c>
      <c r="V517" s="5">
        <v>0</v>
      </c>
      <c r="W517" s="11">
        <v>0</v>
      </c>
      <c r="X517" s="5">
        <f t="shared" si="129"/>
        <v>36700</v>
      </c>
      <c r="Y517" s="11">
        <v>0.2</v>
      </c>
      <c r="Z517" s="5">
        <f t="shared" ref="Z517:Z530" si="131">X517+(X517*Y517)</f>
        <v>44040</v>
      </c>
      <c r="AA517" s="11">
        <f t="shared" si="130"/>
        <v>0.16666666666666666</v>
      </c>
      <c r="AB517" s="11">
        <v>0.1</v>
      </c>
    </row>
    <row r="518" spans="1:28">
      <c r="A518">
        <v>2026</v>
      </c>
      <c r="B518" t="s">
        <v>177</v>
      </c>
      <c r="C518" t="s">
        <v>12</v>
      </c>
      <c r="D518" t="s">
        <v>13</v>
      </c>
      <c r="G518" t="s">
        <v>209</v>
      </c>
      <c r="H518" t="s">
        <v>209</v>
      </c>
      <c r="I518" t="s">
        <v>91</v>
      </c>
      <c r="J518" t="s">
        <v>160</v>
      </c>
      <c r="K518" t="s">
        <v>16</v>
      </c>
      <c r="L518">
        <v>28000</v>
      </c>
      <c r="M518" s="5">
        <v>28000</v>
      </c>
      <c r="O518" s="5"/>
      <c r="P518" s="5">
        <v>0</v>
      </c>
      <c r="Q518" s="11">
        <v>0</v>
      </c>
      <c r="R518" s="5">
        <v>0</v>
      </c>
      <c r="S518" s="12">
        <v>0</v>
      </c>
      <c r="T518" s="5">
        <v>0</v>
      </c>
      <c r="U518" s="11">
        <v>0</v>
      </c>
      <c r="V518" s="5">
        <v>0</v>
      </c>
      <c r="W518" s="11">
        <v>0</v>
      </c>
      <c r="X518" s="5">
        <f t="shared" si="129"/>
        <v>28000</v>
      </c>
      <c r="Y518" s="11">
        <v>0.2</v>
      </c>
      <c r="Z518" s="5">
        <f t="shared" si="131"/>
        <v>33600</v>
      </c>
      <c r="AA518" s="11">
        <f t="shared" si="130"/>
        <v>0.16666666666666666</v>
      </c>
      <c r="AB518" s="11">
        <v>0.1</v>
      </c>
    </row>
    <row r="519" spans="1:28">
      <c r="A519">
        <v>2026</v>
      </c>
      <c r="B519" t="s">
        <v>177</v>
      </c>
      <c r="C519" t="s">
        <v>12</v>
      </c>
      <c r="D519" t="s">
        <v>13</v>
      </c>
      <c r="G519" t="s">
        <v>209</v>
      </c>
      <c r="H519" t="s">
        <v>209</v>
      </c>
      <c r="I519" t="s">
        <v>97</v>
      </c>
      <c r="J519" t="s">
        <v>160</v>
      </c>
      <c r="K519" t="s">
        <v>16</v>
      </c>
      <c r="L519">
        <v>36700</v>
      </c>
      <c r="M519" s="5">
        <v>36700</v>
      </c>
      <c r="O519" s="5"/>
      <c r="P519" s="5">
        <v>0</v>
      </c>
      <c r="Q519" s="11">
        <v>0</v>
      </c>
      <c r="R519" s="5">
        <v>0</v>
      </c>
      <c r="S519" s="12">
        <v>0</v>
      </c>
      <c r="T519" s="5">
        <v>0</v>
      </c>
      <c r="U519" s="11">
        <v>0</v>
      </c>
      <c r="V519" s="5">
        <v>0</v>
      </c>
      <c r="W519" s="11">
        <v>0</v>
      </c>
      <c r="X519" s="5">
        <f t="shared" si="129"/>
        <v>36700</v>
      </c>
      <c r="Y519" s="11">
        <v>0.2</v>
      </c>
      <c r="Z519" s="5">
        <f t="shared" si="131"/>
        <v>44040</v>
      </c>
      <c r="AA519" s="11">
        <f t="shared" si="130"/>
        <v>0.16666666666666666</v>
      </c>
      <c r="AB519" s="11">
        <v>0.1</v>
      </c>
    </row>
    <row r="520" spans="1:28">
      <c r="A520">
        <v>2026</v>
      </c>
      <c r="B520" t="s">
        <v>177</v>
      </c>
      <c r="C520" t="s">
        <v>12</v>
      </c>
      <c r="D520" t="s">
        <v>13</v>
      </c>
      <c r="G520" t="s">
        <v>209</v>
      </c>
      <c r="H520" t="s">
        <v>209</v>
      </c>
      <c r="I520" t="s">
        <v>103</v>
      </c>
      <c r="J520" t="s">
        <v>160</v>
      </c>
      <c r="K520" t="s">
        <v>16</v>
      </c>
      <c r="L520">
        <v>21900</v>
      </c>
      <c r="M520" s="5">
        <v>21900</v>
      </c>
      <c r="O520" s="5"/>
      <c r="P520" s="5">
        <v>0</v>
      </c>
      <c r="Q520" s="11">
        <v>0</v>
      </c>
      <c r="R520" s="5">
        <v>0</v>
      </c>
      <c r="S520" s="12">
        <v>0</v>
      </c>
      <c r="T520" s="5">
        <v>0</v>
      </c>
      <c r="U520" s="11">
        <v>0</v>
      </c>
      <c r="V520" s="5">
        <v>0</v>
      </c>
      <c r="W520" s="11">
        <v>0</v>
      </c>
      <c r="X520" s="5">
        <f t="shared" si="129"/>
        <v>21900</v>
      </c>
      <c r="Y520" s="11">
        <v>0.2</v>
      </c>
      <c r="Z520" s="5">
        <f t="shared" si="131"/>
        <v>26280</v>
      </c>
      <c r="AA520" s="11">
        <f t="shared" si="130"/>
        <v>0.16666666666666666</v>
      </c>
      <c r="AB520" s="11">
        <v>0.1</v>
      </c>
    </row>
    <row r="521" spans="1:28">
      <c r="A521">
        <v>2026</v>
      </c>
      <c r="B521" t="s">
        <v>177</v>
      </c>
      <c r="C521" t="s">
        <v>12</v>
      </c>
      <c r="D521" t="s">
        <v>13</v>
      </c>
      <c r="G521" t="s">
        <v>209</v>
      </c>
      <c r="H521" t="s">
        <v>209</v>
      </c>
      <c r="I521" t="s">
        <v>107</v>
      </c>
      <c r="J521" t="s">
        <v>160</v>
      </c>
      <c r="K521" t="s">
        <v>16</v>
      </c>
      <c r="L521">
        <v>114900</v>
      </c>
      <c r="M521" s="5">
        <v>114900</v>
      </c>
      <c r="O521" s="5"/>
      <c r="P521" s="5">
        <v>0</v>
      </c>
      <c r="Q521" s="11">
        <v>0</v>
      </c>
      <c r="R521" s="5">
        <v>0</v>
      </c>
      <c r="S521" s="12">
        <v>0</v>
      </c>
      <c r="T521" s="5">
        <v>0</v>
      </c>
      <c r="U521" s="11">
        <v>0</v>
      </c>
      <c r="V521" s="5">
        <v>0</v>
      </c>
      <c r="W521" s="11">
        <v>0</v>
      </c>
      <c r="X521" s="5">
        <f t="shared" si="129"/>
        <v>114900</v>
      </c>
      <c r="Y521" s="11">
        <v>0.2</v>
      </c>
      <c r="Z521" s="5">
        <f t="shared" si="131"/>
        <v>137880</v>
      </c>
      <c r="AA521" s="11">
        <f t="shared" si="130"/>
        <v>0.16666666666666666</v>
      </c>
      <c r="AB521" s="11">
        <v>0.1</v>
      </c>
    </row>
    <row r="522" spans="1:28">
      <c r="A522">
        <v>2026</v>
      </c>
      <c r="B522" t="s">
        <v>177</v>
      </c>
      <c r="C522" t="s">
        <v>12</v>
      </c>
      <c r="D522" t="s">
        <v>13</v>
      </c>
      <c r="G522" t="s">
        <v>209</v>
      </c>
      <c r="H522" t="s">
        <v>209</v>
      </c>
      <c r="I522" t="s">
        <v>110</v>
      </c>
      <c r="J522" t="s">
        <v>160</v>
      </c>
      <c r="K522" t="s">
        <v>16</v>
      </c>
      <c r="L522">
        <v>28000</v>
      </c>
      <c r="M522" s="5">
        <v>28000</v>
      </c>
      <c r="O522" s="5"/>
      <c r="P522" s="5">
        <v>0</v>
      </c>
      <c r="Q522" s="11">
        <v>0</v>
      </c>
      <c r="R522" s="5">
        <v>0</v>
      </c>
      <c r="S522" s="12">
        <v>0</v>
      </c>
      <c r="T522" s="5">
        <v>0</v>
      </c>
      <c r="U522" s="11">
        <v>0</v>
      </c>
      <c r="V522" s="5">
        <v>0</v>
      </c>
      <c r="W522" s="11">
        <v>0</v>
      </c>
      <c r="X522" s="5">
        <f t="shared" si="129"/>
        <v>28000</v>
      </c>
      <c r="Y522" s="11">
        <v>0.2</v>
      </c>
      <c r="Z522" s="5">
        <f t="shared" si="131"/>
        <v>33600</v>
      </c>
      <c r="AA522" s="11">
        <f t="shared" si="130"/>
        <v>0.16666666666666666</v>
      </c>
      <c r="AB522" s="11">
        <v>0.1</v>
      </c>
    </row>
    <row r="523" spans="1:28">
      <c r="A523">
        <v>2026</v>
      </c>
      <c r="B523" t="s">
        <v>177</v>
      </c>
      <c r="C523" t="s">
        <v>12</v>
      </c>
      <c r="D523" t="s">
        <v>13</v>
      </c>
      <c r="G523" t="s">
        <v>209</v>
      </c>
      <c r="H523" t="s">
        <v>209</v>
      </c>
      <c r="I523" t="s">
        <v>111</v>
      </c>
      <c r="J523" t="s">
        <v>160</v>
      </c>
      <c r="K523" t="s">
        <v>16</v>
      </c>
      <c r="L523">
        <v>49200</v>
      </c>
      <c r="M523" s="5">
        <v>49200</v>
      </c>
      <c r="O523" s="5"/>
      <c r="P523" s="5">
        <v>0</v>
      </c>
      <c r="Q523" s="11">
        <v>0</v>
      </c>
      <c r="R523" s="5">
        <v>0</v>
      </c>
      <c r="S523" s="12">
        <v>0</v>
      </c>
      <c r="T523" s="5">
        <v>0</v>
      </c>
      <c r="U523" s="11">
        <v>0</v>
      </c>
      <c r="V523" s="5">
        <v>0</v>
      </c>
      <c r="W523" s="11">
        <v>0</v>
      </c>
      <c r="X523" s="5">
        <f t="shared" si="129"/>
        <v>49200</v>
      </c>
      <c r="Y523" s="11">
        <v>0.2</v>
      </c>
      <c r="Z523" s="5">
        <f t="shared" si="131"/>
        <v>59040</v>
      </c>
      <c r="AA523" s="11">
        <f t="shared" si="130"/>
        <v>0.16666666666666666</v>
      </c>
      <c r="AB523" s="11">
        <v>0.1</v>
      </c>
    </row>
    <row r="524" spans="1:28">
      <c r="A524">
        <v>2026</v>
      </c>
      <c r="B524" t="s">
        <v>177</v>
      </c>
      <c r="C524" t="s">
        <v>12</v>
      </c>
      <c r="D524" t="s">
        <v>13</v>
      </c>
      <c r="G524" t="s">
        <v>209</v>
      </c>
      <c r="H524" t="s">
        <v>209</v>
      </c>
      <c r="I524" t="s">
        <v>112</v>
      </c>
      <c r="J524" t="s">
        <v>160</v>
      </c>
      <c r="K524" t="s">
        <v>16</v>
      </c>
      <c r="L524">
        <v>141600</v>
      </c>
      <c r="M524" s="5">
        <v>141600</v>
      </c>
      <c r="O524" s="5"/>
      <c r="P524" s="5">
        <v>0</v>
      </c>
      <c r="Q524" s="11">
        <v>0</v>
      </c>
      <c r="R524" s="5">
        <v>0</v>
      </c>
      <c r="S524" s="12">
        <v>0</v>
      </c>
      <c r="T524" s="5">
        <v>0</v>
      </c>
      <c r="U524" s="11">
        <v>0</v>
      </c>
      <c r="V524" s="5">
        <v>0</v>
      </c>
      <c r="W524" s="11">
        <v>0</v>
      </c>
      <c r="X524" s="5">
        <f t="shared" si="129"/>
        <v>141600</v>
      </c>
      <c r="Y524" s="11">
        <v>0.2</v>
      </c>
      <c r="Z524" s="5">
        <f t="shared" si="131"/>
        <v>169920</v>
      </c>
      <c r="AA524" s="11">
        <f t="shared" si="130"/>
        <v>0.16666666666666666</v>
      </c>
      <c r="AB524" s="11">
        <v>0.1</v>
      </c>
    </row>
    <row r="525" spans="1:28">
      <c r="A525">
        <v>2026</v>
      </c>
      <c r="B525" t="s">
        <v>177</v>
      </c>
      <c r="C525" t="s">
        <v>12</v>
      </c>
      <c r="D525" t="s">
        <v>13</v>
      </c>
      <c r="G525" t="s">
        <v>209</v>
      </c>
      <c r="H525" t="s">
        <v>209</v>
      </c>
      <c r="I525" t="s">
        <v>113</v>
      </c>
      <c r="J525" t="s">
        <v>160</v>
      </c>
      <c r="K525" t="s">
        <v>16</v>
      </c>
      <c r="L525">
        <v>174700</v>
      </c>
      <c r="M525" s="5">
        <v>174700</v>
      </c>
      <c r="O525" s="5"/>
      <c r="P525" s="5">
        <v>0</v>
      </c>
      <c r="Q525" s="11">
        <v>0</v>
      </c>
      <c r="R525" s="5">
        <v>0</v>
      </c>
      <c r="S525" s="12">
        <v>0</v>
      </c>
      <c r="T525" s="5">
        <v>0</v>
      </c>
      <c r="U525" s="11">
        <v>0</v>
      </c>
      <c r="V525" s="5">
        <v>0</v>
      </c>
      <c r="W525" s="11">
        <v>0</v>
      </c>
      <c r="X525" s="5">
        <f t="shared" si="129"/>
        <v>174700</v>
      </c>
      <c r="Y525" s="11">
        <v>0.2</v>
      </c>
      <c r="Z525" s="5">
        <f t="shared" si="131"/>
        <v>209640</v>
      </c>
      <c r="AA525" s="11">
        <f t="shared" si="130"/>
        <v>0.16666666666666666</v>
      </c>
      <c r="AB525" s="11">
        <v>0.1</v>
      </c>
    </row>
    <row r="526" spans="1:28">
      <c r="A526">
        <v>2026</v>
      </c>
      <c r="B526" t="s">
        <v>177</v>
      </c>
      <c r="C526" t="s">
        <v>12</v>
      </c>
      <c r="D526" t="s">
        <v>13</v>
      </c>
      <c r="G526" t="s">
        <v>209</v>
      </c>
      <c r="H526" t="s">
        <v>209</v>
      </c>
      <c r="I526" t="s">
        <v>114</v>
      </c>
      <c r="J526" t="s">
        <v>160</v>
      </c>
      <c r="K526" t="s">
        <v>16</v>
      </c>
      <c r="L526">
        <v>204000</v>
      </c>
      <c r="M526" s="5">
        <v>204000</v>
      </c>
      <c r="O526" s="5"/>
      <c r="P526" s="5">
        <v>0</v>
      </c>
      <c r="Q526" s="11">
        <v>0</v>
      </c>
      <c r="R526" s="5">
        <v>0</v>
      </c>
      <c r="S526" s="12">
        <v>0</v>
      </c>
      <c r="T526" s="5">
        <v>0</v>
      </c>
      <c r="U526" s="11">
        <v>0</v>
      </c>
      <c r="V526" s="5">
        <v>0</v>
      </c>
      <c r="W526" s="11">
        <v>0</v>
      </c>
      <c r="X526" s="5">
        <f t="shared" si="129"/>
        <v>204000</v>
      </c>
      <c r="Y526" s="11">
        <v>0.2</v>
      </c>
      <c r="Z526" s="5">
        <f t="shared" si="131"/>
        <v>244800</v>
      </c>
      <c r="AA526" s="11">
        <f t="shared" si="130"/>
        <v>0.16666666666666666</v>
      </c>
      <c r="AB526" s="11">
        <v>0.1</v>
      </c>
    </row>
    <row r="527" spans="1:28">
      <c r="A527">
        <v>2026</v>
      </c>
      <c r="B527" t="s">
        <v>177</v>
      </c>
      <c r="C527" t="s">
        <v>12</v>
      </c>
      <c r="D527" t="s">
        <v>13</v>
      </c>
      <c r="G527" t="s">
        <v>209</v>
      </c>
      <c r="H527" t="s">
        <v>209</v>
      </c>
      <c r="I527" t="s">
        <v>119</v>
      </c>
      <c r="J527" t="s">
        <v>160</v>
      </c>
      <c r="K527" t="s">
        <v>16</v>
      </c>
      <c r="L527">
        <v>49000</v>
      </c>
      <c r="M527" s="5">
        <v>49000</v>
      </c>
      <c r="O527" s="5"/>
      <c r="P527" s="5">
        <v>0</v>
      </c>
      <c r="Q527" s="11">
        <v>0</v>
      </c>
      <c r="R527" s="5">
        <v>0</v>
      </c>
      <c r="S527" s="12">
        <v>0</v>
      </c>
      <c r="T527" s="5">
        <v>0</v>
      </c>
      <c r="U527" s="11">
        <v>0</v>
      </c>
      <c r="V527" s="5">
        <v>0</v>
      </c>
      <c r="W527" s="11">
        <v>0</v>
      </c>
      <c r="X527" s="5">
        <f t="shared" si="129"/>
        <v>49000</v>
      </c>
      <c r="Y527" s="11">
        <v>0.2</v>
      </c>
      <c r="Z527" s="5">
        <f t="shared" si="131"/>
        <v>58800</v>
      </c>
      <c r="AA527" s="11">
        <f t="shared" si="130"/>
        <v>0.16666666666666666</v>
      </c>
      <c r="AB527" s="11">
        <v>0.1</v>
      </c>
    </row>
    <row r="528" spans="1:28">
      <c r="A528">
        <v>2026</v>
      </c>
      <c r="B528" t="s">
        <v>177</v>
      </c>
      <c r="C528" t="s">
        <v>12</v>
      </c>
      <c r="D528" t="s">
        <v>13</v>
      </c>
      <c r="G528" t="s">
        <v>209</v>
      </c>
      <c r="H528" t="s">
        <v>209</v>
      </c>
      <c r="I528" t="s">
        <v>122</v>
      </c>
      <c r="J528" t="s">
        <v>159</v>
      </c>
      <c r="K528" t="s">
        <v>16</v>
      </c>
      <c r="L528">
        <v>224100</v>
      </c>
      <c r="M528" s="5">
        <v>224100</v>
      </c>
      <c r="O528" s="5"/>
      <c r="P528" s="5">
        <v>0</v>
      </c>
      <c r="Q528" s="11">
        <v>0</v>
      </c>
      <c r="R528" s="5">
        <v>0</v>
      </c>
      <c r="S528" s="12">
        <v>0</v>
      </c>
      <c r="T528" s="5">
        <v>0</v>
      </c>
      <c r="U528" s="11">
        <v>0</v>
      </c>
      <c r="V528" s="5">
        <v>0</v>
      </c>
      <c r="W528" s="11">
        <v>0</v>
      </c>
      <c r="X528" s="5">
        <f t="shared" si="129"/>
        <v>224100</v>
      </c>
      <c r="Y528" s="11">
        <v>0.2</v>
      </c>
      <c r="Z528" s="5">
        <f t="shared" si="131"/>
        <v>268920</v>
      </c>
      <c r="AA528" s="11">
        <f t="shared" si="130"/>
        <v>0.16666666666666666</v>
      </c>
      <c r="AB528" s="11">
        <v>0.1</v>
      </c>
    </row>
    <row r="529" spans="1:28">
      <c r="A529">
        <v>2026</v>
      </c>
      <c r="B529" t="s">
        <v>177</v>
      </c>
      <c r="C529" t="s">
        <v>12</v>
      </c>
      <c r="D529" t="s">
        <v>13</v>
      </c>
      <c r="G529" t="s">
        <v>209</v>
      </c>
      <c r="H529" t="s">
        <v>209</v>
      </c>
      <c r="I529" t="s">
        <v>126</v>
      </c>
      <c r="J529" t="s">
        <v>159</v>
      </c>
      <c r="K529" t="s">
        <v>16</v>
      </c>
      <c r="L529">
        <v>38000</v>
      </c>
      <c r="M529" s="5">
        <v>38000</v>
      </c>
      <c r="O529" s="5"/>
      <c r="P529" s="5">
        <v>0</v>
      </c>
      <c r="Q529" s="11">
        <v>0</v>
      </c>
      <c r="R529" s="5">
        <v>0</v>
      </c>
      <c r="S529" s="12">
        <v>0</v>
      </c>
      <c r="T529" s="5">
        <v>0</v>
      </c>
      <c r="U529" s="11">
        <v>0</v>
      </c>
      <c r="V529" s="5">
        <v>0</v>
      </c>
      <c r="W529" s="11">
        <v>0</v>
      </c>
      <c r="X529" s="5">
        <f t="shared" si="129"/>
        <v>38000</v>
      </c>
      <c r="Y529" s="11">
        <v>0.2</v>
      </c>
      <c r="Z529" s="5">
        <f t="shared" si="131"/>
        <v>45600</v>
      </c>
      <c r="AA529" s="11">
        <f t="shared" si="130"/>
        <v>0.16666666666666666</v>
      </c>
      <c r="AB529" s="11">
        <v>0.1</v>
      </c>
    </row>
    <row r="530" spans="1:28">
      <c r="A530">
        <v>2026</v>
      </c>
      <c r="B530" t="s">
        <v>177</v>
      </c>
      <c r="C530" t="s">
        <v>12</v>
      </c>
      <c r="D530" t="s">
        <v>13</v>
      </c>
      <c r="G530" t="s">
        <v>209</v>
      </c>
      <c r="H530" t="s">
        <v>209</v>
      </c>
      <c r="I530" t="s">
        <v>127</v>
      </c>
      <c r="J530" t="s">
        <v>159</v>
      </c>
      <c r="K530" t="s">
        <v>16</v>
      </c>
      <c r="L530">
        <v>39800</v>
      </c>
      <c r="M530" s="5">
        <v>39800</v>
      </c>
      <c r="O530" s="5"/>
      <c r="P530" s="5">
        <v>0</v>
      </c>
      <c r="Q530" s="11">
        <v>0</v>
      </c>
      <c r="R530" s="5">
        <v>0</v>
      </c>
      <c r="S530" s="12">
        <v>0</v>
      </c>
      <c r="T530" s="5">
        <v>0</v>
      </c>
      <c r="U530" s="11">
        <v>0</v>
      </c>
      <c r="V530" s="5">
        <v>0</v>
      </c>
      <c r="W530" s="11">
        <v>0</v>
      </c>
      <c r="X530" s="5">
        <f t="shared" si="129"/>
        <v>39800</v>
      </c>
      <c r="Y530" s="11">
        <v>0.2</v>
      </c>
      <c r="Z530" s="5">
        <f t="shared" si="131"/>
        <v>47760</v>
      </c>
      <c r="AA530" s="11">
        <f t="shared" si="130"/>
        <v>0.16666666666666666</v>
      </c>
      <c r="AB530" s="11">
        <v>0.1</v>
      </c>
    </row>
    <row r="531" spans="1:28">
      <c r="A531">
        <v>2026</v>
      </c>
      <c r="B531" t="s">
        <v>178</v>
      </c>
      <c r="C531" t="s">
        <v>12</v>
      </c>
      <c r="D531" t="s">
        <v>13</v>
      </c>
      <c r="G531" t="s">
        <v>209</v>
      </c>
      <c r="H531" t="s">
        <v>209</v>
      </c>
      <c r="I531" t="s">
        <v>71</v>
      </c>
      <c r="J531" t="s">
        <v>159</v>
      </c>
      <c r="K531" t="s">
        <v>16</v>
      </c>
      <c r="L531">
        <v>28800</v>
      </c>
      <c r="M531" s="5">
        <v>28800</v>
      </c>
      <c r="O531" s="5"/>
      <c r="P531" s="5">
        <v>0</v>
      </c>
      <c r="Q531" s="11">
        <v>0</v>
      </c>
      <c r="R531" s="5">
        <v>0</v>
      </c>
      <c r="S531" s="12">
        <v>0</v>
      </c>
      <c r="T531" s="5">
        <v>0</v>
      </c>
      <c r="U531" s="11">
        <v>0</v>
      </c>
      <c r="V531" s="5">
        <v>0</v>
      </c>
      <c r="W531" s="11">
        <v>0</v>
      </c>
      <c r="X531" s="5">
        <f t="shared" si="129"/>
        <v>28800</v>
      </c>
      <c r="Y531" s="11">
        <v>0.2</v>
      </c>
      <c r="Z531" s="5">
        <f>X531+(X531*Y531)</f>
        <v>34560</v>
      </c>
      <c r="AA531" s="11">
        <f t="shared" si="130"/>
        <v>0.16666666666666666</v>
      </c>
      <c r="AB531" s="11">
        <v>0.1</v>
      </c>
    </row>
    <row r="532" spans="1:28">
      <c r="A532">
        <v>2026</v>
      </c>
      <c r="B532" t="s">
        <v>178</v>
      </c>
      <c r="C532" t="s">
        <v>12</v>
      </c>
      <c r="D532" t="s">
        <v>13</v>
      </c>
      <c r="G532" t="s">
        <v>209</v>
      </c>
      <c r="H532" t="s">
        <v>209</v>
      </c>
      <c r="I532" t="s">
        <v>76</v>
      </c>
      <c r="J532" t="s">
        <v>159</v>
      </c>
      <c r="K532" t="s">
        <v>16</v>
      </c>
      <c r="L532">
        <v>36700</v>
      </c>
      <c r="M532" s="5">
        <v>36700</v>
      </c>
      <c r="O532" s="5"/>
      <c r="P532" s="5">
        <v>0</v>
      </c>
      <c r="Q532" s="11">
        <v>0</v>
      </c>
      <c r="R532" s="5">
        <v>0</v>
      </c>
      <c r="S532" s="12">
        <v>0</v>
      </c>
      <c r="T532" s="5">
        <v>0</v>
      </c>
      <c r="U532" s="11">
        <v>0</v>
      </c>
      <c r="V532" s="5">
        <v>0</v>
      </c>
      <c r="W532" s="11">
        <v>0</v>
      </c>
      <c r="X532" s="5">
        <f t="shared" si="129"/>
        <v>36700</v>
      </c>
      <c r="Y532" s="11">
        <v>0.2</v>
      </c>
      <c r="Z532" s="5">
        <f t="shared" ref="Z532:Z545" si="132">X532+(X532*Y532)</f>
        <v>44040</v>
      </c>
      <c r="AA532" s="11">
        <f t="shared" si="130"/>
        <v>0.16666666666666666</v>
      </c>
      <c r="AB532" s="11">
        <v>0.1</v>
      </c>
    </row>
    <row r="533" spans="1:28">
      <c r="A533">
        <v>2026</v>
      </c>
      <c r="B533" t="s">
        <v>178</v>
      </c>
      <c r="C533" t="s">
        <v>12</v>
      </c>
      <c r="D533" t="s">
        <v>13</v>
      </c>
      <c r="G533" t="s">
        <v>209</v>
      </c>
      <c r="H533" t="s">
        <v>209</v>
      </c>
      <c r="I533" t="s">
        <v>91</v>
      </c>
      <c r="J533" t="s">
        <v>160</v>
      </c>
      <c r="K533" t="s">
        <v>16</v>
      </c>
      <c r="L533">
        <v>28000</v>
      </c>
      <c r="M533" s="5">
        <v>28000</v>
      </c>
      <c r="O533" s="5"/>
      <c r="P533" s="5">
        <v>0</v>
      </c>
      <c r="Q533" s="11">
        <v>0</v>
      </c>
      <c r="R533" s="5">
        <v>0</v>
      </c>
      <c r="S533" s="12">
        <v>0</v>
      </c>
      <c r="T533" s="5">
        <v>0</v>
      </c>
      <c r="U533" s="11">
        <v>0</v>
      </c>
      <c r="V533" s="5">
        <v>0</v>
      </c>
      <c r="W533" s="11">
        <v>0</v>
      </c>
      <c r="X533" s="5">
        <f t="shared" si="129"/>
        <v>28000</v>
      </c>
      <c r="Y533" s="11">
        <v>0.2</v>
      </c>
      <c r="Z533" s="5">
        <f t="shared" si="132"/>
        <v>33600</v>
      </c>
      <c r="AA533" s="11">
        <f t="shared" si="130"/>
        <v>0.16666666666666666</v>
      </c>
      <c r="AB533" s="11">
        <v>0.1</v>
      </c>
    </row>
    <row r="534" spans="1:28">
      <c r="A534">
        <v>2026</v>
      </c>
      <c r="B534" t="s">
        <v>178</v>
      </c>
      <c r="C534" t="s">
        <v>12</v>
      </c>
      <c r="D534" t="s">
        <v>13</v>
      </c>
      <c r="G534" t="s">
        <v>209</v>
      </c>
      <c r="H534" t="s">
        <v>209</v>
      </c>
      <c r="I534" t="s">
        <v>97</v>
      </c>
      <c r="J534" t="s">
        <v>160</v>
      </c>
      <c r="K534" t="s">
        <v>16</v>
      </c>
      <c r="L534">
        <v>36700</v>
      </c>
      <c r="M534" s="5">
        <v>36700</v>
      </c>
      <c r="O534" s="5"/>
      <c r="P534" s="5">
        <v>0</v>
      </c>
      <c r="Q534" s="11">
        <v>0</v>
      </c>
      <c r="R534" s="5">
        <v>0</v>
      </c>
      <c r="S534" s="12">
        <v>0</v>
      </c>
      <c r="T534" s="5">
        <v>0</v>
      </c>
      <c r="U534" s="11">
        <v>0</v>
      </c>
      <c r="V534" s="5">
        <v>0</v>
      </c>
      <c r="W534" s="11">
        <v>0</v>
      </c>
      <c r="X534" s="5">
        <f t="shared" si="129"/>
        <v>36700</v>
      </c>
      <c r="Y534" s="11">
        <v>0.2</v>
      </c>
      <c r="Z534" s="5">
        <f t="shared" si="132"/>
        <v>44040</v>
      </c>
      <c r="AA534" s="11">
        <f t="shared" si="130"/>
        <v>0.16666666666666666</v>
      </c>
      <c r="AB534" s="11">
        <v>0.1</v>
      </c>
    </row>
    <row r="535" spans="1:28">
      <c r="A535">
        <v>2026</v>
      </c>
      <c r="B535" t="s">
        <v>178</v>
      </c>
      <c r="C535" t="s">
        <v>12</v>
      </c>
      <c r="D535" t="s">
        <v>13</v>
      </c>
      <c r="G535" t="s">
        <v>209</v>
      </c>
      <c r="H535" t="s">
        <v>209</v>
      </c>
      <c r="I535" t="s">
        <v>103</v>
      </c>
      <c r="J535" t="s">
        <v>160</v>
      </c>
      <c r="K535" t="s">
        <v>16</v>
      </c>
      <c r="L535">
        <v>21900</v>
      </c>
      <c r="M535" s="5">
        <v>21900</v>
      </c>
      <c r="O535" s="5"/>
      <c r="P535" s="5">
        <v>0</v>
      </c>
      <c r="Q535" s="11">
        <v>0</v>
      </c>
      <c r="R535" s="5">
        <v>0</v>
      </c>
      <c r="S535" s="12">
        <v>0</v>
      </c>
      <c r="T535" s="5">
        <v>0</v>
      </c>
      <c r="U535" s="11">
        <v>0</v>
      </c>
      <c r="V535" s="5">
        <v>0</v>
      </c>
      <c r="W535" s="11">
        <v>0</v>
      </c>
      <c r="X535" s="5">
        <f t="shared" ref="X535:X566" si="133">M535</f>
        <v>21900</v>
      </c>
      <c r="Y535" s="11">
        <v>0.2</v>
      </c>
      <c r="Z535" s="5">
        <f t="shared" si="132"/>
        <v>26280</v>
      </c>
      <c r="AA535" s="11">
        <f t="shared" si="130"/>
        <v>0.16666666666666666</v>
      </c>
      <c r="AB535" s="11">
        <v>0.1</v>
      </c>
    </row>
    <row r="536" spans="1:28">
      <c r="A536">
        <v>2026</v>
      </c>
      <c r="B536" t="s">
        <v>178</v>
      </c>
      <c r="C536" t="s">
        <v>12</v>
      </c>
      <c r="D536" t="s">
        <v>13</v>
      </c>
      <c r="G536" t="s">
        <v>209</v>
      </c>
      <c r="H536" t="s">
        <v>209</v>
      </c>
      <c r="I536" t="s">
        <v>107</v>
      </c>
      <c r="J536" t="s">
        <v>160</v>
      </c>
      <c r="K536" t="s">
        <v>16</v>
      </c>
      <c r="L536">
        <v>114900</v>
      </c>
      <c r="M536" s="5">
        <v>114900</v>
      </c>
      <c r="O536" s="5"/>
      <c r="P536" s="5">
        <v>0</v>
      </c>
      <c r="Q536" s="11">
        <v>0</v>
      </c>
      <c r="R536" s="5">
        <v>0</v>
      </c>
      <c r="S536" s="12">
        <v>0</v>
      </c>
      <c r="T536" s="5">
        <v>0</v>
      </c>
      <c r="U536" s="11">
        <v>0</v>
      </c>
      <c r="V536" s="5">
        <v>0</v>
      </c>
      <c r="W536" s="11">
        <v>0</v>
      </c>
      <c r="X536" s="5">
        <f t="shared" si="133"/>
        <v>114900</v>
      </c>
      <c r="Y536" s="11">
        <v>0.2</v>
      </c>
      <c r="Z536" s="5">
        <f t="shared" si="132"/>
        <v>137880</v>
      </c>
      <c r="AA536" s="11">
        <f t="shared" si="130"/>
        <v>0.16666666666666666</v>
      </c>
      <c r="AB536" s="11">
        <v>0.1</v>
      </c>
    </row>
    <row r="537" spans="1:28">
      <c r="A537">
        <v>2026</v>
      </c>
      <c r="B537" t="s">
        <v>178</v>
      </c>
      <c r="C537" t="s">
        <v>12</v>
      </c>
      <c r="D537" t="s">
        <v>13</v>
      </c>
      <c r="G537" t="s">
        <v>209</v>
      </c>
      <c r="H537" t="s">
        <v>209</v>
      </c>
      <c r="I537" t="s">
        <v>110</v>
      </c>
      <c r="J537" t="s">
        <v>160</v>
      </c>
      <c r="K537" t="s">
        <v>16</v>
      </c>
      <c r="L537">
        <v>28000</v>
      </c>
      <c r="M537" s="5">
        <v>28000</v>
      </c>
      <c r="O537" s="5"/>
      <c r="P537" s="5">
        <v>0</v>
      </c>
      <c r="Q537" s="11">
        <v>0</v>
      </c>
      <c r="R537" s="5">
        <v>0</v>
      </c>
      <c r="S537" s="12">
        <v>0</v>
      </c>
      <c r="T537" s="5">
        <v>0</v>
      </c>
      <c r="U537" s="11">
        <v>0</v>
      </c>
      <c r="V537" s="5">
        <v>0</v>
      </c>
      <c r="W537" s="11">
        <v>0</v>
      </c>
      <c r="X537" s="5">
        <f t="shared" si="133"/>
        <v>28000</v>
      </c>
      <c r="Y537" s="11">
        <v>0.2</v>
      </c>
      <c r="Z537" s="5">
        <f t="shared" si="132"/>
        <v>33600</v>
      </c>
      <c r="AA537" s="11">
        <f t="shared" si="130"/>
        <v>0.16666666666666666</v>
      </c>
      <c r="AB537" s="11">
        <v>0.1</v>
      </c>
    </row>
    <row r="538" spans="1:28">
      <c r="A538">
        <v>2026</v>
      </c>
      <c r="B538" t="s">
        <v>178</v>
      </c>
      <c r="C538" t="s">
        <v>12</v>
      </c>
      <c r="D538" t="s">
        <v>13</v>
      </c>
      <c r="G538" t="s">
        <v>209</v>
      </c>
      <c r="H538" t="s">
        <v>209</v>
      </c>
      <c r="I538" t="s">
        <v>111</v>
      </c>
      <c r="J538" t="s">
        <v>160</v>
      </c>
      <c r="K538" t="s">
        <v>16</v>
      </c>
      <c r="L538">
        <v>49200</v>
      </c>
      <c r="M538" s="5">
        <v>49200</v>
      </c>
      <c r="O538" s="5"/>
      <c r="P538" s="5">
        <v>0</v>
      </c>
      <c r="Q538" s="11">
        <v>0</v>
      </c>
      <c r="R538" s="5">
        <v>0</v>
      </c>
      <c r="S538" s="12">
        <v>0</v>
      </c>
      <c r="T538" s="5">
        <v>0</v>
      </c>
      <c r="U538" s="11">
        <v>0</v>
      </c>
      <c r="V538" s="5">
        <v>0</v>
      </c>
      <c r="W538" s="11">
        <v>0</v>
      </c>
      <c r="X538" s="5">
        <f t="shared" si="133"/>
        <v>49200</v>
      </c>
      <c r="Y538" s="11">
        <v>0.2</v>
      </c>
      <c r="Z538" s="5">
        <f t="shared" si="132"/>
        <v>59040</v>
      </c>
      <c r="AA538" s="11">
        <f t="shared" si="130"/>
        <v>0.16666666666666666</v>
      </c>
      <c r="AB538" s="11">
        <v>0.1</v>
      </c>
    </row>
    <row r="539" spans="1:28">
      <c r="A539">
        <v>2026</v>
      </c>
      <c r="B539" t="s">
        <v>178</v>
      </c>
      <c r="C539" t="s">
        <v>12</v>
      </c>
      <c r="D539" t="s">
        <v>13</v>
      </c>
      <c r="G539" t="s">
        <v>209</v>
      </c>
      <c r="H539" t="s">
        <v>209</v>
      </c>
      <c r="I539" t="s">
        <v>112</v>
      </c>
      <c r="J539" t="s">
        <v>160</v>
      </c>
      <c r="K539" t="s">
        <v>16</v>
      </c>
      <c r="L539">
        <v>141600</v>
      </c>
      <c r="M539" s="5">
        <v>141600</v>
      </c>
      <c r="O539" s="5"/>
      <c r="P539" s="5">
        <v>0</v>
      </c>
      <c r="Q539" s="11">
        <v>0</v>
      </c>
      <c r="R539" s="5">
        <v>0</v>
      </c>
      <c r="S539" s="12">
        <v>0</v>
      </c>
      <c r="T539" s="5">
        <v>0</v>
      </c>
      <c r="U539" s="11">
        <v>0</v>
      </c>
      <c r="V539" s="5">
        <v>0</v>
      </c>
      <c r="W539" s="11">
        <v>0</v>
      </c>
      <c r="X539" s="5">
        <f t="shared" si="133"/>
        <v>141600</v>
      </c>
      <c r="Y539" s="11">
        <v>0.2</v>
      </c>
      <c r="Z539" s="5">
        <f t="shared" si="132"/>
        <v>169920</v>
      </c>
      <c r="AA539" s="11">
        <f t="shared" si="130"/>
        <v>0.16666666666666666</v>
      </c>
      <c r="AB539" s="11">
        <v>0.1</v>
      </c>
    </row>
    <row r="540" spans="1:28">
      <c r="A540">
        <v>2026</v>
      </c>
      <c r="B540" t="s">
        <v>178</v>
      </c>
      <c r="C540" t="s">
        <v>12</v>
      </c>
      <c r="D540" t="s">
        <v>13</v>
      </c>
      <c r="G540" t="s">
        <v>209</v>
      </c>
      <c r="H540" t="s">
        <v>209</v>
      </c>
      <c r="I540" t="s">
        <v>113</v>
      </c>
      <c r="J540" t="s">
        <v>160</v>
      </c>
      <c r="K540" t="s">
        <v>16</v>
      </c>
      <c r="L540">
        <v>174700</v>
      </c>
      <c r="M540" s="5">
        <v>174700</v>
      </c>
      <c r="O540" s="5"/>
      <c r="P540" s="5">
        <v>0</v>
      </c>
      <c r="Q540" s="11">
        <v>0</v>
      </c>
      <c r="R540" s="5">
        <v>0</v>
      </c>
      <c r="S540" s="12">
        <v>0</v>
      </c>
      <c r="T540" s="5">
        <v>0</v>
      </c>
      <c r="U540" s="11">
        <v>0</v>
      </c>
      <c r="V540" s="5">
        <v>0</v>
      </c>
      <c r="W540" s="11">
        <v>0</v>
      </c>
      <c r="X540" s="5">
        <f t="shared" si="133"/>
        <v>174700</v>
      </c>
      <c r="Y540" s="11">
        <v>0.2</v>
      </c>
      <c r="Z540" s="5">
        <f t="shared" si="132"/>
        <v>209640</v>
      </c>
      <c r="AA540" s="11">
        <f t="shared" si="130"/>
        <v>0.16666666666666666</v>
      </c>
      <c r="AB540" s="11">
        <v>0.1</v>
      </c>
    </row>
    <row r="541" spans="1:28">
      <c r="A541">
        <v>2026</v>
      </c>
      <c r="B541" t="s">
        <v>178</v>
      </c>
      <c r="C541" t="s">
        <v>12</v>
      </c>
      <c r="D541" t="s">
        <v>13</v>
      </c>
      <c r="G541" t="s">
        <v>209</v>
      </c>
      <c r="H541" t="s">
        <v>209</v>
      </c>
      <c r="I541" t="s">
        <v>114</v>
      </c>
      <c r="J541" t="s">
        <v>160</v>
      </c>
      <c r="K541" t="s">
        <v>16</v>
      </c>
      <c r="L541">
        <v>204000</v>
      </c>
      <c r="M541" s="5">
        <v>204000</v>
      </c>
      <c r="O541" s="5"/>
      <c r="P541" s="5">
        <v>0</v>
      </c>
      <c r="Q541" s="11">
        <v>0</v>
      </c>
      <c r="R541" s="5">
        <v>0</v>
      </c>
      <c r="S541" s="12">
        <v>0</v>
      </c>
      <c r="T541" s="5">
        <v>0</v>
      </c>
      <c r="U541" s="11">
        <v>0</v>
      </c>
      <c r="V541" s="5">
        <v>0</v>
      </c>
      <c r="W541" s="11">
        <v>0</v>
      </c>
      <c r="X541" s="5">
        <f t="shared" si="133"/>
        <v>204000</v>
      </c>
      <c r="Y541" s="11">
        <v>0.2</v>
      </c>
      <c r="Z541" s="5">
        <f t="shared" si="132"/>
        <v>244800</v>
      </c>
      <c r="AA541" s="11">
        <f t="shared" si="130"/>
        <v>0.16666666666666666</v>
      </c>
      <c r="AB541" s="11">
        <v>0.1</v>
      </c>
    </row>
    <row r="542" spans="1:28">
      <c r="A542">
        <v>2026</v>
      </c>
      <c r="B542" t="s">
        <v>178</v>
      </c>
      <c r="C542" t="s">
        <v>12</v>
      </c>
      <c r="D542" t="s">
        <v>13</v>
      </c>
      <c r="G542" t="s">
        <v>209</v>
      </c>
      <c r="H542" t="s">
        <v>209</v>
      </c>
      <c r="I542" t="s">
        <v>119</v>
      </c>
      <c r="J542" t="s">
        <v>160</v>
      </c>
      <c r="K542" t="s">
        <v>16</v>
      </c>
      <c r="L542">
        <v>49000</v>
      </c>
      <c r="M542" s="5">
        <v>49000</v>
      </c>
      <c r="O542" s="5"/>
      <c r="P542" s="5">
        <v>0</v>
      </c>
      <c r="Q542" s="11">
        <v>0</v>
      </c>
      <c r="R542" s="5">
        <v>0</v>
      </c>
      <c r="S542" s="12">
        <v>0</v>
      </c>
      <c r="T542" s="5">
        <v>0</v>
      </c>
      <c r="U542" s="11">
        <v>0</v>
      </c>
      <c r="V542" s="5">
        <v>0</v>
      </c>
      <c r="W542" s="11">
        <v>0</v>
      </c>
      <c r="X542" s="5">
        <f t="shared" si="133"/>
        <v>49000</v>
      </c>
      <c r="Y542" s="11">
        <v>0.2</v>
      </c>
      <c r="Z542" s="5">
        <f t="shared" si="132"/>
        <v>58800</v>
      </c>
      <c r="AA542" s="11">
        <f t="shared" si="130"/>
        <v>0.16666666666666666</v>
      </c>
      <c r="AB542" s="11">
        <v>0.1</v>
      </c>
    </row>
    <row r="543" spans="1:28">
      <c r="A543">
        <v>2026</v>
      </c>
      <c r="B543" t="s">
        <v>178</v>
      </c>
      <c r="C543" t="s">
        <v>12</v>
      </c>
      <c r="D543" t="s">
        <v>13</v>
      </c>
      <c r="G543" t="s">
        <v>209</v>
      </c>
      <c r="H543" t="s">
        <v>209</v>
      </c>
      <c r="I543" t="s">
        <v>122</v>
      </c>
      <c r="J543" t="s">
        <v>159</v>
      </c>
      <c r="K543" t="s">
        <v>16</v>
      </c>
      <c r="L543">
        <v>224100</v>
      </c>
      <c r="M543" s="5">
        <v>224100</v>
      </c>
      <c r="O543" s="5"/>
      <c r="P543" s="5">
        <v>0</v>
      </c>
      <c r="Q543" s="11">
        <v>0</v>
      </c>
      <c r="R543" s="5">
        <v>0</v>
      </c>
      <c r="S543" s="12">
        <v>0</v>
      </c>
      <c r="T543" s="5">
        <v>0</v>
      </c>
      <c r="U543" s="11">
        <v>0</v>
      </c>
      <c r="V543" s="5">
        <v>0</v>
      </c>
      <c r="W543" s="11">
        <v>0</v>
      </c>
      <c r="X543" s="5">
        <f t="shared" si="133"/>
        <v>224100</v>
      </c>
      <c r="Y543" s="11">
        <v>0.2</v>
      </c>
      <c r="Z543" s="5">
        <f t="shared" si="132"/>
        <v>268920</v>
      </c>
      <c r="AA543" s="11">
        <f t="shared" si="130"/>
        <v>0.16666666666666666</v>
      </c>
      <c r="AB543" s="11">
        <v>0.1</v>
      </c>
    </row>
    <row r="544" spans="1:28">
      <c r="A544">
        <v>2026</v>
      </c>
      <c r="B544" t="s">
        <v>178</v>
      </c>
      <c r="C544" t="s">
        <v>12</v>
      </c>
      <c r="D544" t="s">
        <v>13</v>
      </c>
      <c r="G544" t="s">
        <v>209</v>
      </c>
      <c r="H544" t="s">
        <v>209</v>
      </c>
      <c r="I544" t="s">
        <v>126</v>
      </c>
      <c r="J544" t="s">
        <v>159</v>
      </c>
      <c r="K544" t="s">
        <v>16</v>
      </c>
      <c r="L544">
        <v>38000</v>
      </c>
      <c r="M544" s="5">
        <v>38000</v>
      </c>
      <c r="O544" s="5"/>
      <c r="P544" s="5">
        <v>0</v>
      </c>
      <c r="Q544" s="11">
        <v>0</v>
      </c>
      <c r="R544" s="5">
        <v>0</v>
      </c>
      <c r="S544" s="12">
        <v>0</v>
      </c>
      <c r="T544" s="5">
        <v>0</v>
      </c>
      <c r="U544" s="11">
        <v>0</v>
      </c>
      <c r="V544" s="5">
        <v>0</v>
      </c>
      <c r="W544" s="11">
        <v>0</v>
      </c>
      <c r="X544" s="5">
        <f t="shared" si="133"/>
        <v>38000</v>
      </c>
      <c r="Y544" s="11">
        <v>0.2</v>
      </c>
      <c r="Z544" s="5">
        <f t="shared" si="132"/>
        <v>45600</v>
      </c>
      <c r="AA544" s="11">
        <f t="shared" si="130"/>
        <v>0.16666666666666666</v>
      </c>
      <c r="AB544" s="11">
        <v>0.1</v>
      </c>
    </row>
    <row r="545" spans="1:28">
      <c r="A545">
        <v>2026</v>
      </c>
      <c r="B545" t="s">
        <v>178</v>
      </c>
      <c r="C545" t="s">
        <v>12</v>
      </c>
      <c r="D545" t="s">
        <v>13</v>
      </c>
      <c r="G545" t="s">
        <v>209</v>
      </c>
      <c r="H545" t="s">
        <v>209</v>
      </c>
      <c r="I545" t="s">
        <v>127</v>
      </c>
      <c r="J545" t="s">
        <v>159</v>
      </c>
      <c r="K545" t="s">
        <v>16</v>
      </c>
      <c r="L545">
        <v>39800</v>
      </c>
      <c r="M545" s="5">
        <v>39800</v>
      </c>
      <c r="O545" s="5"/>
      <c r="P545" s="5">
        <v>0</v>
      </c>
      <c r="Q545" s="11">
        <v>0</v>
      </c>
      <c r="R545" s="5">
        <v>0</v>
      </c>
      <c r="S545" s="12">
        <v>0</v>
      </c>
      <c r="T545" s="5">
        <v>0</v>
      </c>
      <c r="U545" s="11">
        <v>0</v>
      </c>
      <c r="V545" s="5">
        <v>0</v>
      </c>
      <c r="W545" s="11">
        <v>0</v>
      </c>
      <c r="X545" s="5">
        <f t="shared" si="133"/>
        <v>39800</v>
      </c>
      <c r="Y545" s="11">
        <v>0.2</v>
      </c>
      <c r="Z545" s="5">
        <f t="shared" si="132"/>
        <v>47760</v>
      </c>
      <c r="AA545" s="11">
        <f t="shared" si="130"/>
        <v>0.16666666666666666</v>
      </c>
      <c r="AB545" s="11">
        <v>0.1</v>
      </c>
    </row>
    <row r="546" spans="1:28">
      <c r="A546">
        <v>2026</v>
      </c>
      <c r="B546" t="s">
        <v>179</v>
      </c>
      <c r="C546" t="s">
        <v>12</v>
      </c>
      <c r="D546" t="s">
        <v>13</v>
      </c>
      <c r="G546" t="s">
        <v>209</v>
      </c>
      <c r="H546" t="s">
        <v>209</v>
      </c>
      <c r="I546" t="s">
        <v>71</v>
      </c>
      <c r="J546" t="s">
        <v>159</v>
      </c>
      <c r="K546" t="s">
        <v>16</v>
      </c>
      <c r="L546">
        <v>28800</v>
      </c>
      <c r="M546" s="5">
        <v>28800</v>
      </c>
      <c r="O546" s="5"/>
      <c r="P546" s="5">
        <v>0</v>
      </c>
      <c r="Q546" s="11">
        <v>0</v>
      </c>
      <c r="R546" s="5">
        <v>0</v>
      </c>
      <c r="S546" s="12">
        <v>0</v>
      </c>
      <c r="T546" s="5">
        <v>0</v>
      </c>
      <c r="U546" s="11">
        <v>0</v>
      </c>
      <c r="V546" s="5">
        <v>0</v>
      </c>
      <c r="W546" s="11">
        <v>0</v>
      </c>
      <c r="X546" s="5">
        <f t="shared" si="133"/>
        <v>28800</v>
      </c>
      <c r="Y546" s="11">
        <v>0.2</v>
      </c>
      <c r="Z546" s="5">
        <f>X546+(X546*Y546)</f>
        <v>34560</v>
      </c>
      <c r="AA546" s="11">
        <f t="shared" si="130"/>
        <v>0.16666666666666666</v>
      </c>
      <c r="AB546" s="11">
        <v>0.1</v>
      </c>
    </row>
    <row r="547" spans="1:28">
      <c r="A547">
        <v>2026</v>
      </c>
      <c r="B547" t="s">
        <v>179</v>
      </c>
      <c r="C547" t="s">
        <v>12</v>
      </c>
      <c r="D547" t="s">
        <v>13</v>
      </c>
      <c r="G547" t="s">
        <v>209</v>
      </c>
      <c r="H547" t="s">
        <v>209</v>
      </c>
      <c r="I547" t="s">
        <v>76</v>
      </c>
      <c r="J547" t="s">
        <v>159</v>
      </c>
      <c r="K547" t="s">
        <v>16</v>
      </c>
      <c r="L547">
        <v>36700</v>
      </c>
      <c r="M547" s="5">
        <v>36700</v>
      </c>
      <c r="O547" s="5"/>
      <c r="P547" s="5">
        <v>0</v>
      </c>
      <c r="Q547" s="11">
        <v>0</v>
      </c>
      <c r="R547" s="5">
        <v>0</v>
      </c>
      <c r="S547" s="12">
        <v>0</v>
      </c>
      <c r="T547" s="5">
        <v>0</v>
      </c>
      <c r="U547" s="11">
        <v>0</v>
      </c>
      <c r="V547" s="5">
        <v>0</v>
      </c>
      <c r="W547" s="11">
        <v>0</v>
      </c>
      <c r="X547" s="5">
        <f t="shared" si="133"/>
        <v>36700</v>
      </c>
      <c r="Y547" s="11">
        <v>0.2</v>
      </c>
      <c r="Z547" s="5">
        <f t="shared" ref="Z547:Z560" si="134">X547+(X547*Y547)</f>
        <v>44040</v>
      </c>
      <c r="AA547" s="11">
        <f t="shared" si="130"/>
        <v>0.16666666666666666</v>
      </c>
      <c r="AB547" s="11">
        <v>0.1</v>
      </c>
    </row>
    <row r="548" spans="1:28">
      <c r="A548">
        <v>2026</v>
      </c>
      <c r="B548" t="s">
        <v>179</v>
      </c>
      <c r="C548" t="s">
        <v>12</v>
      </c>
      <c r="D548" t="s">
        <v>13</v>
      </c>
      <c r="G548" t="s">
        <v>209</v>
      </c>
      <c r="H548" t="s">
        <v>209</v>
      </c>
      <c r="I548" t="s">
        <v>91</v>
      </c>
      <c r="J548" t="s">
        <v>160</v>
      </c>
      <c r="K548" t="s">
        <v>16</v>
      </c>
      <c r="L548">
        <v>28000</v>
      </c>
      <c r="M548" s="5">
        <v>28000</v>
      </c>
      <c r="O548" s="5"/>
      <c r="P548" s="5">
        <v>0</v>
      </c>
      <c r="Q548" s="11">
        <v>0</v>
      </c>
      <c r="R548" s="5">
        <v>0</v>
      </c>
      <c r="S548" s="12">
        <v>0</v>
      </c>
      <c r="T548" s="5">
        <v>0</v>
      </c>
      <c r="U548" s="11">
        <v>0</v>
      </c>
      <c r="V548" s="5">
        <v>0</v>
      </c>
      <c r="W548" s="11">
        <v>0</v>
      </c>
      <c r="X548" s="5">
        <f t="shared" si="133"/>
        <v>28000</v>
      </c>
      <c r="Y548" s="11">
        <v>0.2</v>
      </c>
      <c r="Z548" s="5">
        <f t="shared" si="134"/>
        <v>33600</v>
      </c>
      <c r="AA548" s="11">
        <f t="shared" si="130"/>
        <v>0.16666666666666666</v>
      </c>
      <c r="AB548" s="11">
        <v>0.1</v>
      </c>
    </row>
    <row r="549" spans="1:28">
      <c r="A549">
        <v>2026</v>
      </c>
      <c r="B549" t="s">
        <v>179</v>
      </c>
      <c r="C549" t="s">
        <v>12</v>
      </c>
      <c r="D549" t="s">
        <v>13</v>
      </c>
      <c r="G549" t="s">
        <v>209</v>
      </c>
      <c r="H549" t="s">
        <v>209</v>
      </c>
      <c r="I549" t="s">
        <v>97</v>
      </c>
      <c r="J549" t="s">
        <v>160</v>
      </c>
      <c r="K549" t="s">
        <v>16</v>
      </c>
      <c r="L549">
        <v>36700</v>
      </c>
      <c r="M549" s="5">
        <v>36700</v>
      </c>
      <c r="O549" s="5"/>
      <c r="P549" s="5">
        <v>0</v>
      </c>
      <c r="Q549" s="11">
        <v>0</v>
      </c>
      <c r="R549" s="5">
        <v>0</v>
      </c>
      <c r="S549" s="12">
        <v>0</v>
      </c>
      <c r="T549" s="5">
        <v>0</v>
      </c>
      <c r="U549" s="11">
        <v>0</v>
      </c>
      <c r="V549" s="5">
        <v>0</v>
      </c>
      <c r="W549" s="11">
        <v>0</v>
      </c>
      <c r="X549" s="5">
        <f t="shared" si="133"/>
        <v>36700</v>
      </c>
      <c r="Y549" s="11">
        <v>0.2</v>
      </c>
      <c r="Z549" s="5">
        <f t="shared" si="134"/>
        <v>44040</v>
      </c>
      <c r="AA549" s="11">
        <f t="shared" si="130"/>
        <v>0.16666666666666666</v>
      </c>
      <c r="AB549" s="11">
        <v>0.1</v>
      </c>
    </row>
    <row r="550" spans="1:28">
      <c r="A550">
        <v>2026</v>
      </c>
      <c r="B550" t="s">
        <v>179</v>
      </c>
      <c r="C550" t="s">
        <v>12</v>
      </c>
      <c r="D550" t="s">
        <v>13</v>
      </c>
      <c r="G550" t="s">
        <v>209</v>
      </c>
      <c r="H550" t="s">
        <v>209</v>
      </c>
      <c r="I550" t="s">
        <v>103</v>
      </c>
      <c r="J550" t="s">
        <v>160</v>
      </c>
      <c r="K550" t="s">
        <v>16</v>
      </c>
      <c r="L550">
        <v>21900</v>
      </c>
      <c r="M550" s="5">
        <v>21900</v>
      </c>
      <c r="O550" s="5"/>
      <c r="P550" s="5">
        <v>0</v>
      </c>
      <c r="Q550" s="11">
        <v>0</v>
      </c>
      <c r="R550" s="5">
        <v>0</v>
      </c>
      <c r="S550" s="12">
        <v>0</v>
      </c>
      <c r="T550" s="5">
        <v>0</v>
      </c>
      <c r="U550" s="11">
        <v>0</v>
      </c>
      <c r="V550" s="5">
        <v>0</v>
      </c>
      <c r="W550" s="11">
        <v>0</v>
      </c>
      <c r="X550" s="5">
        <f t="shared" si="133"/>
        <v>21900</v>
      </c>
      <c r="Y550" s="11">
        <v>0.2</v>
      </c>
      <c r="Z550" s="5">
        <f t="shared" si="134"/>
        <v>26280</v>
      </c>
      <c r="AA550" s="11">
        <f t="shared" si="130"/>
        <v>0.16666666666666666</v>
      </c>
      <c r="AB550" s="11">
        <v>0.1</v>
      </c>
    </row>
    <row r="551" spans="1:28">
      <c r="A551">
        <v>2026</v>
      </c>
      <c r="B551" t="s">
        <v>179</v>
      </c>
      <c r="C551" t="s">
        <v>12</v>
      </c>
      <c r="D551" t="s">
        <v>13</v>
      </c>
      <c r="G551" t="s">
        <v>209</v>
      </c>
      <c r="H551" t="s">
        <v>209</v>
      </c>
      <c r="I551" t="s">
        <v>107</v>
      </c>
      <c r="J551" t="s">
        <v>160</v>
      </c>
      <c r="K551" t="s">
        <v>16</v>
      </c>
      <c r="L551">
        <v>114900</v>
      </c>
      <c r="M551" s="5">
        <v>114900</v>
      </c>
      <c r="O551" s="5"/>
      <c r="P551" s="5">
        <v>0</v>
      </c>
      <c r="Q551" s="11">
        <v>0</v>
      </c>
      <c r="R551" s="5">
        <v>0</v>
      </c>
      <c r="S551" s="12">
        <v>0</v>
      </c>
      <c r="T551" s="5">
        <v>0</v>
      </c>
      <c r="U551" s="11">
        <v>0</v>
      </c>
      <c r="V551" s="5">
        <v>0</v>
      </c>
      <c r="W551" s="11">
        <v>0</v>
      </c>
      <c r="X551" s="5">
        <f t="shared" si="133"/>
        <v>114900</v>
      </c>
      <c r="Y551" s="11">
        <v>0.2</v>
      </c>
      <c r="Z551" s="5">
        <f t="shared" si="134"/>
        <v>137880</v>
      </c>
      <c r="AA551" s="11">
        <f t="shared" si="130"/>
        <v>0.16666666666666666</v>
      </c>
      <c r="AB551" s="11">
        <v>0.1</v>
      </c>
    </row>
    <row r="552" spans="1:28">
      <c r="A552">
        <v>2026</v>
      </c>
      <c r="B552" t="s">
        <v>179</v>
      </c>
      <c r="C552" t="s">
        <v>12</v>
      </c>
      <c r="D552" t="s">
        <v>13</v>
      </c>
      <c r="G552" t="s">
        <v>209</v>
      </c>
      <c r="H552" t="s">
        <v>209</v>
      </c>
      <c r="I552" t="s">
        <v>110</v>
      </c>
      <c r="J552" t="s">
        <v>160</v>
      </c>
      <c r="K552" t="s">
        <v>16</v>
      </c>
      <c r="L552">
        <v>28000</v>
      </c>
      <c r="M552" s="5">
        <v>28000</v>
      </c>
      <c r="O552" s="5"/>
      <c r="P552" s="5">
        <v>0</v>
      </c>
      <c r="Q552" s="11">
        <v>0</v>
      </c>
      <c r="R552" s="5">
        <v>0</v>
      </c>
      <c r="S552" s="12">
        <v>0</v>
      </c>
      <c r="T552" s="5">
        <v>0</v>
      </c>
      <c r="U552" s="11">
        <v>0</v>
      </c>
      <c r="V552" s="5">
        <v>0</v>
      </c>
      <c r="W552" s="11">
        <v>0</v>
      </c>
      <c r="X552" s="5">
        <f t="shared" si="133"/>
        <v>28000</v>
      </c>
      <c r="Y552" s="11">
        <v>0.2</v>
      </c>
      <c r="Z552" s="5">
        <f t="shared" si="134"/>
        <v>33600</v>
      </c>
      <c r="AA552" s="11">
        <f t="shared" si="130"/>
        <v>0.16666666666666666</v>
      </c>
      <c r="AB552" s="11">
        <v>0.1</v>
      </c>
    </row>
    <row r="553" spans="1:28">
      <c r="A553">
        <v>2026</v>
      </c>
      <c r="B553" t="s">
        <v>179</v>
      </c>
      <c r="C553" t="s">
        <v>12</v>
      </c>
      <c r="D553" t="s">
        <v>13</v>
      </c>
      <c r="G553" t="s">
        <v>209</v>
      </c>
      <c r="H553" t="s">
        <v>209</v>
      </c>
      <c r="I553" t="s">
        <v>111</v>
      </c>
      <c r="J553" t="s">
        <v>160</v>
      </c>
      <c r="K553" t="s">
        <v>16</v>
      </c>
      <c r="L553">
        <v>49200</v>
      </c>
      <c r="M553" s="5">
        <v>49200</v>
      </c>
      <c r="O553" s="5"/>
      <c r="P553" s="5">
        <v>0</v>
      </c>
      <c r="Q553" s="11">
        <v>0</v>
      </c>
      <c r="R553" s="5">
        <v>0</v>
      </c>
      <c r="S553" s="12">
        <v>0</v>
      </c>
      <c r="T553" s="5">
        <v>0</v>
      </c>
      <c r="U553" s="11">
        <v>0</v>
      </c>
      <c r="V553" s="5">
        <v>0</v>
      </c>
      <c r="W553" s="11">
        <v>0</v>
      </c>
      <c r="X553" s="5">
        <f t="shared" si="133"/>
        <v>49200</v>
      </c>
      <c r="Y553" s="11">
        <v>0.2</v>
      </c>
      <c r="Z553" s="5">
        <f t="shared" si="134"/>
        <v>59040</v>
      </c>
      <c r="AA553" s="11">
        <f t="shared" si="130"/>
        <v>0.16666666666666666</v>
      </c>
      <c r="AB553" s="11">
        <v>0.1</v>
      </c>
    </row>
    <row r="554" spans="1:28">
      <c r="A554">
        <v>2026</v>
      </c>
      <c r="B554" t="s">
        <v>179</v>
      </c>
      <c r="C554" t="s">
        <v>12</v>
      </c>
      <c r="D554" t="s">
        <v>13</v>
      </c>
      <c r="G554" t="s">
        <v>209</v>
      </c>
      <c r="H554" t="s">
        <v>209</v>
      </c>
      <c r="I554" t="s">
        <v>112</v>
      </c>
      <c r="J554" t="s">
        <v>160</v>
      </c>
      <c r="K554" t="s">
        <v>16</v>
      </c>
      <c r="L554">
        <v>141600</v>
      </c>
      <c r="M554" s="5">
        <v>141600</v>
      </c>
      <c r="O554" s="5"/>
      <c r="P554" s="5">
        <v>0</v>
      </c>
      <c r="Q554" s="11">
        <v>0</v>
      </c>
      <c r="R554" s="5">
        <v>0</v>
      </c>
      <c r="S554" s="12">
        <v>0</v>
      </c>
      <c r="T554" s="5">
        <v>0</v>
      </c>
      <c r="U554" s="11">
        <v>0</v>
      </c>
      <c r="V554" s="5">
        <v>0</v>
      </c>
      <c r="W554" s="11">
        <v>0</v>
      </c>
      <c r="X554" s="5">
        <f t="shared" si="133"/>
        <v>141600</v>
      </c>
      <c r="Y554" s="11">
        <v>0.2</v>
      </c>
      <c r="Z554" s="5">
        <f t="shared" si="134"/>
        <v>169920</v>
      </c>
      <c r="AA554" s="11">
        <f t="shared" si="130"/>
        <v>0.16666666666666666</v>
      </c>
      <c r="AB554" s="11">
        <v>0.1</v>
      </c>
    </row>
    <row r="555" spans="1:28">
      <c r="A555">
        <v>2026</v>
      </c>
      <c r="B555" t="s">
        <v>179</v>
      </c>
      <c r="C555" t="s">
        <v>12</v>
      </c>
      <c r="D555" t="s">
        <v>13</v>
      </c>
      <c r="G555" t="s">
        <v>209</v>
      </c>
      <c r="H555" t="s">
        <v>209</v>
      </c>
      <c r="I555" t="s">
        <v>113</v>
      </c>
      <c r="J555" t="s">
        <v>160</v>
      </c>
      <c r="K555" t="s">
        <v>16</v>
      </c>
      <c r="L555">
        <v>174700</v>
      </c>
      <c r="M555" s="5">
        <v>174700</v>
      </c>
      <c r="O555" s="5"/>
      <c r="P555" s="5">
        <v>0</v>
      </c>
      <c r="Q555" s="11">
        <v>0</v>
      </c>
      <c r="R555" s="5">
        <v>0</v>
      </c>
      <c r="S555" s="12">
        <v>0</v>
      </c>
      <c r="T555" s="5">
        <v>0</v>
      </c>
      <c r="U555" s="11">
        <v>0</v>
      </c>
      <c r="V555" s="5">
        <v>0</v>
      </c>
      <c r="W555" s="11">
        <v>0</v>
      </c>
      <c r="X555" s="5">
        <f t="shared" si="133"/>
        <v>174700</v>
      </c>
      <c r="Y555" s="11">
        <v>0.2</v>
      </c>
      <c r="Z555" s="5">
        <f t="shared" si="134"/>
        <v>209640</v>
      </c>
      <c r="AA555" s="11">
        <f t="shared" si="130"/>
        <v>0.16666666666666666</v>
      </c>
      <c r="AB555" s="11">
        <v>0.1</v>
      </c>
    </row>
    <row r="556" spans="1:28">
      <c r="A556">
        <v>2026</v>
      </c>
      <c r="B556" t="s">
        <v>179</v>
      </c>
      <c r="C556" t="s">
        <v>12</v>
      </c>
      <c r="D556" t="s">
        <v>13</v>
      </c>
      <c r="G556" t="s">
        <v>209</v>
      </c>
      <c r="H556" t="s">
        <v>209</v>
      </c>
      <c r="I556" t="s">
        <v>114</v>
      </c>
      <c r="J556" t="s">
        <v>160</v>
      </c>
      <c r="K556" t="s">
        <v>16</v>
      </c>
      <c r="L556">
        <v>204000</v>
      </c>
      <c r="M556" s="5">
        <v>204000</v>
      </c>
      <c r="O556" s="5"/>
      <c r="P556" s="5">
        <v>0</v>
      </c>
      <c r="Q556" s="11">
        <v>0</v>
      </c>
      <c r="R556" s="5">
        <v>0</v>
      </c>
      <c r="S556" s="12">
        <v>0</v>
      </c>
      <c r="T556" s="5">
        <v>0</v>
      </c>
      <c r="U556" s="11">
        <v>0</v>
      </c>
      <c r="V556" s="5">
        <v>0</v>
      </c>
      <c r="W556" s="11">
        <v>0</v>
      </c>
      <c r="X556" s="5">
        <f t="shared" si="133"/>
        <v>204000</v>
      </c>
      <c r="Y556" s="11">
        <v>0.2</v>
      </c>
      <c r="Z556" s="5">
        <f t="shared" si="134"/>
        <v>244800</v>
      </c>
      <c r="AA556" s="11">
        <f t="shared" si="130"/>
        <v>0.16666666666666666</v>
      </c>
      <c r="AB556" s="11">
        <v>0.1</v>
      </c>
    </row>
    <row r="557" spans="1:28">
      <c r="A557">
        <v>2026</v>
      </c>
      <c r="B557" t="s">
        <v>179</v>
      </c>
      <c r="C557" t="s">
        <v>12</v>
      </c>
      <c r="D557" t="s">
        <v>13</v>
      </c>
      <c r="G557" t="s">
        <v>209</v>
      </c>
      <c r="H557" t="s">
        <v>209</v>
      </c>
      <c r="I557" t="s">
        <v>119</v>
      </c>
      <c r="J557" t="s">
        <v>160</v>
      </c>
      <c r="K557" t="s">
        <v>16</v>
      </c>
      <c r="L557">
        <v>49000</v>
      </c>
      <c r="M557" s="5">
        <v>49000</v>
      </c>
      <c r="O557" s="5"/>
      <c r="P557" s="5">
        <v>0</v>
      </c>
      <c r="Q557" s="11">
        <v>0</v>
      </c>
      <c r="R557" s="5">
        <v>0</v>
      </c>
      <c r="S557" s="12">
        <v>0</v>
      </c>
      <c r="T557" s="5">
        <v>0</v>
      </c>
      <c r="U557" s="11">
        <v>0</v>
      </c>
      <c r="V557" s="5">
        <v>0</v>
      </c>
      <c r="W557" s="11">
        <v>0</v>
      </c>
      <c r="X557" s="5">
        <f t="shared" si="133"/>
        <v>49000</v>
      </c>
      <c r="Y557" s="11">
        <v>0.2</v>
      </c>
      <c r="Z557" s="5">
        <f t="shared" si="134"/>
        <v>58800</v>
      </c>
      <c r="AA557" s="11">
        <f t="shared" si="130"/>
        <v>0.16666666666666666</v>
      </c>
      <c r="AB557" s="11">
        <v>0.1</v>
      </c>
    </row>
    <row r="558" spans="1:28">
      <c r="A558">
        <v>2026</v>
      </c>
      <c r="B558" t="s">
        <v>179</v>
      </c>
      <c r="C558" t="s">
        <v>12</v>
      </c>
      <c r="D558" t="s">
        <v>13</v>
      </c>
      <c r="G558" t="s">
        <v>209</v>
      </c>
      <c r="H558" t="s">
        <v>209</v>
      </c>
      <c r="I558" t="s">
        <v>122</v>
      </c>
      <c r="J558" t="s">
        <v>159</v>
      </c>
      <c r="K558" t="s">
        <v>16</v>
      </c>
      <c r="L558">
        <v>224100</v>
      </c>
      <c r="M558" s="5">
        <v>224100</v>
      </c>
      <c r="O558" s="5"/>
      <c r="P558" s="5">
        <v>0</v>
      </c>
      <c r="Q558" s="11">
        <v>0</v>
      </c>
      <c r="R558" s="5">
        <v>0</v>
      </c>
      <c r="S558" s="12">
        <v>0</v>
      </c>
      <c r="T558" s="5">
        <v>0</v>
      </c>
      <c r="U558" s="11">
        <v>0</v>
      </c>
      <c r="V558" s="5">
        <v>0</v>
      </c>
      <c r="W558" s="11">
        <v>0</v>
      </c>
      <c r="X558" s="5">
        <f t="shared" si="133"/>
        <v>224100</v>
      </c>
      <c r="Y558" s="11">
        <v>0.2</v>
      </c>
      <c r="Z558" s="5">
        <f t="shared" si="134"/>
        <v>268920</v>
      </c>
      <c r="AA558" s="11">
        <f t="shared" si="130"/>
        <v>0.16666666666666666</v>
      </c>
      <c r="AB558" s="11">
        <v>0.1</v>
      </c>
    </row>
    <row r="559" spans="1:28">
      <c r="A559">
        <v>2026</v>
      </c>
      <c r="B559" t="s">
        <v>179</v>
      </c>
      <c r="C559" t="s">
        <v>12</v>
      </c>
      <c r="D559" t="s">
        <v>13</v>
      </c>
      <c r="G559" t="s">
        <v>209</v>
      </c>
      <c r="H559" t="s">
        <v>209</v>
      </c>
      <c r="I559" t="s">
        <v>126</v>
      </c>
      <c r="J559" t="s">
        <v>159</v>
      </c>
      <c r="K559" t="s">
        <v>16</v>
      </c>
      <c r="L559">
        <v>38000</v>
      </c>
      <c r="M559" s="5">
        <v>38000</v>
      </c>
      <c r="O559" s="5"/>
      <c r="P559" s="5">
        <v>0</v>
      </c>
      <c r="Q559" s="11">
        <v>0</v>
      </c>
      <c r="R559" s="5">
        <v>0</v>
      </c>
      <c r="S559" s="12">
        <v>0</v>
      </c>
      <c r="T559" s="5">
        <v>0</v>
      </c>
      <c r="U559" s="11">
        <v>0</v>
      </c>
      <c r="V559" s="5">
        <v>0</v>
      </c>
      <c r="W559" s="11">
        <v>0</v>
      </c>
      <c r="X559" s="5">
        <f t="shared" si="133"/>
        <v>38000</v>
      </c>
      <c r="Y559" s="11">
        <v>0.2</v>
      </c>
      <c r="Z559" s="5">
        <f t="shared" si="134"/>
        <v>45600</v>
      </c>
      <c r="AA559" s="11">
        <f t="shared" si="130"/>
        <v>0.16666666666666666</v>
      </c>
      <c r="AB559" s="11">
        <v>0.1</v>
      </c>
    </row>
    <row r="560" spans="1:28">
      <c r="A560">
        <v>2026</v>
      </c>
      <c r="B560" t="s">
        <v>179</v>
      </c>
      <c r="C560" t="s">
        <v>12</v>
      </c>
      <c r="D560" t="s">
        <v>13</v>
      </c>
      <c r="G560" t="s">
        <v>209</v>
      </c>
      <c r="H560" t="s">
        <v>209</v>
      </c>
      <c r="I560" t="s">
        <v>127</v>
      </c>
      <c r="J560" t="s">
        <v>159</v>
      </c>
      <c r="K560" t="s">
        <v>16</v>
      </c>
      <c r="L560">
        <v>39800</v>
      </c>
      <c r="M560" s="5">
        <v>39800</v>
      </c>
      <c r="O560" s="5"/>
      <c r="P560" s="5">
        <v>0</v>
      </c>
      <c r="Q560" s="11">
        <v>0</v>
      </c>
      <c r="R560" s="5">
        <v>0</v>
      </c>
      <c r="S560" s="12">
        <v>0</v>
      </c>
      <c r="T560" s="5">
        <v>0</v>
      </c>
      <c r="U560" s="11">
        <v>0</v>
      </c>
      <c r="V560" s="5">
        <v>0</v>
      </c>
      <c r="W560" s="11">
        <v>0</v>
      </c>
      <c r="X560" s="5">
        <f t="shared" si="133"/>
        <v>39800</v>
      </c>
      <c r="Y560" s="11">
        <v>0.2</v>
      </c>
      <c r="Z560" s="5">
        <f t="shared" si="134"/>
        <v>47760</v>
      </c>
      <c r="AA560" s="11">
        <f t="shared" si="130"/>
        <v>0.16666666666666666</v>
      </c>
      <c r="AB560" s="11">
        <v>0.1</v>
      </c>
    </row>
    <row r="561" spans="1:28">
      <c r="A561">
        <v>2026</v>
      </c>
      <c r="B561" t="s">
        <v>180</v>
      </c>
      <c r="C561" t="s">
        <v>12</v>
      </c>
      <c r="D561" t="s">
        <v>13</v>
      </c>
      <c r="G561" t="s">
        <v>209</v>
      </c>
      <c r="H561" t="s">
        <v>209</v>
      </c>
      <c r="I561" t="s">
        <v>71</v>
      </c>
      <c r="J561" t="s">
        <v>159</v>
      </c>
      <c r="K561" t="s">
        <v>16</v>
      </c>
      <c r="L561">
        <v>28800</v>
      </c>
      <c r="M561" s="5">
        <v>28800</v>
      </c>
      <c r="O561" s="5"/>
      <c r="P561" s="5">
        <v>0</v>
      </c>
      <c r="Q561" s="11">
        <v>0</v>
      </c>
      <c r="R561" s="5">
        <v>0</v>
      </c>
      <c r="S561" s="12">
        <v>0</v>
      </c>
      <c r="T561" s="5">
        <v>0</v>
      </c>
      <c r="U561" s="11">
        <v>0</v>
      </c>
      <c r="V561" s="5">
        <v>0</v>
      </c>
      <c r="W561" s="11">
        <v>0</v>
      </c>
      <c r="X561" s="5">
        <f t="shared" si="133"/>
        <v>28800</v>
      </c>
      <c r="Y561" s="11">
        <v>0.2</v>
      </c>
      <c r="Z561" s="5">
        <f>X561+(X561*Y561)</f>
        <v>34560</v>
      </c>
      <c r="AA561" s="11">
        <f t="shared" si="130"/>
        <v>0.16666666666666666</v>
      </c>
      <c r="AB561" s="11">
        <v>0.1</v>
      </c>
    </row>
    <row r="562" spans="1:28">
      <c r="A562">
        <v>2026</v>
      </c>
      <c r="B562" t="s">
        <v>180</v>
      </c>
      <c r="C562" t="s">
        <v>12</v>
      </c>
      <c r="D562" t="s">
        <v>13</v>
      </c>
      <c r="G562" t="s">
        <v>209</v>
      </c>
      <c r="H562" t="s">
        <v>209</v>
      </c>
      <c r="I562" t="s">
        <v>76</v>
      </c>
      <c r="J562" t="s">
        <v>159</v>
      </c>
      <c r="K562" t="s">
        <v>16</v>
      </c>
      <c r="L562">
        <v>36700</v>
      </c>
      <c r="M562" s="5">
        <v>36700</v>
      </c>
      <c r="O562" s="5"/>
      <c r="P562" s="5">
        <v>0</v>
      </c>
      <c r="Q562" s="11">
        <v>0</v>
      </c>
      <c r="R562" s="5">
        <v>0</v>
      </c>
      <c r="S562" s="12">
        <v>0</v>
      </c>
      <c r="T562" s="5">
        <v>0</v>
      </c>
      <c r="U562" s="11">
        <v>0</v>
      </c>
      <c r="V562" s="5">
        <v>0</v>
      </c>
      <c r="W562" s="11">
        <v>0</v>
      </c>
      <c r="X562" s="5">
        <f t="shared" si="133"/>
        <v>36700</v>
      </c>
      <c r="Y562" s="11">
        <v>0.2</v>
      </c>
      <c r="Z562" s="5">
        <f t="shared" ref="Z562:Z575" si="135">X562+(X562*Y562)</f>
        <v>44040</v>
      </c>
      <c r="AA562" s="11">
        <f t="shared" si="130"/>
        <v>0.16666666666666666</v>
      </c>
      <c r="AB562" s="11">
        <v>0.1</v>
      </c>
    </row>
    <row r="563" spans="1:28">
      <c r="A563">
        <v>2026</v>
      </c>
      <c r="B563" t="s">
        <v>180</v>
      </c>
      <c r="C563" t="s">
        <v>12</v>
      </c>
      <c r="D563" t="s">
        <v>13</v>
      </c>
      <c r="G563" t="s">
        <v>209</v>
      </c>
      <c r="H563" t="s">
        <v>209</v>
      </c>
      <c r="I563" t="s">
        <v>91</v>
      </c>
      <c r="J563" t="s">
        <v>160</v>
      </c>
      <c r="K563" t="s">
        <v>16</v>
      </c>
      <c r="L563">
        <v>28000</v>
      </c>
      <c r="M563" s="5">
        <v>28000</v>
      </c>
      <c r="O563" s="5"/>
      <c r="P563" s="5">
        <v>0</v>
      </c>
      <c r="Q563" s="11">
        <v>0</v>
      </c>
      <c r="R563" s="5">
        <v>0</v>
      </c>
      <c r="S563" s="12">
        <v>0</v>
      </c>
      <c r="T563" s="5">
        <v>0</v>
      </c>
      <c r="U563" s="11">
        <v>0</v>
      </c>
      <c r="V563" s="5">
        <v>0</v>
      </c>
      <c r="W563" s="11">
        <v>0</v>
      </c>
      <c r="X563" s="5">
        <f t="shared" si="133"/>
        <v>28000</v>
      </c>
      <c r="Y563" s="11">
        <v>0.2</v>
      </c>
      <c r="Z563" s="5">
        <f t="shared" si="135"/>
        <v>33600</v>
      </c>
      <c r="AA563" s="11">
        <f t="shared" si="130"/>
        <v>0.16666666666666666</v>
      </c>
      <c r="AB563" s="11">
        <v>0.1</v>
      </c>
    </row>
    <row r="564" spans="1:28">
      <c r="A564">
        <v>2026</v>
      </c>
      <c r="B564" t="s">
        <v>180</v>
      </c>
      <c r="C564" t="s">
        <v>12</v>
      </c>
      <c r="D564" t="s">
        <v>13</v>
      </c>
      <c r="G564" t="s">
        <v>209</v>
      </c>
      <c r="H564" t="s">
        <v>209</v>
      </c>
      <c r="I564" t="s">
        <v>97</v>
      </c>
      <c r="J564" t="s">
        <v>160</v>
      </c>
      <c r="K564" t="s">
        <v>16</v>
      </c>
      <c r="L564">
        <v>36700</v>
      </c>
      <c r="M564" s="5">
        <v>36700</v>
      </c>
      <c r="O564" s="5"/>
      <c r="P564" s="5">
        <v>0</v>
      </c>
      <c r="Q564" s="11">
        <v>0</v>
      </c>
      <c r="R564" s="5">
        <v>0</v>
      </c>
      <c r="S564" s="12">
        <v>0</v>
      </c>
      <c r="T564" s="5">
        <v>0</v>
      </c>
      <c r="U564" s="11">
        <v>0</v>
      </c>
      <c r="V564" s="5">
        <v>0</v>
      </c>
      <c r="W564" s="11">
        <v>0</v>
      </c>
      <c r="X564" s="5">
        <f t="shared" si="133"/>
        <v>36700</v>
      </c>
      <c r="Y564" s="11">
        <v>0.2</v>
      </c>
      <c r="Z564" s="5">
        <f t="shared" si="135"/>
        <v>44040</v>
      </c>
      <c r="AA564" s="11">
        <f t="shared" si="130"/>
        <v>0.16666666666666666</v>
      </c>
      <c r="AB564" s="11">
        <v>0.1</v>
      </c>
    </row>
    <row r="565" spans="1:28">
      <c r="A565">
        <v>2026</v>
      </c>
      <c r="B565" t="s">
        <v>180</v>
      </c>
      <c r="C565" t="s">
        <v>12</v>
      </c>
      <c r="D565" t="s">
        <v>13</v>
      </c>
      <c r="G565" t="s">
        <v>209</v>
      </c>
      <c r="H565" t="s">
        <v>209</v>
      </c>
      <c r="I565" t="s">
        <v>103</v>
      </c>
      <c r="J565" t="s">
        <v>160</v>
      </c>
      <c r="K565" t="s">
        <v>16</v>
      </c>
      <c r="L565">
        <v>21900</v>
      </c>
      <c r="M565" s="5">
        <v>21900</v>
      </c>
      <c r="O565" s="5"/>
      <c r="P565" s="5">
        <v>0</v>
      </c>
      <c r="Q565" s="11">
        <v>0</v>
      </c>
      <c r="R565" s="5">
        <v>0</v>
      </c>
      <c r="S565" s="12">
        <v>0</v>
      </c>
      <c r="T565" s="5">
        <v>0</v>
      </c>
      <c r="U565" s="11">
        <v>0</v>
      </c>
      <c r="V565" s="5">
        <v>0</v>
      </c>
      <c r="W565" s="11">
        <v>0</v>
      </c>
      <c r="X565" s="5">
        <f t="shared" si="133"/>
        <v>21900</v>
      </c>
      <c r="Y565" s="11">
        <v>0.2</v>
      </c>
      <c r="Z565" s="5">
        <f t="shared" si="135"/>
        <v>26280</v>
      </c>
      <c r="AA565" s="11">
        <f t="shared" si="130"/>
        <v>0.16666666666666666</v>
      </c>
      <c r="AB565" s="11">
        <v>0.1</v>
      </c>
    </row>
    <row r="566" spans="1:28">
      <c r="A566">
        <v>2026</v>
      </c>
      <c r="B566" t="s">
        <v>180</v>
      </c>
      <c r="C566" t="s">
        <v>12</v>
      </c>
      <c r="D566" t="s">
        <v>13</v>
      </c>
      <c r="G566" t="s">
        <v>209</v>
      </c>
      <c r="H566" t="s">
        <v>209</v>
      </c>
      <c r="I566" t="s">
        <v>107</v>
      </c>
      <c r="J566" t="s">
        <v>160</v>
      </c>
      <c r="K566" t="s">
        <v>16</v>
      </c>
      <c r="L566">
        <v>114900</v>
      </c>
      <c r="M566" s="5">
        <v>114900</v>
      </c>
      <c r="O566" s="5"/>
      <c r="P566" s="5">
        <v>0</v>
      </c>
      <c r="Q566" s="11">
        <v>0</v>
      </c>
      <c r="R566" s="5">
        <v>0</v>
      </c>
      <c r="S566" s="12">
        <v>0</v>
      </c>
      <c r="T566" s="5">
        <v>0</v>
      </c>
      <c r="U566" s="11">
        <v>0</v>
      </c>
      <c r="V566" s="5">
        <v>0</v>
      </c>
      <c r="W566" s="11">
        <v>0</v>
      </c>
      <c r="X566" s="5">
        <f t="shared" si="133"/>
        <v>114900</v>
      </c>
      <c r="Y566" s="11">
        <v>0.2</v>
      </c>
      <c r="Z566" s="5">
        <f t="shared" si="135"/>
        <v>137880</v>
      </c>
      <c r="AA566" s="11">
        <f t="shared" si="130"/>
        <v>0.16666666666666666</v>
      </c>
      <c r="AB566" s="11">
        <v>0.1</v>
      </c>
    </row>
    <row r="567" spans="1:28">
      <c r="A567">
        <v>2026</v>
      </c>
      <c r="B567" t="s">
        <v>180</v>
      </c>
      <c r="C567" t="s">
        <v>12</v>
      </c>
      <c r="D567" t="s">
        <v>13</v>
      </c>
      <c r="G567" t="s">
        <v>209</v>
      </c>
      <c r="H567" t="s">
        <v>209</v>
      </c>
      <c r="I567" t="s">
        <v>110</v>
      </c>
      <c r="J567" t="s">
        <v>160</v>
      </c>
      <c r="K567" t="s">
        <v>16</v>
      </c>
      <c r="L567">
        <v>28000</v>
      </c>
      <c r="M567" s="5">
        <v>28000</v>
      </c>
      <c r="O567" s="5"/>
      <c r="P567" s="5">
        <v>0</v>
      </c>
      <c r="Q567" s="11">
        <v>0</v>
      </c>
      <c r="R567" s="5">
        <v>0</v>
      </c>
      <c r="S567" s="12">
        <v>0</v>
      </c>
      <c r="T567" s="5">
        <v>0</v>
      </c>
      <c r="U567" s="11">
        <v>0</v>
      </c>
      <c r="V567" s="5">
        <v>0</v>
      </c>
      <c r="W567" s="11">
        <v>0</v>
      </c>
      <c r="X567" s="5">
        <f t="shared" ref="X567:X575" si="136">M567</f>
        <v>28000</v>
      </c>
      <c r="Y567" s="11">
        <v>0.2</v>
      </c>
      <c r="Z567" s="5">
        <f t="shared" si="135"/>
        <v>33600</v>
      </c>
      <c r="AA567" s="11">
        <f t="shared" si="130"/>
        <v>0.16666666666666666</v>
      </c>
      <c r="AB567" s="11">
        <v>0.1</v>
      </c>
    </row>
    <row r="568" spans="1:28">
      <c r="A568">
        <v>2026</v>
      </c>
      <c r="B568" t="s">
        <v>180</v>
      </c>
      <c r="C568" t="s">
        <v>12</v>
      </c>
      <c r="D568" t="s">
        <v>13</v>
      </c>
      <c r="G568" t="s">
        <v>209</v>
      </c>
      <c r="H568" t="s">
        <v>209</v>
      </c>
      <c r="I568" t="s">
        <v>111</v>
      </c>
      <c r="J568" t="s">
        <v>160</v>
      </c>
      <c r="K568" t="s">
        <v>16</v>
      </c>
      <c r="L568">
        <v>49200</v>
      </c>
      <c r="M568" s="5">
        <v>49200</v>
      </c>
      <c r="O568" s="5"/>
      <c r="P568" s="5">
        <v>0</v>
      </c>
      <c r="Q568" s="11">
        <v>0</v>
      </c>
      <c r="R568" s="5">
        <v>0</v>
      </c>
      <c r="S568" s="12">
        <v>0</v>
      </c>
      <c r="T568" s="5">
        <v>0</v>
      </c>
      <c r="U568" s="11">
        <v>0</v>
      </c>
      <c r="V568" s="5">
        <v>0</v>
      </c>
      <c r="W568" s="11">
        <v>0</v>
      </c>
      <c r="X568" s="5">
        <f t="shared" si="136"/>
        <v>49200</v>
      </c>
      <c r="Y568" s="11">
        <v>0.2</v>
      </c>
      <c r="Z568" s="5">
        <f t="shared" si="135"/>
        <v>59040</v>
      </c>
      <c r="AA568" s="11">
        <f t="shared" si="130"/>
        <v>0.16666666666666666</v>
      </c>
      <c r="AB568" s="11">
        <v>0.1</v>
      </c>
    </row>
    <row r="569" spans="1:28">
      <c r="A569">
        <v>2026</v>
      </c>
      <c r="B569" t="s">
        <v>180</v>
      </c>
      <c r="C569" t="s">
        <v>12</v>
      </c>
      <c r="D569" t="s">
        <v>13</v>
      </c>
      <c r="G569" t="s">
        <v>209</v>
      </c>
      <c r="H569" t="s">
        <v>209</v>
      </c>
      <c r="I569" t="s">
        <v>112</v>
      </c>
      <c r="J569" t="s">
        <v>160</v>
      </c>
      <c r="K569" t="s">
        <v>16</v>
      </c>
      <c r="L569">
        <v>141600</v>
      </c>
      <c r="M569" s="5">
        <v>141600</v>
      </c>
      <c r="O569" s="5"/>
      <c r="P569" s="5">
        <v>0</v>
      </c>
      <c r="Q569" s="11">
        <v>0</v>
      </c>
      <c r="R569" s="5">
        <v>0</v>
      </c>
      <c r="S569" s="12">
        <v>0</v>
      </c>
      <c r="T569" s="5">
        <v>0</v>
      </c>
      <c r="U569" s="11">
        <v>0</v>
      </c>
      <c r="V569" s="5">
        <v>0</v>
      </c>
      <c r="W569" s="11">
        <v>0</v>
      </c>
      <c r="X569" s="5">
        <f t="shared" si="136"/>
        <v>141600</v>
      </c>
      <c r="Y569" s="11">
        <v>0.2</v>
      </c>
      <c r="Z569" s="5">
        <f t="shared" si="135"/>
        <v>169920</v>
      </c>
      <c r="AA569" s="11">
        <f t="shared" si="130"/>
        <v>0.16666666666666666</v>
      </c>
      <c r="AB569" s="11">
        <v>0.1</v>
      </c>
    </row>
    <row r="570" spans="1:28">
      <c r="A570">
        <v>2026</v>
      </c>
      <c r="B570" t="s">
        <v>180</v>
      </c>
      <c r="C570" t="s">
        <v>12</v>
      </c>
      <c r="D570" t="s">
        <v>13</v>
      </c>
      <c r="G570" t="s">
        <v>209</v>
      </c>
      <c r="H570" t="s">
        <v>209</v>
      </c>
      <c r="I570" t="s">
        <v>113</v>
      </c>
      <c r="J570" t="s">
        <v>160</v>
      </c>
      <c r="K570" t="s">
        <v>16</v>
      </c>
      <c r="L570">
        <v>174700</v>
      </c>
      <c r="M570" s="5">
        <v>174700</v>
      </c>
      <c r="O570" s="5"/>
      <c r="P570" s="5">
        <v>0</v>
      </c>
      <c r="Q570" s="11">
        <v>0</v>
      </c>
      <c r="R570" s="5">
        <v>0</v>
      </c>
      <c r="S570" s="12">
        <v>0</v>
      </c>
      <c r="T570" s="5">
        <v>0</v>
      </c>
      <c r="U570" s="11">
        <v>0</v>
      </c>
      <c r="V570" s="5">
        <v>0</v>
      </c>
      <c r="W570" s="11">
        <v>0</v>
      </c>
      <c r="X570" s="5">
        <f t="shared" si="136"/>
        <v>174700</v>
      </c>
      <c r="Y570" s="11">
        <v>0.2</v>
      </c>
      <c r="Z570" s="5">
        <f t="shared" si="135"/>
        <v>209640</v>
      </c>
      <c r="AA570" s="11">
        <f t="shared" si="130"/>
        <v>0.16666666666666666</v>
      </c>
      <c r="AB570" s="11">
        <v>0.1</v>
      </c>
    </row>
    <row r="571" spans="1:28">
      <c r="A571">
        <v>2026</v>
      </c>
      <c r="B571" t="s">
        <v>180</v>
      </c>
      <c r="C571" t="s">
        <v>12</v>
      </c>
      <c r="D571" t="s">
        <v>13</v>
      </c>
      <c r="G571" t="s">
        <v>209</v>
      </c>
      <c r="H571" t="s">
        <v>209</v>
      </c>
      <c r="I571" t="s">
        <v>114</v>
      </c>
      <c r="J571" t="s">
        <v>160</v>
      </c>
      <c r="K571" t="s">
        <v>16</v>
      </c>
      <c r="L571">
        <v>204000</v>
      </c>
      <c r="M571" s="5">
        <v>204000</v>
      </c>
      <c r="O571" s="5"/>
      <c r="P571" s="5">
        <v>0</v>
      </c>
      <c r="Q571" s="11">
        <v>0</v>
      </c>
      <c r="R571" s="5">
        <v>0</v>
      </c>
      <c r="S571" s="12">
        <v>0</v>
      </c>
      <c r="T571" s="5">
        <v>0</v>
      </c>
      <c r="U571" s="11">
        <v>0</v>
      </c>
      <c r="V571" s="5">
        <v>0</v>
      </c>
      <c r="W571" s="11">
        <v>0</v>
      </c>
      <c r="X571" s="5">
        <f t="shared" si="136"/>
        <v>204000</v>
      </c>
      <c r="Y571" s="11">
        <v>0.2</v>
      </c>
      <c r="Z571" s="5">
        <f t="shared" si="135"/>
        <v>244800</v>
      </c>
      <c r="AA571" s="11">
        <f t="shared" si="130"/>
        <v>0.16666666666666666</v>
      </c>
      <c r="AB571" s="11">
        <v>0.1</v>
      </c>
    </row>
    <row r="572" spans="1:28">
      <c r="A572">
        <v>2026</v>
      </c>
      <c r="B572" t="s">
        <v>180</v>
      </c>
      <c r="C572" t="s">
        <v>12</v>
      </c>
      <c r="D572" t="s">
        <v>13</v>
      </c>
      <c r="G572" t="s">
        <v>209</v>
      </c>
      <c r="H572" t="s">
        <v>209</v>
      </c>
      <c r="I572" t="s">
        <v>119</v>
      </c>
      <c r="J572" t="s">
        <v>160</v>
      </c>
      <c r="K572" t="s">
        <v>16</v>
      </c>
      <c r="L572">
        <v>49000</v>
      </c>
      <c r="M572" s="5">
        <v>49000</v>
      </c>
      <c r="O572" s="5"/>
      <c r="P572" s="5">
        <v>0</v>
      </c>
      <c r="Q572" s="11">
        <v>0</v>
      </c>
      <c r="R572" s="5">
        <v>0</v>
      </c>
      <c r="S572" s="12">
        <v>0</v>
      </c>
      <c r="T572" s="5">
        <v>0</v>
      </c>
      <c r="U572" s="11">
        <v>0</v>
      </c>
      <c r="V572" s="5">
        <v>0</v>
      </c>
      <c r="W572" s="11">
        <v>0</v>
      </c>
      <c r="X572" s="5">
        <f t="shared" si="136"/>
        <v>49000</v>
      </c>
      <c r="Y572" s="11">
        <v>0.2</v>
      </c>
      <c r="Z572" s="5">
        <f t="shared" si="135"/>
        <v>58800</v>
      </c>
      <c r="AA572" s="11">
        <f t="shared" si="130"/>
        <v>0.16666666666666666</v>
      </c>
      <c r="AB572" s="11">
        <v>0.1</v>
      </c>
    </row>
    <row r="573" spans="1:28">
      <c r="A573">
        <v>2026</v>
      </c>
      <c r="B573" t="s">
        <v>180</v>
      </c>
      <c r="C573" t="s">
        <v>12</v>
      </c>
      <c r="D573" t="s">
        <v>13</v>
      </c>
      <c r="G573" t="s">
        <v>209</v>
      </c>
      <c r="H573" t="s">
        <v>209</v>
      </c>
      <c r="I573" t="s">
        <v>122</v>
      </c>
      <c r="J573" t="s">
        <v>159</v>
      </c>
      <c r="K573" t="s">
        <v>16</v>
      </c>
      <c r="L573">
        <v>224100</v>
      </c>
      <c r="M573" s="5">
        <v>224100</v>
      </c>
      <c r="O573" s="5"/>
      <c r="P573" s="5">
        <v>0</v>
      </c>
      <c r="Q573" s="11">
        <v>0</v>
      </c>
      <c r="R573" s="5">
        <v>0</v>
      </c>
      <c r="S573" s="12">
        <v>0</v>
      </c>
      <c r="T573" s="5">
        <v>0</v>
      </c>
      <c r="U573" s="11">
        <v>0</v>
      </c>
      <c r="V573" s="5">
        <v>0</v>
      </c>
      <c r="W573" s="11">
        <v>0</v>
      </c>
      <c r="X573" s="5">
        <f t="shared" si="136"/>
        <v>224100</v>
      </c>
      <c r="Y573" s="11">
        <v>0.2</v>
      </c>
      <c r="Z573" s="5">
        <f t="shared" si="135"/>
        <v>268920</v>
      </c>
      <c r="AA573" s="11">
        <f t="shared" si="130"/>
        <v>0.16666666666666666</v>
      </c>
      <c r="AB573" s="11">
        <v>0.1</v>
      </c>
    </row>
    <row r="574" spans="1:28">
      <c r="A574">
        <v>2026</v>
      </c>
      <c r="B574" t="s">
        <v>180</v>
      </c>
      <c r="C574" t="s">
        <v>12</v>
      </c>
      <c r="D574" t="s">
        <v>13</v>
      </c>
      <c r="G574" t="s">
        <v>209</v>
      </c>
      <c r="H574" t="s">
        <v>209</v>
      </c>
      <c r="I574" t="s">
        <v>126</v>
      </c>
      <c r="J574" t="s">
        <v>159</v>
      </c>
      <c r="K574" t="s">
        <v>16</v>
      </c>
      <c r="L574">
        <v>38000</v>
      </c>
      <c r="M574" s="5">
        <v>38000</v>
      </c>
      <c r="O574" s="5"/>
      <c r="P574" s="5">
        <v>0</v>
      </c>
      <c r="Q574" s="11">
        <v>0</v>
      </c>
      <c r="R574" s="5">
        <v>0</v>
      </c>
      <c r="S574" s="12">
        <v>0</v>
      </c>
      <c r="T574" s="5">
        <v>0</v>
      </c>
      <c r="U574" s="11">
        <v>0</v>
      </c>
      <c r="V574" s="5">
        <v>0</v>
      </c>
      <c r="W574" s="11">
        <v>0</v>
      </c>
      <c r="X574" s="5">
        <f t="shared" si="136"/>
        <v>38000</v>
      </c>
      <c r="Y574" s="11">
        <v>0.2</v>
      </c>
      <c r="Z574" s="5">
        <f t="shared" si="135"/>
        <v>45600</v>
      </c>
      <c r="AA574" s="11">
        <f t="shared" si="130"/>
        <v>0.16666666666666666</v>
      </c>
      <c r="AB574" s="11">
        <v>0.1</v>
      </c>
    </row>
    <row r="575" spans="1:28">
      <c r="A575">
        <v>2026</v>
      </c>
      <c r="B575" t="s">
        <v>180</v>
      </c>
      <c r="C575" t="s">
        <v>12</v>
      </c>
      <c r="D575" t="s">
        <v>13</v>
      </c>
      <c r="G575" t="s">
        <v>209</v>
      </c>
      <c r="H575" t="s">
        <v>209</v>
      </c>
      <c r="I575" t="s">
        <v>127</v>
      </c>
      <c r="J575" t="s">
        <v>159</v>
      </c>
      <c r="K575" t="s">
        <v>16</v>
      </c>
      <c r="L575">
        <v>39800</v>
      </c>
      <c r="M575" s="5">
        <v>39800</v>
      </c>
      <c r="O575" s="5"/>
      <c r="P575" s="5">
        <v>0</v>
      </c>
      <c r="Q575" s="11">
        <v>0</v>
      </c>
      <c r="R575" s="5">
        <v>0</v>
      </c>
      <c r="S575" s="12">
        <v>0</v>
      </c>
      <c r="T575" s="5">
        <v>0</v>
      </c>
      <c r="U575" s="11">
        <v>0</v>
      </c>
      <c r="V575" s="5">
        <v>0</v>
      </c>
      <c r="W575" s="11">
        <v>0</v>
      </c>
      <c r="X575" s="5">
        <f t="shared" si="136"/>
        <v>39800</v>
      </c>
      <c r="Y575" s="11">
        <v>0.2</v>
      </c>
      <c r="Z575" s="5">
        <f t="shared" si="135"/>
        <v>47760</v>
      </c>
      <c r="AA575" s="11">
        <f t="shared" si="130"/>
        <v>0.16666666666666666</v>
      </c>
      <c r="AB575" s="11">
        <v>0.1</v>
      </c>
    </row>
    <row r="576" spans="1:28">
      <c r="A576">
        <v>2026</v>
      </c>
      <c r="B576" t="s">
        <v>167</v>
      </c>
      <c r="C576" t="s">
        <v>39</v>
      </c>
      <c r="D576" t="s">
        <v>40</v>
      </c>
      <c r="G576" t="s">
        <v>209</v>
      </c>
      <c r="H576" t="s">
        <v>209</v>
      </c>
      <c r="I576" t="s">
        <v>71</v>
      </c>
      <c r="J576" t="s">
        <v>159</v>
      </c>
      <c r="K576" t="s">
        <v>16</v>
      </c>
      <c r="L576">
        <v>28800</v>
      </c>
      <c r="M576" s="5">
        <v>28800</v>
      </c>
      <c r="O576" s="5">
        <f>V576</f>
        <v>34560</v>
      </c>
      <c r="P576" s="5">
        <v>0</v>
      </c>
      <c r="Q576" s="11">
        <v>0</v>
      </c>
      <c r="R576" s="5">
        <v>0</v>
      </c>
      <c r="S576" s="12">
        <v>0</v>
      </c>
      <c r="T576" s="5">
        <f t="shared" ref="T576:T607" si="137">IF(C576="Mediana Complejidad",M576,0)</f>
        <v>28800</v>
      </c>
      <c r="U576" s="11">
        <v>0.2</v>
      </c>
      <c r="V576" s="5">
        <f>T576+(U576*T576)</f>
        <v>34560</v>
      </c>
      <c r="W576" s="15">
        <f t="shared" ref="W576:W607" si="138">IFERROR(((V576-T576)/V576),0)</f>
        <v>0.16666666666666666</v>
      </c>
      <c r="X576" s="5">
        <v>0</v>
      </c>
      <c r="Y576" s="11">
        <v>0</v>
      </c>
      <c r="Z576" s="5">
        <v>0</v>
      </c>
      <c r="AA576" s="11">
        <v>0</v>
      </c>
      <c r="AB576" s="11">
        <v>0.1</v>
      </c>
    </row>
    <row r="577" spans="1:28">
      <c r="A577">
        <v>2026</v>
      </c>
      <c r="B577" t="s">
        <v>167</v>
      </c>
      <c r="C577" t="s">
        <v>39</v>
      </c>
      <c r="D577" t="s">
        <v>40</v>
      </c>
      <c r="G577" t="s">
        <v>209</v>
      </c>
      <c r="H577" t="s">
        <v>209</v>
      </c>
      <c r="I577" t="s">
        <v>76</v>
      </c>
      <c r="J577" t="s">
        <v>159</v>
      </c>
      <c r="K577" t="s">
        <v>16</v>
      </c>
      <c r="L577">
        <v>36700</v>
      </c>
      <c r="M577" s="5">
        <v>36700</v>
      </c>
      <c r="O577" s="5">
        <f t="shared" ref="O577:O590" si="139">V577</f>
        <v>44040</v>
      </c>
      <c r="P577" s="5">
        <v>0</v>
      </c>
      <c r="Q577" s="11">
        <v>0</v>
      </c>
      <c r="R577" s="5">
        <v>0</v>
      </c>
      <c r="S577" s="12">
        <v>0</v>
      </c>
      <c r="T577" s="5">
        <f t="shared" si="137"/>
        <v>36700</v>
      </c>
      <c r="U577" s="11">
        <v>0.2</v>
      </c>
      <c r="V577" s="5">
        <f t="shared" ref="V577:V590" si="140">T577+(U577*T577)</f>
        <v>44040</v>
      </c>
      <c r="W577" s="15">
        <f t="shared" si="138"/>
        <v>0.16666666666666666</v>
      </c>
      <c r="X577" s="5">
        <v>0</v>
      </c>
      <c r="Y577" s="11">
        <v>0</v>
      </c>
      <c r="Z577" s="5">
        <v>0</v>
      </c>
      <c r="AA577" s="11">
        <v>0</v>
      </c>
      <c r="AB577" s="11">
        <v>0.1</v>
      </c>
    </row>
    <row r="578" spans="1:28">
      <c r="A578">
        <v>2026</v>
      </c>
      <c r="B578" t="s">
        <v>167</v>
      </c>
      <c r="C578" t="s">
        <v>39</v>
      </c>
      <c r="D578" t="s">
        <v>40</v>
      </c>
      <c r="G578" t="s">
        <v>209</v>
      </c>
      <c r="H578" t="s">
        <v>209</v>
      </c>
      <c r="I578" t="s">
        <v>91</v>
      </c>
      <c r="J578" t="s">
        <v>160</v>
      </c>
      <c r="K578" t="s">
        <v>16</v>
      </c>
      <c r="L578">
        <v>28000</v>
      </c>
      <c r="M578" s="5">
        <v>28000</v>
      </c>
      <c r="O578" s="5">
        <f t="shared" si="139"/>
        <v>33600</v>
      </c>
      <c r="P578" s="5">
        <v>0</v>
      </c>
      <c r="Q578" s="11">
        <v>0</v>
      </c>
      <c r="R578" s="5">
        <v>0</v>
      </c>
      <c r="S578" s="12">
        <v>0</v>
      </c>
      <c r="T578" s="5">
        <f t="shared" si="137"/>
        <v>28000</v>
      </c>
      <c r="U578" s="11">
        <v>0.2</v>
      </c>
      <c r="V578" s="5">
        <f t="shared" si="140"/>
        <v>33600</v>
      </c>
      <c r="W578" s="15">
        <f t="shared" si="138"/>
        <v>0.16666666666666666</v>
      </c>
      <c r="X578" s="5">
        <v>0</v>
      </c>
      <c r="Y578" s="11">
        <v>0</v>
      </c>
      <c r="Z578" s="5">
        <v>0</v>
      </c>
      <c r="AA578" s="11">
        <v>0</v>
      </c>
      <c r="AB578" s="11">
        <v>0.1</v>
      </c>
    </row>
    <row r="579" spans="1:28">
      <c r="A579">
        <v>2026</v>
      </c>
      <c r="B579" t="s">
        <v>167</v>
      </c>
      <c r="C579" t="s">
        <v>39</v>
      </c>
      <c r="D579" t="s">
        <v>40</v>
      </c>
      <c r="G579" t="s">
        <v>209</v>
      </c>
      <c r="H579" t="s">
        <v>209</v>
      </c>
      <c r="I579" t="s">
        <v>97</v>
      </c>
      <c r="J579" t="s">
        <v>160</v>
      </c>
      <c r="K579" t="s">
        <v>16</v>
      </c>
      <c r="L579">
        <v>36700</v>
      </c>
      <c r="M579" s="5">
        <v>36700</v>
      </c>
      <c r="O579" s="5">
        <f t="shared" si="139"/>
        <v>44040</v>
      </c>
      <c r="P579" s="5">
        <v>0</v>
      </c>
      <c r="Q579" s="11">
        <v>0</v>
      </c>
      <c r="R579" s="5">
        <v>0</v>
      </c>
      <c r="S579" s="12">
        <v>0</v>
      </c>
      <c r="T579" s="5">
        <f t="shared" si="137"/>
        <v>36700</v>
      </c>
      <c r="U579" s="11">
        <v>0.2</v>
      </c>
      <c r="V579" s="5">
        <f t="shared" si="140"/>
        <v>44040</v>
      </c>
      <c r="W579" s="15">
        <f t="shared" si="138"/>
        <v>0.16666666666666666</v>
      </c>
      <c r="X579" s="5">
        <v>0</v>
      </c>
      <c r="Y579" s="11">
        <v>0</v>
      </c>
      <c r="Z579" s="5">
        <v>0</v>
      </c>
      <c r="AA579" s="11">
        <v>0</v>
      </c>
      <c r="AB579" s="11">
        <v>0.1</v>
      </c>
    </row>
    <row r="580" spans="1:28">
      <c r="A580">
        <v>2026</v>
      </c>
      <c r="B580" t="s">
        <v>167</v>
      </c>
      <c r="C580" t="s">
        <v>39</v>
      </c>
      <c r="D580" t="s">
        <v>40</v>
      </c>
      <c r="G580" t="s">
        <v>209</v>
      </c>
      <c r="H580" t="s">
        <v>209</v>
      </c>
      <c r="I580" t="s">
        <v>103</v>
      </c>
      <c r="J580" t="s">
        <v>160</v>
      </c>
      <c r="K580" t="s">
        <v>16</v>
      </c>
      <c r="L580">
        <v>21900</v>
      </c>
      <c r="M580" s="5">
        <v>21900</v>
      </c>
      <c r="O580" s="5">
        <f t="shared" si="139"/>
        <v>26280</v>
      </c>
      <c r="P580" s="5">
        <v>0</v>
      </c>
      <c r="Q580" s="11">
        <v>0</v>
      </c>
      <c r="R580" s="5">
        <v>0</v>
      </c>
      <c r="S580" s="12">
        <v>0</v>
      </c>
      <c r="T580" s="5">
        <f t="shared" si="137"/>
        <v>21900</v>
      </c>
      <c r="U580" s="11">
        <v>0.2</v>
      </c>
      <c r="V580" s="5">
        <f t="shared" si="140"/>
        <v>26280</v>
      </c>
      <c r="W580" s="15">
        <f t="shared" si="138"/>
        <v>0.16666666666666666</v>
      </c>
      <c r="X580" s="5">
        <v>0</v>
      </c>
      <c r="Y580" s="11">
        <v>0</v>
      </c>
      <c r="Z580" s="5">
        <v>0</v>
      </c>
      <c r="AA580" s="11">
        <v>0</v>
      </c>
      <c r="AB580" s="11">
        <v>0.1</v>
      </c>
    </row>
    <row r="581" spans="1:28">
      <c r="A581">
        <v>2026</v>
      </c>
      <c r="B581" t="s">
        <v>167</v>
      </c>
      <c r="C581" t="s">
        <v>39</v>
      </c>
      <c r="D581" t="s">
        <v>40</v>
      </c>
      <c r="G581" t="s">
        <v>209</v>
      </c>
      <c r="H581" t="s">
        <v>209</v>
      </c>
      <c r="I581" t="s">
        <v>107</v>
      </c>
      <c r="J581" t="s">
        <v>160</v>
      </c>
      <c r="K581" t="s">
        <v>16</v>
      </c>
      <c r="L581">
        <v>114900</v>
      </c>
      <c r="M581" s="5">
        <v>114900</v>
      </c>
      <c r="O581" s="5">
        <f t="shared" si="139"/>
        <v>137880</v>
      </c>
      <c r="P581" s="5">
        <v>0</v>
      </c>
      <c r="Q581" s="11">
        <v>0</v>
      </c>
      <c r="R581" s="5">
        <v>0</v>
      </c>
      <c r="S581" s="12">
        <v>0</v>
      </c>
      <c r="T581" s="5">
        <f t="shared" si="137"/>
        <v>114900</v>
      </c>
      <c r="U581" s="11">
        <v>0.2</v>
      </c>
      <c r="V581" s="5">
        <f t="shared" si="140"/>
        <v>137880</v>
      </c>
      <c r="W581" s="15">
        <f t="shared" si="138"/>
        <v>0.16666666666666666</v>
      </c>
      <c r="X581" s="5">
        <v>0</v>
      </c>
      <c r="Y581" s="11">
        <v>0</v>
      </c>
      <c r="Z581" s="5">
        <v>0</v>
      </c>
      <c r="AA581" s="11">
        <v>0</v>
      </c>
      <c r="AB581" s="11">
        <v>0.1</v>
      </c>
    </row>
    <row r="582" spans="1:28">
      <c r="A582">
        <v>2026</v>
      </c>
      <c r="B582" t="s">
        <v>167</v>
      </c>
      <c r="C582" t="s">
        <v>39</v>
      </c>
      <c r="D582" t="s">
        <v>40</v>
      </c>
      <c r="G582" t="s">
        <v>209</v>
      </c>
      <c r="H582" t="s">
        <v>209</v>
      </c>
      <c r="I582" t="s">
        <v>110</v>
      </c>
      <c r="J582" t="s">
        <v>160</v>
      </c>
      <c r="K582" t="s">
        <v>16</v>
      </c>
      <c r="L582">
        <v>28000</v>
      </c>
      <c r="M582" s="5">
        <v>28000</v>
      </c>
      <c r="O582" s="5">
        <f t="shared" si="139"/>
        <v>33600</v>
      </c>
      <c r="P582" s="5">
        <v>0</v>
      </c>
      <c r="Q582" s="11">
        <v>0</v>
      </c>
      <c r="R582" s="5">
        <v>0</v>
      </c>
      <c r="S582" s="12">
        <v>0</v>
      </c>
      <c r="T582" s="5">
        <f t="shared" si="137"/>
        <v>28000</v>
      </c>
      <c r="U582" s="11">
        <v>0.2</v>
      </c>
      <c r="V582" s="5">
        <f t="shared" si="140"/>
        <v>33600</v>
      </c>
      <c r="W582" s="15">
        <f t="shared" si="138"/>
        <v>0.16666666666666666</v>
      </c>
      <c r="X582" s="5">
        <v>0</v>
      </c>
      <c r="Y582" s="11">
        <v>0</v>
      </c>
      <c r="Z582" s="5">
        <v>0</v>
      </c>
      <c r="AA582" s="11">
        <v>0</v>
      </c>
      <c r="AB582" s="11">
        <v>0.1</v>
      </c>
    </row>
    <row r="583" spans="1:28">
      <c r="A583">
        <v>2026</v>
      </c>
      <c r="B583" t="s">
        <v>167</v>
      </c>
      <c r="C583" t="s">
        <v>39</v>
      </c>
      <c r="D583" t="s">
        <v>40</v>
      </c>
      <c r="G583" t="s">
        <v>209</v>
      </c>
      <c r="H583" t="s">
        <v>209</v>
      </c>
      <c r="I583" t="s">
        <v>111</v>
      </c>
      <c r="J583" t="s">
        <v>160</v>
      </c>
      <c r="K583" t="s">
        <v>16</v>
      </c>
      <c r="L583">
        <v>49200</v>
      </c>
      <c r="M583" s="5">
        <v>49200</v>
      </c>
      <c r="O583" s="5">
        <f t="shared" si="139"/>
        <v>59040</v>
      </c>
      <c r="P583" s="5">
        <v>0</v>
      </c>
      <c r="Q583" s="11">
        <v>0</v>
      </c>
      <c r="R583" s="5">
        <v>0</v>
      </c>
      <c r="S583" s="12">
        <v>0</v>
      </c>
      <c r="T583" s="5">
        <f t="shared" si="137"/>
        <v>49200</v>
      </c>
      <c r="U583" s="11">
        <v>0.2</v>
      </c>
      <c r="V583" s="5">
        <f t="shared" si="140"/>
        <v>59040</v>
      </c>
      <c r="W583" s="15">
        <f t="shared" si="138"/>
        <v>0.16666666666666666</v>
      </c>
      <c r="X583" s="5">
        <v>0</v>
      </c>
      <c r="Y583" s="11">
        <v>0</v>
      </c>
      <c r="Z583" s="5">
        <v>0</v>
      </c>
      <c r="AA583" s="11">
        <v>0</v>
      </c>
      <c r="AB583" s="11">
        <v>0.1</v>
      </c>
    </row>
    <row r="584" spans="1:28">
      <c r="A584">
        <v>2026</v>
      </c>
      <c r="B584" t="s">
        <v>167</v>
      </c>
      <c r="C584" t="s">
        <v>39</v>
      </c>
      <c r="D584" t="s">
        <v>40</v>
      </c>
      <c r="G584" t="s">
        <v>209</v>
      </c>
      <c r="H584" t="s">
        <v>209</v>
      </c>
      <c r="I584" t="s">
        <v>112</v>
      </c>
      <c r="J584" t="s">
        <v>160</v>
      </c>
      <c r="K584" t="s">
        <v>16</v>
      </c>
      <c r="L584">
        <v>141600</v>
      </c>
      <c r="M584" s="5">
        <v>141600</v>
      </c>
      <c r="O584" s="5">
        <f t="shared" si="139"/>
        <v>169920</v>
      </c>
      <c r="P584" s="5">
        <v>0</v>
      </c>
      <c r="Q584" s="11">
        <v>0</v>
      </c>
      <c r="R584" s="5">
        <v>0</v>
      </c>
      <c r="S584" s="12">
        <v>0</v>
      </c>
      <c r="T584" s="5">
        <f t="shared" si="137"/>
        <v>141600</v>
      </c>
      <c r="U584" s="11">
        <v>0.2</v>
      </c>
      <c r="V584" s="5">
        <f t="shared" si="140"/>
        <v>169920</v>
      </c>
      <c r="W584" s="15">
        <f t="shared" si="138"/>
        <v>0.16666666666666666</v>
      </c>
      <c r="X584" s="5">
        <v>0</v>
      </c>
      <c r="Y584" s="11">
        <v>0</v>
      </c>
      <c r="Z584" s="5">
        <v>0</v>
      </c>
      <c r="AA584" s="11">
        <v>0</v>
      </c>
      <c r="AB584" s="11">
        <v>0.1</v>
      </c>
    </row>
    <row r="585" spans="1:28">
      <c r="A585">
        <v>2026</v>
      </c>
      <c r="B585" t="s">
        <v>167</v>
      </c>
      <c r="C585" t="s">
        <v>39</v>
      </c>
      <c r="D585" t="s">
        <v>40</v>
      </c>
      <c r="G585" t="s">
        <v>209</v>
      </c>
      <c r="H585" t="s">
        <v>209</v>
      </c>
      <c r="I585" t="s">
        <v>113</v>
      </c>
      <c r="J585" t="s">
        <v>160</v>
      </c>
      <c r="K585" t="s">
        <v>16</v>
      </c>
      <c r="L585">
        <v>174700</v>
      </c>
      <c r="M585" s="5">
        <v>174700</v>
      </c>
      <c r="O585" s="5">
        <f t="shared" si="139"/>
        <v>209640</v>
      </c>
      <c r="P585" s="5">
        <v>0</v>
      </c>
      <c r="Q585" s="11">
        <v>0</v>
      </c>
      <c r="R585" s="5">
        <v>0</v>
      </c>
      <c r="S585" s="12">
        <v>0</v>
      </c>
      <c r="T585" s="5">
        <f t="shared" si="137"/>
        <v>174700</v>
      </c>
      <c r="U585" s="11">
        <v>0.2</v>
      </c>
      <c r="V585" s="5">
        <f t="shared" si="140"/>
        <v>209640</v>
      </c>
      <c r="W585" s="15">
        <f t="shared" si="138"/>
        <v>0.16666666666666666</v>
      </c>
      <c r="X585" s="5">
        <v>0</v>
      </c>
      <c r="Y585" s="11">
        <v>0</v>
      </c>
      <c r="Z585" s="5">
        <v>0</v>
      </c>
      <c r="AA585" s="11">
        <v>0</v>
      </c>
      <c r="AB585" s="11">
        <v>0.1</v>
      </c>
    </row>
    <row r="586" spans="1:28">
      <c r="A586">
        <v>2026</v>
      </c>
      <c r="B586" t="s">
        <v>167</v>
      </c>
      <c r="C586" t="s">
        <v>39</v>
      </c>
      <c r="D586" t="s">
        <v>40</v>
      </c>
      <c r="G586" t="s">
        <v>209</v>
      </c>
      <c r="H586" t="s">
        <v>209</v>
      </c>
      <c r="I586" t="s">
        <v>114</v>
      </c>
      <c r="J586" t="s">
        <v>160</v>
      </c>
      <c r="K586" t="s">
        <v>16</v>
      </c>
      <c r="L586">
        <v>204000</v>
      </c>
      <c r="M586" s="5">
        <v>204000</v>
      </c>
      <c r="O586" s="5">
        <f t="shared" si="139"/>
        <v>244800</v>
      </c>
      <c r="P586" s="5">
        <v>0</v>
      </c>
      <c r="Q586" s="11">
        <v>0</v>
      </c>
      <c r="R586" s="5">
        <v>0</v>
      </c>
      <c r="S586" s="12">
        <v>0</v>
      </c>
      <c r="T586" s="5">
        <f t="shared" si="137"/>
        <v>204000</v>
      </c>
      <c r="U586" s="11">
        <v>0.2</v>
      </c>
      <c r="V586" s="5">
        <f t="shared" si="140"/>
        <v>244800</v>
      </c>
      <c r="W586" s="15">
        <f t="shared" si="138"/>
        <v>0.16666666666666666</v>
      </c>
      <c r="X586" s="5">
        <v>0</v>
      </c>
      <c r="Y586" s="11">
        <v>0</v>
      </c>
      <c r="Z586" s="5">
        <v>0</v>
      </c>
      <c r="AA586" s="11">
        <v>0</v>
      </c>
      <c r="AB586" s="11">
        <v>0.1</v>
      </c>
    </row>
    <row r="587" spans="1:28">
      <c r="A587">
        <v>2026</v>
      </c>
      <c r="B587" t="s">
        <v>167</v>
      </c>
      <c r="C587" t="s">
        <v>39</v>
      </c>
      <c r="D587" t="s">
        <v>40</v>
      </c>
      <c r="G587" t="s">
        <v>209</v>
      </c>
      <c r="H587" t="s">
        <v>209</v>
      </c>
      <c r="I587" t="s">
        <v>119</v>
      </c>
      <c r="J587" t="s">
        <v>160</v>
      </c>
      <c r="K587" t="s">
        <v>16</v>
      </c>
      <c r="L587">
        <v>49000</v>
      </c>
      <c r="M587" s="5">
        <v>49000</v>
      </c>
      <c r="O587" s="5">
        <f t="shared" si="139"/>
        <v>58800</v>
      </c>
      <c r="P587" s="5">
        <v>0</v>
      </c>
      <c r="Q587" s="11">
        <v>0</v>
      </c>
      <c r="R587" s="5">
        <v>0</v>
      </c>
      <c r="S587" s="12">
        <v>0</v>
      </c>
      <c r="T587" s="5">
        <f t="shared" si="137"/>
        <v>49000</v>
      </c>
      <c r="U587" s="11">
        <v>0.2</v>
      </c>
      <c r="V587" s="5">
        <f t="shared" si="140"/>
        <v>58800</v>
      </c>
      <c r="W587" s="15">
        <f t="shared" si="138"/>
        <v>0.16666666666666666</v>
      </c>
      <c r="X587" s="5">
        <v>0</v>
      </c>
      <c r="Y587" s="11">
        <v>0</v>
      </c>
      <c r="Z587" s="5">
        <v>0</v>
      </c>
      <c r="AA587" s="11">
        <v>0</v>
      </c>
      <c r="AB587" s="11">
        <v>0.1</v>
      </c>
    </row>
    <row r="588" spans="1:28">
      <c r="A588">
        <v>2026</v>
      </c>
      <c r="B588" t="s">
        <v>167</v>
      </c>
      <c r="C588" t="s">
        <v>39</v>
      </c>
      <c r="D588" t="s">
        <v>40</v>
      </c>
      <c r="G588" t="s">
        <v>209</v>
      </c>
      <c r="H588" t="s">
        <v>209</v>
      </c>
      <c r="I588" t="s">
        <v>122</v>
      </c>
      <c r="J588" t="s">
        <v>159</v>
      </c>
      <c r="K588" t="s">
        <v>16</v>
      </c>
      <c r="L588">
        <v>224100</v>
      </c>
      <c r="M588" s="5">
        <v>224100</v>
      </c>
      <c r="O588" s="5">
        <f t="shared" si="139"/>
        <v>268920</v>
      </c>
      <c r="P588" s="5">
        <v>0</v>
      </c>
      <c r="Q588" s="11">
        <v>0</v>
      </c>
      <c r="R588" s="5">
        <v>0</v>
      </c>
      <c r="S588" s="12">
        <v>0</v>
      </c>
      <c r="T588" s="5">
        <f t="shared" si="137"/>
        <v>224100</v>
      </c>
      <c r="U588" s="11">
        <v>0.2</v>
      </c>
      <c r="V588" s="5">
        <f t="shared" si="140"/>
        <v>268920</v>
      </c>
      <c r="W588" s="15">
        <f t="shared" si="138"/>
        <v>0.16666666666666666</v>
      </c>
      <c r="X588" s="5">
        <v>0</v>
      </c>
      <c r="Y588" s="11">
        <v>0</v>
      </c>
      <c r="Z588" s="5">
        <v>0</v>
      </c>
      <c r="AA588" s="11">
        <v>0</v>
      </c>
      <c r="AB588" s="11">
        <v>0.1</v>
      </c>
    </row>
    <row r="589" spans="1:28">
      <c r="A589">
        <v>2026</v>
      </c>
      <c r="B589" t="s">
        <v>167</v>
      </c>
      <c r="C589" t="s">
        <v>39</v>
      </c>
      <c r="D589" t="s">
        <v>40</v>
      </c>
      <c r="G589" t="s">
        <v>209</v>
      </c>
      <c r="H589" t="s">
        <v>209</v>
      </c>
      <c r="I589" t="s">
        <v>126</v>
      </c>
      <c r="J589" t="s">
        <v>159</v>
      </c>
      <c r="K589" t="s">
        <v>16</v>
      </c>
      <c r="L589">
        <v>38000</v>
      </c>
      <c r="M589" s="5">
        <v>38000</v>
      </c>
      <c r="O589" s="5">
        <f t="shared" si="139"/>
        <v>45600</v>
      </c>
      <c r="P589" s="5">
        <v>0</v>
      </c>
      <c r="Q589" s="11">
        <v>0</v>
      </c>
      <c r="R589" s="5">
        <v>0</v>
      </c>
      <c r="S589" s="12">
        <v>0</v>
      </c>
      <c r="T589" s="5">
        <f t="shared" si="137"/>
        <v>38000</v>
      </c>
      <c r="U589" s="11">
        <v>0.2</v>
      </c>
      <c r="V589" s="5">
        <f t="shared" si="140"/>
        <v>45600</v>
      </c>
      <c r="W589" s="15">
        <f t="shared" si="138"/>
        <v>0.16666666666666666</v>
      </c>
      <c r="X589" s="5">
        <v>0</v>
      </c>
      <c r="Y589" s="11">
        <v>0</v>
      </c>
      <c r="Z589" s="5">
        <v>0</v>
      </c>
      <c r="AA589" s="11">
        <v>0</v>
      </c>
      <c r="AB589" s="11">
        <v>0.1</v>
      </c>
    </row>
    <row r="590" spans="1:28">
      <c r="A590">
        <v>2026</v>
      </c>
      <c r="B590" t="s">
        <v>167</v>
      </c>
      <c r="C590" t="s">
        <v>39</v>
      </c>
      <c r="D590" t="s">
        <v>40</v>
      </c>
      <c r="G590" t="s">
        <v>209</v>
      </c>
      <c r="H590" t="s">
        <v>209</v>
      </c>
      <c r="I590" t="s">
        <v>127</v>
      </c>
      <c r="J590" t="s">
        <v>159</v>
      </c>
      <c r="K590" t="s">
        <v>16</v>
      </c>
      <c r="L590">
        <v>39800</v>
      </c>
      <c r="M590" s="5">
        <v>39800</v>
      </c>
      <c r="O590" s="5">
        <f t="shared" si="139"/>
        <v>47760</v>
      </c>
      <c r="P590" s="5">
        <v>0</v>
      </c>
      <c r="Q590" s="11">
        <v>0</v>
      </c>
      <c r="R590" s="5">
        <v>0</v>
      </c>
      <c r="S590" s="12">
        <v>0</v>
      </c>
      <c r="T590" s="5">
        <f t="shared" si="137"/>
        <v>39800</v>
      </c>
      <c r="U590" s="11">
        <v>0.2</v>
      </c>
      <c r="V590" s="5">
        <f t="shared" si="140"/>
        <v>47760</v>
      </c>
      <c r="W590" s="15">
        <f t="shared" si="138"/>
        <v>0.16666666666666666</v>
      </c>
      <c r="X590" s="5">
        <v>0</v>
      </c>
      <c r="Y590" s="11">
        <v>0</v>
      </c>
      <c r="Z590" s="5">
        <v>0</v>
      </c>
      <c r="AA590" s="11">
        <v>0</v>
      </c>
      <c r="AB590" s="11">
        <v>0.1</v>
      </c>
    </row>
    <row r="591" spans="1:28">
      <c r="A591">
        <v>2026</v>
      </c>
      <c r="B591" t="s">
        <v>175</v>
      </c>
      <c r="C591" t="s">
        <v>39</v>
      </c>
      <c r="D591" t="s">
        <v>40</v>
      </c>
      <c r="G591" t="s">
        <v>209</v>
      </c>
      <c r="H591" t="s">
        <v>209</v>
      </c>
      <c r="I591" t="s">
        <v>71</v>
      </c>
      <c r="J591" t="s">
        <v>159</v>
      </c>
      <c r="K591" t="s">
        <v>16</v>
      </c>
      <c r="L591">
        <v>28800</v>
      </c>
      <c r="M591" s="5">
        <v>28800</v>
      </c>
      <c r="O591" s="5">
        <f>V591</f>
        <v>34560</v>
      </c>
      <c r="P591" s="5">
        <v>0</v>
      </c>
      <c r="Q591" s="11">
        <v>0</v>
      </c>
      <c r="R591" s="5">
        <v>0</v>
      </c>
      <c r="S591" s="12">
        <v>0</v>
      </c>
      <c r="T591" s="5">
        <f t="shared" si="137"/>
        <v>28800</v>
      </c>
      <c r="U591" s="11">
        <v>0.2</v>
      </c>
      <c r="V591" s="5">
        <f>T591+(U591*T591)</f>
        <v>34560</v>
      </c>
      <c r="W591" s="15">
        <f t="shared" si="138"/>
        <v>0.16666666666666666</v>
      </c>
      <c r="X591" s="5">
        <v>0</v>
      </c>
      <c r="Y591" s="11">
        <v>0</v>
      </c>
      <c r="Z591" s="5">
        <v>0</v>
      </c>
      <c r="AA591" s="11">
        <v>0</v>
      </c>
      <c r="AB591" s="11">
        <v>0.1</v>
      </c>
    </row>
    <row r="592" spans="1:28">
      <c r="A592">
        <v>2026</v>
      </c>
      <c r="B592" t="s">
        <v>175</v>
      </c>
      <c r="C592" t="s">
        <v>39</v>
      </c>
      <c r="D592" t="s">
        <v>40</v>
      </c>
      <c r="G592" t="s">
        <v>209</v>
      </c>
      <c r="H592" t="s">
        <v>209</v>
      </c>
      <c r="I592" t="s">
        <v>76</v>
      </c>
      <c r="J592" t="s">
        <v>159</v>
      </c>
      <c r="K592" t="s">
        <v>16</v>
      </c>
      <c r="L592">
        <v>36700</v>
      </c>
      <c r="M592" s="5">
        <v>36700</v>
      </c>
      <c r="O592" s="5">
        <f t="shared" ref="O592:O605" si="141">V592</f>
        <v>44040</v>
      </c>
      <c r="P592" s="5">
        <v>0</v>
      </c>
      <c r="Q592" s="11">
        <v>0</v>
      </c>
      <c r="R592" s="5">
        <v>0</v>
      </c>
      <c r="S592" s="12">
        <v>0</v>
      </c>
      <c r="T592" s="5">
        <f t="shared" si="137"/>
        <v>36700</v>
      </c>
      <c r="U592" s="11">
        <v>0.2</v>
      </c>
      <c r="V592" s="5">
        <f t="shared" ref="V592:V605" si="142">T592+(U592*T592)</f>
        <v>44040</v>
      </c>
      <c r="W592" s="15">
        <f t="shared" si="138"/>
        <v>0.16666666666666666</v>
      </c>
      <c r="X592" s="5">
        <v>0</v>
      </c>
      <c r="Y592" s="11">
        <v>0</v>
      </c>
      <c r="Z592" s="5">
        <v>0</v>
      </c>
      <c r="AA592" s="11">
        <v>0</v>
      </c>
      <c r="AB592" s="11">
        <v>0.1</v>
      </c>
    </row>
    <row r="593" spans="1:28">
      <c r="A593">
        <v>2026</v>
      </c>
      <c r="B593" t="s">
        <v>175</v>
      </c>
      <c r="C593" t="s">
        <v>39</v>
      </c>
      <c r="D593" t="s">
        <v>40</v>
      </c>
      <c r="G593" t="s">
        <v>209</v>
      </c>
      <c r="H593" t="s">
        <v>209</v>
      </c>
      <c r="I593" t="s">
        <v>91</v>
      </c>
      <c r="J593" t="s">
        <v>160</v>
      </c>
      <c r="K593" t="s">
        <v>16</v>
      </c>
      <c r="L593">
        <v>28000</v>
      </c>
      <c r="M593" s="5">
        <v>28000</v>
      </c>
      <c r="O593" s="5">
        <f t="shared" si="141"/>
        <v>33600</v>
      </c>
      <c r="P593" s="5">
        <v>0</v>
      </c>
      <c r="Q593" s="11">
        <v>0</v>
      </c>
      <c r="R593" s="5">
        <v>0</v>
      </c>
      <c r="S593" s="12">
        <v>0</v>
      </c>
      <c r="T593" s="5">
        <f t="shared" si="137"/>
        <v>28000</v>
      </c>
      <c r="U593" s="11">
        <v>0.2</v>
      </c>
      <c r="V593" s="5">
        <f t="shared" si="142"/>
        <v>33600</v>
      </c>
      <c r="W593" s="15">
        <f t="shared" si="138"/>
        <v>0.16666666666666666</v>
      </c>
      <c r="X593" s="5">
        <v>0</v>
      </c>
      <c r="Y593" s="11">
        <v>0</v>
      </c>
      <c r="Z593" s="5">
        <v>0</v>
      </c>
      <c r="AA593" s="11">
        <v>0</v>
      </c>
      <c r="AB593" s="11">
        <v>0.1</v>
      </c>
    </row>
    <row r="594" spans="1:28">
      <c r="A594">
        <v>2026</v>
      </c>
      <c r="B594" t="s">
        <v>175</v>
      </c>
      <c r="C594" t="s">
        <v>39</v>
      </c>
      <c r="D594" t="s">
        <v>40</v>
      </c>
      <c r="G594" t="s">
        <v>209</v>
      </c>
      <c r="H594" t="s">
        <v>209</v>
      </c>
      <c r="I594" t="s">
        <v>97</v>
      </c>
      <c r="J594" t="s">
        <v>160</v>
      </c>
      <c r="K594" t="s">
        <v>16</v>
      </c>
      <c r="L594">
        <v>36700</v>
      </c>
      <c r="M594" s="5">
        <v>36700</v>
      </c>
      <c r="O594" s="5">
        <f t="shared" si="141"/>
        <v>44040</v>
      </c>
      <c r="P594" s="5">
        <v>0</v>
      </c>
      <c r="Q594" s="11">
        <v>0</v>
      </c>
      <c r="R594" s="5">
        <v>0</v>
      </c>
      <c r="S594" s="12">
        <v>0</v>
      </c>
      <c r="T594" s="5">
        <f t="shared" si="137"/>
        <v>36700</v>
      </c>
      <c r="U594" s="11">
        <v>0.2</v>
      </c>
      <c r="V594" s="5">
        <f t="shared" si="142"/>
        <v>44040</v>
      </c>
      <c r="W594" s="15">
        <f t="shared" si="138"/>
        <v>0.16666666666666666</v>
      </c>
      <c r="X594" s="5">
        <v>0</v>
      </c>
      <c r="Y594" s="11">
        <v>0</v>
      </c>
      <c r="Z594" s="5">
        <v>0</v>
      </c>
      <c r="AA594" s="11">
        <v>0</v>
      </c>
      <c r="AB594" s="11">
        <v>0.1</v>
      </c>
    </row>
    <row r="595" spans="1:28">
      <c r="A595">
        <v>2026</v>
      </c>
      <c r="B595" t="s">
        <v>175</v>
      </c>
      <c r="C595" t="s">
        <v>39</v>
      </c>
      <c r="D595" t="s">
        <v>40</v>
      </c>
      <c r="G595" t="s">
        <v>209</v>
      </c>
      <c r="H595" t="s">
        <v>209</v>
      </c>
      <c r="I595" t="s">
        <v>103</v>
      </c>
      <c r="J595" t="s">
        <v>160</v>
      </c>
      <c r="K595" t="s">
        <v>16</v>
      </c>
      <c r="L595">
        <v>21900</v>
      </c>
      <c r="M595" s="5">
        <v>21900</v>
      </c>
      <c r="O595" s="5">
        <f t="shared" si="141"/>
        <v>26280</v>
      </c>
      <c r="P595" s="5">
        <v>0</v>
      </c>
      <c r="Q595" s="11">
        <v>0</v>
      </c>
      <c r="R595" s="5">
        <v>0</v>
      </c>
      <c r="S595" s="12">
        <v>0</v>
      </c>
      <c r="T595" s="5">
        <f t="shared" si="137"/>
        <v>21900</v>
      </c>
      <c r="U595" s="11">
        <v>0.2</v>
      </c>
      <c r="V595" s="5">
        <f t="shared" si="142"/>
        <v>26280</v>
      </c>
      <c r="W595" s="15">
        <f t="shared" si="138"/>
        <v>0.16666666666666666</v>
      </c>
      <c r="X595" s="5">
        <v>0</v>
      </c>
      <c r="Y595" s="11">
        <v>0</v>
      </c>
      <c r="Z595" s="5">
        <v>0</v>
      </c>
      <c r="AA595" s="11">
        <v>0</v>
      </c>
      <c r="AB595" s="11">
        <v>0.1</v>
      </c>
    </row>
    <row r="596" spans="1:28">
      <c r="A596">
        <v>2026</v>
      </c>
      <c r="B596" t="s">
        <v>175</v>
      </c>
      <c r="C596" t="s">
        <v>39</v>
      </c>
      <c r="D596" t="s">
        <v>40</v>
      </c>
      <c r="G596" t="s">
        <v>209</v>
      </c>
      <c r="H596" t="s">
        <v>209</v>
      </c>
      <c r="I596" t="s">
        <v>107</v>
      </c>
      <c r="J596" t="s">
        <v>160</v>
      </c>
      <c r="K596" t="s">
        <v>16</v>
      </c>
      <c r="L596">
        <v>114900</v>
      </c>
      <c r="M596" s="5">
        <v>114900</v>
      </c>
      <c r="O596" s="5">
        <f t="shared" si="141"/>
        <v>137880</v>
      </c>
      <c r="P596" s="5">
        <v>0</v>
      </c>
      <c r="Q596" s="11">
        <v>0</v>
      </c>
      <c r="R596" s="5">
        <v>0</v>
      </c>
      <c r="S596" s="12">
        <v>0</v>
      </c>
      <c r="T596" s="5">
        <f t="shared" si="137"/>
        <v>114900</v>
      </c>
      <c r="U596" s="11">
        <v>0.2</v>
      </c>
      <c r="V596" s="5">
        <f t="shared" si="142"/>
        <v>137880</v>
      </c>
      <c r="W596" s="15">
        <f t="shared" si="138"/>
        <v>0.16666666666666666</v>
      </c>
      <c r="X596" s="5">
        <v>0</v>
      </c>
      <c r="Y596" s="11">
        <v>0</v>
      </c>
      <c r="Z596" s="5">
        <v>0</v>
      </c>
      <c r="AA596" s="11">
        <v>0</v>
      </c>
      <c r="AB596" s="11">
        <v>0.1</v>
      </c>
    </row>
    <row r="597" spans="1:28">
      <c r="A597">
        <v>2026</v>
      </c>
      <c r="B597" t="s">
        <v>175</v>
      </c>
      <c r="C597" t="s">
        <v>39</v>
      </c>
      <c r="D597" t="s">
        <v>40</v>
      </c>
      <c r="G597" t="s">
        <v>209</v>
      </c>
      <c r="H597" t="s">
        <v>209</v>
      </c>
      <c r="I597" t="s">
        <v>110</v>
      </c>
      <c r="J597" t="s">
        <v>160</v>
      </c>
      <c r="K597" t="s">
        <v>16</v>
      </c>
      <c r="L597">
        <v>28000</v>
      </c>
      <c r="M597" s="5">
        <v>28000</v>
      </c>
      <c r="O597" s="5">
        <f t="shared" si="141"/>
        <v>33600</v>
      </c>
      <c r="P597" s="5">
        <v>0</v>
      </c>
      <c r="Q597" s="11">
        <v>0</v>
      </c>
      <c r="R597" s="5">
        <v>0</v>
      </c>
      <c r="S597" s="12">
        <v>0</v>
      </c>
      <c r="T597" s="5">
        <f t="shared" si="137"/>
        <v>28000</v>
      </c>
      <c r="U597" s="11">
        <v>0.2</v>
      </c>
      <c r="V597" s="5">
        <f t="shared" si="142"/>
        <v>33600</v>
      </c>
      <c r="W597" s="15">
        <f t="shared" si="138"/>
        <v>0.16666666666666666</v>
      </c>
      <c r="X597" s="5">
        <v>0</v>
      </c>
      <c r="Y597" s="11">
        <v>0</v>
      </c>
      <c r="Z597" s="5">
        <v>0</v>
      </c>
      <c r="AA597" s="11">
        <v>0</v>
      </c>
      <c r="AB597" s="11">
        <v>0.1</v>
      </c>
    </row>
    <row r="598" spans="1:28">
      <c r="A598">
        <v>2026</v>
      </c>
      <c r="B598" t="s">
        <v>175</v>
      </c>
      <c r="C598" t="s">
        <v>39</v>
      </c>
      <c r="D598" t="s">
        <v>40</v>
      </c>
      <c r="G598" t="s">
        <v>209</v>
      </c>
      <c r="H598" t="s">
        <v>209</v>
      </c>
      <c r="I598" t="s">
        <v>111</v>
      </c>
      <c r="J598" t="s">
        <v>160</v>
      </c>
      <c r="K598" t="s">
        <v>16</v>
      </c>
      <c r="L598">
        <v>49200</v>
      </c>
      <c r="M598" s="5">
        <v>49200</v>
      </c>
      <c r="O598" s="5">
        <f t="shared" si="141"/>
        <v>59040</v>
      </c>
      <c r="P598" s="5">
        <v>0</v>
      </c>
      <c r="Q598" s="11">
        <v>0</v>
      </c>
      <c r="R598" s="5">
        <v>0</v>
      </c>
      <c r="S598" s="12">
        <v>0</v>
      </c>
      <c r="T598" s="5">
        <f t="shared" si="137"/>
        <v>49200</v>
      </c>
      <c r="U598" s="11">
        <v>0.2</v>
      </c>
      <c r="V598" s="5">
        <f t="shared" si="142"/>
        <v>59040</v>
      </c>
      <c r="W598" s="15">
        <f t="shared" si="138"/>
        <v>0.16666666666666666</v>
      </c>
      <c r="X598" s="5">
        <v>0</v>
      </c>
      <c r="Y598" s="11">
        <v>0</v>
      </c>
      <c r="Z598" s="5">
        <v>0</v>
      </c>
      <c r="AA598" s="11">
        <v>0</v>
      </c>
      <c r="AB598" s="11">
        <v>0.1</v>
      </c>
    </row>
    <row r="599" spans="1:28">
      <c r="A599">
        <v>2026</v>
      </c>
      <c r="B599" t="s">
        <v>175</v>
      </c>
      <c r="C599" t="s">
        <v>39</v>
      </c>
      <c r="D599" t="s">
        <v>40</v>
      </c>
      <c r="G599" t="s">
        <v>209</v>
      </c>
      <c r="H599" t="s">
        <v>209</v>
      </c>
      <c r="I599" t="s">
        <v>112</v>
      </c>
      <c r="J599" t="s">
        <v>160</v>
      </c>
      <c r="K599" t="s">
        <v>16</v>
      </c>
      <c r="L599">
        <v>141600</v>
      </c>
      <c r="M599" s="5">
        <v>141600</v>
      </c>
      <c r="O599" s="5">
        <f t="shared" si="141"/>
        <v>169920</v>
      </c>
      <c r="P599" s="5">
        <v>0</v>
      </c>
      <c r="Q599" s="11">
        <v>0</v>
      </c>
      <c r="R599" s="5">
        <v>0</v>
      </c>
      <c r="S599" s="12">
        <v>0</v>
      </c>
      <c r="T599" s="5">
        <f t="shared" si="137"/>
        <v>141600</v>
      </c>
      <c r="U599" s="11">
        <v>0.2</v>
      </c>
      <c r="V599" s="5">
        <f t="shared" si="142"/>
        <v>169920</v>
      </c>
      <c r="W599" s="15">
        <f t="shared" si="138"/>
        <v>0.16666666666666666</v>
      </c>
      <c r="X599" s="5">
        <v>0</v>
      </c>
      <c r="Y599" s="11">
        <v>0</v>
      </c>
      <c r="Z599" s="5">
        <v>0</v>
      </c>
      <c r="AA599" s="11">
        <v>0</v>
      </c>
      <c r="AB599" s="11">
        <v>0.1</v>
      </c>
    </row>
    <row r="600" spans="1:28">
      <c r="A600">
        <v>2026</v>
      </c>
      <c r="B600" t="s">
        <v>175</v>
      </c>
      <c r="C600" t="s">
        <v>39</v>
      </c>
      <c r="D600" t="s">
        <v>40</v>
      </c>
      <c r="G600" t="s">
        <v>209</v>
      </c>
      <c r="H600" t="s">
        <v>209</v>
      </c>
      <c r="I600" t="s">
        <v>113</v>
      </c>
      <c r="J600" t="s">
        <v>160</v>
      </c>
      <c r="K600" t="s">
        <v>16</v>
      </c>
      <c r="L600">
        <v>174700</v>
      </c>
      <c r="M600" s="5">
        <v>174700</v>
      </c>
      <c r="O600" s="5">
        <f t="shared" si="141"/>
        <v>209640</v>
      </c>
      <c r="P600" s="5">
        <v>0</v>
      </c>
      <c r="Q600" s="11">
        <v>0</v>
      </c>
      <c r="R600" s="5">
        <v>0</v>
      </c>
      <c r="S600" s="12">
        <v>0</v>
      </c>
      <c r="T600" s="5">
        <f t="shared" si="137"/>
        <v>174700</v>
      </c>
      <c r="U600" s="11">
        <v>0.2</v>
      </c>
      <c r="V600" s="5">
        <f t="shared" si="142"/>
        <v>209640</v>
      </c>
      <c r="W600" s="15">
        <f t="shared" si="138"/>
        <v>0.16666666666666666</v>
      </c>
      <c r="X600" s="5">
        <v>0</v>
      </c>
      <c r="Y600" s="11">
        <v>0</v>
      </c>
      <c r="Z600" s="5">
        <v>0</v>
      </c>
      <c r="AA600" s="11">
        <v>0</v>
      </c>
      <c r="AB600" s="11">
        <v>0.1</v>
      </c>
    </row>
    <row r="601" spans="1:28">
      <c r="A601">
        <v>2026</v>
      </c>
      <c r="B601" t="s">
        <v>175</v>
      </c>
      <c r="C601" t="s">
        <v>39</v>
      </c>
      <c r="D601" t="s">
        <v>40</v>
      </c>
      <c r="G601" t="s">
        <v>209</v>
      </c>
      <c r="H601" t="s">
        <v>209</v>
      </c>
      <c r="I601" t="s">
        <v>114</v>
      </c>
      <c r="J601" t="s">
        <v>160</v>
      </c>
      <c r="K601" t="s">
        <v>16</v>
      </c>
      <c r="L601">
        <v>204000</v>
      </c>
      <c r="M601" s="5">
        <v>204000</v>
      </c>
      <c r="O601" s="5">
        <f t="shared" si="141"/>
        <v>244800</v>
      </c>
      <c r="P601" s="5">
        <v>0</v>
      </c>
      <c r="Q601" s="11">
        <v>0</v>
      </c>
      <c r="R601" s="5">
        <v>0</v>
      </c>
      <c r="S601" s="12">
        <v>0</v>
      </c>
      <c r="T601" s="5">
        <f t="shared" si="137"/>
        <v>204000</v>
      </c>
      <c r="U601" s="11">
        <v>0.2</v>
      </c>
      <c r="V601" s="5">
        <f t="shared" si="142"/>
        <v>244800</v>
      </c>
      <c r="W601" s="15">
        <f t="shared" si="138"/>
        <v>0.16666666666666666</v>
      </c>
      <c r="X601" s="5">
        <v>0</v>
      </c>
      <c r="Y601" s="11">
        <v>0</v>
      </c>
      <c r="Z601" s="5">
        <v>0</v>
      </c>
      <c r="AA601" s="11">
        <v>0</v>
      </c>
      <c r="AB601" s="11">
        <v>0.1</v>
      </c>
    </row>
    <row r="602" spans="1:28">
      <c r="A602">
        <v>2026</v>
      </c>
      <c r="B602" t="s">
        <v>175</v>
      </c>
      <c r="C602" t="s">
        <v>39</v>
      </c>
      <c r="D602" t="s">
        <v>40</v>
      </c>
      <c r="G602" t="s">
        <v>209</v>
      </c>
      <c r="H602" t="s">
        <v>209</v>
      </c>
      <c r="I602" t="s">
        <v>119</v>
      </c>
      <c r="J602" t="s">
        <v>160</v>
      </c>
      <c r="K602" t="s">
        <v>16</v>
      </c>
      <c r="L602">
        <v>49000</v>
      </c>
      <c r="M602" s="5">
        <v>49000</v>
      </c>
      <c r="O602" s="5">
        <f t="shared" si="141"/>
        <v>58800</v>
      </c>
      <c r="P602" s="5">
        <v>0</v>
      </c>
      <c r="Q602" s="11">
        <v>0</v>
      </c>
      <c r="R602" s="5">
        <v>0</v>
      </c>
      <c r="S602" s="12">
        <v>0</v>
      </c>
      <c r="T602" s="5">
        <f t="shared" si="137"/>
        <v>49000</v>
      </c>
      <c r="U602" s="11">
        <v>0.2</v>
      </c>
      <c r="V602" s="5">
        <f t="shared" si="142"/>
        <v>58800</v>
      </c>
      <c r="W602" s="15">
        <f t="shared" si="138"/>
        <v>0.16666666666666666</v>
      </c>
      <c r="X602" s="5">
        <v>0</v>
      </c>
      <c r="Y602" s="11">
        <v>0</v>
      </c>
      <c r="Z602" s="5">
        <v>0</v>
      </c>
      <c r="AA602" s="11">
        <v>0</v>
      </c>
      <c r="AB602" s="11">
        <v>0.1</v>
      </c>
    </row>
    <row r="603" spans="1:28">
      <c r="A603">
        <v>2026</v>
      </c>
      <c r="B603" t="s">
        <v>175</v>
      </c>
      <c r="C603" t="s">
        <v>39</v>
      </c>
      <c r="D603" t="s">
        <v>40</v>
      </c>
      <c r="G603" t="s">
        <v>209</v>
      </c>
      <c r="H603" t="s">
        <v>209</v>
      </c>
      <c r="I603" t="s">
        <v>122</v>
      </c>
      <c r="J603" t="s">
        <v>159</v>
      </c>
      <c r="K603" t="s">
        <v>16</v>
      </c>
      <c r="L603">
        <v>224100</v>
      </c>
      <c r="M603" s="5">
        <v>224100</v>
      </c>
      <c r="O603" s="5">
        <f t="shared" si="141"/>
        <v>268920</v>
      </c>
      <c r="P603" s="5">
        <v>0</v>
      </c>
      <c r="Q603" s="11">
        <v>0</v>
      </c>
      <c r="R603" s="5">
        <v>0</v>
      </c>
      <c r="S603" s="12">
        <v>0</v>
      </c>
      <c r="T603" s="5">
        <f t="shared" si="137"/>
        <v>224100</v>
      </c>
      <c r="U603" s="11">
        <v>0.2</v>
      </c>
      <c r="V603" s="5">
        <f t="shared" si="142"/>
        <v>268920</v>
      </c>
      <c r="W603" s="15">
        <f t="shared" si="138"/>
        <v>0.16666666666666666</v>
      </c>
      <c r="X603" s="5">
        <v>0</v>
      </c>
      <c r="Y603" s="11">
        <v>0</v>
      </c>
      <c r="Z603" s="5">
        <v>0</v>
      </c>
      <c r="AA603" s="11">
        <v>0</v>
      </c>
      <c r="AB603" s="11">
        <v>0.1</v>
      </c>
    </row>
    <row r="604" spans="1:28">
      <c r="A604">
        <v>2026</v>
      </c>
      <c r="B604" t="s">
        <v>175</v>
      </c>
      <c r="C604" t="s">
        <v>39</v>
      </c>
      <c r="D604" t="s">
        <v>40</v>
      </c>
      <c r="G604" t="s">
        <v>209</v>
      </c>
      <c r="H604" t="s">
        <v>209</v>
      </c>
      <c r="I604" t="s">
        <v>126</v>
      </c>
      <c r="J604" t="s">
        <v>159</v>
      </c>
      <c r="K604" t="s">
        <v>16</v>
      </c>
      <c r="L604">
        <v>38000</v>
      </c>
      <c r="M604" s="5">
        <v>38000</v>
      </c>
      <c r="O604" s="5">
        <f t="shared" si="141"/>
        <v>45600</v>
      </c>
      <c r="P604" s="5">
        <v>0</v>
      </c>
      <c r="Q604" s="11">
        <v>0</v>
      </c>
      <c r="R604" s="5">
        <v>0</v>
      </c>
      <c r="S604" s="12">
        <v>0</v>
      </c>
      <c r="T604" s="5">
        <f t="shared" si="137"/>
        <v>38000</v>
      </c>
      <c r="U604" s="11">
        <v>0.2</v>
      </c>
      <c r="V604" s="5">
        <f t="shared" si="142"/>
        <v>45600</v>
      </c>
      <c r="W604" s="15">
        <f t="shared" si="138"/>
        <v>0.16666666666666666</v>
      </c>
      <c r="X604" s="5">
        <v>0</v>
      </c>
      <c r="Y604" s="11">
        <v>0</v>
      </c>
      <c r="Z604" s="5">
        <v>0</v>
      </c>
      <c r="AA604" s="11">
        <v>0</v>
      </c>
      <c r="AB604" s="11">
        <v>0.1</v>
      </c>
    </row>
    <row r="605" spans="1:28">
      <c r="A605">
        <v>2026</v>
      </c>
      <c r="B605" t="s">
        <v>175</v>
      </c>
      <c r="C605" t="s">
        <v>39</v>
      </c>
      <c r="D605" t="s">
        <v>40</v>
      </c>
      <c r="G605" t="s">
        <v>209</v>
      </c>
      <c r="H605" t="s">
        <v>209</v>
      </c>
      <c r="I605" t="s">
        <v>127</v>
      </c>
      <c r="J605" t="s">
        <v>159</v>
      </c>
      <c r="K605" t="s">
        <v>16</v>
      </c>
      <c r="L605">
        <v>39800</v>
      </c>
      <c r="M605" s="5">
        <v>39800</v>
      </c>
      <c r="O605" s="5">
        <f t="shared" si="141"/>
        <v>47760</v>
      </c>
      <c r="P605" s="5">
        <v>0</v>
      </c>
      <c r="Q605" s="11">
        <v>0</v>
      </c>
      <c r="R605" s="5">
        <v>0</v>
      </c>
      <c r="S605" s="12">
        <v>0</v>
      </c>
      <c r="T605" s="5">
        <f t="shared" si="137"/>
        <v>39800</v>
      </c>
      <c r="U605" s="11">
        <v>0.2</v>
      </c>
      <c r="V605" s="5">
        <f t="shared" si="142"/>
        <v>47760</v>
      </c>
      <c r="W605" s="15">
        <f t="shared" si="138"/>
        <v>0.16666666666666666</v>
      </c>
      <c r="X605" s="5">
        <v>0</v>
      </c>
      <c r="Y605" s="11">
        <v>0</v>
      </c>
      <c r="Z605" s="5">
        <v>0</v>
      </c>
      <c r="AA605" s="11">
        <v>0</v>
      </c>
      <c r="AB605" s="11">
        <v>0.1</v>
      </c>
    </row>
    <row r="606" spans="1:28">
      <c r="A606">
        <v>2026</v>
      </c>
      <c r="B606" t="s">
        <v>176</v>
      </c>
      <c r="C606" t="s">
        <v>39</v>
      </c>
      <c r="D606" t="s">
        <v>40</v>
      </c>
      <c r="G606" t="s">
        <v>209</v>
      </c>
      <c r="H606" t="s">
        <v>209</v>
      </c>
      <c r="I606" t="s">
        <v>71</v>
      </c>
      <c r="J606" t="s">
        <v>159</v>
      </c>
      <c r="K606" t="s">
        <v>16</v>
      </c>
      <c r="L606">
        <v>28800</v>
      </c>
      <c r="M606" s="5">
        <v>28800</v>
      </c>
      <c r="O606" s="5">
        <f>V606</f>
        <v>34560</v>
      </c>
      <c r="P606" s="5">
        <v>0</v>
      </c>
      <c r="Q606" s="11">
        <v>0</v>
      </c>
      <c r="R606" s="5">
        <v>0</v>
      </c>
      <c r="S606" s="12">
        <v>0</v>
      </c>
      <c r="T606" s="5">
        <f t="shared" si="137"/>
        <v>28800</v>
      </c>
      <c r="U606" s="11">
        <v>0.2</v>
      </c>
      <c r="V606" s="5">
        <f>T606+(U606*T606)</f>
        <v>34560</v>
      </c>
      <c r="W606" s="15">
        <f t="shared" si="138"/>
        <v>0.16666666666666666</v>
      </c>
      <c r="X606" s="5">
        <v>0</v>
      </c>
      <c r="Y606" s="11">
        <v>0</v>
      </c>
      <c r="Z606" s="5">
        <v>0</v>
      </c>
      <c r="AA606" s="11">
        <v>0</v>
      </c>
      <c r="AB606" s="11">
        <v>0.1</v>
      </c>
    </row>
    <row r="607" spans="1:28">
      <c r="A607">
        <v>2026</v>
      </c>
      <c r="B607" t="s">
        <v>176</v>
      </c>
      <c r="C607" t="s">
        <v>39</v>
      </c>
      <c r="D607" t="s">
        <v>40</v>
      </c>
      <c r="G607" t="s">
        <v>209</v>
      </c>
      <c r="H607" t="s">
        <v>209</v>
      </c>
      <c r="I607" t="s">
        <v>76</v>
      </c>
      <c r="J607" t="s">
        <v>159</v>
      </c>
      <c r="K607" t="s">
        <v>16</v>
      </c>
      <c r="L607">
        <v>36700</v>
      </c>
      <c r="M607" s="5">
        <v>36700</v>
      </c>
      <c r="O607" s="5">
        <f t="shared" ref="O607:O620" si="143">V607</f>
        <v>44040</v>
      </c>
      <c r="P607" s="5">
        <v>0</v>
      </c>
      <c r="Q607" s="11">
        <v>0</v>
      </c>
      <c r="R607" s="5">
        <v>0</v>
      </c>
      <c r="S607" s="12">
        <v>0</v>
      </c>
      <c r="T607" s="5">
        <f t="shared" si="137"/>
        <v>36700</v>
      </c>
      <c r="U607" s="11">
        <v>0.2</v>
      </c>
      <c r="V607" s="5">
        <f t="shared" ref="V607:V620" si="144">T607+(U607*T607)</f>
        <v>44040</v>
      </c>
      <c r="W607" s="15">
        <f t="shared" si="138"/>
        <v>0.16666666666666666</v>
      </c>
      <c r="X607" s="5">
        <v>0</v>
      </c>
      <c r="Y607" s="11">
        <v>0</v>
      </c>
      <c r="Z607" s="5">
        <v>0</v>
      </c>
      <c r="AA607" s="11">
        <v>0</v>
      </c>
      <c r="AB607" s="11">
        <v>0.1</v>
      </c>
    </row>
    <row r="608" spans="1:28">
      <c r="A608">
        <v>2026</v>
      </c>
      <c r="B608" t="s">
        <v>176</v>
      </c>
      <c r="C608" t="s">
        <v>39</v>
      </c>
      <c r="D608" t="s">
        <v>40</v>
      </c>
      <c r="G608" t="s">
        <v>209</v>
      </c>
      <c r="H608" t="s">
        <v>209</v>
      </c>
      <c r="I608" t="s">
        <v>91</v>
      </c>
      <c r="J608" t="s">
        <v>160</v>
      </c>
      <c r="K608" t="s">
        <v>16</v>
      </c>
      <c r="L608">
        <v>28000</v>
      </c>
      <c r="M608" s="5">
        <v>28000</v>
      </c>
      <c r="O608" s="5">
        <f t="shared" si="143"/>
        <v>33600</v>
      </c>
      <c r="P608" s="5">
        <v>0</v>
      </c>
      <c r="Q608" s="11">
        <v>0</v>
      </c>
      <c r="R608" s="5">
        <v>0</v>
      </c>
      <c r="S608" s="12">
        <v>0</v>
      </c>
      <c r="T608" s="5">
        <f t="shared" ref="T608:T639" si="145">IF(C608="Mediana Complejidad",M608,0)</f>
        <v>28000</v>
      </c>
      <c r="U608" s="11">
        <v>0.2</v>
      </c>
      <c r="V608" s="5">
        <f t="shared" si="144"/>
        <v>33600</v>
      </c>
      <c r="W608" s="15">
        <f t="shared" ref="W608:W639" si="146">IFERROR(((V608-T608)/V608),0)</f>
        <v>0.16666666666666666</v>
      </c>
      <c r="X608" s="5">
        <v>0</v>
      </c>
      <c r="Y608" s="11">
        <v>0</v>
      </c>
      <c r="Z608" s="5">
        <v>0</v>
      </c>
      <c r="AA608" s="11">
        <v>0</v>
      </c>
      <c r="AB608" s="11">
        <v>0.1</v>
      </c>
    </row>
    <row r="609" spans="1:28">
      <c r="A609">
        <v>2026</v>
      </c>
      <c r="B609" t="s">
        <v>176</v>
      </c>
      <c r="C609" t="s">
        <v>39</v>
      </c>
      <c r="D609" t="s">
        <v>40</v>
      </c>
      <c r="G609" t="s">
        <v>209</v>
      </c>
      <c r="H609" t="s">
        <v>209</v>
      </c>
      <c r="I609" t="s">
        <v>97</v>
      </c>
      <c r="J609" t="s">
        <v>160</v>
      </c>
      <c r="K609" t="s">
        <v>16</v>
      </c>
      <c r="L609">
        <v>36700</v>
      </c>
      <c r="M609" s="5">
        <v>36700</v>
      </c>
      <c r="O609" s="5">
        <f t="shared" si="143"/>
        <v>44040</v>
      </c>
      <c r="P609" s="5">
        <v>0</v>
      </c>
      <c r="Q609" s="11">
        <v>0</v>
      </c>
      <c r="R609" s="5">
        <v>0</v>
      </c>
      <c r="S609" s="12">
        <v>0</v>
      </c>
      <c r="T609" s="5">
        <f t="shared" si="145"/>
        <v>36700</v>
      </c>
      <c r="U609" s="11">
        <v>0.2</v>
      </c>
      <c r="V609" s="5">
        <f t="shared" si="144"/>
        <v>44040</v>
      </c>
      <c r="W609" s="15">
        <f t="shared" si="146"/>
        <v>0.16666666666666666</v>
      </c>
      <c r="X609" s="5">
        <v>0</v>
      </c>
      <c r="Y609" s="11">
        <v>0</v>
      </c>
      <c r="Z609" s="5">
        <v>0</v>
      </c>
      <c r="AA609" s="11">
        <v>0</v>
      </c>
      <c r="AB609" s="11">
        <v>0.1</v>
      </c>
    </row>
    <row r="610" spans="1:28">
      <c r="A610">
        <v>2026</v>
      </c>
      <c r="B610" t="s">
        <v>176</v>
      </c>
      <c r="C610" t="s">
        <v>39</v>
      </c>
      <c r="D610" t="s">
        <v>40</v>
      </c>
      <c r="G610" t="s">
        <v>209</v>
      </c>
      <c r="H610" t="s">
        <v>209</v>
      </c>
      <c r="I610" t="s">
        <v>103</v>
      </c>
      <c r="J610" t="s">
        <v>160</v>
      </c>
      <c r="K610" t="s">
        <v>16</v>
      </c>
      <c r="L610">
        <v>21900</v>
      </c>
      <c r="M610" s="5">
        <v>21900</v>
      </c>
      <c r="O610" s="5">
        <f t="shared" si="143"/>
        <v>26280</v>
      </c>
      <c r="P610" s="5">
        <v>0</v>
      </c>
      <c r="Q610" s="11">
        <v>0</v>
      </c>
      <c r="R610" s="5">
        <v>0</v>
      </c>
      <c r="S610" s="12">
        <v>0</v>
      </c>
      <c r="T610" s="5">
        <f t="shared" si="145"/>
        <v>21900</v>
      </c>
      <c r="U610" s="11">
        <v>0.2</v>
      </c>
      <c r="V610" s="5">
        <f t="shared" si="144"/>
        <v>26280</v>
      </c>
      <c r="W610" s="15">
        <f t="shared" si="146"/>
        <v>0.16666666666666666</v>
      </c>
      <c r="X610" s="5">
        <v>0</v>
      </c>
      <c r="Y610" s="11">
        <v>0</v>
      </c>
      <c r="Z610" s="5">
        <v>0</v>
      </c>
      <c r="AA610" s="11">
        <v>0</v>
      </c>
      <c r="AB610" s="11">
        <v>0.1</v>
      </c>
    </row>
    <row r="611" spans="1:28">
      <c r="A611">
        <v>2026</v>
      </c>
      <c r="B611" t="s">
        <v>176</v>
      </c>
      <c r="C611" t="s">
        <v>39</v>
      </c>
      <c r="D611" t="s">
        <v>40</v>
      </c>
      <c r="G611" t="s">
        <v>209</v>
      </c>
      <c r="H611" t="s">
        <v>209</v>
      </c>
      <c r="I611" t="s">
        <v>107</v>
      </c>
      <c r="J611" t="s">
        <v>160</v>
      </c>
      <c r="K611" t="s">
        <v>16</v>
      </c>
      <c r="L611">
        <v>114900</v>
      </c>
      <c r="M611" s="5">
        <v>114900</v>
      </c>
      <c r="O611" s="5">
        <f t="shared" si="143"/>
        <v>137880</v>
      </c>
      <c r="P611" s="5">
        <v>0</v>
      </c>
      <c r="Q611" s="11">
        <v>0</v>
      </c>
      <c r="R611" s="5">
        <v>0</v>
      </c>
      <c r="S611" s="12">
        <v>0</v>
      </c>
      <c r="T611" s="5">
        <f t="shared" si="145"/>
        <v>114900</v>
      </c>
      <c r="U611" s="11">
        <v>0.2</v>
      </c>
      <c r="V611" s="5">
        <f t="shared" si="144"/>
        <v>137880</v>
      </c>
      <c r="W611" s="15">
        <f t="shared" si="146"/>
        <v>0.16666666666666666</v>
      </c>
      <c r="X611" s="5">
        <v>0</v>
      </c>
      <c r="Y611" s="11">
        <v>0</v>
      </c>
      <c r="Z611" s="5">
        <v>0</v>
      </c>
      <c r="AA611" s="11">
        <v>0</v>
      </c>
      <c r="AB611" s="11">
        <v>0.1</v>
      </c>
    </row>
    <row r="612" spans="1:28">
      <c r="A612">
        <v>2026</v>
      </c>
      <c r="B612" t="s">
        <v>176</v>
      </c>
      <c r="C612" t="s">
        <v>39</v>
      </c>
      <c r="D612" t="s">
        <v>40</v>
      </c>
      <c r="G612" t="s">
        <v>209</v>
      </c>
      <c r="H612" t="s">
        <v>209</v>
      </c>
      <c r="I612" t="s">
        <v>110</v>
      </c>
      <c r="J612" t="s">
        <v>160</v>
      </c>
      <c r="K612" t="s">
        <v>16</v>
      </c>
      <c r="L612">
        <v>28000</v>
      </c>
      <c r="M612" s="5">
        <v>28000</v>
      </c>
      <c r="O612" s="5">
        <f t="shared" si="143"/>
        <v>33600</v>
      </c>
      <c r="P612" s="5">
        <v>0</v>
      </c>
      <c r="Q612" s="11">
        <v>0</v>
      </c>
      <c r="R612" s="5">
        <v>0</v>
      </c>
      <c r="S612" s="12">
        <v>0</v>
      </c>
      <c r="T612" s="5">
        <f t="shared" si="145"/>
        <v>28000</v>
      </c>
      <c r="U612" s="11">
        <v>0.2</v>
      </c>
      <c r="V612" s="5">
        <f t="shared" si="144"/>
        <v>33600</v>
      </c>
      <c r="W612" s="15">
        <f t="shared" si="146"/>
        <v>0.16666666666666666</v>
      </c>
      <c r="X612" s="5">
        <v>0</v>
      </c>
      <c r="Y612" s="11">
        <v>0</v>
      </c>
      <c r="Z612" s="5">
        <v>0</v>
      </c>
      <c r="AA612" s="11">
        <v>0</v>
      </c>
      <c r="AB612" s="11">
        <v>0.1</v>
      </c>
    </row>
    <row r="613" spans="1:28">
      <c r="A613">
        <v>2026</v>
      </c>
      <c r="B613" t="s">
        <v>176</v>
      </c>
      <c r="C613" t="s">
        <v>39</v>
      </c>
      <c r="D613" t="s">
        <v>40</v>
      </c>
      <c r="G613" t="s">
        <v>209</v>
      </c>
      <c r="H613" t="s">
        <v>209</v>
      </c>
      <c r="I613" t="s">
        <v>111</v>
      </c>
      <c r="J613" t="s">
        <v>160</v>
      </c>
      <c r="K613" t="s">
        <v>16</v>
      </c>
      <c r="L613">
        <v>49200</v>
      </c>
      <c r="M613" s="5">
        <v>49200</v>
      </c>
      <c r="O613" s="5">
        <f t="shared" si="143"/>
        <v>59040</v>
      </c>
      <c r="P613" s="5">
        <v>0</v>
      </c>
      <c r="Q613" s="11">
        <v>0</v>
      </c>
      <c r="R613" s="5">
        <v>0</v>
      </c>
      <c r="S613" s="12">
        <v>0</v>
      </c>
      <c r="T613" s="5">
        <f t="shared" si="145"/>
        <v>49200</v>
      </c>
      <c r="U613" s="11">
        <v>0.2</v>
      </c>
      <c r="V613" s="5">
        <f t="shared" si="144"/>
        <v>59040</v>
      </c>
      <c r="W613" s="15">
        <f t="shared" si="146"/>
        <v>0.16666666666666666</v>
      </c>
      <c r="X613" s="5">
        <v>0</v>
      </c>
      <c r="Y613" s="11">
        <v>0</v>
      </c>
      <c r="Z613" s="5">
        <v>0</v>
      </c>
      <c r="AA613" s="11">
        <v>0</v>
      </c>
      <c r="AB613" s="11">
        <v>0.1</v>
      </c>
    </row>
    <row r="614" spans="1:28">
      <c r="A614">
        <v>2026</v>
      </c>
      <c r="B614" t="s">
        <v>176</v>
      </c>
      <c r="C614" t="s">
        <v>39</v>
      </c>
      <c r="D614" t="s">
        <v>40</v>
      </c>
      <c r="G614" t="s">
        <v>209</v>
      </c>
      <c r="H614" t="s">
        <v>209</v>
      </c>
      <c r="I614" t="s">
        <v>112</v>
      </c>
      <c r="J614" t="s">
        <v>160</v>
      </c>
      <c r="K614" t="s">
        <v>16</v>
      </c>
      <c r="L614">
        <v>141600</v>
      </c>
      <c r="M614" s="5">
        <v>141600</v>
      </c>
      <c r="O614" s="5">
        <f t="shared" si="143"/>
        <v>169920</v>
      </c>
      <c r="P614" s="5">
        <v>0</v>
      </c>
      <c r="Q614" s="11">
        <v>0</v>
      </c>
      <c r="R614" s="5">
        <v>0</v>
      </c>
      <c r="S614" s="12">
        <v>0</v>
      </c>
      <c r="T614" s="5">
        <f t="shared" si="145"/>
        <v>141600</v>
      </c>
      <c r="U614" s="11">
        <v>0.2</v>
      </c>
      <c r="V614" s="5">
        <f t="shared" si="144"/>
        <v>169920</v>
      </c>
      <c r="W614" s="15">
        <f t="shared" si="146"/>
        <v>0.16666666666666666</v>
      </c>
      <c r="X614" s="5">
        <v>0</v>
      </c>
      <c r="Y614" s="11">
        <v>0</v>
      </c>
      <c r="Z614" s="5">
        <v>0</v>
      </c>
      <c r="AA614" s="11">
        <v>0</v>
      </c>
      <c r="AB614" s="11">
        <v>0.1</v>
      </c>
    </row>
    <row r="615" spans="1:28">
      <c r="A615">
        <v>2026</v>
      </c>
      <c r="B615" t="s">
        <v>176</v>
      </c>
      <c r="C615" t="s">
        <v>39</v>
      </c>
      <c r="D615" t="s">
        <v>40</v>
      </c>
      <c r="G615" t="s">
        <v>209</v>
      </c>
      <c r="H615" t="s">
        <v>209</v>
      </c>
      <c r="I615" t="s">
        <v>113</v>
      </c>
      <c r="J615" t="s">
        <v>160</v>
      </c>
      <c r="K615" t="s">
        <v>16</v>
      </c>
      <c r="L615">
        <v>174700</v>
      </c>
      <c r="M615" s="5">
        <v>174700</v>
      </c>
      <c r="O615" s="5">
        <f t="shared" si="143"/>
        <v>209640</v>
      </c>
      <c r="P615" s="5">
        <v>0</v>
      </c>
      <c r="Q615" s="11">
        <v>0</v>
      </c>
      <c r="R615" s="5">
        <v>0</v>
      </c>
      <c r="S615" s="12">
        <v>0</v>
      </c>
      <c r="T615" s="5">
        <f t="shared" si="145"/>
        <v>174700</v>
      </c>
      <c r="U615" s="11">
        <v>0.2</v>
      </c>
      <c r="V615" s="5">
        <f t="shared" si="144"/>
        <v>209640</v>
      </c>
      <c r="W615" s="15">
        <f t="shared" si="146"/>
        <v>0.16666666666666666</v>
      </c>
      <c r="X615" s="5">
        <v>0</v>
      </c>
      <c r="Y615" s="11">
        <v>0</v>
      </c>
      <c r="Z615" s="5">
        <v>0</v>
      </c>
      <c r="AA615" s="11">
        <v>0</v>
      </c>
      <c r="AB615" s="11">
        <v>0.1</v>
      </c>
    </row>
    <row r="616" spans="1:28">
      <c r="A616">
        <v>2026</v>
      </c>
      <c r="B616" t="s">
        <v>176</v>
      </c>
      <c r="C616" t="s">
        <v>39</v>
      </c>
      <c r="D616" t="s">
        <v>40</v>
      </c>
      <c r="G616" t="s">
        <v>209</v>
      </c>
      <c r="H616" t="s">
        <v>209</v>
      </c>
      <c r="I616" t="s">
        <v>114</v>
      </c>
      <c r="J616" t="s">
        <v>160</v>
      </c>
      <c r="K616" t="s">
        <v>16</v>
      </c>
      <c r="L616">
        <v>204000</v>
      </c>
      <c r="M616" s="5">
        <v>204000</v>
      </c>
      <c r="O616" s="5">
        <f t="shared" si="143"/>
        <v>244800</v>
      </c>
      <c r="P616" s="5">
        <v>0</v>
      </c>
      <c r="Q616" s="11">
        <v>0</v>
      </c>
      <c r="R616" s="5">
        <v>0</v>
      </c>
      <c r="S616" s="12">
        <v>0</v>
      </c>
      <c r="T616" s="5">
        <f t="shared" si="145"/>
        <v>204000</v>
      </c>
      <c r="U616" s="11">
        <v>0.2</v>
      </c>
      <c r="V616" s="5">
        <f t="shared" si="144"/>
        <v>244800</v>
      </c>
      <c r="W616" s="15">
        <f t="shared" si="146"/>
        <v>0.16666666666666666</v>
      </c>
      <c r="X616" s="5">
        <v>0</v>
      </c>
      <c r="Y616" s="11">
        <v>0</v>
      </c>
      <c r="Z616" s="5">
        <v>0</v>
      </c>
      <c r="AA616" s="11">
        <v>0</v>
      </c>
      <c r="AB616" s="11">
        <v>0.1</v>
      </c>
    </row>
    <row r="617" spans="1:28">
      <c r="A617">
        <v>2026</v>
      </c>
      <c r="B617" t="s">
        <v>176</v>
      </c>
      <c r="C617" t="s">
        <v>39</v>
      </c>
      <c r="D617" t="s">
        <v>40</v>
      </c>
      <c r="G617" t="s">
        <v>209</v>
      </c>
      <c r="H617" t="s">
        <v>209</v>
      </c>
      <c r="I617" t="s">
        <v>119</v>
      </c>
      <c r="J617" t="s">
        <v>160</v>
      </c>
      <c r="K617" t="s">
        <v>16</v>
      </c>
      <c r="L617">
        <v>49000</v>
      </c>
      <c r="M617" s="5">
        <v>49000</v>
      </c>
      <c r="O617" s="5">
        <f t="shared" si="143"/>
        <v>58800</v>
      </c>
      <c r="P617" s="5">
        <v>0</v>
      </c>
      <c r="Q617" s="11">
        <v>0</v>
      </c>
      <c r="R617" s="5">
        <v>0</v>
      </c>
      <c r="S617" s="12">
        <v>0</v>
      </c>
      <c r="T617" s="5">
        <f t="shared" si="145"/>
        <v>49000</v>
      </c>
      <c r="U617" s="11">
        <v>0.2</v>
      </c>
      <c r="V617" s="5">
        <f t="shared" si="144"/>
        <v>58800</v>
      </c>
      <c r="W617" s="15">
        <f t="shared" si="146"/>
        <v>0.16666666666666666</v>
      </c>
      <c r="X617" s="5">
        <v>0</v>
      </c>
      <c r="Y617" s="11">
        <v>0</v>
      </c>
      <c r="Z617" s="5">
        <v>0</v>
      </c>
      <c r="AA617" s="11">
        <v>0</v>
      </c>
      <c r="AB617" s="11">
        <v>0.1</v>
      </c>
    </row>
    <row r="618" spans="1:28">
      <c r="A618">
        <v>2026</v>
      </c>
      <c r="B618" t="s">
        <v>176</v>
      </c>
      <c r="C618" t="s">
        <v>39</v>
      </c>
      <c r="D618" t="s">
        <v>40</v>
      </c>
      <c r="G618" t="s">
        <v>209</v>
      </c>
      <c r="H618" t="s">
        <v>209</v>
      </c>
      <c r="I618" t="s">
        <v>122</v>
      </c>
      <c r="J618" t="s">
        <v>159</v>
      </c>
      <c r="K618" t="s">
        <v>16</v>
      </c>
      <c r="L618">
        <v>224100</v>
      </c>
      <c r="M618" s="5">
        <v>224100</v>
      </c>
      <c r="O618" s="5">
        <f t="shared" si="143"/>
        <v>268920</v>
      </c>
      <c r="P618" s="5">
        <v>0</v>
      </c>
      <c r="Q618" s="11">
        <v>0</v>
      </c>
      <c r="R618" s="5">
        <v>0</v>
      </c>
      <c r="S618" s="12">
        <v>0</v>
      </c>
      <c r="T618" s="5">
        <f t="shared" si="145"/>
        <v>224100</v>
      </c>
      <c r="U618" s="11">
        <v>0.2</v>
      </c>
      <c r="V618" s="5">
        <f t="shared" si="144"/>
        <v>268920</v>
      </c>
      <c r="W618" s="15">
        <f t="shared" si="146"/>
        <v>0.16666666666666666</v>
      </c>
      <c r="X618" s="5">
        <v>0</v>
      </c>
      <c r="Y618" s="11">
        <v>0</v>
      </c>
      <c r="Z618" s="5">
        <v>0</v>
      </c>
      <c r="AA618" s="11">
        <v>0</v>
      </c>
      <c r="AB618" s="11">
        <v>0.1</v>
      </c>
    </row>
    <row r="619" spans="1:28">
      <c r="A619">
        <v>2026</v>
      </c>
      <c r="B619" t="s">
        <v>176</v>
      </c>
      <c r="C619" t="s">
        <v>39</v>
      </c>
      <c r="D619" t="s">
        <v>40</v>
      </c>
      <c r="G619" t="s">
        <v>209</v>
      </c>
      <c r="H619" t="s">
        <v>209</v>
      </c>
      <c r="I619" t="s">
        <v>126</v>
      </c>
      <c r="J619" t="s">
        <v>159</v>
      </c>
      <c r="K619" t="s">
        <v>16</v>
      </c>
      <c r="L619">
        <v>38000</v>
      </c>
      <c r="M619" s="5">
        <v>38000</v>
      </c>
      <c r="O619" s="5">
        <f t="shared" si="143"/>
        <v>45600</v>
      </c>
      <c r="P619" s="5">
        <v>0</v>
      </c>
      <c r="Q619" s="11">
        <v>0</v>
      </c>
      <c r="R619" s="5">
        <v>0</v>
      </c>
      <c r="S619" s="12">
        <v>0</v>
      </c>
      <c r="T619" s="5">
        <f t="shared" si="145"/>
        <v>38000</v>
      </c>
      <c r="U619" s="11">
        <v>0.2</v>
      </c>
      <c r="V619" s="5">
        <f t="shared" si="144"/>
        <v>45600</v>
      </c>
      <c r="W619" s="15">
        <f t="shared" si="146"/>
        <v>0.16666666666666666</v>
      </c>
      <c r="X619" s="5">
        <v>0</v>
      </c>
      <c r="Y619" s="11">
        <v>0</v>
      </c>
      <c r="Z619" s="5">
        <v>0</v>
      </c>
      <c r="AA619" s="11">
        <v>0</v>
      </c>
      <c r="AB619" s="11">
        <v>0.1</v>
      </c>
    </row>
    <row r="620" spans="1:28">
      <c r="A620">
        <v>2026</v>
      </c>
      <c r="B620" t="s">
        <v>176</v>
      </c>
      <c r="C620" t="s">
        <v>39</v>
      </c>
      <c r="D620" t="s">
        <v>40</v>
      </c>
      <c r="G620" t="s">
        <v>209</v>
      </c>
      <c r="H620" t="s">
        <v>209</v>
      </c>
      <c r="I620" t="s">
        <v>127</v>
      </c>
      <c r="J620" t="s">
        <v>159</v>
      </c>
      <c r="K620" t="s">
        <v>16</v>
      </c>
      <c r="L620">
        <v>39800</v>
      </c>
      <c r="M620" s="5">
        <v>39800</v>
      </c>
      <c r="O620" s="5">
        <f t="shared" si="143"/>
        <v>47760</v>
      </c>
      <c r="P620" s="5">
        <v>0</v>
      </c>
      <c r="Q620" s="11">
        <v>0</v>
      </c>
      <c r="R620" s="5">
        <v>0</v>
      </c>
      <c r="S620" s="12">
        <v>0</v>
      </c>
      <c r="T620" s="5">
        <f t="shared" si="145"/>
        <v>39800</v>
      </c>
      <c r="U620" s="11">
        <v>0.2</v>
      </c>
      <c r="V620" s="5">
        <f t="shared" si="144"/>
        <v>47760</v>
      </c>
      <c r="W620" s="15">
        <f t="shared" si="146"/>
        <v>0.16666666666666666</v>
      </c>
      <c r="X620" s="5">
        <v>0</v>
      </c>
      <c r="Y620" s="11">
        <v>0</v>
      </c>
      <c r="Z620" s="5">
        <v>0</v>
      </c>
      <c r="AA620" s="11">
        <v>0</v>
      </c>
      <c r="AB620" s="11">
        <v>0.1</v>
      </c>
    </row>
    <row r="621" spans="1:28">
      <c r="A621">
        <v>2026</v>
      </c>
      <c r="B621" t="s">
        <v>177</v>
      </c>
      <c r="C621" t="s">
        <v>39</v>
      </c>
      <c r="D621" t="s">
        <v>40</v>
      </c>
      <c r="G621" t="s">
        <v>209</v>
      </c>
      <c r="H621" t="s">
        <v>209</v>
      </c>
      <c r="I621" t="s">
        <v>71</v>
      </c>
      <c r="J621" t="s">
        <v>159</v>
      </c>
      <c r="K621" t="s">
        <v>16</v>
      </c>
      <c r="L621">
        <v>28800</v>
      </c>
      <c r="M621" s="5">
        <v>28800</v>
      </c>
      <c r="O621" s="5">
        <f>V621</f>
        <v>34560</v>
      </c>
      <c r="P621" s="5">
        <v>0</v>
      </c>
      <c r="Q621" s="11">
        <v>0</v>
      </c>
      <c r="R621" s="5">
        <v>0</v>
      </c>
      <c r="S621" s="12">
        <v>0</v>
      </c>
      <c r="T621" s="5">
        <f t="shared" si="145"/>
        <v>28800</v>
      </c>
      <c r="U621" s="11">
        <v>0.2</v>
      </c>
      <c r="V621" s="5">
        <f>T621+(U621*T621)</f>
        <v>34560</v>
      </c>
      <c r="W621" s="15">
        <f t="shared" si="146"/>
        <v>0.16666666666666666</v>
      </c>
      <c r="X621" s="5">
        <v>0</v>
      </c>
      <c r="Y621" s="11">
        <v>0</v>
      </c>
      <c r="Z621" s="5">
        <v>0</v>
      </c>
      <c r="AA621" s="11">
        <v>0</v>
      </c>
      <c r="AB621" s="11">
        <v>0.1</v>
      </c>
    </row>
    <row r="622" spans="1:28">
      <c r="A622">
        <v>2026</v>
      </c>
      <c r="B622" t="s">
        <v>177</v>
      </c>
      <c r="C622" t="s">
        <v>39</v>
      </c>
      <c r="D622" t="s">
        <v>40</v>
      </c>
      <c r="G622" t="s">
        <v>209</v>
      </c>
      <c r="H622" t="s">
        <v>209</v>
      </c>
      <c r="I622" t="s">
        <v>76</v>
      </c>
      <c r="J622" t="s">
        <v>159</v>
      </c>
      <c r="K622" t="s">
        <v>16</v>
      </c>
      <c r="L622">
        <v>36700</v>
      </c>
      <c r="M622" s="5">
        <v>36700</v>
      </c>
      <c r="O622" s="5">
        <f t="shared" ref="O622:O635" si="147">V622</f>
        <v>44040</v>
      </c>
      <c r="P622" s="5">
        <v>0</v>
      </c>
      <c r="Q622" s="11">
        <v>0</v>
      </c>
      <c r="R622" s="5">
        <v>0</v>
      </c>
      <c r="S622" s="12">
        <v>0</v>
      </c>
      <c r="T622" s="5">
        <f t="shared" si="145"/>
        <v>36700</v>
      </c>
      <c r="U622" s="11">
        <v>0.2</v>
      </c>
      <c r="V622" s="5">
        <f t="shared" ref="V622:V635" si="148">T622+(U622*T622)</f>
        <v>44040</v>
      </c>
      <c r="W622" s="15">
        <f t="shared" si="146"/>
        <v>0.16666666666666666</v>
      </c>
      <c r="X622" s="5">
        <v>0</v>
      </c>
      <c r="Y622" s="11">
        <v>0</v>
      </c>
      <c r="Z622" s="5">
        <v>0</v>
      </c>
      <c r="AA622" s="11">
        <v>0</v>
      </c>
      <c r="AB622" s="11">
        <v>0.1</v>
      </c>
    </row>
    <row r="623" spans="1:28">
      <c r="A623">
        <v>2026</v>
      </c>
      <c r="B623" t="s">
        <v>177</v>
      </c>
      <c r="C623" t="s">
        <v>39</v>
      </c>
      <c r="D623" t="s">
        <v>40</v>
      </c>
      <c r="G623" t="s">
        <v>209</v>
      </c>
      <c r="H623" t="s">
        <v>209</v>
      </c>
      <c r="I623" t="s">
        <v>91</v>
      </c>
      <c r="J623" t="s">
        <v>160</v>
      </c>
      <c r="K623" t="s">
        <v>16</v>
      </c>
      <c r="L623">
        <v>28000</v>
      </c>
      <c r="M623" s="5">
        <v>28000</v>
      </c>
      <c r="O623" s="5">
        <f t="shared" si="147"/>
        <v>33600</v>
      </c>
      <c r="P623" s="5">
        <v>0</v>
      </c>
      <c r="Q623" s="11">
        <v>0</v>
      </c>
      <c r="R623" s="5">
        <v>0</v>
      </c>
      <c r="S623" s="12">
        <v>0</v>
      </c>
      <c r="T623" s="5">
        <f t="shared" si="145"/>
        <v>28000</v>
      </c>
      <c r="U623" s="11">
        <v>0.2</v>
      </c>
      <c r="V623" s="5">
        <f t="shared" si="148"/>
        <v>33600</v>
      </c>
      <c r="W623" s="15">
        <f t="shared" si="146"/>
        <v>0.16666666666666666</v>
      </c>
      <c r="X623" s="5">
        <v>0</v>
      </c>
      <c r="Y623" s="11">
        <v>0</v>
      </c>
      <c r="Z623" s="5">
        <v>0</v>
      </c>
      <c r="AA623" s="11">
        <v>0</v>
      </c>
      <c r="AB623" s="11">
        <v>0.1</v>
      </c>
    </row>
    <row r="624" spans="1:28">
      <c r="A624">
        <v>2026</v>
      </c>
      <c r="B624" t="s">
        <v>177</v>
      </c>
      <c r="C624" t="s">
        <v>39</v>
      </c>
      <c r="D624" t="s">
        <v>40</v>
      </c>
      <c r="G624" t="s">
        <v>209</v>
      </c>
      <c r="H624" t="s">
        <v>209</v>
      </c>
      <c r="I624" t="s">
        <v>97</v>
      </c>
      <c r="J624" t="s">
        <v>160</v>
      </c>
      <c r="K624" t="s">
        <v>16</v>
      </c>
      <c r="L624">
        <v>36700</v>
      </c>
      <c r="M624" s="5">
        <v>36700</v>
      </c>
      <c r="O624" s="5">
        <f t="shared" si="147"/>
        <v>44040</v>
      </c>
      <c r="P624" s="5">
        <v>0</v>
      </c>
      <c r="Q624" s="11">
        <v>0</v>
      </c>
      <c r="R624" s="5">
        <v>0</v>
      </c>
      <c r="S624" s="12">
        <v>0</v>
      </c>
      <c r="T624" s="5">
        <f t="shared" si="145"/>
        <v>36700</v>
      </c>
      <c r="U624" s="11">
        <v>0.2</v>
      </c>
      <c r="V624" s="5">
        <f t="shared" si="148"/>
        <v>44040</v>
      </c>
      <c r="W624" s="15">
        <f t="shared" si="146"/>
        <v>0.16666666666666666</v>
      </c>
      <c r="X624" s="5">
        <v>0</v>
      </c>
      <c r="Y624" s="11">
        <v>0</v>
      </c>
      <c r="Z624" s="5">
        <v>0</v>
      </c>
      <c r="AA624" s="11">
        <v>0</v>
      </c>
      <c r="AB624" s="11">
        <v>0.1</v>
      </c>
    </row>
    <row r="625" spans="1:28">
      <c r="A625">
        <v>2026</v>
      </c>
      <c r="B625" t="s">
        <v>177</v>
      </c>
      <c r="C625" t="s">
        <v>39</v>
      </c>
      <c r="D625" t="s">
        <v>40</v>
      </c>
      <c r="G625" t="s">
        <v>209</v>
      </c>
      <c r="H625" t="s">
        <v>209</v>
      </c>
      <c r="I625" t="s">
        <v>103</v>
      </c>
      <c r="J625" t="s">
        <v>160</v>
      </c>
      <c r="K625" t="s">
        <v>16</v>
      </c>
      <c r="L625">
        <v>21900</v>
      </c>
      <c r="M625" s="5">
        <v>21900</v>
      </c>
      <c r="O625" s="5">
        <f t="shared" si="147"/>
        <v>26280</v>
      </c>
      <c r="P625" s="5">
        <v>0</v>
      </c>
      <c r="Q625" s="11">
        <v>0</v>
      </c>
      <c r="R625" s="5">
        <v>0</v>
      </c>
      <c r="S625" s="12">
        <v>0</v>
      </c>
      <c r="T625" s="5">
        <f t="shared" si="145"/>
        <v>21900</v>
      </c>
      <c r="U625" s="11">
        <v>0.2</v>
      </c>
      <c r="V625" s="5">
        <f t="shared" si="148"/>
        <v>26280</v>
      </c>
      <c r="W625" s="15">
        <f t="shared" si="146"/>
        <v>0.16666666666666666</v>
      </c>
      <c r="X625" s="5">
        <v>0</v>
      </c>
      <c r="Y625" s="11">
        <v>0</v>
      </c>
      <c r="Z625" s="5">
        <v>0</v>
      </c>
      <c r="AA625" s="11">
        <v>0</v>
      </c>
      <c r="AB625" s="11">
        <v>0.1</v>
      </c>
    </row>
    <row r="626" spans="1:28">
      <c r="A626">
        <v>2026</v>
      </c>
      <c r="B626" t="s">
        <v>177</v>
      </c>
      <c r="C626" t="s">
        <v>39</v>
      </c>
      <c r="D626" t="s">
        <v>40</v>
      </c>
      <c r="G626" t="s">
        <v>209</v>
      </c>
      <c r="H626" t="s">
        <v>209</v>
      </c>
      <c r="I626" t="s">
        <v>107</v>
      </c>
      <c r="J626" t="s">
        <v>160</v>
      </c>
      <c r="K626" t="s">
        <v>16</v>
      </c>
      <c r="L626">
        <v>114900</v>
      </c>
      <c r="M626" s="5">
        <v>114900</v>
      </c>
      <c r="O626" s="5">
        <f t="shared" si="147"/>
        <v>137880</v>
      </c>
      <c r="P626" s="5">
        <v>0</v>
      </c>
      <c r="Q626" s="11">
        <v>0</v>
      </c>
      <c r="R626" s="5">
        <v>0</v>
      </c>
      <c r="S626" s="12">
        <v>0</v>
      </c>
      <c r="T626" s="5">
        <f t="shared" si="145"/>
        <v>114900</v>
      </c>
      <c r="U626" s="11">
        <v>0.2</v>
      </c>
      <c r="V626" s="5">
        <f t="shared" si="148"/>
        <v>137880</v>
      </c>
      <c r="W626" s="15">
        <f t="shared" si="146"/>
        <v>0.16666666666666666</v>
      </c>
      <c r="X626" s="5">
        <v>0</v>
      </c>
      <c r="Y626" s="11">
        <v>0</v>
      </c>
      <c r="Z626" s="5">
        <v>0</v>
      </c>
      <c r="AA626" s="11">
        <v>0</v>
      </c>
      <c r="AB626" s="11">
        <v>0.1</v>
      </c>
    </row>
    <row r="627" spans="1:28">
      <c r="A627">
        <v>2026</v>
      </c>
      <c r="B627" t="s">
        <v>177</v>
      </c>
      <c r="C627" t="s">
        <v>39</v>
      </c>
      <c r="D627" t="s">
        <v>40</v>
      </c>
      <c r="G627" t="s">
        <v>209</v>
      </c>
      <c r="H627" t="s">
        <v>209</v>
      </c>
      <c r="I627" t="s">
        <v>110</v>
      </c>
      <c r="J627" t="s">
        <v>160</v>
      </c>
      <c r="K627" t="s">
        <v>16</v>
      </c>
      <c r="L627">
        <v>28000</v>
      </c>
      <c r="M627" s="5">
        <v>28000</v>
      </c>
      <c r="O627" s="5">
        <f t="shared" si="147"/>
        <v>33600</v>
      </c>
      <c r="P627" s="5">
        <v>0</v>
      </c>
      <c r="Q627" s="11">
        <v>0</v>
      </c>
      <c r="R627" s="5">
        <v>0</v>
      </c>
      <c r="S627" s="12">
        <v>0</v>
      </c>
      <c r="T627" s="5">
        <f t="shared" si="145"/>
        <v>28000</v>
      </c>
      <c r="U627" s="11">
        <v>0.2</v>
      </c>
      <c r="V627" s="5">
        <f t="shared" si="148"/>
        <v>33600</v>
      </c>
      <c r="W627" s="15">
        <f t="shared" si="146"/>
        <v>0.16666666666666666</v>
      </c>
      <c r="X627" s="5">
        <v>0</v>
      </c>
      <c r="Y627" s="11">
        <v>0</v>
      </c>
      <c r="Z627" s="5">
        <v>0</v>
      </c>
      <c r="AA627" s="11">
        <v>0</v>
      </c>
      <c r="AB627" s="11">
        <v>0.1</v>
      </c>
    </row>
    <row r="628" spans="1:28">
      <c r="A628">
        <v>2026</v>
      </c>
      <c r="B628" t="s">
        <v>177</v>
      </c>
      <c r="C628" t="s">
        <v>39</v>
      </c>
      <c r="D628" t="s">
        <v>40</v>
      </c>
      <c r="G628" t="s">
        <v>209</v>
      </c>
      <c r="H628" t="s">
        <v>209</v>
      </c>
      <c r="I628" t="s">
        <v>111</v>
      </c>
      <c r="J628" t="s">
        <v>160</v>
      </c>
      <c r="K628" t="s">
        <v>16</v>
      </c>
      <c r="L628">
        <v>49200</v>
      </c>
      <c r="M628" s="5">
        <v>49200</v>
      </c>
      <c r="O628" s="5">
        <f t="shared" si="147"/>
        <v>59040</v>
      </c>
      <c r="P628" s="5">
        <v>0</v>
      </c>
      <c r="Q628" s="11">
        <v>0</v>
      </c>
      <c r="R628" s="5">
        <v>0</v>
      </c>
      <c r="S628" s="12">
        <v>0</v>
      </c>
      <c r="T628" s="5">
        <f t="shared" si="145"/>
        <v>49200</v>
      </c>
      <c r="U628" s="11">
        <v>0.2</v>
      </c>
      <c r="V628" s="5">
        <f t="shared" si="148"/>
        <v>59040</v>
      </c>
      <c r="W628" s="15">
        <f t="shared" si="146"/>
        <v>0.16666666666666666</v>
      </c>
      <c r="X628" s="5">
        <v>0</v>
      </c>
      <c r="Y628" s="11">
        <v>0</v>
      </c>
      <c r="Z628" s="5">
        <v>0</v>
      </c>
      <c r="AA628" s="11">
        <v>0</v>
      </c>
      <c r="AB628" s="11">
        <v>0.1</v>
      </c>
    </row>
    <row r="629" spans="1:28">
      <c r="A629">
        <v>2026</v>
      </c>
      <c r="B629" t="s">
        <v>177</v>
      </c>
      <c r="C629" t="s">
        <v>39</v>
      </c>
      <c r="D629" t="s">
        <v>40</v>
      </c>
      <c r="G629" t="s">
        <v>209</v>
      </c>
      <c r="H629" t="s">
        <v>209</v>
      </c>
      <c r="I629" t="s">
        <v>112</v>
      </c>
      <c r="J629" t="s">
        <v>160</v>
      </c>
      <c r="K629" t="s">
        <v>16</v>
      </c>
      <c r="L629">
        <v>141600</v>
      </c>
      <c r="M629" s="5">
        <v>141600</v>
      </c>
      <c r="O629" s="5">
        <f t="shared" si="147"/>
        <v>169920</v>
      </c>
      <c r="P629" s="5">
        <v>0</v>
      </c>
      <c r="Q629" s="11">
        <v>0</v>
      </c>
      <c r="R629" s="5">
        <v>0</v>
      </c>
      <c r="S629" s="12">
        <v>0</v>
      </c>
      <c r="T629" s="5">
        <f t="shared" si="145"/>
        <v>141600</v>
      </c>
      <c r="U629" s="11">
        <v>0.2</v>
      </c>
      <c r="V629" s="5">
        <f t="shared" si="148"/>
        <v>169920</v>
      </c>
      <c r="W629" s="15">
        <f t="shared" si="146"/>
        <v>0.16666666666666666</v>
      </c>
      <c r="X629" s="5">
        <v>0</v>
      </c>
      <c r="Y629" s="11">
        <v>0</v>
      </c>
      <c r="Z629" s="5">
        <v>0</v>
      </c>
      <c r="AA629" s="11">
        <v>0</v>
      </c>
      <c r="AB629" s="11">
        <v>0.1</v>
      </c>
    </row>
    <row r="630" spans="1:28">
      <c r="A630">
        <v>2026</v>
      </c>
      <c r="B630" t="s">
        <v>177</v>
      </c>
      <c r="C630" t="s">
        <v>39</v>
      </c>
      <c r="D630" t="s">
        <v>40</v>
      </c>
      <c r="G630" t="s">
        <v>209</v>
      </c>
      <c r="H630" t="s">
        <v>209</v>
      </c>
      <c r="I630" t="s">
        <v>113</v>
      </c>
      <c r="J630" t="s">
        <v>160</v>
      </c>
      <c r="K630" t="s">
        <v>16</v>
      </c>
      <c r="L630">
        <v>174700</v>
      </c>
      <c r="M630" s="5">
        <v>174700</v>
      </c>
      <c r="O630" s="5">
        <f t="shared" si="147"/>
        <v>209640</v>
      </c>
      <c r="P630" s="5">
        <v>0</v>
      </c>
      <c r="Q630" s="11">
        <v>0</v>
      </c>
      <c r="R630" s="5">
        <v>0</v>
      </c>
      <c r="S630" s="12">
        <v>0</v>
      </c>
      <c r="T630" s="5">
        <f t="shared" si="145"/>
        <v>174700</v>
      </c>
      <c r="U630" s="11">
        <v>0.2</v>
      </c>
      <c r="V630" s="5">
        <f t="shared" si="148"/>
        <v>209640</v>
      </c>
      <c r="W630" s="15">
        <f t="shared" si="146"/>
        <v>0.16666666666666666</v>
      </c>
      <c r="X630" s="5">
        <v>0</v>
      </c>
      <c r="Y630" s="11">
        <v>0</v>
      </c>
      <c r="Z630" s="5">
        <v>0</v>
      </c>
      <c r="AA630" s="11">
        <v>0</v>
      </c>
      <c r="AB630" s="11">
        <v>0.1</v>
      </c>
    </row>
    <row r="631" spans="1:28">
      <c r="A631">
        <v>2026</v>
      </c>
      <c r="B631" t="s">
        <v>177</v>
      </c>
      <c r="C631" t="s">
        <v>39</v>
      </c>
      <c r="D631" t="s">
        <v>40</v>
      </c>
      <c r="G631" t="s">
        <v>209</v>
      </c>
      <c r="H631" t="s">
        <v>209</v>
      </c>
      <c r="I631" t="s">
        <v>114</v>
      </c>
      <c r="J631" t="s">
        <v>160</v>
      </c>
      <c r="K631" t="s">
        <v>16</v>
      </c>
      <c r="L631">
        <v>204000</v>
      </c>
      <c r="M631" s="5">
        <v>204000</v>
      </c>
      <c r="O631" s="5">
        <f t="shared" si="147"/>
        <v>244800</v>
      </c>
      <c r="P631" s="5">
        <v>0</v>
      </c>
      <c r="Q631" s="11">
        <v>0</v>
      </c>
      <c r="R631" s="5">
        <v>0</v>
      </c>
      <c r="S631" s="12">
        <v>0</v>
      </c>
      <c r="T631" s="5">
        <f t="shared" si="145"/>
        <v>204000</v>
      </c>
      <c r="U631" s="11">
        <v>0.2</v>
      </c>
      <c r="V631" s="5">
        <f t="shared" si="148"/>
        <v>244800</v>
      </c>
      <c r="W631" s="15">
        <f t="shared" si="146"/>
        <v>0.16666666666666666</v>
      </c>
      <c r="X631" s="5">
        <v>0</v>
      </c>
      <c r="Y631" s="11">
        <v>0</v>
      </c>
      <c r="Z631" s="5">
        <v>0</v>
      </c>
      <c r="AA631" s="11">
        <v>0</v>
      </c>
      <c r="AB631" s="11">
        <v>0.1</v>
      </c>
    </row>
    <row r="632" spans="1:28">
      <c r="A632">
        <v>2026</v>
      </c>
      <c r="B632" t="s">
        <v>177</v>
      </c>
      <c r="C632" t="s">
        <v>39</v>
      </c>
      <c r="D632" t="s">
        <v>40</v>
      </c>
      <c r="G632" t="s">
        <v>209</v>
      </c>
      <c r="H632" t="s">
        <v>209</v>
      </c>
      <c r="I632" t="s">
        <v>119</v>
      </c>
      <c r="J632" t="s">
        <v>160</v>
      </c>
      <c r="K632" t="s">
        <v>16</v>
      </c>
      <c r="L632">
        <v>49000</v>
      </c>
      <c r="M632" s="5">
        <v>49000</v>
      </c>
      <c r="O632" s="5">
        <f t="shared" si="147"/>
        <v>58800</v>
      </c>
      <c r="P632" s="5">
        <v>0</v>
      </c>
      <c r="Q632" s="11">
        <v>0</v>
      </c>
      <c r="R632" s="5">
        <v>0</v>
      </c>
      <c r="S632" s="12">
        <v>0</v>
      </c>
      <c r="T632" s="5">
        <f t="shared" si="145"/>
        <v>49000</v>
      </c>
      <c r="U632" s="11">
        <v>0.2</v>
      </c>
      <c r="V632" s="5">
        <f t="shared" si="148"/>
        <v>58800</v>
      </c>
      <c r="W632" s="15">
        <f t="shared" si="146"/>
        <v>0.16666666666666666</v>
      </c>
      <c r="X632" s="5">
        <v>0</v>
      </c>
      <c r="Y632" s="11">
        <v>0</v>
      </c>
      <c r="Z632" s="5">
        <v>0</v>
      </c>
      <c r="AA632" s="11">
        <v>0</v>
      </c>
      <c r="AB632" s="11">
        <v>0.1</v>
      </c>
    </row>
    <row r="633" spans="1:28">
      <c r="A633">
        <v>2026</v>
      </c>
      <c r="B633" t="s">
        <v>177</v>
      </c>
      <c r="C633" t="s">
        <v>39</v>
      </c>
      <c r="D633" t="s">
        <v>40</v>
      </c>
      <c r="G633" t="s">
        <v>209</v>
      </c>
      <c r="H633" t="s">
        <v>209</v>
      </c>
      <c r="I633" t="s">
        <v>122</v>
      </c>
      <c r="J633" t="s">
        <v>159</v>
      </c>
      <c r="K633" t="s">
        <v>16</v>
      </c>
      <c r="L633">
        <v>224100</v>
      </c>
      <c r="M633" s="5">
        <v>224100</v>
      </c>
      <c r="O633" s="5">
        <f t="shared" si="147"/>
        <v>268920</v>
      </c>
      <c r="P633" s="5">
        <v>0</v>
      </c>
      <c r="Q633" s="11">
        <v>0</v>
      </c>
      <c r="R633" s="5">
        <v>0</v>
      </c>
      <c r="S633" s="12">
        <v>0</v>
      </c>
      <c r="T633" s="5">
        <f t="shared" si="145"/>
        <v>224100</v>
      </c>
      <c r="U633" s="11">
        <v>0.2</v>
      </c>
      <c r="V633" s="5">
        <f t="shared" si="148"/>
        <v>268920</v>
      </c>
      <c r="W633" s="15">
        <f t="shared" si="146"/>
        <v>0.16666666666666666</v>
      </c>
      <c r="X633" s="5">
        <v>0</v>
      </c>
      <c r="Y633" s="11">
        <v>0</v>
      </c>
      <c r="Z633" s="5">
        <v>0</v>
      </c>
      <c r="AA633" s="11">
        <v>0</v>
      </c>
      <c r="AB633" s="11">
        <v>0.1</v>
      </c>
    </row>
    <row r="634" spans="1:28">
      <c r="A634">
        <v>2026</v>
      </c>
      <c r="B634" t="s">
        <v>177</v>
      </c>
      <c r="C634" t="s">
        <v>39</v>
      </c>
      <c r="D634" t="s">
        <v>40</v>
      </c>
      <c r="G634" t="s">
        <v>209</v>
      </c>
      <c r="H634" t="s">
        <v>209</v>
      </c>
      <c r="I634" t="s">
        <v>126</v>
      </c>
      <c r="J634" t="s">
        <v>159</v>
      </c>
      <c r="K634" t="s">
        <v>16</v>
      </c>
      <c r="L634">
        <v>38000</v>
      </c>
      <c r="M634" s="5">
        <v>38000</v>
      </c>
      <c r="O634" s="5">
        <f t="shared" si="147"/>
        <v>45600</v>
      </c>
      <c r="P634" s="5">
        <v>0</v>
      </c>
      <c r="Q634" s="11">
        <v>0</v>
      </c>
      <c r="R634" s="5">
        <v>0</v>
      </c>
      <c r="S634" s="12">
        <v>0</v>
      </c>
      <c r="T634" s="5">
        <f t="shared" si="145"/>
        <v>38000</v>
      </c>
      <c r="U634" s="11">
        <v>0.2</v>
      </c>
      <c r="V634" s="5">
        <f t="shared" si="148"/>
        <v>45600</v>
      </c>
      <c r="W634" s="15">
        <f t="shared" si="146"/>
        <v>0.16666666666666666</v>
      </c>
      <c r="X634" s="5">
        <v>0</v>
      </c>
      <c r="Y634" s="11">
        <v>0</v>
      </c>
      <c r="Z634" s="5">
        <v>0</v>
      </c>
      <c r="AA634" s="11">
        <v>0</v>
      </c>
      <c r="AB634" s="11">
        <v>0.1</v>
      </c>
    </row>
    <row r="635" spans="1:28">
      <c r="A635">
        <v>2026</v>
      </c>
      <c r="B635" t="s">
        <v>177</v>
      </c>
      <c r="C635" t="s">
        <v>39</v>
      </c>
      <c r="D635" t="s">
        <v>40</v>
      </c>
      <c r="G635" t="s">
        <v>209</v>
      </c>
      <c r="H635" t="s">
        <v>209</v>
      </c>
      <c r="I635" t="s">
        <v>127</v>
      </c>
      <c r="J635" t="s">
        <v>159</v>
      </c>
      <c r="K635" t="s">
        <v>16</v>
      </c>
      <c r="L635">
        <v>39800</v>
      </c>
      <c r="M635" s="5">
        <v>39800</v>
      </c>
      <c r="O635" s="5">
        <f t="shared" si="147"/>
        <v>47760</v>
      </c>
      <c r="P635" s="5">
        <v>0</v>
      </c>
      <c r="Q635" s="11">
        <v>0</v>
      </c>
      <c r="R635" s="5">
        <v>0</v>
      </c>
      <c r="S635" s="12">
        <v>0</v>
      </c>
      <c r="T635" s="5">
        <f t="shared" si="145"/>
        <v>39800</v>
      </c>
      <c r="U635" s="11">
        <v>0.2</v>
      </c>
      <c r="V635" s="5">
        <f t="shared" si="148"/>
        <v>47760</v>
      </c>
      <c r="W635" s="15">
        <f t="shared" si="146"/>
        <v>0.16666666666666666</v>
      </c>
      <c r="X635" s="5">
        <v>0</v>
      </c>
      <c r="Y635" s="11">
        <v>0</v>
      </c>
      <c r="Z635" s="5">
        <v>0</v>
      </c>
      <c r="AA635" s="11">
        <v>0</v>
      </c>
      <c r="AB635" s="11">
        <v>0.1</v>
      </c>
    </row>
    <row r="636" spans="1:28">
      <c r="A636">
        <v>2026</v>
      </c>
      <c r="B636" t="s">
        <v>178</v>
      </c>
      <c r="C636" t="s">
        <v>39</v>
      </c>
      <c r="D636" t="s">
        <v>40</v>
      </c>
      <c r="G636" t="s">
        <v>209</v>
      </c>
      <c r="H636" t="s">
        <v>209</v>
      </c>
      <c r="I636" t="s">
        <v>71</v>
      </c>
      <c r="J636" t="s">
        <v>159</v>
      </c>
      <c r="K636" t="s">
        <v>16</v>
      </c>
      <c r="L636">
        <v>28800</v>
      </c>
      <c r="M636" s="5">
        <v>28800</v>
      </c>
      <c r="O636" s="5">
        <f>V636</f>
        <v>34560</v>
      </c>
      <c r="P636" s="5">
        <v>0</v>
      </c>
      <c r="Q636" s="11">
        <v>0</v>
      </c>
      <c r="R636" s="5">
        <v>0</v>
      </c>
      <c r="S636" s="12">
        <v>0</v>
      </c>
      <c r="T636" s="5">
        <f t="shared" si="145"/>
        <v>28800</v>
      </c>
      <c r="U636" s="11">
        <v>0.2</v>
      </c>
      <c r="V636" s="5">
        <f>T636+(U636*T636)</f>
        <v>34560</v>
      </c>
      <c r="W636" s="15">
        <f t="shared" si="146"/>
        <v>0.16666666666666666</v>
      </c>
      <c r="X636" s="5">
        <v>0</v>
      </c>
      <c r="Y636" s="11">
        <v>0</v>
      </c>
      <c r="Z636" s="5">
        <v>0</v>
      </c>
      <c r="AA636" s="11">
        <v>0</v>
      </c>
      <c r="AB636" s="11">
        <v>0.1</v>
      </c>
    </row>
    <row r="637" spans="1:28">
      <c r="A637">
        <v>2026</v>
      </c>
      <c r="B637" t="s">
        <v>178</v>
      </c>
      <c r="C637" t="s">
        <v>39</v>
      </c>
      <c r="D637" t="s">
        <v>40</v>
      </c>
      <c r="G637" t="s">
        <v>209</v>
      </c>
      <c r="H637" t="s">
        <v>209</v>
      </c>
      <c r="I637" t="s">
        <v>76</v>
      </c>
      <c r="J637" t="s">
        <v>159</v>
      </c>
      <c r="K637" t="s">
        <v>16</v>
      </c>
      <c r="L637">
        <v>36700</v>
      </c>
      <c r="M637" s="5">
        <v>36700</v>
      </c>
      <c r="O637" s="5">
        <f t="shared" ref="O637:O650" si="149">V637</f>
        <v>44040</v>
      </c>
      <c r="P637" s="5">
        <v>0</v>
      </c>
      <c r="Q637" s="11">
        <v>0</v>
      </c>
      <c r="R637" s="5">
        <v>0</v>
      </c>
      <c r="S637" s="12">
        <v>0</v>
      </c>
      <c r="T637" s="5">
        <f t="shared" si="145"/>
        <v>36700</v>
      </c>
      <c r="U637" s="11">
        <v>0.2</v>
      </c>
      <c r="V637" s="5">
        <f t="shared" ref="V637:V650" si="150">T637+(U637*T637)</f>
        <v>44040</v>
      </c>
      <c r="W637" s="15">
        <f t="shared" si="146"/>
        <v>0.16666666666666666</v>
      </c>
      <c r="X637" s="5">
        <v>0</v>
      </c>
      <c r="Y637" s="11">
        <v>0</v>
      </c>
      <c r="Z637" s="5">
        <v>0</v>
      </c>
      <c r="AA637" s="11">
        <v>0</v>
      </c>
      <c r="AB637" s="11">
        <v>0.1</v>
      </c>
    </row>
    <row r="638" spans="1:28">
      <c r="A638">
        <v>2026</v>
      </c>
      <c r="B638" t="s">
        <v>178</v>
      </c>
      <c r="C638" t="s">
        <v>39</v>
      </c>
      <c r="D638" t="s">
        <v>40</v>
      </c>
      <c r="G638" t="s">
        <v>209</v>
      </c>
      <c r="H638" t="s">
        <v>209</v>
      </c>
      <c r="I638" t="s">
        <v>91</v>
      </c>
      <c r="J638" t="s">
        <v>160</v>
      </c>
      <c r="K638" t="s">
        <v>16</v>
      </c>
      <c r="L638">
        <v>28000</v>
      </c>
      <c r="M638" s="5">
        <v>28000</v>
      </c>
      <c r="O638" s="5">
        <f t="shared" si="149"/>
        <v>33600</v>
      </c>
      <c r="P638" s="5">
        <v>0</v>
      </c>
      <c r="Q638" s="11">
        <v>0</v>
      </c>
      <c r="R638" s="5">
        <v>0</v>
      </c>
      <c r="S638" s="12">
        <v>0</v>
      </c>
      <c r="T638" s="5">
        <f t="shared" si="145"/>
        <v>28000</v>
      </c>
      <c r="U638" s="11">
        <v>0.2</v>
      </c>
      <c r="V638" s="5">
        <f t="shared" si="150"/>
        <v>33600</v>
      </c>
      <c r="W638" s="15">
        <f t="shared" si="146"/>
        <v>0.16666666666666666</v>
      </c>
      <c r="X638" s="5">
        <v>0</v>
      </c>
      <c r="Y638" s="11">
        <v>0</v>
      </c>
      <c r="Z638" s="5">
        <v>0</v>
      </c>
      <c r="AA638" s="11">
        <v>0</v>
      </c>
      <c r="AB638" s="11">
        <v>0.1</v>
      </c>
    </row>
    <row r="639" spans="1:28">
      <c r="A639">
        <v>2026</v>
      </c>
      <c r="B639" t="s">
        <v>178</v>
      </c>
      <c r="C639" t="s">
        <v>39</v>
      </c>
      <c r="D639" t="s">
        <v>40</v>
      </c>
      <c r="G639" t="s">
        <v>209</v>
      </c>
      <c r="H639" t="s">
        <v>209</v>
      </c>
      <c r="I639" t="s">
        <v>97</v>
      </c>
      <c r="J639" t="s">
        <v>160</v>
      </c>
      <c r="K639" t="s">
        <v>16</v>
      </c>
      <c r="L639">
        <v>36700</v>
      </c>
      <c r="M639" s="5">
        <v>36700</v>
      </c>
      <c r="O639" s="5">
        <f t="shared" si="149"/>
        <v>44040</v>
      </c>
      <c r="P639" s="5">
        <v>0</v>
      </c>
      <c r="Q639" s="11">
        <v>0</v>
      </c>
      <c r="R639" s="5">
        <v>0</v>
      </c>
      <c r="S639" s="12">
        <v>0</v>
      </c>
      <c r="T639" s="5">
        <f t="shared" si="145"/>
        <v>36700</v>
      </c>
      <c r="U639" s="11">
        <v>0.2</v>
      </c>
      <c r="V639" s="5">
        <f t="shared" si="150"/>
        <v>44040</v>
      </c>
      <c r="W639" s="15">
        <f t="shared" si="146"/>
        <v>0.16666666666666666</v>
      </c>
      <c r="X639" s="5">
        <v>0</v>
      </c>
      <c r="Y639" s="11">
        <v>0</v>
      </c>
      <c r="Z639" s="5">
        <v>0</v>
      </c>
      <c r="AA639" s="11">
        <v>0</v>
      </c>
      <c r="AB639" s="11">
        <v>0.1</v>
      </c>
    </row>
    <row r="640" spans="1:28">
      <c r="A640">
        <v>2026</v>
      </c>
      <c r="B640" t="s">
        <v>178</v>
      </c>
      <c r="C640" t="s">
        <v>39</v>
      </c>
      <c r="D640" t="s">
        <v>40</v>
      </c>
      <c r="G640" t="s">
        <v>209</v>
      </c>
      <c r="H640" t="s">
        <v>209</v>
      </c>
      <c r="I640" t="s">
        <v>103</v>
      </c>
      <c r="J640" t="s">
        <v>160</v>
      </c>
      <c r="K640" t="s">
        <v>16</v>
      </c>
      <c r="L640">
        <v>21900</v>
      </c>
      <c r="M640" s="5">
        <v>21900</v>
      </c>
      <c r="O640" s="5">
        <f t="shared" si="149"/>
        <v>26280</v>
      </c>
      <c r="P640" s="5">
        <v>0</v>
      </c>
      <c r="Q640" s="11">
        <v>0</v>
      </c>
      <c r="R640" s="5">
        <v>0</v>
      </c>
      <c r="S640" s="12">
        <v>0</v>
      </c>
      <c r="T640" s="5">
        <f t="shared" ref="T640:T671" si="151">IF(C640="Mediana Complejidad",M640,0)</f>
        <v>21900</v>
      </c>
      <c r="U640" s="11">
        <v>0.2</v>
      </c>
      <c r="V640" s="5">
        <f t="shared" si="150"/>
        <v>26280</v>
      </c>
      <c r="W640" s="15">
        <f t="shared" ref="W640:W671" si="152">IFERROR(((V640-T640)/V640),0)</f>
        <v>0.16666666666666666</v>
      </c>
      <c r="X640" s="5">
        <v>0</v>
      </c>
      <c r="Y640" s="11">
        <v>0</v>
      </c>
      <c r="Z640" s="5">
        <v>0</v>
      </c>
      <c r="AA640" s="11">
        <v>0</v>
      </c>
      <c r="AB640" s="11">
        <v>0.1</v>
      </c>
    </row>
    <row r="641" spans="1:28">
      <c r="A641">
        <v>2026</v>
      </c>
      <c r="B641" t="s">
        <v>178</v>
      </c>
      <c r="C641" t="s">
        <v>39</v>
      </c>
      <c r="D641" t="s">
        <v>40</v>
      </c>
      <c r="G641" t="s">
        <v>209</v>
      </c>
      <c r="H641" t="s">
        <v>209</v>
      </c>
      <c r="I641" t="s">
        <v>107</v>
      </c>
      <c r="J641" t="s">
        <v>160</v>
      </c>
      <c r="K641" t="s">
        <v>16</v>
      </c>
      <c r="L641">
        <v>114900</v>
      </c>
      <c r="M641" s="5">
        <v>114900</v>
      </c>
      <c r="O641" s="5">
        <f t="shared" si="149"/>
        <v>137880</v>
      </c>
      <c r="P641" s="5">
        <v>0</v>
      </c>
      <c r="Q641" s="11">
        <v>0</v>
      </c>
      <c r="R641" s="5">
        <v>0</v>
      </c>
      <c r="S641" s="12">
        <v>0</v>
      </c>
      <c r="T641" s="5">
        <f t="shared" si="151"/>
        <v>114900</v>
      </c>
      <c r="U641" s="11">
        <v>0.2</v>
      </c>
      <c r="V641" s="5">
        <f t="shared" si="150"/>
        <v>137880</v>
      </c>
      <c r="W641" s="15">
        <f t="shared" si="152"/>
        <v>0.16666666666666666</v>
      </c>
      <c r="X641" s="5">
        <v>0</v>
      </c>
      <c r="Y641" s="11">
        <v>0</v>
      </c>
      <c r="Z641" s="5">
        <v>0</v>
      </c>
      <c r="AA641" s="11">
        <v>0</v>
      </c>
      <c r="AB641" s="11">
        <v>0.1</v>
      </c>
    </row>
    <row r="642" spans="1:28">
      <c r="A642">
        <v>2026</v>
      </c>
      <c r="B642" t="s">
        <v>178</v>
      </c>
      <c r="C642" t="s">
        <v>39</v>
      </c>
      <c r="D642" t="s">
        <v>40</v>
      </c>
      <c r="G642" t="s">
        <v>209</v>
      </c>
      <c r="H642" t="s">
        <v>209</v>
      </c>
      <c r="I642" t="s">
        <v>110</v>
      </c>
      <c r="J642" t="s">
        <v>160</v>
      </c>
      <c r="K642" t="s">
        <v>16</v>
      </c>
      <c r="L642">
        <v>28000</v>
      </c>
      <c r="M642" s="5">
        <v>28000</v>
      </c>
      <c r="O642" s="5">
        <f t="shared" si="149"/>
        <v>33600</v>
      </c>
      <c r="P642" s="5">
        <v>0</v>
      </c>
      <c r="Q642" s="11">
        <v>0</v>
      </c>
      <c r="R642" s="5">
        <v>0</v>
      </c>
      <c r="S642" s="12">
        <v>0</v>
      </c>
      <c r="T642" s="5">
        <f t="shared" si="151"/>
        <v>28000</v>
      </c>
      <c r="U642" s="11">
        <v>0.2</v>
      </c>
      <c r="V642" s="5">
        <f t="shared" si="150"/>
        <v>33600</v>
      </c>
      <c r="W642" s="15">
        <f t="shared" si="152"/>
        <v>0.16666666666666666</v>
      </c>
      <c r="X642" s="5">
        <v>0</v>
      </c>
      <c r="Y642" s="11">
        <v>0</v>
      </c>
      <c r="Z642" s="5">
        <v>0</v>
      </c>
      <c r="AA642" s="11">
        <v>0</v>
      </c>
      <c r="AB642" s="11">
        <v>0.1</v>
      </c>
    </row>
    <row r="643" spans="1:28">
      <c r="A643">
        <v>2026</v>
      </c>
      <c r="B643" t="s">
        <v>178</v>
      </c>
      <c r="C643" t="s">
        <v>39</v>
      </c>
      <c r="D643" t="s">
        <v>40</v>
      </c>
      <c r="G643" t="s">
        <v>209</v>
      </c>
      <c r="H643" t="s">
        <v>209</v>
      </c>
      <c r="I643" t="s">
        <v>111</v>
      </c>
      <c r="J643" t="s">
        <v>160</v>
      </c>
      <c r="K643" t="s">
        <v>16</v>
      </c>
      <c r="L643">
        <v>49200</v>
      </c>
      <c r="M643" s="5">
        <v>49200</v>
      </c>
      <c r="O643" s="5">
        <f t="shared" si="149"/>
        <v>59040</v>
      </c>
      <c r="P643" s="5">
        <v>0</v>
      </c>
      <c r="Q643" s="11">
        <v>0</v>
      </c>
      <c r="R643" s="5">
        <v>0</v>
      </c>
      <c r="S643" s="12">
        <v>0</v>
      </c>
      <c r="T643" s="5">
        <f t="shared" si="151"/>
        <v>49200</v>
      </c>
      <c r="U643" s="11">
        <v>0.2</v>
      </c>
      <c r="V643" s="5">
        <f t="shared" si="150"/>
        <v>59040</v>
      </c>
      <c r="W643" s="15">
        <f t="shared" si="152"/>
        <v>0.16666666666666666</v>
      </c>
      <c r="X643" s="5">
        <v>0</v>
      </c>
      <c r="Y643" s="11">
        <v>0</v>
      </c>
      <c r="Z643" s="5">
        <v>0</v>
      </c>
      <c r="AA643" s="11">
        <v>0</v>
      </c>
      <c r="AB643" s="11">
        <v>0.1</v>
      </c>
    </row>
    <row r="644" spans="1:28">
      <c r="A644">
        <v>2026</v>
      </c>
      <c r="B644" t="s">
        <v>178</v>
      </c>
      <c r="C644" t="s">
        <v>39</v>
      </c>
      <c r="D644" t="s">
        <v>40</v>
      </c>
      <c r="G644" t="s">
        <v>209</v>
      </c>
      <c r="H644" t="s">
        <v>209</v>
      </c>
      <c r="I644" t="s">
        <v>112</v>
      </c>
      <c r="J644" t="s">
        <v>160</v>
      </c>
      <c r="K644" t="s">
        <v>16</v>
      </c>
      <c r="L644">
        <v>141600</v>
      </c>
      <c r="M644" s="5">
        <v>141600</v>
      </c>
      <c r="O644" s="5">
        <f t="shared" si="149"/>
        <v>169920</v>
      </c>
      <c r="P644" s="5">
        <v>0</v>
      </c>
      <c r="Q644" s="11">
        <v>0</v>
      </c>
      <c r="R644" s="5">
        <v>0</v>
      </c>
      <c r="S644" s="12">
        <v>0</v>
      </c>
      <c r="T644" s="5">
        <f t="shared" si="151"/>
        <v>141600</v>
      </c>
      <c r="U644" s="11">
        <v>0.2</v>
      </c>
      <c r="V644" s="5">
        <f t="shared" si="150"/>
        <v>169920</v>
      </c>
      <c r="W644" s="15">
        <f t="shared" si="152"/>
        <v>0.16666666666666666</v>
      </c>
      <c r="X644" s="5">
        <v>0</v>
      </c>
      <c r="Y644" s="11">
        <v>0</v>
      </c>
      <c r="Z644" s="5">
        <v>0</v>
      </c>
      <c r="AA644" s="11">
        <v>0</v>
      </c>
      <c r="AB644" s="11">
        <v>0.1</v>
      </c>
    </row>
    <row r="645" spans="1:28">
      <c r="A645">
        <v>2026</v>
      </c>
      <c r="B645" t="s">
        <v>178</v>
      </c>
      <c r="C645" t="s">
        <v>39</v>
      </c>
      <c r="D645" t="s">
        <v>40</v>
      </c>
      <c r="G645" t="s">
        <v>209</v>
      </c>
      <c r="H645" t="s">
        <v>209</v>
      </c>
      <c r="I645" t="s">
        <v>113</v>
      </c>
      <c r="J645" t="s">
        <v>160</v>
      </c>
      <c r="K645" t="s">
        <v>16</v>
      </c>
      <c r="L645">
        <v>174700</v>
      </c>
      <c r="M645" s="5">
        <v>174700</v>
      </c>
      <c r="O645" s="5">
        <f t="shared" si="149"/>
        <v>209640</v>
      </c>
      <c r="P645" s="5">
        <v>0</v>
      </c>
      <c r="Q645" s="11">
        <v>0</v>
      </c>
      <c r="R645" s="5">
        <v>0</v>
      </c>
      <c r="S645" s="12">
        <v>0</v>
      </c>
      <c r="T645" s="5">
        <f t="shared" si="151"/>
        <v>174700</v>
      </c>
      <c r="U645" s="11">
        <v>0.2</v>
      </c>
      <c r="V645" s="5">
        <f t="shared" si="150"/>
        <v>209640</v>
      </c>
      <c r="W645" s="15">
        <f t="shared" si="152"/>
        <v>0.16666666666666666</v>
      </c>
      <c r="X645" s="5">
        <v>0</v>
      </c>
      <c r="Y645" s="11">
        <v>0</v>
      </c>
      <c r="Z645" s="5">
        <v>0</v>
      </c>
      <c r="AA645" s="11">
        <v>0</v>
      </c>
      <c r="AB645" s="11">
        <v>0.1</v>
      </c>
    </row>
    <row r="646" spans="1:28">
      <c r="A646">
        <v>2026</v>
      </c>
      <c r="B646" t="s">
        <v>178</v>
      </c>
      <c r="C646" t="s">
        <v>39</v>
      </c>
      <c r="D646" t="s">
        <v>40</v>
      </c>
      <c r="G646" t="s">
        <v>209</v>
      </c>
      <c r="H646" t="s">
        <v>209</v>
      </c>
      <c r="I646" t="s">
        <v>114</v>
      </c>
      <c r="J646" t="s">
        <v>160</v>
      </c>
      <c r="K646" t="s">
        <v>16</v>
      </c>
      <c r="L646">
        <v>204000</v>
      </c>
      <c r="M646" s="5">
        <v>204000</v>
      </c>
      <c r="O646" s="5">
        <f t="shared" si="149"/>
        <v>244800</v>
      </c>
      <c r="P646" s="5">
        <v>0</v>
      </c>
      <c r="Q646" s="11">
        <v>0</v>
      </c>
      <c r="R646" s="5">
        <v>0</v>
      </c>
      <c r="S646" s="12">
        <v>0</v>
      </c>
      <c r="T646" s="5">
        <f t="shared" si="151"/>
        <v>204000</v>
      </c>
      <c r="U646" s="11">
        <v>0.2</v>
      </c>
      <c r="V646" s="5">
        <f t="shared" si="150"/>
        <v>244800</v>
      </c>
      <c r="W646" s="15">
        <f t="shared" si="152"/>
        <v>0.16666666666666666</v>
      </c>
      <c r="X646" s="5">
        <v>0</v>
      </c>
      <c r="Y646" s="11">
        <v>0</v>
      </c>
      <c r="Z646" s="5">
        <v>0</v>
      </c>
      <c r="AA646" s="11">
        <v>0</v>
      </c>
      <c r="AB646" s="11">
        <v>0.1</v>
      </c>
    </row>
    <row r="647" spans="1:28">
      <c r="A647">
        <v>2026</v>
      </c>
      <c r="B647" t="s">
        <v>178</v>
      </c>
      <c r="C647" t="s">
        <v>39</v>
      </c>
      <c r="D647" t="s">
        <v>40</v>
      </c>
      <c r="G647" t="s">
        <v>209</v>
      </c>
      <c r="H647" t="s">
        <v>209</v>
      </c>
      <c r="I647" t="s">
        <v>119</v>
      </c>
      <c r="J647" t="s">
        <v>160</v>
      </c>
      <c r="K647" t="s">
        <v>16</v>
      </c>
      <c r="L647">
        <v>49000</v>
      </c>
      <c r="M647" s="5">
        <v>49000</v>
      </c>
      <c r="O647" s="5">
        <f t="shared" si="149"/>
        <v>58800</v>
      </c>
      <c r="P647" s="5">
        <v>0</v>
      </c>
      <c r="Q647" s="11">
        <v>0</v>
      </c>
      <c r="R647" s="5">
        <v>0</v>
      </c>
      <c r="S647" s="12">
        <v>0</v>
      </c>
      <c r="T647" s="5">
        <f t="shared" si="151"/>
        <v>49000</v>
      </c>
      <c r="U647" s="11">
        <v>0.2</v>
      </c>
      <c r="V647" s="5">
        <f t="shared" si="150"/>
        <v>58800</v>
      </c>
      <c r="W647" s="15">
        <f t="shared" si="152"/>
        <v>0.16666666666666666</v>
      </c>
      <c r="X647" s="5">
        <v>0</v>
      </c>
      <c r="Y647" s="11">
        <v>0</v>
      </c>
      <c r="Z647" s="5">
        <v>0</v>
      </c>
      <c r="AA647" s="11">
        <v>0</v>
      </c>
      <c r="AB647" s="11">
        <v>0.1</v>
      </c>
    </row>
    <row r="648" spans="1:28">
      <c r="A648">
        <v>2026</v>
      </c>
      <c r="B648" t="s">
        <v>178</v>
      </c>
      <c r="C648" t="s">
        <v>39</v>
      </c>
      <c r="D648" t="s">
        <v>40</v>
      </c>
      <c r="G648" t="s">
        <v>209</v>
      </c>
      <c r="H648" t="s">
        <v>209</v>
      </c>
      <c r="I648" t="s">
        <v>122</v>
      </c>
      <c r="J648" t="s">
        <v>159</v>
      </c>
      <c r="K648" t="s">
        <v>16</v>
      </c>
      <c r="L648">
        <v>224100</v>
      </c>
      <c r="M648" s="5">
        <v>224100</v>
      </c>
      <c r="O648" s="5">
        <f t="shared" si="149"/>
        <v>268920</v>
      </c>
      <c r="P648" s="5">
        <v>0</v>
      </c>
      <c r="Q648" s="11">
        <v>0</v>
      </c>
      <c r="R648" s="5">
        <v>0</v>
      </c>
      <c r="S648" s="12">
        <v>0</v>
      </c>
      <c r="T648" s="5">
        <f t="shared" si="151"/>
        <v>224100</v>
      </c>
      <c r="U648" s="11">
        <v>0.2</v>
      </c>
      <c r="V648" s="5">
        <f t="shared" si="150"/>
        <v>268920</v>
      </c>
      <c r="W648" s="15">
        <f t="shared" si="152"/>
        <v>0.16666666666666666</v>
      </c>
      <c r="X648" s="5">
        <v>0</v>
      </c>
      <c r="Y648" s="11">
        <v>0</v>
      </c>
      <c r="Z648" s="5">
        <v>0</v>
      </c>
      <c r="AA648" s="11">
        <v>0</v>
      </c>
      <c r="AB648" s="11">
        <v>0.1</v>
      </c>
    </row>
    <row r="649" spans="1:28">
      <c r="A649">
        <v>2026</v>
      </c>
      <c r="B649" t="s">
        <v>178</v>
      </c>
      <c r="C649" t="s">
        <v>39</v>
      </c>
      <c r="D649" t="s">
        <v>40</v>
      </c>
      <c r="G649" t="s">
        <v>209</v>
      </c>
      <c r="H649" t="s">
        <v>209</v>
      </c>
      <c r="I649" t="s">
        <v>126</v>
      </c>
      <c r="J649" t="s">
        <v>159</v>
      </c>
      <c r="K649" t="s">
        <v>16</v>
      </c>
      <c r="L649">
        <v>38000</v>
      </c>
      <c r="M649" s="5">
        <v>38000</v>
      </c>
      <c r="O649" s="5">
        <f t="shared" si="149"/>
        <v>45600</v>
      </c>
      <c r="P649" s="5">
        <v>0</v>
      </c>
      <c r="Q649" s="11">
        <v>0</v>
      </c>
      <c r="R649" s="5">
        <v>0</v>
      </c>
      <c r="S649" s="12">
        <v>0</v>
      </c>
      <c r="T649" s="5">
        <f t="shared" si="151"/>
        <v>38000</v>
      </c>
      <c r="U649" s="11">
        <v>0.2</v>
      </c>
      <c r="V649" s="5">
        <f t="shared" si="150"/>
        <v>45600</v>
      </c>
      <c r="W649" s="15">
        <f t="shared" si="152"/>
        <v>0.16666666666666666</v>
      </c>
      <c r="X649" s="5">
        <v>0</v>
      </c>
      <c r="Y649" s="11">
        <v>0</v>
      </c>
      <c r="Z649" s="5">
        <v>0</v>
      </c>
      <c r="AA649" s="11">
        <v>0</v>
      </c>
      <c r="AB649" s="11">
        <v>0.1</v>
      </c>
    </row>
    <row r="650" spans="1:28">
      <c r="A650">
        <v>2026</v>
      </c>
      <c r="B650" t="s">
        <v>178</v>
      </c>
      <c r="C650" t="s">
        <v>39</v>
      </c>
      <c r="D650" t="s">
        <v>40</v>
      </c>
      <c r="G650" t="s">
        <v>209</v>
      </c>
      <c r="H650" t="s">
        <v>209</v>
      </c>
      <c r="I650" t="s">
        <v>127</v>
      </c>
      <c r="J650" t="s">
        <v>159</v>
      </c>
      <c r="K650" t="s">
        <v>16</v>
      </c>
      <c r="L650">
        <v>39800</v>
      </c>
      <c r="M650" s="5">
        <v>39800</v>
      </c>
      <c r="O650" s="5">
        <f t="shared" si="149"/>
        <v>47760</v>
      </c>
      <c r="P650" s="5">
        <v>0</v>
      </c>
      <c r="Q650" s="11">
        <v>0</v>
      </c>
      <c r="R650" s="5">
        <v>0</v>
      </c>
      <c r="S650" s="12">
        <v>0</v>
      </c>
      <c r="T650" s="5">
        <f t="shared" si="151"/>
        <v>39800</v>
      </c>
      <c r="U650" s="11">
        <v>0.2</v>
      </c>
      <c r="V650" s="5">
        <f t="shared" si="150"/>
        <v>47760</v>
      </c>
      <c r="W650" s="15">
        <f t="shared" si="152"/>
        <v>0.16666666666666666</v>
      </c>
      <c r="X650" s="5">
        <v>0</v>
      </c>
      <c r="Y650" s="11">
        <v>0</v>
      </c>
      <c r="Z650" s="5">
        <v>0</v>
      </c>
      <c r="AA650" s="11">
        <v>0</v>
      </c>
      <c r="AB650" s="11">
        <v>0.1</v>
      </c>
    </row>
    <row r="651" spans="1:28">
      <c r="A651">
        <v>2026</v>
      </c>
      <c r="B651" t="s">
        <v>179</v>
      </c>
      <c r="C651" t="s">
        <v>39</v>
      </c>
      <c r="D651" t="s">
        <v>40</v>
      </c>
      <c r="G651" t="s">
        <v>209</v>
      </c>
      <c r="H651" t="s">
        <v>209</v>
      </c>
      <c r="I651" t="s">
        <v>71</v>
      </c>
      <c r="J651" t="s">
        <v>159</v>
      </c>
      <c r="K651" t="s">
        <v>16</v>
      </c>
      <c r="L651">
        <v>28800</v>
      </c>
      <c r="M651" s="5">
        <v>28800</v>
      </c>
      <c r="O651" s="5">
        <f>V651</f>
        <v>34560</v>
      </c>
      <c r="P651" s="5">
        <v>0</v>
      </c>
      <c r="Q651" s="11">
        <v>0</v>
      </c>
      <c r="R651" s="5">
        <v>0</v>
      </c>
      <c r="S651" s="12">
        <v>0</v>
      </c>
      <c r="T651" s="5">
        <f t="shared" si="151"/>
        <v>28800</v>
      </c>
      <c r="U651" s="11">
        <v>0.2</v>
      </c>
      <c r="V651" s="5">
        <f>T651+(U651*T651)</f>
        <v>34560</v>
      </c>
      <c r="W651" s="15">
        <f t="shared" si="152"/>
        <v>0.16666666666666666</v>
      </c>
      <c r="X651" s="5">
        <v>0</v>
      </c>
      <c r="Y651" s="11">
        <v>0</v>
      </c>
      <c r="Z651" s="5">
        <v>0</v>
      </c>
      <c r="AA651" s="11">
        <v>0</v>
      </c>
      <c r="AB651" s="11">
        <v>0.1</v>
      </c>
    </row>
    <row r="652" spans="1:28">
      <c r="A652">
        <v>2026</v>
      </c>
      <c r="B652" t="s">
        <v>179</v>
      </c>
      <c r="C652" t="s">
        <v>39</v>
      </c>
      <c r="D652" t="s">
        <v>40</v>
      </c>
      <c r="G652" t="s">
        <v>209</v>
      </c>
      <c r="H652" t="s">
        <v>209</v>
      </c>
      <c r="I652" t="s">
        <v>76</v>
      </c>
      <c r="J652" t="s">
        <v>159</v>
      </c>
      <c r="K652" t="s">
        <v>16</v>
      </c>
      <c r="L652">
        <v>36700</v>
      </c>
      <c r="M652" s="5">
        <v>36700</v>
      </c>
      <c r="O652" s="5">
        <f t="shared" ref="O652:O665" si="153">V652</f>
        <v>44040</v>
      </c>
      <c r="P652" s="5">
        <v>0</v>
      </c>
      <c r="Q652" s="11">
        <v>0</v>
      </c>
      <c r="R652" s="5">
        <v>0</v>
      </c>
      <c r="S652" s="12">
        <v>0</v>
      </c>
      <c r="T652" s="5">
        <f t="shared" si="151"/>
        <v>36700</v>
      </c>
      <c r="U652" s="11">
        <v>0.2</v>
      </c>
      <c r="V652" s="5">
        <f t="shared" ref="V652:V665" si="154">T652+(U652*T652)</f>
        <v>44040</v>
      </c>
      <c r="W652" s="15">
        <f t="shared" si="152"/>
        <v>0.16666666666666666</v>
      </c>
      <c r="X652" s="5">
        <v>0</v>
      </c>
      <c r="Y652" s="11">
        <v>0</v>
      </c>
      <c r="Z652" s="5">
        <v>0</v>
      </c>
      <c r="AA652" s="11">
        <v>0</v>
      </c>
      <c r="AB652" s="11">
        <v>0.1</v>
      </c>
    </row>
    <row r="653" spans="1:28">
      <c r="A653">
        <v>2026</v>
      </c>
      <c r="B653" t="s">
        <v>179</v>
      </c>
      <c r="C653" t="s">
        <v>39</v>
      </c>
      <c r="D653" t="s">
        <v>40</v>
      </c>
      <c r="G653" t="s">
        <v>209</v>
      </c>
      <c r="H653" t="s">
        <v>209</v>
      </c>
      <c r="I653" t="s">
        <v>91</v>
      </c>
      <c r="J653" t="s">
        <v>160</v>
      </c>
      <c r="K653" t="s">
        <v>16</v>
      </c>
      <c r="L653">
        <v>28000</v>
      </c>
      <c r="M653" s="5">
        <v>28000</v>
      </c>
      <c r="O653" s="5">
        <f t="shared" si="153"/>
        <v>33600</v>
      </c>
      <c r="P653" s="5">
        <v>0</v>
      </c>
      <c r="Q653" s="11">
        <v>0</v>
      </c>
      <c r="R653" s="5">
        <v>0</v>
      </c>
      <c r="S653" s="12">
        <v>0</v>
      </c>
      <c r="T653" s="5">
        <f t="shared" si="151"/>
        <v>28000</v>
      </c>
      <c r="U653" s="11">
        <v>0.2</v>
      </c>
      <c r="V653" s="5">
        <f t="shared" si="154"/>
        <v>33600</v>
      </c>
      <c r="W653" s="15">
        <f t="shared" si="152"/>
        <v>0.16666666666666666</v>
      </c>
      <c r="X653" s="5">
        <v>0</v>
      </c>
      <c r="Y653" s="11">
        <v>0</v>
      </c>
      <c r="Z653" s="5">
        <v>0</v>
      </c>
      <c r="AA653" s="11">
        <v>0</v>
      </c>
      <c r="AB653" s="11">
        <v>0.1</v>
      </c>
    </row>
    <row r="654" spans="1:28">
      <c r="A654">
        <v>2026</v>
      </c>
      <c r="B654" t="s">
        <v>179</v>
      </c>
      <c r="C654" t="s">
        <v>39</v>
      </c>
      <c r="D654" t="s">
        <v>40</v>
      </c>
      <c r="G654" t="s">
        <v>209</v>
      </c>
      <c r="H654" t="s">
        <v>209</v>
      </c>
      <c r="I654" t="s">
        <v>97</v>
      </c>
      <c r="J654" t="s">
        <v>160</v>
      </c>
      <c r="K654" t="s">
        <v>16</v>
      </c>
      <c r="L654">
        <v>36700</v>
      </c>
      <c r="M654" s="5">
        <v>36700</v>
      </c>
      <c r="O654" s="5">
        <f t="shared" si="153"/>
        <v>44040</v>
      </c>
      <c r="P654" s="5">
        <v>0</v>
      </c>
      <c r="Q654" s="11">
        <v>0</v>
      </c>
      <c r="R654" s="5">
        <v>0</v>
      </c>
      <c r="S654" s="12">
        <v>0</v>
      </c>
      <c r="T654" s="5">
        <f t="shared" si="151"/>
        <v>36700</v>
      </c>
      <c r="U654" s="11">
        <v>0.2</v>
      </c>
      <c r="V654" s="5">
        <f t="shared" si="154"/>
        <v>44040</v>
      </c>
      <c r="W654" s="15">
        <f t="shared" si="152"/>
        <v>0.16666666666666666</v>
      </c>
      <c r="X654" s="5">
        <v>0</v>
      </c>
      <c r="Y654" s="11">
        <v>0</v>
      </c>
      <c r="Z654" s="5">
        <v>0</v>
      </c>
      <c r="AA654" s="11">
        <v>0</v>
      </c>
      <c r="AB654" s="11">
        <v>0.1</v>
      </c>
    </row>
    <row r="655" spans="1:28">
      <c r="A655">
        <v>2026</v>
      </c>
      <c r="B655" t="s">
        <v>179</v>
      </c>
      <c r="C655" t="s">
        <v>39</v>
      </c>
      <c r="D655" t="s">
        <v>40</v>
      </c>
      <c r="G655" t="s">
        <v>209</v>
      </c>
      <c r="H655" t="s">
        <v>209</v>
      </c>
      <c r="I655" t="s">
        <v>103</v>
      </c>
      <c r="J655" t="s">
        <v>160</v>
      </c>
      <c r="K655" t="s">
        <v>16</v>
      </c>
      <c r="L655">
        <v>21900</v>
      </c>
      <c r="M655" s="5">
        <v>21900</v>
      </c>
      <c r="O655" s="5">
        <f t="shared" si="153"/>
        <v>26280</v>
      </c>
      <c r="P655" s="5">
        <v>0</v>
      </c>
      <c r="Q655" s="11">
        <v>0</v>
      </c>
      <c r="R655" s="5">
        <v>0</v>
      </c>
      <c r="S655" s="12">
        <v>0</v>
      </c>
      <c r="T655" s="5">
        <f t="shared" si="151"/>
        <v>21900</v>
      </c>
      <c r="U655" s="11">
        <v>0.2</v>
      </c>
      <c r="V655" s="5">
        <f t="shared" si="154"/>
        <v>26280</v>
      </c>
      <c r="W655" s="15">
        <f t="shared" si="152"/>
        <v>0.16666666666666666</v>
      </c>
      <c r="X655" s="5">
        <v>0</v>
      </c>
      <c r="Y655" s="11">
        <v>0</v>
      </c>
      <c r="Z655" s="5">
        <v>0</v>
      </c>
      <c r="AA655" s="11">
        <v>0</v>
      </c>
      <c r="AB655" s="11">
        <v>0.1</v>
      </c>
    </row>
    <row r="656" spans="1:28">
      <c r="A656">
        <v>2026</v>
      </c>
      <c r="B656" t="s">
        <v>179</v>
      </c>
      <c r="C656" t="s">
        <v>39</v>
      </c>
      <c r="D656" t="s">
        <v>40</v>
      </c>
      <c r="G656" t="s">
        <v>209</v>
      </c>
      <c r="H656" t="s">
        <v>209</v>
      </c>
      <c r="I656" t="s">
        <v>107</v>
      </c>
      <c r="J656" t="s">
        <v>160</v>
      </c>
      <c r="K656" t="s">
        <v>16</v>
      </c>
      <c r="L656">
        <v>114900</v>
      </c>
      <c r="M656" s="5">
        <v>114900</v>
      </c>
      <c r="O656" s="5">
        <f t="shared" si="153"/>
        <v>137880</v>
      </c>
      <c r="P656" s="5">
        <v>0</v>
      </c>
      <c r="Q656" s="11">
        <v>0</v>
      </c>
      <c r="R656" s="5">
        <v>0</v>
      </c>
      <c r="S656" s="12">
        <v>0</v>
      </c>
      <c r="T656" s="5">
        <f t="shared" si="151"/>
        <v>114900</v>
      </c>
      <c r="U656" s="11">
        <v>0.2</v>
      </c>
      <c r="V656" s="5">
        <f t="shared" si="154"/>
        <v>137880</v>
      </c>
      <c r="W656" s="15">
        <f t="shared" si="152"/>
        <v>0.16666666666666666</v>
      </c>
      <c r="X656" s="5">
        <v>0</v>
      </c>
      <c r="Y656" s="11">
        <v>0</v>
      </c>
      <c r="Z656" s="5">
        <v>0</v>
      </c>
      <c r="AA656" s="11">
        <v>0</v>
      </c>
      <c r="AB656" s="11">
        <v>0.1</v>
      </c>
    </row>
    <row r="657" spans="1:28">
      <c r="A657">
        <v>2026</v>
      </c>
      <c r="B657" t="s">
        <v>179</v>
      </c>
      <c r="C657" t="s">
        <v>39</v>
      </c>
      <c r="D657" t="s">
        <v>40</v>
      </c>
      <c r="G657" t="s">
        <v>209</v>
      </c>
      <c r="H657" t="s">
        <v>209</v>
      </c>
      <c r="I657" t="s">
        <v>110</v>
      </c>
      <c r="J657" t="s">
        <v>160</v>
      </c>
      <c r="K657" t="s">
        <v>16</v>
      </c>
      <c r="L657">
        <v>28000</v>
      </c>
      <c r="M657" s="5">
        <v>28000</v>
      </c>
      <c r="O657" s="5">
        <f t="shared" si="153"/>
        <v>33600</v>
      </c>
      <c r="P657" s="5">
        <v>0</v>
      </c>
      <c r="Q657" s="11">
        <v>0</v>
      </c>
      <c r="R657" s="5">
        <v>0</v>
      </c>
      <c r="S657" s="12">
        <v>0</v>
      </c>
      <c r="T657" s="5">
        <f t="shared" si="151"/>
        <v>28000</v>
      </c>
      <c r="U657" s="11">
        <v>0.2</v>
      </c>
      <c r="V657" s="5">
        <f t="shared" si="154"/>
        <v>33600</v>
      </c>
      <c r="W657" s="15">
        <f t="shared" si="152"/>
        <v>0.16666666666666666</v>
      </c>
      <c r="X657" s="5">
        <v>0</v>
      </c>
      <c r="Y657" s="11">
        <v>0</v>
      </c>
      <c r="Z657" s="5">
        <v>0</v>
      </c>
      <c r="AA657" s="11">
        <v>0</v>
      </c>
      <c r="AB657" s="11">
        <v>0.1</v>
      </c>
    </row>
    <row r="658" spans="1:28">
      <c r="A658">
        <v>2026</v>
      </c>
      <c r="B658" t="s">
        <v>179</v>
      </c>
      <c r="C658" t="s">
        <v>39</v>
      </c>
      <c r="D658" t="s">
        <v>40</v>
      </c>
      <c r="G658" t="s">
        <v>209</v>
      </c>
      <c r="H658" t="s">
        <v>209</v>
      </c>
      <c r="I658" t="s">
        <v>111</v>
      </c>
      <c r="J658" t="s">
        <v>160</v>
      </c>
      <c r="K658" t="s">
        <v>16</v>
      </c>
      <c r="L658">
        <v>49200</v>
      </c>
      <c r="M658" s="5">
        <v>49200</v>
      </c>
      <c r="O658" s="5">
        <f t="shared" si="153"/>
        <v>59040</v>
      </c>
      <c r="P658" s="5">
        <v>0</v>
      </c>
      <c r="Q658" s="11">
        <v>0</v>
      </c>
      <c r="R658" s="5">
        <v>0</v>
      </c>
      <c r="S658" s="12">
        <v>0</v>
      </c>
      <c r="T658" s="5">
        <f t="shared" si="151"/>
        <v>49200</v>
      </c>
      <c r="U658" s="11">
        <v>0.2</v>
      </c>
      <c r="V658" s="5">
        <f t="shared" si="154"/>
        <v>59040</v>
      </c>
      <c r="W658" s="15">
        <f t="shared" si="152"/>
        <v>0.16666666666666666</v>
      </c>
      <c r="X658" s="5">
        <v>0</v>
      </c>
      <c r="Y658" s="11">
        <v>0</v>
      </c>
      <c r="Z658" s="5">
        <v>0</v>
      </c>
      <c r="AA658" s="11">
        <v>0</v>
      </c>
      <c r="AB658" s="11">
        <v>0.1</v>
      </c>
    </row>
    <row r="659" spans="1:28">
      <c r="A659">
        <v>2026</v>
      </c>
      <c r="B659" t="s">
        <v>179</v>
      </c>
      <c r="C659" t="s">
        <v>39</v>
      </c>
      <c r="D659" t="s">
        <v>40</v>
      </c>
      <c r="G659" t="s">
        <v>209</v>
      </c>
      <c r="H659" t="s">
        <v>209</v>
      </c>
      <c r="I659" t="s">
        <v>112</v>
      </c>
      <c r="J659" t="s">
        <v>160</v>
      </c>
      <c r="K659" t="s">
        <v>16</v>
      </c>
      <c r="L659">
        <v>141600</v>
      </c>
      <c r="M659" s="5">
        <v>141600</v>
      </c>
      <c r="O659" s="5">
        <f t="shared" si="153"/>
        <v>169920</v>
      </c>
      <c r="P659" s="5">
        <v>0</v>
      </c>
      <c r="Q659" s="11">
        <v>0</v>
      </c>
      <c r="R659" s="5">
        <v>0</v>
      </c>
      <c r="S659" s="12">
        <v>0</v>
      </c>
      <c r="T659" s="5">
        <f t="shared" si="151"/>
        <v>141600</v>
      </c>
      <c r="U659" s="11">
        <v>0.2</v>
      </c>
      <c r="V659" s="5">
        <f t="shared" si="154"/>
        <v>169920</v>
      </c>
      <c r="W659" s="15">
        <f t="shared" si="152"/>
        <v>0.16666666666666666</v>
      </c>
      <c r="X659" s="5">
        <v>0</v>
      </c>
      <c r="Y659" s="11">
        <v>0</v>
      </c>
      <c r="Z659" s="5">
        <v>0</v>
      </c>
      <c r="AA659" s="11">
        <v>0</v>
      </c>
      <c r="AB659" s="11">
        <v>0.1</v>
      </c>
    </row>
    <row r="660" spans="1:28">
      <c r="A660">
        <v>2026</v>
      </c>
      <c r="B660" t="s">
        <v>179</v>
      </c>
      <c r="C660" t="s">
        <v>39</v>
      </c>
      <c r="D660" t="s">
        <v>40</v>
      </c>
      <c r="G660" t="s">
        <v>209</v>
      </c>
      <c r="H660" t="s">
        <v>209</v>
      </c>
      <c r="I660" t="s">
        <v>113</v>
      </c>
      <c r="J660" t="s">
        <v>160</v>
      </c>
      <c r="K660" t="s">
        <v>16</v>
      </c>
      <c r="L660">
        <v>174700</v>
      </c>
      <c r="M660" s="5">
        <v>174700</v>
      </c>
      <c r="O660" s="5">
        <f t="shared" si="153"/>
        <v>209640</v>
      </c>
      <c r="P660" s="5">
        <v>0</v>
      </c>
      <c r="Q660" s="11">
        <v>0</v>
      </c>
      <c r="R660" s="5">
        <v>0</v>
      </c>
      <c r="S660" s="12">
        <v>0</v>
      </c>
      <c r="T660" s="5">
        <f t="shared" si="151"/>
        <v>174700</v>
      </c>
      <c r="U660" s="11">
        <v>0.2</v>
      </c>
      <c r="V660" s="5">
        <f t="shared" si="154"/>
        <v>209640</v>
      </c>
      <c r="W660" s="15">
        <f t="shared" si="152"/>
        <v>0.16666666666666666</v>
      </c>
      <c r="X660" s="5">
        <v>0</v>
      </c>
      <c r="Y660" s="11">
        <v>0</v>
      </c>
      <c r="Z660" s="5">
        <v>0</v>
      </c>
      <c r="AA660" s="11">
        <v>0</v>
      </c>
      <c r="AB660" s="11">
        <v>0.1</v>
      </c>
    </row>
    <row r="661" spans="1:28">
      <c r="A661">
        <v>2026</v>
      </c>
      <c r="B661" t="s">
        <v>179</v>
      </c>
      <c r="C661" t="s">
        <v>39</v>
      </c>
      <c r="D661" t="s">
        <v>40</v>
      </c>
      <c r="G661" t="s">
        <v>209</v>
      </c>
      <c r="H661" t="s">
        <v>209</v>
      </c>
      <c r="I661" t="s">
        <v>114</v>
      </c>
      <c r="J661" t="s">
        <v>160</v>
      </c>
      <c r="K661" t="s">
        <v>16</v>
      </c>
      <c r="L661">
        <v>204000</v>
      </c>
      <c r="M661" s="5">
        <v>204000</v>
      </c>
      <c r="O661" s="5">
        <f t="shared" si="153"/>
        <v>244800</v>
      </c>
      <c r="P661" s="5">
        <v>0</v>
      </c>
      <c r="Q661" s="11">
        <v>0</v>
      </c>
      <c r="R661" s="5">
        <v>0</v>
      </c>
      <c r="S661" s="12">
        <v>0</v>
      </c>
      <c r="T661" s="5">
        <f t="shared" si="151"/>
        <v>204000</v>
      </c>
      <c r="U661" s="11">
        <v>0.2</v>
      </c>
      <c r="V661" s="5">
        <f t="shared" si="154"/>
        <v>244800</v>
      </c>
      <c r="W661" s="15">
        <f t="shared" si="152"/>
        <v>0.16666666666666666</v>
      </c>
      <c r="X661" s="5">
        <v>0</v>
      </c>
      <c r="Y661" s="11">
        <v>0</v>
      </c>
      <c r="Z661" s="5">
        <v>0</v>
      </c>
      <c r="AA661" s="11">
        <v>0</v>
      </c>
      <c r="AB661" s="11">
        <v>0.1</v>
      </c>
    </row>
    <row r="662" spans="1:28">
      <c r="A662">
        <v>2026</v>
      </c>
      <c r="B662" t="s">
        <v>179</v>
      </c>
      <c r="C662" t="s">
        <v>39</v>
      </c>
      <c r="D662" t="s">
        <v>40</v>
      </c>
      <c r="G662" t="s">
        <v>209</v>
      </c>
      <c r="H662" t="s">
        <v>209</v>
      </c>
      <c r="I662" t="s">
        <v>119</v>
      </c>
      <c r="J662" t="s">
        <v>160</v>
      </c>
      <c r="K662" t="s">
        <v>16</v>
      </c>
      <c r="L662">
        <v>49000</v>
      </c>
      <c r="M662" s="5">
        <v>49000</v>
      </c>
      <c r="O662" s="5">
        <f t="shared" si="153"/>
        <v>58800</v>
      </c>
      <c r="P662" s="5">
        <v>0</v>
      </c>
      <c r="Q662" s="11">
        <v>0</v>
      </c>
      <c r="R662" s="5">
        <v>0</v>
      </c>
      <c r="S662" s="12">
        <v>0</v>
      </c>
      <c r="T662" s="5">
        <f t="shared" si="151"/>
        <v>49000</v>
      </c>
      <c r="U662" s="11">
        <v>0.2</v>
      </c>
      <c r="V662" s="5">
        <f t="shared" si="154"/>
        <v>58800</v>
      </c>
      <c r="W662" s="15">
        <f t="shared" si="152"/>
        <v>0.16666666666666666</v>
      </c>
      <c r="X662" s="5">
        <v>0</v>
      </c>
      <c r="Y662" s="11">
        <v>0</v>
      </c>
      <c r="Z662" s="5">
        <v>0</v>
      </c>
      <c r="AA662" s="11">
        <v>0</v>
      </c>
      <c r="AB662" s="11">
        <v>0.1</v>
      </c>
    </row>
    <row r="663" spans="1:28">
      <c r="A663">
        <v>2026</v>
      </c>
      <c r="B663" t="s">
        <v>179</v>
      </c>
      <c r="C663" t="s">
        <v>39</v>
      </c>
      <c r="D663" t="s">
        <v>40</v>
      </c>
      <c r="G663" t="s">
        <v>209</v>
      </c>
      <c r="H663" t="s">
        <v>209</v>
      </c>
      <c r="I663" t="s">
        <v>122</v>
      </c>
      <c r="J663" t="s">
        <v>159</v>
      </c>
      <c r="K663" t="s">
        <v>16</v>
      </c>
      <c r="L663">
        <v>224100</v>
      </c>
      <c r="M663" s="5">
        <v>224100</v>
      </c>
      <c r="O663" s="5">
        <f t="shared" si="153"/>
        <v>268920</v>
      </c>
      <c r="P663" s="5">
        <v>0</v>
      </c>
      <c r="Q663" s="11">
        <v>0</v>
      </c>
      <c r="R663" s="5">
        <v>0</v>
      </c>
      <c r="S663" s="12">
        <v>0</v>
      </c>
      <c r="T663" s="5">
        <f t="shared" si="151"/>
        <v>224100</v>
      </c>
      <c r="U663" s="11">
        <v>0.2</v>
      </c>
      <c r="V663" s="5">
        <f t="shared" si="154"/>
        <v>268920</v>
      </c>
      <c r="W663" s="15">
        <f t="shared" si="152"/>
        <v>0.16666666666666666</v>
      </c>
      <c r="X663" s="5">
        <v>0</v>
      </c>
      <c r="Y663" s="11">
        <v>0</v>
      </c>
      <c r="Z663" s="5">
        <v>0</v>
      </c>
      <c r="AA663" s="11">
        <v>0</v>
      </c>
      <c r="AB663" s="11">
        <v>0.1</v>
      </c>
    </row>
    <row r="664" spans="1:28">
      <c r="A664">
        <v>2026</v>
      </c>
      <c r="B664" t="s">
        <v>179</v>
      </c>
      <c r="C664" t="s">
        <v>39</v>
      </c>
      <c r="D664" t="s">
        <v>40</v>
      </c>
      <c r="G664" t="s">
        <v>209</v>
      </c>
      <c r="H664" t="s">
        <v>209</v>
      </c>
      <c r="I664" t="s">
        <v>126</v>
      </c>
      <c r="J664" t="s">
        <v>159</v>
      </c>
      <c r="K664" t="s">
        <v>16</v>
      </c>
      <c r="L664">
        <v>38000</v>
      </c>
      <c r="M664" s="5">
        <v>38000</v>
      </c>
      <c r="O664" s="5">
        <f t="shared" si="153"/>
        <v>45600</v>
      </c>
      <c r="P664" s="5">
        <v>0</v>
      </c>
      <c r="Q664" s="11">
        <v>0</v>
      </c>
      <c r="R664" s="5">
        <v>0</v>
      </c>
      <c r="S664" s="12">
        <v>0</v>
      </c>
      <c r="T664" s="5">
        <f t="shared" si="151"/>
        <v>38000</v>
      </c>
      <c r="U664" s="11">
        <v>0.2</v>
      </c>
      <c r="V664" s="5">
        <f t="shared" si="154"/>
        <v>45600</v>
      </c>
      <c r="W664" s="15">
        <f t="shared" si="152"/>
        <v>0.16666666666666666</v>
      </c>
      <c r="X664" s="5">
        <v>0</v>
      </c>
      <c r="Y664" s="11">
        <v>0</v>
      </c>
      <c r="Z664" s="5">
        <v>0</v>
      </c>
      <c r="AA664" s="11">
        <v>0</v>
      </c>
      <c r="AB664" s="11">
        <v>0.1</v>
      </c>
    </row>
    <row r="665" spans="1:28">
      <c r="A665">
        <v>2026</v>
      </c>
      <c r="B665" t="s">
        <v>179</v>
      </c>
      <c r="C665" t="s">
        <v>39</v>
      </c>
      <c r="D665" t="s">
        <v>40</v>
      </c>
      <c r="G665" t="s">
        <v>209</v>
      </c>
      <c r="H665" t="s">
        <v>209</v>
      </c>
      <c r="I665" t="s">
        <v>127</v>
      </c>
      <c r="J665" t="s">
        <v>159</v>
      </c>
      <c r="K665" t="s">
        <v>16</v>
      </c>
      <c r="L665">
        <v>39800</v>
      </c>
      <c r="M665" s="5">
        <v>39800</v>
      </c>
      <c r="O665" s="5">
        <f t="shared" si="153"/>
        <v>47760</v>
      </c>
      <c r="P665" s="5">
        <v>0</v>
      </c>
      <c r="Q665" s="11">
        <v>0</v>
      </c>
      <c r="R665" s="5">
        <v>0</v>
      </c>
      <c r="S665" s="12">
        <v>0</v>
      </c>
      <c r="T665" s="5">
        <f t="shared" si="151"/>
        <v>39800</v>
      </c>
      <c r="U665" s="11">
        <v>0.2</v>
      </c>
      <c r="V665" s="5">
        <f t="shared" si="154"/>
        <v>47760</v>
      </c>
      <c r="W665" s="15">
        <f t="shared" si="152"/>
        <v>0.16666666666666666</v>
      </c>
      <c r="X665" s="5">
        <v>0</v>
      </c>
      <c r="Y665" s="11">
        <v>0</v>
      </c>
      <c r="Z665" s="5">
        <v>0</v>
      </c>
      <c r="AA665" s="11">
        <v>0</v>
      </c>
      <c r="AB665" s="11">
        <v>0.1</v>
      </c>
    </row>
    <row r="666" spans="1:28">
      <c r="A666">
        <v>2026</v>
      </c>
      <c r="B666" t="s">
        <v>180</v>
      </c>
      <c r="C666" t="s">
        <v>39</v>
      </c>
      <c r="D666" t="s">
        <v>40</v>
      </c>
      <c r="G666" t="s">
        <v>209</v>
      </c>
      <c r="H666" t="s">
        <v>209</v>
      </c>
      <c r="I666" t="s">
        <v>71</v>
      </c>
      <c r="J666" t="s">
        <v>159</v>
      </c>
      <c r="K666" t="s">
        <v>16</v>
      </c>
      <c r="L666">
        <v>28800</v>
      </c>
      <c r="M666" s="5">
        <v>28800</v>
      </c>
      <c r="O666" s="5">
        <f>V666</f>
        <v>34560</v>
      </c>
      <c r="P666" s="5">
        <v>0</v>
      </c>
      <c r="Q666" s="11">
        <v>0</v>
      </c>
      <c r="R666" s="5">
        <v>0</v>
      </c>
      <c r="S666" s="12">
        <v>0</v>
      </c>
      <c r="T666" s="5">
        <f t="shared" si="151"/>
        <v>28800</v>
      </c>
      <c r="U666" s="11">
        <v>0.2</v>
      </c>
      <c r="V666" s="5">
        <f>T666+(U666*T666)</f>
        <v>34560</v>
      </c>
      <c r="W666" s="15">
        <f t="shared" si="152"/>
        <v>0.16666666666666666</v>
      </c>
      <c r="X666" s="5">
        <v>0</v>
      </c>
      <c r="Y666" s="11">
        <v>0</v>
      </c>
      <c r="Z666" s="5">
        <v>0</v>
      </c>
      <c r="AA666" s="11">
        <v>0</v>
      </c>
      <c r="AB666" s="11">
        <v>0.1</v>
      </c>
    </row>
    <row r="667" spans="1:28">
      <c r="A667">
        <v>2026</v>
      </c>
      <c r="B667" t="s">
        <v>180</v>
      </c>
      <c r="C667" t="s">
        <v>39</v>
      </c>
      <c r="D667" t="s">
        <v>40</v>
      </c>
      <c r="G667" t="s">
        <v>209</v>
      </c>
      <c r="H667" t="s">
        <v>209</v>
      </c>
      <c r="I667" t="s">
        <v>76</v>
      </c>
      <c r="J667" t="s">
        <v>159</v>
      </c>
      <c r="K667" t="s">
        <v>16</v>
      </c>
      <c r="L667">
        <v>36700</v>
      </c>
      <c r="M667" s="5">
        <v>36700</v>
      </c>
      <c r="O667" s="5">
        <f t="shared" ref="O667:O680" si="155">V667</f>
        <v>44040</v>
      </c>
      <c r="P667" s="5">
        <v>0</v>
      </c>
      <c r="Q667" s="11">
        <v>0</v>
      </c>
      <c r="R667" s="5">
        <v>0</v>
      </c>
      <c r="S667" s="12">
        <v>0</v>
      </c>
      <c r="T667" s="5">
        <f t="shared" si="151"/>
        <v>36700</v>
      </c>
      <c r="U667" s="11">
        <v>0.2</v>
      </c>
      <c r="V667" s="5">
        <f t="shared" ref="V667:V680" si="156">T667+(U667*T667)</f>
        <v>44040</v>
      </c>
      <c r="W667" s="15">
        <f t="shared" si="152"/>
        <v>0.16666666666666666</v>
      </c>
      <c r="X667" s="5">
        <v>0</v>
      </c>
      <c r="Y667" s="11">
        <v>0</v>
      </c>
      <c r="Z667" s="5">
        <v>0</v>
      </c>
      <c r="AA667" s="11">
        <v>0</v>
      </c>
      <c r="AB667" s="11">
        <v>0.1</v>
      </c>
    </row>
    <row r="668" spans="1:28">
      <c r="A668">
        <v>2026</v>
      </c>
      <c r="B668" t="s">
        <v>180</v>
      </c>
      <c r="C668" t="s">
        <v>39</v>
      </c>
      <c r="D668" t="s">
        <v>40</v>
      </c>
      <c r="G668" t="s">
        <v>209</v>
      </c>
      <c r="H668" t="s">
        <v>209</v>
      </c>
      <c r="I668" t="s">
        <v>91</v>
      </c>
      <c r="J668" t="s">
        <v>160</v>
      </c>
      <c r="K668" t="s">
        <v>16</v>
      </c>
      <c r="L668">
        <v>28000</v>
      </c>
      <c r="M668" s="5">
        <v>28000</v>
      </c>
      <c r="O668" s="5">
        <f t="shared" si="155"/>
        <v>33600</v>
      </c>
      <c r="P668" s="5">
        <v>0</v>
      </c>
      <c r="Q668" s="11">
        <v>0</v>
      </c>
      <c r="R668" s="5">
        <v>0</v>
      </c>
      <c r="S668" s="12">
        <v>0</v>
      </c>
      <c r="T668" s="5">
        <f t="shared" si="151"/>
        <v>28000</v>
      </c>
      <c r="U668" s="11">
        <v>0.2</v>
      </c>
      <c r="V668" s="5">
        <f t="shared" si="156"/>
        <v>33600</v>
      </c>
      <c r="W668" s="15">
        <f t="shared" si="152"/>
        <v>0.16666666666666666</v>
      </c>
      <c r="X668" s="5">
        <v>0</v>
      </c>
      <c r="Y668" s="11">
        <v>0</v>
      </c>
      <c r="Z668" s="5">
        <v>0</v>
      </c>
      <c r="AA668" s="11">
        <v>0</v>
      </c>
      <c r="AB668" s="11">
        <v>0.1</v>
      </c>
    </row>
    <row r="669" spans="1:28">
      <c r="A669">
        <v>2026</v>
      </c>
      <c r="B669" t="s">
        <v>180</v>
      </c>
      <c r="C669" t="s">
        <v>39</v>
      </c>
      <c r="D669" t="s">
        <v>40</v>
      </c>
      <c r="G669" t="s">
        <v>209</v>
      </c>
      <c r="H669" t="s">
        <v>209</v>
      </c>
      <c r="I669" t="s">
        <v>97</v>
      </c>
      <c r="J669" t="s">
        <v>160</v>
      </c>
      <c r="K669" t="s">
        <v>16</v>
      </c>
      <c r="L669">
        <v>36700</v>
      </c>
      <c r="M669" s="5">
        <v>36700</v>
      </c>
      <c r="O669" s="5">
        <f t="shared" si="155"/>
        <v>44040</v>
      </c>
      <c r="P669" s="5">
        <v>0</v>
      </c>
      <c r="Q669" s="11">
        <v>0</v>
      </c>
      <c r="R669" s="5">
        <v>0</v>
      </c>
      <c r="S669" s="12">
        <v>0</v>
      </c>
      <c r="T669" s="5">
        <f t="shared" si="151"/>
        <v>36700</v>
      </c>
      <c r="U669" s="11">
        <v>0.2</v>
      </c>
      <c r="V669" s="5">
        <f t="shared" si="156"/>
        <v>44040</v>
      </c>
      <c r="W669" s="15">
        <f t="shared" si="152"/>
        <v>0.16666666666666666</v>
      </c>
      <c r="X669" s="5">
        <v>0</v>
      </c>
      <c r="Y669" s="11">
        <v>0</v>
      </c>
      <c r="Z669" s="5">
        <v>0</v>
      </c>
      <c r="AA669" s="11">
        <v>0</v>
      </c>
      <c r="AB669" s="11">
        <v>0.1</v>
      </c>
    </row>
    <row r="670" spans="1:28">
      <c r="A670">
        <v>2026</v>
      </c>
      <c r="B670" t="s">
        <v>180</v>
      </c>
      <c r="C670" t="s">
        <v>39</v>
      </c>
      <c r="D670" t="s">
        <v>40</v>
      </c>
      <c r="G670" t="s">
        <v>209</v>
      </c>
      <c r="H670" t="s">
        <v>209</v>
      </c>
      <c r="I670" t="s">
        <v>103</v>
      </c>
      <c r="J670" t="s">
        <v>160</v>
      </c>
      <c r="K670" t="s">
        <v>16</v>
      </c>
      <c r="L670">
        <v>21900</v>
      </c>
      <c r="M670" s="5">
        <v>21900</v>
      </c>
      <c r="O670" s="5">
        <f t="shared" si="155"/>
        <v>26280</v>
      </c>
      <c r="P670" s="5">
        <v>0</v>
      </c>
      <c r="Q670" s="11">
        <v>0</v>
      </c>
      <c r="R670" s="5">
        <v>0</v>
      </c>
      <c r="S670" s="12">
        <v>0</v>
      </c>
      <c r="T670" s="5">
        <f t="shared" si="151"/>
        <v>21900</v>
      </c>
      <c r="U670" s="11">
        <v>0.2</v>
      </c>
      <c r="V670" s="5">
        <f t="shared" si="156"/>
        <v>26280</v>
      </c>
      <c r="W670" s="15">
        <f t="shared" si="152"/>
        <v>0.16666666666666666</v>
      </c>
      <c r="X670" s="5">
        <v>0</v>
      </c>
      <c r="Y670" s="11">
        <v>0</v>
      </c>
      <c r="Z670" s="5">
        <v>0</v>
      </c>
      <c r="AA670" s="11">
        <v>0</v>
      </c>
      <c r="AB670" s="11">
        <v>0.1</v>
      </c>
    </row>
    <row r="671" spans="1:28">
      <c r="A671">
        <v>2026</v>
      </c>
      <c r="B671" t="s">
        <v>180</v>
      </c>
      <c r="C671" t="s">
        <v>39</v>
      </c>
      <c r="D671" t="s">
        <v>40</v>
      </c>
      <c r="G671" t="s">
        <v>209</v>
      </c>
      <c r="H671" t="s">
        <v>209</v>
      </c>
      <c r="I671" t="s">
        <v>107</v>
      </c>
      <c r="J671" t="s">
        <v>160</v>
      </c>
      <c r="K671" t="s">
        <v>16</v>
      </c>
      <c r="L671">
        <v>114900</v>
      </c>
      <c r="M671" s="5">
        <v>114900</v>
      </c>
      <c r="O671" s="5">
        <f t="shared" si="155"/>
        <v>137880</v>
      </c>
      <c r="P671" s="5">
        <v>0</v>
      </c>
      <c r="Q671" s="11">
        <v>0</v>
      </c>
      <c r="R671" s="5">
        <v>0</v>
      </c>
      <c r="S671" s="12">
        <v>0</v>
      </c>
      <c r="T671" s="5">
        <f t="shared" si="151"/>
        <v>114900</v>
      </c>
      <c r="U671" s="11">
        <v>0.2</v>
      </c>
      <c r="V671" s="5">
        <f t="shared" si="156"/>
        <v>137880</v>
      </c>
      <c r="W671" s="15">
        <f t="shared" si="152"/>
        <v>0.16666666666666666</v>
      </c>
      <c r="X671" s="5">
        <v>0</v>
      </c>
      <c r="Y671" s="11">
        <v>0</v>
      </c>
      <c r="Z671" s="5">
        <v>0</v>
      </c>
      <c r="AA671" s="11">
        <v>0</v>
      </c>
      <c r="AB671" s="11">
        <v>0.1</v>
      </c>
    </row>
    <row r="672" spans="1:28">
      <c r="A672">
        <v>2026</v>
      </c>
      <c r="B672" t="s">
        <v>180</v>
      </c>
      <c r="C672" t="s">
        <v>39</v>
      </c>
      <c r="D672" t="s">
        <v>40</v>
      </c>
      <c r="G672" t="s">
        <v>209</v>
      </c>
      <c r="H672" t="s">
        <v>209</v>
      </c>
      <c r="I672" t="s">
        <v>110</v>
      </c>
      <c r="J672" t="s">
        <v>160</v>
      </c>
      <c r="K672" t="s">
        <v>16</v>
      </c>
      <c r="L672">
        <v>28000</v>
      </c>
      <c r="M672" s="5">
        <v>28000</v>
      </c>
      <c r="O672" s="5">
        <f t="shared" si="155"/>
        <v>33600</v>
      </c>
      <c r="P672" s="5">
        <v>0</v>
      </c>
      <c r="Q672" s="11">
        <v>0</v>
      </c>
      <c r="R672" s="5">
        <v>0</v>
      </c>
      <c r="S672" s="12">
        <v>0</v>
      </c>
      <c r="T672" s="5">
        <f t="shared" ref="T672:T680" si="157">IF(C672="Mediana Complejidad",M672,0)</f>
        <v>28000</v>
      </c>
      <c r="U672" s="11">
        <v>0.2</v>
      </c>
      <c r="V672" s="5">
        <f t="shared" si="156"/>
        <v>33600</v>
      </c>
      <c r="W672" s="15">
        <f t="shared" ref="W672:W703" si="158">IFERROR(((V672-T672)/V672),0)</f>
        <v>0.16666666666666666</v>
      </c>
      <c r="X672" s="5">
        <v>0</v>
      </c>
      <c r="Y672" s="11">
        <v>0</v>
      </c>
      <c r="Z672" s="5">
        <v>0</v>
      </c>
      <c r="AA672" s="11">
        <v>0</v>
      </c>
      <c r="AB672" s="11">
        <v>0.1</v>
      </c>
    </row>
    <row r="673" spans="1:28">
      <c r="A673">
        <v>2026</v>
      </c>
      <c r="B673" t="s">
        <v>180</v>
      </c>
      <c r="C673" t="s">
        <v>39</v>
      </c>
      <c r="D673" t="s">
        <v>40</v>
      </c>
      <c r="G673" t="s">
        <v>209</v>
      </c>
      <c r="H673" t="s">
        <v>209</v>
      </c>
      <c r="I673" t="s">
        <v>111</v>
      </c>
      <c r="J673" t="s">
        <v>160</v>
      </c>
      <c r="K673" t="s">
        <v>16</v>
      </c>
      <c r="L673">
        <v>49200</v>
      </c>
      <c r="M673" s="5">
        <v>49200</v>
      </c>
      <c r="O673" s="5">
        <f t="shared" si="155"/>
        <v>59040</v>
      </c>
      <c r="P673" s="5">
        <v>0</v>
      </c>
      <c r="Q673" s="11">
        <v>0</v>
      </c>
      <c r="R673" s="5">
        <v>0</v>
      </c>
      <c r="S673" s="12">
        <v>0</v>
      </c>
      <c r="T673" s="5">
        <f t="shared" si="157"/>
        <v>49200</v>
      </c>
      <c r="U673" s="11">
        <v>0.2</v>
      </c>
      <c r="V673" s="5">
        <f t="shared" si="156"/>
        <v>59040</v>
      </c>
      <c r="W673" s="15">
        <f t="shared" si="158"/>
        <v>0.16666666666666666</v>
      </c>
      <c r="X673" s="5">
        <v>0</v>
      </c>
      <c r="Y673" s="11">
        <v>0</v>
      </c>
      <c r="Z673" s="5">
        <v>0</v>
      </c>
      <c r="AA673" s="11">
        <v>0</v>
      </c>
      <c r="AB673" s="11">
        <v>0.1</v>
      </c>
    </row>
    <row r="674" spans="1:28">
      <c r="A674">
        <v>2026</v>
      </c>
      <c r="B674" t="s">
        <v>180</v>
      </c>
      <c r="C674" t="s">
        <v>39</v>
      </c>
      <c r="D674" t="s">
        <v>40</v>
      </c>
      <c r="G674" t="s">
        <v>209</v>
      </c>
      <c r="H674" t="s">
        <v>209</v>
      </c>
      <c r="I674" t="s">
        <v>112</v>
      </c>
      <c r="J674" t="s">
        <v>160</v>
      </c>
      <c r="K674" t="s">
        <v>16</v>
      </c>
      <c r="L674">
        <v>141600</v>
      </c>
      <c r="M674" s="5">
        <v>141600</v>
      </c>
      <c r="O674" s="5">
        <f t="shared" si="155"/>
        <v>169920</v>
      </c>
      <c r="P674" s="5">
        <v>0</v>
      </c>
      <c r="Q674" s="11">
        <v>0</v>
      </c>
      <c r="R674" s="5">
        <v>0</v>
      </c>
      <c r="S674" s="12">
        <v>0</v>
      </c>
      <c r="T674" s="5">
        <f t="shared" si="157"/>
        <v>141600</v>
      </c>
      <c r="U674" s="11">
        <v>0.2</v>
      </c>
      <c r="V674" s="5">
        <f t="shared" si="156"/>
        <v>169920</v>
      </c>
      <c r="W674" s="15">
        <f t="shared" si="158"/>
        <v>0.16666666666666666</v>
      </c>
      <c r="X674" s="5">
        <v>0</v>
      </c>
      <c r="Y674" s="11">
        <v>0</v>
      </c>
      <c r="Z674" s="5">
        <v>0</v>
      </c>
      <c r="AA674" s="11">
        <v>0</v>
      </c>
      <c r="AB674" s="11">
        <v>0.1</v>
      </c>
    </row>
    <row r="675" spans="1:28">
      <c r="A675">
        <v>2026</v>
      </c>
      <c r="B675" t="s">
        <v>180</v>
      </c>
      <c r="C675" t="s">
        <v>39</v>
      </c>
      <c r="D675" t="s">
        <v>40</v>
      </c>
      <c r="G675" t="s">
        <v>209</v>
      </c>
      <c r="H675" t="s">
        <v>209</v>
      </c>
      <c r="I675" t="s">
        <v>113</v>
      </c>
      <c r="J675" t="s">
        <v>160</v>
      </c>
      <c r="K675" t="s">
        <v>16</v>
      </c>
      <c r="L675">
        <v>174700</v>
      </c>
      <c r="M675" s="5">
        <v>174700</v>
      </c>
      <c r="O675" s="5">
        <f t="shared" si="155"/>
        <v>209640</v>
      </c>
      <c r="P675" s="5">
        <v>0</v>
      </c>
      <c r="Q675" s="11">
        <v>0</v>
      </c>
      <c r="R675" s="5">
        <v>0</v>
      </c>
      <c r="S675" s="12">
        <v>0</v>
      </c>
      <c r="T675" s="5">
        <f t="shared" si="157"/>
        <v>174700</v>
      </c>
      <c r="U675" s="11">
        <v>0.2</v>
      </c>
      <c r="V675" s="5">
        <f t="shared" si="156"/>
        <v>209640</v>
      </c>
      <c r="W675" s="15">
        <f t="shared" si="158"/>
        <v>0.16666666666666666</v>
      </c>
      <c r="X675" s="5">
        <v>0</v>
      </c>
      <c r="Y675" s="11">
        <v>0</v>
      </c>
      <c r="Z675" s="5">
        <v>0</v>
      </c>
      <c r="AA675" s="11">
        <v>0</v>
      </c>
      <c r="AB675" s="11">
        <v>0.1</v>
      </c>
    </row>
    <row r="676" spans="1:28">
      <c r="A676">
        <v>2026</v>
      </c>
      <c r="B676" t="s">
        <v>180</v>
      </c>
      <c r="C676" t="s">
        <v>39</v>
      </c>
      <c r="D676" t="s">
        <v>40</v>
      </c>
      <c r="G676" t="s">
        <v>209</v>
      </c>
      <c r="H676" t="s">
        <v>209</v>
      </c>
      <c r="I676" t="s">
        <v>114</v>
      </c>
      <c r="J676" t="s">
        <v>160</v>
      </c>
      <c r="K676" t="s">
        <v>16</v>
      </c>
      <c r="L676">
        <v>204000</v>
      </c>
      <c r="M676" s="5">
        <v>204000</v>
      </c>
      <c r="O676" s="5">
        <f t="shared" si="155"/>
        <v>244800</v>
      </c>
      <c r="P676" s="5">
        <v>0</v>
      </c>
      <c r="Q676" s="11">
        <v>0</v>
      </c>
      <c r="R676" s="5">
        <v>0</v>
      </c>
      <c r="S676" s="12">
        <v>0</v>
      </c>
      <c r="T676" s="5">
        <f t="shared" si="157"/>
        <v>204000</v>
      </c>
      <c r="U676" s="11">
        <v>0.2</v>
      </c>
      <c r="V676" s="5">
        <f t="shared" si="156"/>
        <v>244800</v>
      </c>
      <c r="W676" s="15">
        <f t="shared" si="158"/>
        <v>0.16666666666666666</v>
      </c>
      <c r="X676" s="5">
        <v>0</v>
      </c>
      <c r="Y676" s="11">
        <v>0</v>
      </c>
      <c r="Z676" s="5">
        <v>0</v>
      </c>
      <c r="AA676" s="11">
        <v>0</v>
      </c>
      <c r="AB676" s="11">
        <v>0.1</v>
      </c>
    </row>
    <row r="677" spans="1:28">
      <c r="A677">
        <v>2026</v>
      </c>
      <c r="B677" t="s">
        <v>180</v>
      </c>
      <c r="C677" t="s">
        <v>39</v>
      </c>
      <c r="D677" t="s">
        <v>40</v>
      </c>
      <c r="G677" t="s">
        <v>209</v>
      </c>
      <c r="H677" t="s">
        <v>209</v>
      </c>
      <c r="I677" t="s">
        <v>119</v>
      </c>
      <c r="J677" t="s">
        <v>160</v>
      </c>
      <c r="K677" t="s">
        <v>16</v>
      </c>
      <c r="L677">
        <v>49000</v>
      </c>
      <c r="M677" s="5">
        <v>49000</v>
      </c>
      <c r="O677" s="5">
        <f t="shared" si="155"/>
        <v>58800</v>
      </c>
      <c r="P677" s="5">
        <v>0</v>
      </c>
      <c r="Q677" s="11">
        <v>0</v>
      </c>
      <c r="R677" s="5">
        <v>0</v>
      </c>
      <c r="S677" s="12">
        <v>0</v>
      </c>
      <c r="T677" s="5">
        <f t="shared" si="157"/>
        <v>49000</v>
      </c>
      <c r="U677" s="11">
        <v>0.2</v>
      </c>
      <c r="V677" s="5">
        <f t="shared" si="156"/>
        <v>58800</v>
      </c>
      <c r="W677" s="15">
        <f t="shared" si="158"/>
        <v>0.16666666666666666</v>
      </c>
      <c r="X677" s="5">
        <v>0</v>
      </c>
      <c r="Y677" s="11">
        <v>0</v>
      </c>
      <c r="Z677" s="5">
        <v>0</v>
      </c>
      <c r="AA677" s="11">
        <v>0</v>
      </c>
      <c r="AB677" s="11">
        <v>0.1</v>
      </c>
    </row>
    <row r="678" spans="1:28">
      <c r="A678">
        <v>2026</v>
      </c>
      <c r="B678" t="s">
        <v>180</v>
      </c>
      <c r="C678" t="s">
        <v>39</v>
      </c>
      <c r="D678" t="s">
        <v>40</v>
      </c>
      <c r="G678" t="s">
        <v>209</v>
      </c>
      <c r="H678" t="s">
        <v>209</v>
      </c>
      <c r="I678" t="s">
        <v>122</v>
      </c>
      <c r="J678" t="s">
        <v>159</v>
      </c>
      <c r="K678" t="s">
        <v>16</v>
      </c>
      <c r="L678">
        <v>224100</v>
      </c>
      <c r="M678" s="5">
        <v>224100</v>
      </c>
      <c r="O678" s="5">
        <f t="shared" si="155"/>
        <v>268920</v>
      </c>
      <c r="P678" s="5">
        <v>0</v>
      </c>
      <c r="Q678" s="11">
        <v>0</v>
      </c>
      <c r="R678" s="5">
        <v>0</v>
      </c>
      <c r="S678" s="12">
        <v>0</v>
      </c>
      <c r="T678" s="5">
        <f t="shared" si="157"/>
        <v>224100</v>
      </c>
      <c r="U678" s="11">
        <v>0.2</v>
      </c>
      <c r="V678" s="5">
        <f t="shared" si="156"/>
        <v>268920</v>
      </c>
      <c r="W678" s="15">
        <f t="shared" si="158"/>
        <v>0.16666666666666666</v>
      </c>
      <c r="X678" s="5">
        <v>0</v>
      </c>
      <c r="Y678" s="11">
        <v>0</v>
      </c>
      <c r="Z678" s="5">
        <v>0</v>
      </c>
      <c r="AA678" s="11">
        <v>0</v>
      </c>
      <c r="AB678" s="11">
        <v>0.1</v>
      </c>
    </row>
    <row r="679" spans="1:28">
      <c r="A679">
        <v>2026</v>
      </c>
      <c r="B679" t="s">
        <v>180</v>
      </c>
      <c r="C679" t="s">
        <v>39</v>
      </c>
      <c r="D679" t="s">
        <v>40</v>
      </c>
      <c r="G679" t="s">
        <v>209</v>
      </c>
      <c r="H679" t="s">
        <v>209</v>
      </c>
      <c r="I679" t="s">
        <v>126</v>
      </c>
      <c r="J679" t="s">
        <v>159</v>
      </c>
      <c r="K679" t="s">
        <v>16</v>
      </c>
      <c r="L679">
        <v>38000</v>
      </c>
      <c r="M679" s="5">
        <v>38000</v>
      </c>
      <c r="O679" s="5">
        <f t="shared" si="155"/>
        <v>45600</v>
      </c>
      <c r="P679" s="5">
        <v>0</v>
      </c>
      <c r="Q679" s="11">
        <v>0</v>
      </c>
      <c r="R679" s="5">
        <v>0</v>
      </c>
      <c r="S679" s="12">
        <v>0</v>
      </c>
      <c r="T679" s="5">
        <f t="shared" si="157"/>
        <v>38000</v>
      </c>
      <c r="U679" s="11">
        <v>0.2</v>
      </c>
      <c r="V679" s="5">
        <f t="shared" si="156"/>
        <v>45600</v>
      </c>
      <c r="W679" s="15">
        <f t="shared" si="158"/>
        <v>0.16666666666666666</v>
      </c>
      <c r="X679" s="5">
        <v>0</v>
      </c>
      <c r="Y679" s="11">
        <v>0</v>
      </c>
      <c r="Z679" s="5">
        <v>0</v>
      </c>
      <c r="AA679" s="11">
        <v>0</v>
      </c>
      <c r="AB679" s="11">
        <v>0.1</v>
      </c>
    </row>
    <row r="680" spans="1:28">
      <c r="A680">
        <v>2026</v>
      </c>
      <c r="B680" t="s">
        <v>180</v>
      </c>
      <c r="C680" t="s">
        <v>39</v>
      </c>
      <c r="D680" t="s">
        <v>40</v>
      </c>
      <c r="G680" t="s">
        <v>209</v>
      </c>
      <c r="H680" t="s">
        <v>209</v>
      </c>
      <c r="I680" t="s">
        <v>127</v>
      </c>
      <c r="J680" t="s">
        <v>159</v>
      </c>
      <c r="K680" t="s">
        <v>16</v>
      </c>
      <c r="L680">
        <v>39800</v>
      </c>
      <c r="M680" s="5">
        <v>39800</v>
      </c>
      <c r="O680" s="5">
        <f t="shared" si="155"/>
        <v>47760</v>
      </c>
      <c r="P680" s="5">
        <v>0</v>
      </c>
      <c r="Q680" s="11">
        <v>0</v>
      </c>
      <c r="R680" s="5">
        <v>0</v>
      </c>
      <c r="S680" s="12">
        <v>0</v>
      </c>
      <c r="T680" s="5">
        <f t="shared" si="157"/>
        <v>39800</v>
      </c>
      <c r="U680" s="11">
        <v>0.2</v>
      </c>
      <c r="V680" s="5">
        <f t="shared" si="156"/>
        <v>47760</v>
      </c>
      <c r="W680" s="15">
        <f t="shared" si="158"/>
        <v>0.16666666666666666</v>
      </c>
      <c r="X680" s="5">
        <v>0</v>
      </c>
      <c r="Y680" s="11">
        <v>0</v>
      </c>
      <c r="Z680" s="5">
        <v>0</v>
      </c>
      <c r="AA680" s="11">
        <v>0</v>
      </c>
      <c r="AB680" s="11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E6FC-EE2B-4144-BC2B-46658F42CCD1}">
  <dimension ref="A1:A8"/>
  <sheetViews>
    <sheetView workbookViewId="0">
      <selection activeCell="H13" sqref="H13"/>
    </sheetView>
  </sheetViews>
  <sheetFormatPr baseColWidth="10" defaultRowHeight="15"/>
  <sheetData>
    <row r="1" spans="1:1">
      <c r="A1" t="s">
        <v>202</v>
      </c>
    </row>
    <row r="2" spans="1:1">
      <c r="A2" t="s">
        <v>203</v>
      </c>
    </row>
    <row r="8" spans="1:1">
      <c r="A8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BASE_COSTEO (2)</vt:lpstr>
      <vt:lpstr>DashBoard</vt:lpstr>
      <vt:lpstr>BASE_COSTEO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EDUARDO GONZALEZ BUITRAGO</cp:lastModifiedBy>
  <dcterms:created xsi:type="dcterms:W3CDTF">2026-05-18T21:27:08Z</dcterms:created>
  <dcterms:modified xsi:type="dcterms:W3CDTF">2026-06-03T00:31:46Z</dcterms:modified>
</cp:coreProperties>
</file>