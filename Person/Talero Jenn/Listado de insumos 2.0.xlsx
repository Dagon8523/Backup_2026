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gonzalez\Documents\2026\Backup_2026\Person\Talero Jenn\"/>
    </mc:Choice>
  </mc:AlternateContent>
  <xr:revisionPtr revIDLastSave="0" documentId="13_ncr:1_{B090C13B-C156-4CCD-8176-47774B6FC439}" xr6:coauthVersionLast="47" xr6:coauthVersionMax="47" xr10:uidLastSave="{00000000-0000-0000-0000-000000000000}"/>
  <bookViews>
    <workbookView xWindow="20370" yWindow="-120" windowWidth="29040" windowHeight="15720" activeTab="3" xr2:uid="{00000000-000D-0000-FFFF-FFFF00000000}"/>
  </bookViews>
  <sheets>
    <sheet name="Referencias digitalizadas" sheetId="1" r:id="rId1"/>
    <sheet name="Alta complejidad" sheetId="3" r:id="rId2"/>
    <sheet name="Baja complejidad" sheetId="4" r:id="rId3"/>
    <sheet name="Meidiana complejidad" sheetId="5" r:id="rId4"/>
    <sheet name="Resumen" sheetId="2" r:id="rId5"/>
  </sheets>
  <definedNames>
    <definedName name="_xlnm._FilterDatabase" localSheetId="1" hidden="1">'Alta complejidad'!$A$1:$AB$1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32" i="5" l="1"/>
  <c r="T232" i="5" s="1"/>
  <c r="V232" i="5" s="1"/>
  <c r="W232" i="5" s="1"/>
  <c r="M231" i="5"/>
  <c r="T231" i="5" s="1"/>
  <c r="V231" i="5" s="1"/>
  <c r="W231" i="5" s="1"/>
  <c r="M230" i="5"/>
  <c r="T230" i="5" s="1"/>
  <c r="V230" i="5" s="1"/>
  <c r="W230" i="5" s="1"/>
  <c r="T229" i="5"/>
  <c r="V229" i="5" s="1"/>
  <c r="W229" i="5" s="1"/>
  <c r="O229" i="5"/>
  <c r="M229" i="5"/>
  <c r="M228" i="5"/>
  <c r="T228" i="5" s="1"/>
  <c r="V228" i="5" s="1"/>
  <c r="W228" i="5" s="1"/>
  <c r="M227" i="5"/>
  <c r="T227" i="5" s="1"/>
  <c r="V227" i="5" s="1"/>
  <c r="W227" i="5" s="1"/>
  <c r="O226" i="5"/>
  <c r="M226" i="5"/>
  <c r="T226" i="5" s="1"/>
  <c r="V226" i="5" s="1"/>
  <c r="W226" i="5" s="1"/>
  <c r="M225" i="5"/>
  <c r="O225" i="5" s="1"/>
  <c r="M224" i="5"/>
  <c r="T224" i="5" s="1"/>
  <c r="V224" i="5" s="1"/>
  <c r="W224" i="5" s="1"/>
  <c r="T223" i="5"/>
  <c r="V223" i="5" s="1"/>
  <c r="W223" i="5" s="1"/>
  <c r="M223" i="5"/>
  <c r="O223" i="5" s="1"/>
  <c r="M222" i="5"/>
  <c r="T222" i="5" s="1"/>
  <c r="V222" i="5" s="1"/>
  <c r="W222" i="5" s="1"/>
  <c r="M221" i="5"/>
  <c r="T221" i="5" s="1"/>
  <c r="V221" i="5" s="1"/>
  <c r="W221" i="5" s="1"/>
  <c r="T220" i="5"/>
  <c r="V220" i="5" s="1"/>
  <c r="W220" i="5" s="1"/>
  <c r="O220" i="5"/>
  <c r="M220" i="5"/>
  <c r="M219" i="5"/>
  <c r="T219" i="5" s="1"/>
  <c r="V219" i="5" s="1"/>
  <c r="W219" i="5" s="1"/>
  <c r="M218" i="5"/>
  <c r="T218" i="5" s="1"/>
  <c r="V218" i="5" s="1"/>
  <c r="W218" i="5" s="1"/>
  <c r="M217" i="5"/>
  <c r="O217" i="5" s="1"/>
  <c r="M216" i="5"/>
  <c r="T216" i="5" s="1"/>
  <c r="V216" i="5" s="1"/>
  <c r="W216" i="5" s="1"/>
  <c r="M215" i="5"/>
  <c r="T215" i="5" s="1"/>
  <c r="V215" i="5" s="1"/>
  <c r="W215" i="5" s="1"/>
  <c r="M214" i="5"/>
  <c r="T214" i="5" s="1"/>
  <c r="V214" i="5" s="1"/>
  <c r="W214" i="5" s="1"/>
  <c r="T213" i="5"/>
  <c r="V213" i="5" s="1"/>
  <c r="W213" i="5" s="1"/>
  <c r="O213" i="5"/>
  <c r="M213" i="5"/>
  <c r="M212" i="5"/>
  <c r="O212" i="5" s="1"/>
  <c r="M211" i="5"/>
  <c r="T211" i="5" s="1"/>
  <c r="V211" i="5" s="1"/>
  <c r="W211" i="5" s="1"/>
  <c r="O210" i="5"/>
  <c r="M210" i="5"/>
  <c r="T210" i="5" s="1"/>
  <c r="V210" i="5" s="1"/>
  <c r="W210" i="5" s="1"/>
  <c r="M209" i="5"/>
  <c r="T209" i="5" s="1"/>
  <c r="V209" i="5" s="1"/>
  <c r="W209" i="5" s="1"/>
  <c r="M208" i="5"/>
  <c r="T208" i="5" s="1"/>
  <c r="V208" i="5" s="1"/>
  <c r="W208" i="5" s="1"/>
  <c r="T207" i="5"/>
  <c r="V207" i="5" s="1"/>
  <c r="W207" i="5" s="1"/>
  <c r="M207" i="5"/>
  <c r="O207" i="5" s="1"/>
  <c r="M206" i="5"/>
  <c r="T206" i="5" s="1"/>
  <c r="V206" i="5" s="1"/>
  <c r="W206" i="5" s="1"/>
  <c r="M205" i="5"/>
  <c r="T205" i="5" s="1"/>
  <c r="V205" i="5" s="1"/>
  <c r="W205" i="5" s="1"/>
  <c r="M203" i="5"/>
  <c r="T203" i="5" s="1"/>
  <c r="V203" i="5" s="1"/>
  <c r="W203" i="5" s="1"/>
  <c r="M202" i="5"/>
  <c r="T202" i="5" s="1"/>
  <c r="V202" i="5" s="1"/>
  <c r="W202" i="5" s="1"/>
  <c r="M201" i="5"/>
  <c r="T201" i="5" s="1"/>
  <c r="V201" i="5" s="1"/>
  <c r="W201" i="5" s="1"/>
  <c r="T200" i="5"/>
  <c r="V200" i="5" s="1"/>
  <c r="W200" i="5" s="1"/>
  <c r="O200" i="5"/>
  <c r="M200" i="5"/>
  <c r="M199" i="5"/>
  <c r="T199" i="5" s="1"/>
  <c r="V199" i="5" s="1"/>
  <c r="W199" i="5" s="1"/>
  <c r="M198" i="5"/>
  <c r="O198" i="5" s="1"/>
  <c r="M197" i="5"/>
  <c r="T197" i="5" s="1"/>
  <c r="V197" i="5" s="1"/>
  <c r="W197" i="5" s="1"/>
  <c r="M196" i="5"/>
  <c r="T196" i="5" s="1"/>
  <c r="V196" i="5" s="1"/>
  <c r="W196" i="5" s="1"/>
  <c r="M195" i="5"/>
  <c r="T195" i="5" s="1"/>
  <c r="V195" i="5" s="1"/>
  <c r="W195" i="5" s="1"/>
  <c r="T194" i="5"/>
  <c r="V194" i="5" s="1"/>
  <c r="W194" i="5" s="1"/>
  <c r="M194" i="5"/>
  <c r="O194" i="5" s="1"/>
  <c r="M193" i="5"/>
  <c r="O193" i="5" s="1"/>
  <c r="M192" i="5"/>
  <c r="T192" i="5" s="1"/>
  <c r="V192" i="5" s="1"/>
  <c r="W192" i="5" s="1"/>
  <c r="T191" i="5"/>
  <c r="V191" i="5" s="1"/>
  <c r="W191" i="5" s="1"/>
  <c r="O191" i="5"/>
  <c r="M191" i="5"/>
  <c r="M190" i="5"/>
  <c r="T190" i="5" s="1"/>
  <c r="V190" i="5" s="1"/>
  <c r="W190" i="5" s="1"/>
  <c r="M189" i="5"/>
  <c r="O189" i="5" s="1"/>
  <c r="M188" i="5"/>
  <c r="T188" i="5" s="1"/>
  <c r="V188" i="5" s="1"/>
  <c r="W188" i="5" s="1"/>
  <c r="M187" i="5"/>
  <c r="T187" i="5" s="1"/>
  <c r="V187" i="5" s="1"/>
  <c r="W187" i="5" s="1"/>
  <c r="M186" i="5"/>
  <c r="T186" i="5" s="1"/>
  <c r="V186" i="5" s="1"/>
  <c r="W186" i="5" s="1"/>
  <c r="M185" i="5"/>
  <c r="T185" i="5" s="1"/>
  <c r="V185" i="5" s="1"/>
  <c r="W185" i="5" s="1"/>
  <c r="T184" i="5"/>
  <c r="V184" i="5" s="1"/>
  <c r="W184" i="5" s="1"/>
  <c r="O184" i="5"/>
  <c r="M184" i="5"/>
  <c r="M183" i="5"/>
  <c r="T183" i="5" s="1"/>
  <c r="V183" i="5" s="1"/>
  <c r="W183" i="5" s="1"/>
  <c r="M182" i="5"/>
  <c r="T182" i="5" s="1"/>
  <c r="V182" i="5" s="1"/>
  <c r="W182" i="5" s="1"/>
  <c r="M181" i="5"/>
  <c r="T181" i="5" s="1"/>
  <c r="V181" i="5" s="1"/>
  <c r="W181" i="5" s="1"/>
  <c r="M180" i="5"/>
  <c r="O180" i="5" s="1"/>
  <c r="M179" i="5"/>
  <c r="O179" i="5" s="1"/>
  <c r="T178" i="5"/>
  <c r="V178" i="5" s="1"/>
  <c r="W178" i="5" s="1"/>
  <c r="O178" i="5"/>
  <c r="M178" i="5"/>
  <c r="M177" i="5"/>
  <c r="O177" i="5" s="1"/>
  <c r="M176" i="5"/>
  <c r="T176" i="5" s="1"/>
  <c r="V176" i="5" s="1"/>
  <c r="W176" i="5" s="1"/>
  <c r="M174" i="5"/>
  <c r="T174" i="5" s="1"/>
  <c r="V174" i="5" s="1"/>
  <c r="W174" i="5" s="1"/>
  <c r="M173" i="5"/>
  <c r="O173" i="5" s="1"/>
  <c r="M172" i="5"/>
  <c r="T172" i="5" s="1"/>
  <c r="V172" i="5" s="1"/>
  <c r="W172" i="5" s="1"/>
  <c r="T171" i="5"/>
  <c r="V171" i="5" s="1"/>
  <c r="W171" i="5" s="1"/>
  <c r="O171" i="5"/>
  <c r="M171" i="5"/>
  <c r="M170" i="5"/>
  <c r="O170" i="5" s="1"/>
  <c r="M169" i="5"/>
  <c r="O169" i="5" s="1"/>
  <c r="M168" i="5"/>
  <c r="T168" i="5" s="1"/>
  <c r="V168" i="5" s="1"/>
  <c r="W168" i="5" s="1"/>
  <c r="M167" i="5"/>
  <c r="T167" i="5" s="1"/>
  <c r="V167" i="5" s="1"/>
  <c r="W167" i="5" s="1"/>
  <c r="M166" i="5"/>
  <c r="T166" i="5" s="1"/>
  <c r="V166" i="5" s="1"/>
  <c r="W166" i="5" s="1"/>
  <c r="T165" i="5"/>
  <c r="V165" i="5" s="1"/>
  <c r="W165" i="5" s="1"/>
  <c r="M165" i="5"/>
  <c r="O165" i="5" s="1"/>
  <c r="M164" i="5"/>
  <c r="O164" i="5" s="1"/>
  <c r="M163" i="5"/>
  <c r="T163" i="5" s="1"/>
  <c r="V163" i="5" s="1"/>
  <c r="W163" i="5" s="1"/>
  <c r="T162" i="5"/>
  <c r="V162" i="5" s="1"/>
  <c r="W162" i="5" s="1"/>
  <c r="O162" i="5"/>
  <c r="M162" i="5"/>
  <c r="M161" i="5"/>
  <c r="T161" i="5" s="1"/>
  <c r="V161" i="5" s="1"/>
  <c r="W161" i="5" s="1"/>
  <c r="M160" i="5"/>
  <c r="O160" i="5" s="1"/>
  <c r="M159" i="5"/>
  <c r="T159" i="5" s="1"/>
  <c r="V159" i="5" s="1"/>
  <c r="W159" i="5" s="1"/>
  <c r="M158" i="5"/>
  <c r="T158" i="5" s="1"/>
  <c r="V158" i="5" s="1"/>
  <c r="W158" i="5" s="1"/>
  <c r="M157" i="5"/>
  <c r="O157" i="5" s="1"/>
  <c r="M156" i="5"/>
  <c r="T156" i="5" s="1"/>
  <c r="V156" i="5" s="1"/>
  <c r="W156" i="5" s="1"/>
  <c r="T155" i="5"/>
  <c r="V155" i="5" s="1"/>
  <c r="W155" i="5" s="1"/>
  <c r="O155" i="5"/>
  <c r="M155" i="5"/>
  <c r="M154" i="5"/>
  <c r="T154" i="5" s="1"/>
  <c r="V154" i="5" s="1"/>
  <c r="W154" i="5" s="1"/>
  <c r="M153" i="5"/>
  <c r="O153" i="5" s="1"/>
  <c r="M152" i="5"/>
  <c r="T152" i="5" s="1"/>
  <c r="V152" i="5" s="1"/>
  <c r="W152" i="5" s="1"/>
  <c r="M151" i="5"/>
  <c r="T151" i="5" s="1"/>
  <c r="V151" i="5" s="1"/>
  <c r="W151" i="5" s="1"/>
  <c r="M150" i="5"/>
  <c r="T150" i="5" s="1"/>
  <c r="V150" i="5" s="1"/>
  <c r="W150" i="5" s="1"/>
  <c r="T149" i="5"/>
  <c r="V149" i="5" s="1"/>
  <c r="W149" i="5" s="1"/>
  <c r="O149" i="5"/>
  <c r="M149" i="5"/>
  <c r="M148" i="5"/>
  <c r="O148" i="5" s="1"/>
  <c r="M147" i="5"/>
  <c r="T147" i="5" s="1"/>
  <c r="V147" i="5" s="1"/>
  <c r="W147" i="5" s="1"/>
  <c r="T145" i="5"/>
  <c r="V145" i="5" s="1"/>
  <c r="W145" i="5" s="1"/>
  <c r="M145" i="5"/>
  <c r="O145" i="5" s="1"/>
  <c r="M144" i="5"/>
  <c r="T144" i="5" s="1"/>
  <c r="V144" i="5" s="1"/>
  <c r="W144" i="5" s="1"/>
  <c r="M143" i="5"/>
  <c r="T143" i="5" s="1"/>
  <c r="V143" i="5" s="1"/>
  <c r="W143" i="5" s="1"/>
  <c r="T142" i="5"/>
  <c r="V142" i="5" s="1"/>
  <c r="W142" i="5" s="1"/>
  <c r="O142" i="5"/>
  <c r="M142" i="5"/>
  <c r="M141" i="5"/>
  <c r="O141" i="5" s="1"/>
  <c r="M140" i="5"/>
  <c r="T140" i="5" s="1"/>
  <c r="V140" i="5" s="1"/>
  <c r="W140" i="5" s="1"/>
  <c r="M139" i="5"/>
  <c r="T139" i="5" s="1"/>
  <c r="V139" i="5" s="1"/>
  <c r="W139" i="5" s="1"/>
  <c r="M138" i="5"/>
  <c r="O138" i="5" s="1"/>
  <c r="M137" i="5"/>
  <c r="T137" i="5" s="1"/>
  <c r="V137" i="5" s="1"/>
  <c r="W137" i="5" s="1"/>
  <c r="T136" i="5"/>
  <c r="V136" i="5" s="1"/>
  <c r="W136" i="5" s="1"/>
  <c r="M136" i="5"/>
  <c r="O136" i="5" s="1"/>
  <c r="M135" i="5"/>
  <c r="O135" i="5" s="1"/>
  <c r="M134" i="5"/>
  <c r="T134" i="5" s="1"/>
  <c r="V134" i="5" s="1"/>
  <c r="W134" i="5" s="1"/>
  <c r="T133" i="5"/>
  <c r="V133" i="5" s="1"/>
  <c r="W133" i="5" s="1"/>
  <c r="O133" i="5"/>
  <c r="M133" i="5"/>
  <c r="M132" i="5"/>
  <c r="T132" i="5" s="1"/>
  <c r="V132" i="5" s="1"/>
  <c r="W132" i="5" s="1"/>
  <c r="M131" i="5"/>
  <c r="O131" i="5" s="1"/>
  <c r="M130" i="5"/>
  <c r="T130" i="5" s="1"/>
  <c r="V130" i="5" s="1"/>
  <c r="W130" i="5" s="1"/>
  <c r="T129" i="5"/>
  <c r="V129" i="5" s="1"/>
  <c r="W129" i="5" s="1"/>
  <c r="M129" i="5"/>
  <c r="O129" i="5" s="1"/>
  <c r="O128" i="5"/>
  <c r="M128" i="5"/>
  <c r="T128" i="5" s="1"/>
  <c r="V128" i="5" s="1"/>
  <c r="W128" i="5" s="1"/>
  <c r="M127" i="5"/>
  <c r="T127" i="5" s="1"/>
  <c r="V127" i="5" s="1"/>
  <c r="W127" i="5" s="1"/>
  <c r="T126" i="5"/>
  <c r="V126" i="5" s="1"/>
  <c r="W126" i="5" s="1"/>
  <c r="O126" i="5"/>
  <c r="M126" i="5"/>
  <c r="M125" i="5"/>
  <c r="T125" i="5" s="1"/>
  <c r="V125" i="5" s="1"/>
  <c r="W125" i="5" s="1"/>
  <c r="M124" i="5"/>
  <c r="T124" i="5" s="1"/>
  <c r="V124" i="5" s="1"/>
  <c r="W124" i="5" s="1"/>
  <c r="M123" i="5"/>
  <c r="T123" i="5" s="1"/>
  <c r="V123" i="5" s="1"/>
  <c r="W123" i="5" s="1"/>
  <c r="M122" i="5"/>
  <c r="T122" i="5" s="1"/>
  <c r="V122" i="5" s="1"/>
  <c r="W122" i="5" s="1"/>
  <c r="M121" i="5"/>
  <c r="T121" i="5" s="1"/>
  <c r="V121" i="5" s="1"/>
  <c r="W121" i="5" s="1"/>
  <c r="T120" i="5"/>
  <c r="V120" i="5" s="1"/>
  <c r="W120" i="5" s="1"/>
  <c r="M120" i="5"/>
  <c r="O120" i="5" s="1"/>
  <c r="M119" i="5"/>
  <c r="T119" i="5" s="1"/>
  <c r="V119" i="5" s="1"/>
  <c r="W119" i="5" s="1"/>
  <c r="M118" i="5"/>
  <c r="T118" i="5" s="1"/>
  <c r="V118" i="5" s="1"/>
  <c r="W118" i="5" s="1"/>
  <c r="M116" i="5"/>
  <c r="T116" i="5" s="1"/>
  <c r="V116" i="5" s="1"/>
  <c r="W116" i="5" s="1"/>
  <c r="M115" i="5"/>
  <c r="T115" i="5" s="1"/>
  <c r="V115" i="5" s="1"/>
  <c r="W115" i="5" s="1"/>
  <c r="M114" i="5"/>
  <c r="O114" i="5" s="1"/>
  <c r="T113" i="5"/>
  <c r="V113" i="5" s="1"/>
  <c r="W113" i="5" s="1"/>
  <c r="O113" i="5"/>
  <c r="M113" i="5"/>
  <c r="M112" i="5"/>
  <c r="T112" i="5" s="1"/>
  <c r="V112" i="5" s="1"/>
  <c r="W112" i="5" s="1"/>
  <c r="M111" i="5"/>
  <c r="T111" i="5" s="1"/>
  <c r="V111" i="5" s="1"/>
  <c r="W111" i="5" s="1"/>
  <c r="M110" i="5"/>
  <c r="T110" i="5" s="1"/>
  <c r="V110" i="5" s="1"/>
  <c r="W110" i="5" s="1"/>
  <c r="M109" i="5"/>
  <c r="T109" i="5" s="1"/>
  <c r="V109" i="5" s="1"/>
  <c r="W109" i="5" s="1"/>
  <c r="M108" i="5"/>
  <c r="T108" i="5" s="1"/>
  <c r="V108" i="5" s="1"/>
  <c r="W108" i="5" s="1"/>
  <c r="T107" i="5"/>
  <c r="V107" i="5" s="1"/>
  <c r="W107" i="5" s="1"/>
  <c r="M107" i="5"/>
  <c r="O107" i="5" s="1"/>
  <c r="M106" i="5"/>
  <c r="O106" i="5" s="1"/>
  <c r="M105" i="5"/>
  <c r="O105" i="5" s="1"/>
  <c r="T104" i="5"/>
  <c r="V104" i="5" s="1"/>
  <c r="W104" i="5" s="1"/>
  <c r="O104" i="5"/>
  <c r="M104" i="5"/>
  <c r="M103" i="5"/>
  <c r="T103" i="5" s="1"/>
  <c r="V103" i="5" s="1"/>
  <c r="W103" i="5" s="1"/>
  <c r="M102" i="5"/>
  <c r="T102" i="5" s="1"/>
  <c r="V102" i="5" s="1"/>
  <c r="W102" i="5" s="1"/>
  <c r="M101" i="5"/>
  <c r="T101" i="5" s="1"/>
  <c r="V101" i="5" s="1"/>
  <c r="W101" i="5" s="1"/>
  <c r="M100" i="5"/>
  <c r="T100" i="5" s="1"/>
  <c r="V100" i="5" s="1"/>
  <c r="W100" i="5" s="1"/>
  <c r="M99" i="5"/>
  <c r="T99" i="5" s="1"/>
  <c r="V99" i="5" s="1"/>
  <c r="W99" i="5" s="1"/>
  <c r="M98" i="5"/>
  <c r="T98" i="5" s="1"/>
  <c r="V98" i="5" s="1"/>
  <c r="W98" i="5" s="1"/>
  <c r="T97" i="5"/>
  <c r="V97" i="5" s="1"/>
  <c r="W97" i="5" s="1"/>
  <c r="O97" i="5"/>
  <c r="M97" i="5"/>
  <c r="M96" i="5"/>
  <c r="T96" i="5" s="1"/>
  <c r="V96" i="5" s="1"/>
  <c r="W96" i="5" s="1"/>
  <c r="M95" i="5"/>
  <c r="T95" i="5" s="1"/>
  <c r="V95" i="5" s="1"/>
  <c r="W95" i="5" s="1"/>
  <c r="M94" i="5"/>
  <c r="T94" i="5" s="1"/>
  <c r="V94" i="5" s="1"/>
  <c r="W94" i="5" s="1"/>
  <c r="M93" i="5"/>
  <c r="T93" i="5" s="1"/>
  <c r="V93" i="5" s="1"/>
  <c r="W93" i="5" s="1"/>
  <c r="M92" i="5"/>
  <c r="O92" i="5" s="1"/>
  <c r="T91" i="5"/>
  <c r="V91" i="5" s="1"/>
  <c r="W91" i="5" s="1"/>
  <c r="O91" i="5"/>
  <c r="M91" i="5"/>
  <c r="M90" i="5"/>
  <c r="O90" i="5" s="1"/>
  <c r="M89" i="5"/>
  <c r="T89" i="5" s="1"/>
  <c r="V89" i="5" s="1"/>
  <c r="W89" i="5" s="1"/>
  <c r="M87" i="5"/>
  <c r="T87" i="5" s="1"/>
  <c r="V87" i="5" s="1"/>
  <c r="W87" i="5" s="1"/>
  <c r="M86" i="5"/>
  <c r="T86" i="5" s="1"/>
  <c r="V86" i="5" s="1"/>
  <c r="W86" i="5" s="1"/>
  <c r="M85" i="5"/>
  <c r="T85" i="5" s="1"/>
  <c r="V85" i="5" s="1"/>
  <c r="W85" i="5" s="1"/>
  <c r="O84" i="5"/>
  <c r="M84" i="5"/>
  <c r="T84" i="5" s="1"/>
  <c r="V84" i="5" s="1"/>
  <c r="W84" i="5" s="1"/>
  <c r="M83" i="5"/>
  <c r="T83" i="5" s="1"/>
  <c r="V83" i="5" s="1"/>
  <c r="W83" i="5" s="1"/>
  <c r="M82" i="5"/>
  <c r="O82" i="5" s="1"/>
  <c r="M81" i="5"/>
  <c r="T81" i="5" s="1"/>
  <c r="V81" i="5" s="1"/>
  <c r="W81" i="5" s="1"/>
  <c r="M80" i="5"/>
  <c r="T80" i="5" s="1"/>
  <c r="V80" i="5" s="1"/>
  <c r="W80" i="5" s="1"/>
  <c r="M79" i="5"/>
  <c r="T79" i="5" s="1"/>
  <c r="V79" i="5" s="1"/>
  <c r="W79" i="5" s="1"/>
  <c r="T78" i="5"/>
  <c r="V78" i="5" s="1"/>
  <c r="W78" i="5" s="1"/>
  <c r="M78" i="5"/>
  <c r="O78" i="5" s="1"/>
  <c r="M77" i="5"/>
  <c r="O77" i="5" s="1"/>
  <c r="M76" i="5"/>
  <c r="O76" i="5" s="1"/>
  <c r="V75" i="5"/>
  <c r="W75" i="5" s="1"/>
  <c r="T75" i="5"/>
  <c r="O75" i="5"/>
  <c r="M75" i="5"/>
  <c r="M74" i="5"/>
  <c r="T74" i="5" s="1"/>
  <c r="V74" i="5" s="1"/>
  <c r="W74" i="5" s="1"/>
  <c r="M73" i="5"/>
  <c r="T73" i="5" s="1"/>
  <c r="V73" i="5" s="1"/>
  <c r="W73" i="5" s="1"/>
  <c r="M72" i="5"/>
  <c r="O72" i="5" s="1"/>
  <c r="M71" i="5"/>
  <c r="T71" i="5" s="1"/>
  <c r="V71" i="5" s="1"/>
  <c r="W71" i="5" s="1"/>
  <c r="M70" i="5"/>
  <c r="T70" i="5" s="1"/>
  <c r="V70" i="5" s="1"/>
  <c r="W70" i="5" s="1"/>
  <c r="M69" i="5"/>
  <c r="T69" i="5" s="1"/>
  <c r="V69" i="5" s="1"/>
  <c r="W69" i="5" s="1"/>
  <c r="O68" i="5"/>
  <c r="M68" i="5"/>
  <c r="T68" i="5" s="1"/>
  <c r="V68" i="5" s="1"/>
  <c r="W68" i="5" s="1"/>
  <c r="M67" i="5"/>
  <c r="T67" i="5" s="1"/>
  <c r="V67" i="5" s="1"/>
  <c r="W67" i="5" s="1"/>
  <c r="M66" i="5"/>
  <c r="T66" i="5" s="1"/>
  <c r="V66" i="5" s="1"/>
  <c r="W66" i="5" s="1"/>
  <c r="M65" i="5"/>
  <c r="T65" i="5" s="1"/>
  <c r="V65" i="5" s="1"/>
  <c r="W65" i="5" s="1"/>
  <c r="M64" i="5"/>
  <c r="T64" i="5" s="1"/>
  <c r="V64" i="5" s="1"/>
  <c r="W64" i="5" s="1"/>
  <c r="M63" i="5"/>
  <c r="T63" i="5" s="1"/>
  <c r="V63" i="5" s="1"/>
  <c r="W63" i="5" s="1"/>
  <c r="T62" i="5"/>
  <c r="V62" i="5" s="1"/>
  <c r="W62" i="5" s="1"/>
  <c r="M62" i="5"/>
  <c r="O62" i="5" s="1"/>
  <c r="M61" i="5"/>
  <c r="O61" i="5" s="1"/>
  <c r="M60" i="5"/>
  <c r="T60" i="5" s="1"/>
  <c r="V60" i="5" s="1"/>
  <c r="W60" i="5" s="1"/>
  <c r="M58" i="5"/>
  <c r="T58" i="5" s="1"/>
  <c r="V58" i="5" s="1"/>
  <c r="W58" i="5" s="1"/>
  <c r="M57" i="5"/>
  <c r="O57" i="5" s="1"/>
  <c r="M56" i="5"/>
  <c r="T56" i="5" s="1"/>
  <c r="V56" i="5" s="1"/>
  <c r="W56" i="5" s="1"/>
  <c r="T55" i="5"/>
  <c r="V55" i="5" s="1"/>
  <c r="W55" i="5" s="1"/>
  <c r="O55" i="5"/>
  <c r="M55" i="5"/>
  <c r="M54" i="5"/>
  <c r="O54" i="5" s="1"/>
  <c r="M53" i="5"/>
  <c r="T53" i="5" s="1"/>
  <c r="V53" i="5" s="1"/>
  <c r="W53" i="5" s="1"/>
  <c r="M52" i="5"/>
  <c r="T52" i="5" s="1"/>
  <c r="V52" i="5" s="1"/>
  <c r="W52" i="5" s="1"/>
  <c r="M51" i="5"/>
  <c r="T51" i="5" s="1"/>
  <c r="V51" i="5" s="1"/>
  <c r="W51" i="5" s="1"/>
  <c r="M50" i="5"/>
  <c r="T50" i="5" s="1"/>
  <c r="V50" i="5" s="1"/>
  <c r="W50" i="5" s="1"/>
  <c r="T49" i="5"/>
  <c r="V49" i="5" s="1"/>
  <c r="W49" i="5" s="1"/>
  <c r="M49" i="5"/>
  <c r="O49" i="5" s="1"/>
  <c r="M48" i="5"/>
  <c r="O48" i="5" s="1"/>
  <c r="M47" i="5"/>
  <c r="T47" i="5" s="1"/>
  <c r="V47" i="5" s="1"/>
  <c r="W47" i="5" s="1"/>
  <c r="T46" i="5"/>
  <c r="V46" i="5" s="1"/>
  <c r="W46" i="5" s="1"/>
  <c r="O46" i="5"/>
  <c r="M46" i="5"/>
  <c r="M45" i="5"/>
  <c r="T45" i="5" s="1"/>
  <c r="V45" i="5" s="1"/>
  <c r="W45" i="5" s="1"/>
  <c r="M44" i="5"/>
  <c r="T44" i="5" s="1"/>
  <c r="V44" i="5" s="1"/>
  <c r="W44" i="5" s="1"/>
  <c r="M43" i="5"/>
  <c r="T43" i="5" s="1"/>
  <c r="V43" i="5" s="1"/>
  <c r="W43" i="5" s="1"/>
  <c r="M42" i="5"/>
  <c r="T42" i="5" s="1"/>
  <c r="V42" i="5" s="1"/>
  <c r="W42" i="5" s="1"/>
  <c r="M41" i="5"/>
  <c r="T41" i="5" s="1"/>
  <c r="V41" i="5" s="1"/>
  <c r="W41" i="5" s="1"/>
  <c r="M40" i="5"/>
  <c r="T40" i="5" s="1"/>
  <c r="V40" i="5" s="1"/>
  <c r="W40" i="5" s="1"/>
  <c r="T39" i="5"/>
  <c r="V39" i="5" s="1"/>
  <c r="W39" i="5" s="1"/>
  <c r="O39" i="5"/>
  <c r="M39" i="5"/>
  <c r="M38" i="5"/>
  <c r="T38" i="5" s="1"/>
  <c r="V38" i="5" s="1"/>
  <c r="W38" i="5" s="1"/>
  <c r="M37" i="5"/>
  <c r="O37" i="5" s="1"/>
  <c r="M36" i="5"/>
  <c r="T36" i="5" s="1"/>
  <c r="V36" i="5" s="1"/>
  <c r="W36" i="5" s="1"/>
  <c r="M35" i="5"/>
  <c r="T35" i="5" s="1"/>
  <c r="V35" i="5" s="1"/>
  <c r="W35" i="5" s="1"/>
  <c r="M34" i="5"/>
  <c r="T34" i="5" s="1"/>
  <c r="V34" i="5" s="1"/>
  <c r="W34" i="5" s="1"/>
  <c r="T33" i="5"/>
  <c r="V33" i="5" s="1"/>
  <c r="W33" i="5" s="1"/>
  <c r="O33" i="5"/>
  <c r="M33" i="5"/>
  <c r="M32" i="5"/>
  <c r="T32" i="5" s="1"/>
  <c r="V32" i="5" s="1"/>
  <c r="W32" i="5" s="1"/>
  <c r="M31" i="5"/>
  <c r="T31" i="5" s="1"/>
  <c r="V31" i="5" s="1"/>
  <c r="W31" i="5" s="1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2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M145" i="4"/>
  <c r="X145" i="4" s="1"/>
  <c r="Z145" i="4" s="1"/>
  <c r="AA145" i="4" s="1"/>
  <c r="M144" i="4"/>
  <c r="X144" i="4" s="1"/>
  <c r="Z144" i="4" s="1"/>
  <c r="AA144" i="4" s="1"/>
  <c r="O143" i="4"/>
  <c r="M143" i="4"/>
  <c r="X143" i="4" s="1"/>
  <c r="Z143" i="4" s="1"/>
  <c r="AA143" i="4" s="1"/>
  <c r="M142" i="4"/>
  <c r="X142" i="4" s="1"/>
  <c r="Z142" i="4" s="1"/>
  <c r="AA142" i="4" s="1"/>
  <c r="X141" i="4"/>
  <c r="Z141" i="4" s="1"/>
  <c r="AA141" i="4" s="1"/>
  <c r="M141" i="4"/>
  <c r="O141" i="4" s="1"/>
  <c r="M140" i="4"/>
  <c r="X140" i="4" s="1"/>
  <c r="Z140" i="4" s="1"/>
  <c r="AA140" i="4" s="1"/>
  <c r="M139" i="4"/>
  <c r="X139" i="4" s="1"/>
  <c r="Z139" i="4" s="1"/>
  <c r="AA139" i="4" s="1"/>
  <c r="O138" i="4"/>
  <c r="M138" i="4"/>
  <c r="X138" i="4" s="1"/>
  <c r="Z138" i="4" s="1"/>
  <c r="AA138" i="4" s="1"/>
  <c r="M137" i="4"/>
  <c r="X137" i="4" s="1"/>
  <c r="Z137" i="4" s="1"/>
  <c r="AA137" i="4" s="1"/>
  <c r="X136" i="4"/>
  <c r="Z136" i="4" s="1"/>
  <c r="AA136" i="4" s="1"/>
  <c r="M136" i="4"/>
  <c r="O136" i="4" s="1"/>
  <c r="M135" i="4"/>
  <c r="X135" i="4" s="1"/>
  <c r="Z135" i="4" s="1"/>
  <c r="AA135" i="4" s="1"/>
  <c r="O134" i="4"/>
  <c r="M134" i="4"/>
  <c r="X134" i="4" s="1"/>
  <c r="Z134" i="4" s="1"/>
  <c r="AA134" i="4" s="1"/>
  <c r="Z133" i="4"/>
  <c r="AA133" i="4" s="1"/>
  <c r="X133" i="4"/>
  <c r="O133" i="4"/>
  <c r="M133" i="4"/>
  <c r="X132" i="4"/>
  <c r="Z132" i="4" s="1"/>
  <c r="AA132" i="4" s="1"/>
  <c r="O132" i="4"/>
  <c r="M132" i="4"/>
  <c r="M131" i="4"/>
  <c r="X131" i="4" s="1"/>
  <c r="Z131" i="4" s="1"/>
  <c r="AA131" i="4" s="1"/>
  <c r="M130" i="4"/>
  <c r="X130" i="4" s="1"/>
  <c r="Z130" i="4" s="1"/>
  <c r="AA130" i="4" s="1"/>
  <c r="M129" i="4"/>
  <c r="X129" i="4" s="1"/>
  <c r="Z129" i="4" s="1"/>
  <c r="AA129" i="4" s="1"/>
  <c r="M128" i="4"/>
  <c r="X128" i="4" s="1"/>
  <c r="Z128" i="4" s="1"/>
  <c r="AA128" i="4" s="1"/>
  <c r="O127" i="4"/>
  <c r="M127" i="4"/>
  <c r="X127" i="4" s="1"/>
  <c r="Z127" i="4" s="1"/>
  <c r="AA127" i="4" s="1"/>
  <c r="M126" i="4"/>
  <c r="X126" i="4" s="1"/>
  <c r="Z126" i="4" s="1"/>
  <c r="AA126" i="4" s="1"/>
  <c r="X125" i="4"/>
  <c r="Z125" i="4" s="1"/>
  <c r="AA125" i="4" s="1"/>
  <c r="M125" i="4"/>
  <c r="O125" i="4" s="1"/>
  <c r="M124" i="4"/>
  <c r="X124" i="4" s="1"/>
  <c r="Z124" i="4" s="1"/>
  <c r="AA124" i="4" s="1"/>
  <c r="M123" i="4"/>
  <c r="X123" i="4" s="1"/>
  <c r="Z123" i="4" s="1"/>
  <c r="AA123" i="4" s="1"/>
  <c r="O122" i="4"/>
  <c r="M122" i="4"/>
  <c r="X122" i="4" s="1"/>
  <c r="Z122" i="4" s="1"/>
  <c r="AA122" i="4" s="1"/>
  <c r="X121" i="4"/>
  <c r="Z121" i="4" s="1"/>
  <c r="AA121" i="4" s="1"/>
  <c r="M121" i="4"/>
  <c r="O121" i="4" s="1"/>
  <c r="X120" i="4"/>
  <c r="Z120" i="4" s="1"/>
  <c r="AA120" i="4" s="1"/>
  <c r="M120" i="4"/>
  <c r="O120" i="4" s="1"/>
  <c r="M119" i="4"/>
  <c r="X119" i="4" s="1"/>
  <c r="Z119" i="4" s="1"/>
  <c r="AA119" i="4" s="1"/>
  <c r="O118" i="4"/>
  <c r="M118" i="4"/>
  <c r="X118" i="4" s="1"/>
  <c r="Z118" i="4" s="1"/>
  <c r="AA118" i="4" s="1"/>
  <c r="M116" i="4"/>
  <c r="X116" i="4" s="1"/>
  <c r="Z116" i="4" s="1"/>
  <c r="AA116" i="4" s="1"/>
  <c r="M115" i="4"/>
  <c r="X115" i="4" s="1"/>
  <c r="Z115" i="4" s="1"/>
  <c r="AA115" i="4" s="1"/>
  <c r="M114" i="4"/>
  <c r="X114" i="4" s="1"/>
  <c r="Z114" i="4" s="1"/>
  <c r="AA114" i="4" s="1"/>
  <c r="M113" i="4"/>
  <c r="X113" i="4" s="1"/>
  <c r="Z113" i="4" s="1"/>
  <c r="AA113" i="4" s="1"/>
  <c r="M112" i="4"/>
  <c r="X112" i="4" s="1"/>
  <c r="Z112" i="4" s="1"/>
  <c r="AA112" i="4" s="1"/>
  <c r="M111" i="4"/>
  <c r="X111" i="4" s="1"/>
  <c r="Z111" i="4" s="1"/>
  <c r="AA111" i="4" s="1"/>
  <c r="M110" i="4"/>
  <c r="X110" i="4" s="1"/>
  <c r="Z110" i="4" s="1"/>
  <c r="AA110" i="4" s="1"/>
  <c r="M109" i="4"/>
  <c r="X109" i="4" s="1"/>
  <c r="Z109" i="4" s="1"/>
  <c r="AA109" i="4" s="1"/>
  <c r="O108" i="4"/>
  <c r="M108" i="4"/>
  <c r="X108" i="4" s="1"/>
  <c r="Z108" i="4" s="1"/>
  <c r="AA108" i="4" s="1"/>
  <c r="X107" i="4"/>
  <c r="Z107" i="4" s="1"/>
  <c r="AA107" i="4" s="1"/>
  <c r="M107" i="4"/>
  <c r="O107" i="4" s="1"/>
  <c r="X106" i="4"/>
  <c r="Z106" i="4" s="1"/>
  <c r="AA106" i="4" s="1"/>
  <c r="O106" i="4"/>
  <c r="M106" i="4"/>
  <c r="M105" i="4"/>
  <c r="X105" i="4" s="1"/>
  <c r="Z105" i="4" s="1"/>
  <c r="AA105" i="4" s="1"/>
  <c r="X104" i="4"/>
  <c r="Z104" i="4" s="1"/>
  <c r="AA104" i="4" s="1"/>
  <c r="O104" i="4"/>
  <c r="M104" i="4"/>
  <c r="M103" i="4"/>
  <c r="X103" i="4" s="1"/>
  <c r="Z103" i="4" s="1"/>
  <c r="AA103" i="4" s="1"/>
  <c r="M102" i="4"/>
  <c r="X102" i="4" s="1"/>
  <c r="Z102" i="4" s="1"/>
  <c r="AA102" i="4" s="1"/>
  <c r="M101" i="4"/>
  <c r="X101" i="4" s="1"/>
  <c r="Z101" i="4" s="1"/>
  <c r="AA101" i="4" s="1"/>
  <c r="M100" i="4"/>
  <c r="X100" i="4" s="1"/>
  <c r="Z100" i="4" s="1"/>
  <c r="AA100" i="4" s="1"/>
  <c r="M99" i="4"/>
  <c r="X99" i="4" s="1"/>
  <c r="Z99" i="4" s="1"/>
  <c r="AA99" i="4" s="1"/>
  <c r="M98" i="4"/>
  <c r="X98" i="4" s="1"/>
  <c r="Z98" i="4" s="1"/>
  <c r="AA98" i="4" s="1"/>
  <c r="X97" i="4"/>
  <c r="Z97" i="4" s="1"/>
  <c r="AA97" i="4" s="1"/>
  <c r="M97" i="4"/>
  <c r="O97" i="4" s="1"/>
  <c r="M96" i="4"/>
  <c r="X96" i="4" s="1"/>
  <c r="Z96" i="4" s="1"/>
  <c r="AA96" i="4" s="1"/>
  <c r="M95" i="4"/>
  <c r="X95" i="4" s="1"/>
  <c r="Z95" i="4" s="1"/>
  <c r="AA95" i="4" s="1"/>
  <c r="O94" i="4"/>
  <c r="M94" i="4"/>
  <c r="X94" i="4" s="1"/>
  <c r="Z94" i="4" s="1"/>
  <c r="AA94" i="4" s="1"/>
  <c r="X93" i="4"/>
  <c r="Z93" i="4" s="1"/>
  <c r="AA93" i="4" s="1"/>
  <c r="M93" i="4"/>
  <c r="O93" i="4" s="1"/>
  <c r="O92" i="4"/>
  <c r="M92" i="4"/>
  <c r="X92" i="4" s="1"/>
  <c r="Z92" i="4" s="1"/>
  <c r="AA92" i="4" s="1"/>
  <c r="X91" i="4"/>
  <c r="Z91" i="4" s="1"/>
  <c r="AA91" i="4" s="1"/>
  <c r="M91" i="4"/>
  <c r="O91" i="4" s="1"/>
  <c r="O90" i="4"/>
  <c r="M90" i="4"/>
  <c r="X90" i="4" s="1"/>
  <c r="Z90" i="4" s="1"/>
  <c r="AA90" i="4" s="1"/>
  <c r="X89" i="4"/>
  <c r="Z89" i="4" s="1"/>
  <c r="AA89" i="4" s="1"/>
  <c r="M89" i="4"/>
  <c r="O89" i="4" s="1"/>
  <c r="M87" i="4"/>
  <c r="X87" i="4" s="1"/>
  <c r="Z87" i="4" s="1"/>
  <c r="AA87" i="4" s="1"/>
  <c r="M86" i="4"/>
  <c r="X86" i="4" s="1"/>
  <c r="Z86" i="4" s="1"/>
  <c r="AA86" i="4" s="1"/>
  <c r="M85" i="4"/>
  <c r="X85" i="4" s="1"/>
  <c r="Z85" i="4" s="1"/>
  <c r="AA85" i="4" s="1"/>
  <c r="M84" i="4"/>
  <c r="X84" i="4" s="1"/>
  <c r="Z84" i="4" s="1"/>
  <c r="AA84" i="4" s="1"/>
  <c r="X83" i="4"/>
  <c r="Z83" i="4" s="1"/>
  <c r="AA83" i="4" s="1"/>
  <c r="M83" i="4"/>
  <c r="O83" i="4" s="1"/>
  <c r="M82" i="4"/>
  <c r="X82" i="4" s="1"/>
  <c r="Z82" i="4" s="1"/>
  <c r="AA82" i="4" s="1"/>
  <c r="M81" i="4"/>
  <c r="X81" i="4" s="1"/>
  <c r="Z81" i="4" s="1"/>
  <c r="AA81" i="4" s="1"/>
  <c r="O80" i="4"/>
  <c r="M80" i="4"/>
  <c r="X80" i="4" s="1"/>
  <c r="Z80" i="4" s="1"/>
  <c r="AA80" i="4" s="1"/>
  <c r="M79" i="4"/>
  <c r="X79" i="4" s="1"/>
  <c r="Z79" i="4" s="1"/>
  <c r="AA79" i="4" s="1"/>
  <c r="X78" i="4"/>
  <c r="Z78" i="4" s="1"/>
  <c r="AA78" i="4" s="1"/>
  <c r="O78" i="4"/>
  <c r="M78" i="4"/>
  <c r="M77" i="4"/>
  <c r="X77" i="4" s="1"/>
  <c r="Z77" i="4" s="1"/>
  <c r="AA77" i="4" s="1"/>
  <c r="M76" i="4"/>
  <c r="X76" i="4" s="1"/>
  <c r="Z76" i="4" s="1"/>
  <c r="AA76" i="4" s="1"/>
  <c r="X75" i="4"/>
  <c r="Z75" i="4" s="1"/>
  <c r="AA75" i="4" s="1"/>
  <c r="O75" i="4"/>
  <c r="M75" i="4"/>
  <c r="X74" i="4"/>
  <c r="Z74" i="4" s="1"/>
  <c r="AA74" i="4" s="1"/>
  <c r="O74" i="4"/>
  <c r="M74" i="4"/>
  <c r="O73" i="4"/>
  <c r="M73" i="4"/>
  <c r="X73" i="4" s="1"/>
  <c r="Z73" i="4" s="1"/>
  <c r="AA73" i="4" s="1"/>
  <c r="M72" i="4"/>
  <c r="X72" i="4" s="1"/>
  <c r="Z72" i="4" s="1"/>
  <c r="AA72" i="4" s="1"/>
  <c r="M71" i="4"/>
  <c r="X71" i="4" s="1"/>
  <c r="Z71" i="4" s="1"/>
  <c r="AA71" i="4" s="1"/>
  <c r="M70" i="4"/>
  <c r="X70" i="4" s="1"/>
  <c r="Z70" i="4" s="1"/>
  <c r="AA70" i="4" s="1"/>
  <c r="M69" i="4"/>
  <c r="X69" i="4" s="1"/>
  <c r="Z69" i="4" s="1"/>
  <c r="AA69" i="4" s="1"/>
  <c r="M68" i="4"/>
  <c r="X68" i="4" s="1"/>
  <c r="Z68" i="4" s="1"/>
  <c r="AA68" i="4" s="1"/>
  <c r="X67" i="4"/>
  <c r="Z67" i="4" s="1"/>
  <c r="AA67" i="4" s="1"/>
  <c r="M67" i="4"/>
  <c r="O67" i="4" s="1"/>
  <c r="M66" i="4"/>
  <c r="X66" i="4" s="1"/>
  <c r="Z66" i="4" s="1"/>
  <c r="AA66" i="4" s="1"/>
  <c r="M65" i="4"/>
  <c r="X65" i="4" s="1"/>
  <c r="Z65" i="4" s="1"/>
  <c r="AA65" i="4" s="1"/>
  <c r="O64" i="4"/>
  <c r="M64" i="4"/>
  <c r="X64" i="4" s="1"/>
  <c r="Z64" i="4" s="1"/>
  <c r="AA64" i="4" s="1"/>
  <c r="M63" i="4"/>
  <c r="X63" i="4" s="1"/>
  <c r="Z63" i="4" s="1"/>
  <c r="AA63" i="4" s="1"/>
  <c r="X62" i="4"/>
  <c r="Z62" i="4" s="1"/>
  <c r="AA62" i="4" s="1"/>
  <c r="O62" i="4"/>
  <c r="M62" i="4"/>
  <c r="M61" i="4"/>
  <c r="X61" i="4" s="1"/>
  <c r="Z61" i="4" s="1"/>
  <c r="AA61" i="4" s="1"/>
  <c r="M60" i="4"/>
  <c r="X60" i="4" s="1"/>
  <c r="Z60" i="4" s="1"/>
  <c r="AA60" i="4" s="1"/>
  <c r="M58" i="4"/>
  <c r="X58" i="4" s="1"/>
  <c r="Z58" i="4" s="1"/>
  <c r="AA58" i="4" s="1"/>
  <c r="X57" i="4"/>
  <c r="Z57" i="4" s="1"/>
  <c r="AA57" i="4" s="1"/>
  <c r="M57" i="4"/>
  <c r="O57" i="4" s="1"/>
  <c r="O56" i="4"/>
  <c r="M56" i="4"/>
  <c r="X56" i="4" s="1"/>
  <c r="Z56" i="4" s="1"/>
  <c r="AA56" i="4" s="1"/>
  <c r="M55" i="4"/>
  <c r="X55" i="4" s="1"/>
  <c r="Z55" i="4" s="1"/>
  <c r="AA55" i="4" s="1"/>
  <c r="X54" i="4"/>
  <c r="Z54" i="4" s="1"/>
  <c r="AA54" i="4" s="1"/>
  <c r="O54" i="4"/>
  <c r="M54" i="4"/>
  <c r="M53" i="4"/>
  <c r="X53" i="4" s="1"/>
  <c r="Z53" i="4" s="1"/>
  <c r="AA53" i="4" s="1"/>
  <c r="M52" i="4"/>
  <c r="X52" i="4" s="1"/>
  <c r="Z52" i="4" s="1"/>
  <c r="AA52" i="4" s="1"/>
  <c r="M51" i="4"/>
  <c r="X51" i="4" s="1"/>
  <c r="Z51" i="4" s="1"/>
  <c r="AA51" i="4" s="1"/>
  <c r="M50" i="4"/>
  <c r="X50" i="4" s="1"/>
  <c r="Z50" i="4" s="1"/>
  <c r="AA50" i="4" s="1"/>
  <c r="X49" i="4"/>
  <c r="Z49" i="4" s="1"/>
  <c r="AA49" i="4" s="1"/>
  <c r="M49" i="4"/>
  <c r="O49" i="4" s="1"/>
  <c r="M48" i="4"/>
  <c r="X48" i="4" s="1"/>
  <c r="Z48" i="4" s="1"/>
  <c r="AA48" i="4" s="1"/>
  <c r="M47" i="4"/>
  <c r="X47" i="4" s="1"/>
  <c r="Z47" i="4" s="1"/>
  <c r="AA47" i="4" s="1"/>
  <c r="Z46" i="4"/>
  <c r="AA46" i="4" s="1"/>
  <c r="X46" i="4"/>
  <c r="O46" i="4"/>
  <c r="M46" i="4"/>
  <c r="O45" i="4"/>
  <c r="M45" i="4"/>
  <c r="X45" i="4" s="1"/>
  <c r="Z45" i="4" s="1"/>
  <c r="AA45" i="4" s="1"/>
  <c r="M44" i="4"/>
  <c r="X44" i="4" s="1"/>
  <c r="Z44" i="4" s="1"/>
  <c r="AA44" i="4" s="1"/>
  <c r="M43" i="4"/>
  <c r="X43" i="4" s="1"/>
  <c r="Z43" i="4" s="1"/>
  <c r="AA43" i="4" s="1"/>
  <c r="M42" i="4"/>
  <c r="X42" i="4" s="1"/>
  <c r="Z42" i="4" s="1"/>
  <c r="AA42" i="4" s="1"/>
  <c r="X41" i="4"/>
  <c r="Z41" i="4" s="1"/>
  <c r="AA41" i="4" s="1"/>
  <c r="M41" i="4"/>
  <c r="O41" i="4" s="1"/>
  <c r="O40" i="4"/>
  <c r="M40" i="4"/>
  <c r="X40" i="4" s="1"/>
  <c r="Z40" i="4" s="1"/>
  <c r="AA40" i="4" s="1"/>
  <c r="M39" i="4"/>
  <c r="X39" i="4" s="1"/>
  <c r="Z39" i="4" s="1"/>
  <c r="AA39" i="4" s="1"/>
  <c r="X38" i="4"/>
  <c r="Z38" i="4" s="1"/>
  <c r="AA38" i="4" s="1"/>
  <c r="O38" i="4"/>
  <c r="M38" i="4"/>
  <c r="M37" i="4"/>
  <c r="X37" i="4" s="1"/>
  <c r="Z37" i="4" s="1"/>
  <c r="AA37" i="4" s="1"/>
  <c r="M36" i="4"/>
  <c r="X36" i="4" s="1"/>
  <c r="Z36" i="4" s="1"/>
  <c r="AA36" i="4" s="1"/>
  <c r="M35" i="4"/>
  <c r="X35" i="4" s="1"/>
  <c r="Z35" i="4" s="1"/>
  <c r="AA35" i="4" s="1"/>
  <c r="M34" i="4"/>
  <c r="X34" i="4" s="1"/>
  <c r="Z34" i="4" s="1"/>
  <c r="AA34" i="4" s="1"/>
  <c r="X33" i="4"/>
  <c r="Z33" i="4" s="1"/>
  <c r="AA33" i="4" s="1"/>
  <c r="M33" i="4"/>
  <c r="O33" i="4" s="1"/>
  <c r="X32" i="4"/>
  <c r="Z32" i="4" s="1"/>
  <c r="AA32" i="4" s="1"/>
  <c r="M32" i="4"/>
  <c r="O32" i="4" s="1"/>
  <c r="M31" i="4"/>
  <c r="X31" i="4" s="1"/>
  <c r="Z31" i="4" s="1"/>
  <c r="AA31" i="4" s="1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2" i="4"/>
  <c r="O15" i="4"/>
  <c r="O16" i="4"/>
  <c r="O17" i="4"/>
  <c r="O18" i="4"/>
  <c r="O24" i="4"/>
  <c r="O2" i="4"/>
  <c r="M29" i="4"/>
  <c r="O29" i="4" s="1"/>
  <c r="M28" i="4"/>
  <c r="O28" i="4" s="1"/>
  <c r="M27" i="4"/>
  <c r="O27" i="4" s="1"/>
  <c r="M26" i="4"/>
  <c r="O26" i="4" s="1"/>
  <c r="M25" i="4"/>
  <c r="O25" i="4" s="1"/>
  <c r="M24" i="4"/>
  <c r="M23" i="4"/>
  <c r="O23" i="4" s="1"/>
  <c r="M22" i="4"/>
  <c r="O22" i="4" s="1"/>
  <c r="M21" i="4"/>
  <c r="O21" i="4" s="1"/>
  <c r="M20" i="4"/>
  <c r="O20" i="4" s="1"/>
  <c r="M19" i="4"/>
  <c r="O19" i="4" s="1"/>
  <c r="M18" i="4"/>
  <c r="M17" i="4"/>
  <c r="M16" i="4"/>
  <c r="M15" i="4"/>
  <c r="M14" i="4"/>
  <c r="O14" i="4" s="1"/>
  <c r="M13" i="4"/>
  <c r="O13" i="4" s="1"/>
  <c r="M12" i="4"/>
  <c r="O12" i="4" s="1"/>
  <c r="M11" i="4"/>
  <c r="O11" i="4" s="1"/>
  <c r="M10" i="4"/>
  <c r="O10" i="4" s="1"/>
  <c r="M9" i="4"/>
  <c r="O9" i="4" s="1"/>
  <c r="M8" i="4"/>
  <c r="O8" i="4" s="1"/>
  <c r="M7" i="4"/>
  <c r="O7" i="4" s="1"/>
  <c r="M6" i="4"/>
  <c r="O6" i="4" s="1"/>
  <c r="M5" i="4"/>
  <c r="O5" i="4" s="1"/>
  <c r="M4" i="4"/>
  <c r="O4" i="4" s="1"/>
  <c r="M3" i="4"/>
  <c r="O3" i="4" s="1"/>
  <c r="M2" i="4"/>
  <c r="Z203" i="3"/>
  <c r="AA203" i="3" s="1"/>
  <c r="X203" i="3"/>
  <c r="V203" i="3"/>
  <c r="W203" i="3" s="1"/>
  <c r="T203" i="3"/>
  <c r="P203" i="3"/>
  <c r="R203" i="3" s="1"/>
  <c r="S203" i="3" s="1"/>
  <c r="M203" i="3"/>
  <c r="O203" i="3" s="1"/>
  <c r="X202" i="3"/>
  <c r="Z202" i="3" s="1"/>
  <c r="AA202" i="3" s="1"/>
  <c r="V202" i="3"/>
  <c r="W202" i="3" s="1"/>
  <c r="T202" i="3"/>
  <c r="O202" i="3"/>
  <c r="M202" i="3"/>
  <c r="P202" i="3" s="1"/>
  <c r="R202" i="3" s="1"/>
  <c r="S202" i="3" s="1"/>
  <c r="X201" i="3"/>
  <c r="Z201" i="3" s="1"/>
  <c r="AA201" i="3" s="1"/>
  <c r="T201" i="3"/>
  <c r="V201" i="3" s="1"/>
  <c r="W201" i="3" s="1"/>
  <c r="P201" i="3"/>
  <c r="R201" i="3" s="1"/>
  <c r="S201" i="3" s="1"/>
  <c r="O201" i="3"/>
  <c r="M201" i="3"/>
  <c r="X200" i="3"/>
  <c r="Z200" i="3" s="1"/>
  <c r="AA200" i="3" s="1"/>
  <c r="T200" i="3"/>
  <c r="V200" i="3" s="1"/>
  <c r="W200" i="3" s="1"/>
  <c r="O200" i="3"/>
  <c r="M200" i="3"/>
  <c r="P200" i="3" s="1"/>
  <c r="R200" i="3" s="1"/>
  <c r="S200" i="3" s="1"/>
  <c r="X199" i="3"/>
  <c r="Z199" i="3" s="1"/>
  <c r="AA199" i="3" s="1"/>
  <c r="T199" i="3"/>
  <c r="V199" i="3" s="1"/>
  <c r="W199" i="3" s="1"/>
  <c r="M199" i="3"/>
  <c r="P199" i="3" s="1"/>
  <c r="R199" i="3" s="1"/>
  <c r="S199" i="3" s="1"/>
  <c r="Z198" i="3"/>
  <c r="AA198" i="3" s="1"/>
  <c r="X198" i="3"/>
  <c r="T198" i="3"/>
  <c r="V198" i="3" s="1"/>
  <c r="W198" i="3" s="1"/>
  <c r="P198" i="3"/>
  <c r="R198" i="3" s="1"/>
  <c r="S198" i="3" s="1"/>
  <c r="M198" i="3"/>
  <c r="O198" i="3" s="1"/>
  <c r="X197" i="3"/>
  <c r="Z197" i="3" s="1"/>
  <c r="AA197" i="3" s="1"/>
  <c r="V197" i="3"/>
  <c r="W197" i="3" s="1"/>
  <c r="T197" i="3"/>
  <c r="M197" i="3"/>
  <c r="P197" i="3" s="1"/>
  <c r="R197" i="3" s="1"/>
  <c r="S197" i="3" s="1"/>
  <c r="X196" i="3"/>
  <c r="Z196" i="3" s="1"/>
  <c r="AA196" i="3" s="1"/>
  <c r="V196" i="3"/>
  <c r="W196" i="3" s="1"/>
  <c r="T196" i="3"/>
  <c r="R196" i="3"/>
  <c r="S196" i="3" s="1"/>
  <c r="P196" i="3"/>
  <c r="O196" i="3"/>
  <c r="M196" i="3"/>
  <c r="X195" i="3"/>
  <c r="Z195" i="3" s="1"/>
  <c r="AA195" i="3" s="1"/>
  <c r="V195" i="3"/>
  <c r="W195" i="3" s="1"/>
  <c r="T195" i="3"/>
  <c r="R195" i="3"/>
  <c r="S195" i="3" s="1"/>
  <c r="P195" i="3"/>
  <c r="O195" i="3"/>
  <c r="M195" i="3"/>
  <c r="Z194" i="3"/>
  <c r="AA194" i="3" s="1"/>
  <c r="X194" i="3"/>
  <c r="T194" i="3"/>
  <c r="V194" i="3" s="1"/>
  <c r="W194" i="3" s="1"/>
  <c r="O194" i="3"/>
  <c r="M194" i="3"/>
  <c r="P194" i="3" s="1"/>
  <c r="R194" i="3" s="1"/>
  <c r="S194" i="3" s="1"/>
  <c r="Z193" i="3"/>
  <c r="AA193" i="3" s="1"/>
  <c r="X193" i="3"/>
  <c r="W193" i="3"/>
  <c r="V193" i="3"/>
  <c r="T193" i="3"/>
  <c r="M193" i="3"/>
  <c r="P193" i="3" s="1"/>
  <c r="R193" i="3" s="1"/>
  <c r="S193" i="3" s="1"/>
  <c r="Z192" i="3"/>
  <c r="AA192" i="3" s="1"/>
  <c r="X192" i="3"/>
  <c r="T192" i="3"/>
  <c r="V192" i="3" s="1"/>
  <c r="W192" i="3" s="1"/>
  <c r="P192" i="3"/>
  <c r="R192" i="3" s="1"/>
  <c r="S192" i="3" s="1"/>
  <c r="O192" i="3"/>
  <c r="M192" i="3"/>
  <c r="X191" i="3"/>
  <c r="Z191" i="3" s="1"/>
  <c r="AA191" i="3" s="1"/>
  <c r="V191" i="3"/>
  <c r="W191" i="3" s="1"/>
  <c r="T191" i="3"/>
  <c r="M191" i="3"/>
  <c r="P191" i="3" s="1"/>
  <c r="R191" i="3" s="1"/>
  <c r="S191" i="3" s="1"/>
  <c r="X190" i="3"/>
  <c r="Z190" i="3" s="1"/>
  <c r="AA190" i="3" s="1"/>
  <c r="T190" i="3"/>
  <c r="V190" i="3" s="1"/>
  <c r="W190" i="3" s="1"/>
  <c r="O190" i="3"/>
  <c r="M190" i="3"/>
  <c r="P190" i="3" s="1"/>
  <c r="R190" i="3" s="1"/>
  <c r="S190" i="3" s="1"/>
  <c r="X189" i="3"/>
  <c r="Z189" i="3" s="1"/>
  <c r="AA189" i="3" s="1"/>
  <c r="T189" i="3"/>
  <c r="V189" i="3" s="1"/>
  <c r="W189" i="3" s="1"/>
  <c r="M189" i="3"/>
  <c r="P189" i="3" s="1"/>
  <c r="R189" i="3" s="1"/>
  <c r="S189" i="3" s="1"/>
  <c r="Z188" i="3"/>
  <c r="AA188" i="3" s="1"/>
  <c r="X188" i="3"/>
  <c r="T188" i="3"/>
  <c r="V188" i="3" s="1"/>
  <c r="W188" i="3" s="1"/>
  <c r="M188" i="3"/>
  <c r="P188" i="3" s="1"/>
  <c r="R188" i="3" s="1"/>
  <c r="S188" i="3" s="1"/>
  <c r="Z187" i="3"/>
  <c r="AA187" i="3" s="1"/>
  <c r="X187" i="3"/>
  <c r="V187" i="3"/>
  <c r="W187" i="3" s="1"/>
  <c r="T187" i="3"/>
  <c r="P187" i="3"/>
  <c r="R187" i="3" s="1"/>
  <c r="S187" i="3" s="1"/>
  <c r="M187" i="3"/>
  <c r="O187" i="3" s="1"/>
  <c r="Z186" i="3"/>
  <c r="AA186" i="3" s="1"/>
  <c r="X186" i="3"/>
  <c r="V186" i="3"/>
  <c r="W186" i="3" s="1"/>
  <c r="T186" i="3"/>
  <c r="O186" i="3"/>
  <c r="M186" i="3"/>
  <c r="P186" i="3" s="1"/>
  <c r="R186" i="3" s="1"/>
  <c r="S186" i="3" s="1"/>
  <c r="X185" i="3"/>
  <c r="Z185" i="3" s="1"/>
  <c r="AA185" i="3" s="1"/>
  <c r="V185" i="3"/>
  <c r="W185" i="3" s="1"/>
  <c r="T185" i="3"/>
  <c r="P185" i="3"/>
  <c r="R185" i="3" s="1"/>
  <c r="S185" i="3" s="1"/>
  <c r="O185" i="3"/>
  <c r="M185" i="3"/>
  <c r="AA184" i="3"/>
  <c r="Z184" i="3"/>
  <c r="X184" i="3"/>
  <c r="T184" i="3"/>
  <c r="V184" i="3" s="1"/>
  <c r="W184" i="3" s="1"/>
  <c r="O184" i="3"/>
  <c r="M184" i="3"/>
  <c r="P184" i="3" s="1"/>
  <c r="R184" i="3" s="1"/>
  <c r="S184" i="3" s="1"/>
  <c r="X183" i="3"/>
  <c r="Z183" i="3" s="1"/>
  <c r="AA183" i="3" s="1"/>
  <c r="T183" i="3"/>
  <c r="V183" i="3" s="1"/>
  <c r="W183" i="3" s="1"/>
  <c r="M183" i="3"/>
  <c r="P183" i="3" s="1"/>
  <c r="R183" i="3" s="1"/>
  <c r="S183" i="3" s="1"/>
  <c r="Z182" i="3"/>
  <c r="AA182" i="3" s="1"/>
  <c r="X182" i="3"/>
  <c r="T182" i="3"/>
  <c r="V182" i="3" s="1"/>
  <c r="W182" i="3" s="1"/>
  <c r="M182" i="3"/>
  <c r="O182" i="3" s="1"/>
  <c r="X181" i="3"/>
  <c r="Z181" i="3" s="1"/>
  <c r="AA181" i="3" s="1"/>
  <c r="V181" i="3"/>
  <c r="W181" i="3" s="1"/>
  <c r="T181" i="3"/>
  <c r="M181" i="3"/>
  <c r="P181" i="3" s="1"/>
  <c r="R181" i="3" s="1"/>
  <c r="S181" i="3" s="1"/>
  <c r="X180" i="3"/>
  <c r="Z180" i="3" s="1"/>
  <c r="AA180" i="3" s="1"/>
  <c r="V180" i="3"/>
  <c r="W180" i="3" s="1"/>
  <c r="T180" i="3"/>
  <c r="R180" i="3"/>
  <c r="S180" i="3" s="1"/>
  <c r="P180" i="3"/>
  <c r="O180" i="3"/>
  <c r="M180" i="3"/>
  <c r="X179" i="3"/>
  <c r="Z179" i="3" s="1"/>
  <c r="AA179" i="3" s="1"/>
  <c r="V179" i="3"/>
  <c r="W179" i="3" s="1"/>
  <c r="T179" i="3"/>
  <c r="R179" i="3"/>
  <c r="S179" i="3" s="1"/>
  <c r="P179" i="3"/>
  <c r="O179" i="3"/>
  <c r="M179" i="3"/>
  <c r="Z178" i="3"/>
  <c r="AA178" i="3" s="1"/>
  <c r="X178" i="3"/>
  <c r="T178" i="3"/>
  <c r="V178" i="3" s="1"/>
  <c r="W178" i="3" s="1"/>
  <c r="O178" i="3"/>
  <c r="M178" i="3"/>
  <c r="P178" i="3" s="1"/>
  <c r="R178" i="3" s="1"/>
  <c r="S178" i="3" s="1"/>
  <c r="Z177" i="3"/>
  <c r="AA177" i="3" s="1"/>
  <c r="X177" i="3"/>
  <c r="W177" i="3"/>
  <c r="V177" i="3"/>
  <c r="T177" i="3"/>
  <c r="M177" i="3"/>
  <c r="P177" i="3" s="1"/>
  <c r="R177" i="3" s="1"/>
  <c r="S177" i="3" s="1"/>
  <c r="Z176" i="3"/>
  <c r="AA176" i="3" s="1"/>
  <c r="X176" i="3"/>
  <c r="T176" i="3"/>
  <c r="V176" i="3" s="1"/>
  <c r="W176" i="3" s="1"/>
  <c r="P176" i="3"/>
  <c r="R176" i="3" s="1"/>
  <c r="S176" i="3" s="1"/>
  <c r="O176" i="3"/>
  <c r="M176" i="3"/>
  <c r="X174" i="3"/>
  <c r="Z174" i="3" s="1"/>
  <c r="AA174" i="3" s="1"/>
  <c r="T174" i="3"/>
  <c r="V174" i="3" s="1"/>
  <c r="W174" i="3" s="1"/>
  <c r="P174" i="3"/>
  <c r="R174" i="3" s="1"/>
  <c r="S174" i="3" s="1"/>
  <c r="M174" i="3"/>
  <c r="O174" i="3" s="1"/>
  <c r="X173" i="3"/>
  <c r="Z173" i="3" s="1"/>
  <c r="AA173" i="3" s="1"/>
  <c r="T173" i="3"/>
  <c r="V173" i="3" s="1"/>
  <c r="W173" i="3" s="1"/>
  <c r="M173" i="3"/>
  <c r="P173" i="3" s="1"/>
  <c r="R173" i="3" s="1"/>
  <c r="S173" i="3" s="1"/>
  <c r="Z172" i="3"/>
  <c r="AA172" i="3" s="1"/>
  <c r="X172" i="3"/>
  <c r="T172" i="3"/>
  <c r="V172" i="3" s="1"/>
  <c r="W172" i="3" s="1"/>
  <c r="M172" i="3"/>
  <c r="P172" i="3" s="1"/>
  <c r="R172" i="3" s="1"/>
  <c r="S172" i="3" s="1"/>
  <c r="X171" i="3"/>
  <c r="Z171" i="3" s="1"/>
  <c r="AA171" i="3" s="1"/>
  <c r="T171" i="3"/>
  <c r="V171" i="3" s="1"/>
  <c r="W171" i="3" s="1"/>
  <c r="M171" i="3"/>
  <c r="P171" i="3" s="1"/>
  <c r="R171" i="3" s="1"/>
  <c r="S171" i="3" s="1"/>
  <c r="Z170" i="3"/>
  <c r="AA170" i="3" s="1"/>
  <c r="X170" i="3"/>
  <c r="T170" i="3"/>
  <c r="V170" i="3" s="1"/>
  <c r="W170" i="3" s="1"/>
  <c r="M170" i="3"/>
  <c r="AA169" i="3"/>
  <c r="Z169" i="3"/>
  <c r="X169" i="3"/>
  <c r="T169" i="3"/>
  <c r="V169" i="3" s="1"/>
  <c r="W169" i="3" s="1"/>
  <c r="M169" i="3"/>
  <c r="P169" i="3" s="1"/>
  <c r="R169" i="3" s="1"/>
  <c r="S169" i="3" s="1"/>
  <c r="X168" i="3"/>
  <c r="Z168" i="3" s="1"/>
  <c r="AA168" i="3" s="1"/>
  <c r="T168" i="3"/>
  <c r="V168" i="3" s="1"/>
  <c r="W168" i="3" s="1"/>
  <c r="M168" i="3"/>
  <c r="O168" i="3" s="1"/>
  <c r="X167" i="3"/>
  <c r="Z167" i="3" s="1"/>
  <c r="AA167" i="3" s="1"/>
  <c r="T167" i="3"/>
  <c r="V167" i="3" s="1"/>
  <c r="W167" i="3" s="1"/>
  <c r="M167" i="3"/>
  <c r="P167" i="3" s="1"/>
  <c r="R167" i="3" s="1"/>
  <c r="S167" i="3" s="1"/>
  <c r="AA166" i="3"/>
  <c r="Z166" i="3"/>
  <c r="X166" i="3"/>
  <c r="T166" i="3"/>
  <c r="V166" i="3" s="1"/>
  <c r="W166" i="3" s="1"/>
  <c r="M166" i="3"/>
  <c r="P166" i="3" s="1"/>
  <c r="R166" i="3" s="1"/>
  <c r="S166" i="3" s="1"/>
  <c r="X165" i="3"/>
  <c r="Z165" i="3" s="1"/>
  <c r="AA165" i="3" s="1"/>
  <c r="V165" i="3"/>
  <c r="W165" i="3" s="1"/>
  <c r="T165" i="3"/>
  <c r="M165" i="3"/>
  <c r="P165" i="3" s="1"/>
  <c r="R165" i="3" s="1"/>
  <c r="S165" i="3" s="1"/>
  <c r="X164" i="3"/>
  <c r="Z164" i="3" s="1"/>
  <c r="AA164" i="3" s="1"/>
  <c r="T164" i="3"/>
  <c r="V164" i="3" s="1"/>
  <c r="W164" i="3" s="1"/>
  <c r="M164" i="3"/>
  <c r="P164" i="3" s="1"/>
  <c r="R164" i="3" s="1"/>
  <c r="S164" i="3" s="1"/>
  <c r="X163" i="3"/>
  <c r="Z163" i="3" s="1"/>
  <c r="AA163" i="3" s="1"/>
  <c r="V163" i="3"/>
  <c r="W163" i="3" s="1"/>
  <c r="T163" i="3"/>
  <c r="M163" i="3"/>
  <c r="O163" i="3" s="1"/>
  <c r="X162" i="3"/>
  <c r="Z162" i="3" s="1"/>
  <c r="AA162" i="3" s="1"/>
  <c r="W162" i="3"/>
  <c r="V162" i="3"/>
  <c r="T162" i="3"/>
  <c r="P162" i="3"/>
  <c r="R162" i="3" s="1"/>
  <c r="S162" i="3" s="1"/>
  <c r="O162" i="3"/>
  <c r="M162" i="3"/>
  <c r="X161" i="3"/>
  <c r="Z161" i="3" s="1"/>
  <c r="AA161" i="3" s="1"/>
  <c r="T161" i="3"/>
  <c r="V161" i="3" s="1"/>
  <c r="W161" i="3" s="1"/>
  <c r="P161" i="3"/>
  <c r="R161" i="3" s="1"/>
  <c r="S161" i="3" s="1"/>
  <c r="O161" i="3"/>
  <c r="M161" i="3"/>
  <c r="X160" i="3"/>
  <c r="Z160" i="3" s="1"/>
  <c r="AA160" i="3" s="1"/>
  <c r="T160" i="3"/>
  <c r="V160" i="3" s="1"/>
  <c r="W160" i="3" s="1"/>
  <c r="M160" i="3"/>
  <c r="P160" i="3" s="1"/>
  <c r="R160" i="3" s="1"/>
  <c r="S160" i="3" s="1"/>
  <c r="X159" i="3"/>
  <c r="Z159" i="3" s="1"/>
  <c r="AA159" i="3" s="1"/>
  <c r="T159" i="3"/>
  <c r="V159" i="3" s="1"/>
  <c r="W159" i="3" s="1"/>
  <c r="P159" i="3"/>
  <c r="R159" i="3" s="1"/>
  <c r="S159" i="3" s="1"/>
  <c r="M159" i="3"/>
  <c r="O159" i="3" s="1"/>
  <c r="X158" i="3"/>
  <c r="Z158" i="3" s="1"/>
  <c r="AA158" i="3" s="1"/>
  <c r="T158" i="3"/>
  <c r="V158" i="3" s="1"/>
  <c r="W158" i="3" s="1"/>
  <c r="P158" i="3"/>
  <c r="R158" i="3" s="1"/>
  <c r="S158" i="3" s="1"/>
  <c r="M158" i="3"/>
  <c r="O158" i="3" s="1"/>
  <c r="X157" i="3"/>
  <c r="Z157" i="3" s="1"/>
  <c r="AA157" i="3" s="1"/>
  <c r="T157" i="3"/>
  <c r="V157" i="3" s="1"/>
  <c r="W157" i="3" s="1"/>
  <c r="M157" i="3"/>
  <c r="P157" i="3" s="1"/>
  <c r="R157" i="3" s="1"/>
  <c r="S157" i="3" s="1"/>
  <c r="X156" i="3"/>
  <c r="Z156" i="3" s="1"/>
  <c r="AA156" i="3" s="1"/>
  <c r="T156" i="3"/>
  <c r="V156" i="3" s="1"/>
  <c r="W156" i="3" s="1"/>
  <c r="M156" i="3"/>
  <c r="P156" i="3" s="1"/>
  <c r="R156" i="3" s="1"/>
  <c r="S156" i="3" s="1"/>
  <c r="X155" i="3"/>
  <c r="Z155" i="3" s="1"/>
  <c r="AA155" i="3" s="1"/>
  <c r="T155" i="3"/>
  <c r="V155" i="3" s="1"/>
  <c r="W155" i="3" s="1"/>
  <c r="S155" i="3"/>
  <c r="R155" i="3"/>
  <c r="M155" i="3"/>
  <c r="P155" i="3" s="1"/>
  <c r="Z154" i="3"/>
  <c r="AA154" i="3" s="1"/>
  <c r="X154" i="3"/>
  <c r="T154" i="3"/>
  <c r="V154" i="3" s="1"/>
  <c r="W154" i="3" s="1"/>
  <c r="M154" i="3"/>
  <c r="Z153" i="3"/>
  <c r="AA153" i="3" s="1"/>
  <c r="X153" i="3"/>
  <c r="T153" i="3"/>
  <c r="V153" i="3" s="1"/>
  <c r="W153" i="3" s="1"/>
  <c r="M153" i="3"/>
  <c r="P153" i="3" s="1"/>
  <c r="R153" i="3" s="1"/>
  <c r="S153" i="3" s="1"/>
  <c r="X152" i="3"/>
  <c r="Z152" i="3" s="1"/>
  <c r="AA152" i="3" s="1"/>
  <c r="V152" i="3"/>
  <c r="W152" i="3" s="1"/>
  <c r="T152" i="3"/>
  <c r="M152" i="3"/>
  <c r="O152" i="3" s="1"/>
  <c r="X151" i="3"/>
  <c r="Z151" i="3" s="1"/>
  <c r="AA151" i="3" s="1"/>
  <c r="T151" i="3"/>
  <c r="V151" i="3" s="1"/>
  <c r="W151" i="3" s="1"/>
  <c r="M151" i="3"/>
  <c r="P151" i="3" s="1"/>
  <c r="R151" i="3" s="1"/>
  <c r="S151" i="3" s="1"/>
  <c r="AA150" i="3"/>
  <c r="X150" i="3"/>
  <c r="Z150" i="3" s="1"/>
  <c r="T150" i="3"/>
  <c r="V150" i="3" s="1"/>
  <c r="W150" i="3" s="1"/>
  <c r="M150" i="3"/>
  <c r="P150" i="3" s="1"/>
  <c r="R150" i="3" s="1"/>
  <c r="S150" i="3" s="1"/>
  <c r="X149" i="3"/>
  <c r="Z149" i="3" s="1"/>
  <c r="AA149" i="3" s="1"/>
  <c r="V149" i="3"/>
  <c r="W149" i="3" s="1"/>
  <c r="T149" i="3"/>
  <c r="M149" i="3"/>
  <c r="P149" i="3" s="1"/>
  <c r="R149" i="3" s="1"/>
  <c r="S149" i="3" s="1"/>
  <c r="X148" i="3"/>
  <c r="Z148" i="3" s="1"/>
  <c r="AA148" i="3" s="1"/>
  <c r="T148" i="3"/>
  <c r="V148" i="3" s="1"/>
  <c r="W148" i="3" s="1"/>
  <c r="P148" i="3"/>
  <c r="R148" i="3" s="1"/>
  <c r="S148" i="3" s="1"/>
  <c r="O148" i="3"/>
  <c r="M148" i="3"/>
  <c r="X147" i="3"/>
  <c r="Z147" i="3" s="1"/>
  <c r="AA147" i="3" s="1"/>
  <c r="V147" i="3"/>
  <c r="W147" i="3" s="1"/>
  <c r="T147" i="3"/>
  <c r="M147" i="3"/>
  <c r="P147" i="3" s="1"/>
  <c r="R147" i="3" s="1"/>
  <c r="S147" i="3" s="1"/>
  <c r="X145" i="3"/>
  <c r="Z145" i="3" s="1"/>
  <c r="AA145" i="3" s="1"/>
  <c r="T145" i="3"/>
  <c r="V145" i="3" s="1"/>
  <c r="W145" i="3" s="1"/>
  <c r="M145" i="3"/>
  <c r="P145" i="3" s="1"/>
  <c r="R145" i="3" s="1"/>
  <c r="S145" i="3" s="1"/>
  <c r="Z144" i="3"/>
  <c r="AA144" i="3" s="1"/>
  <c r="X144" i="3"/>
  <c r="V144" i="3"/>
  <c r="W144" i="3" s="1"/>
  <c r="T144" i="3"/>
  <c r="P144" i="3"/>
  <c r="R144" i="3" s="1"/>
  <c r="S144" i="3" s="1"/>
  <c r="M144" i="3"/>
  <c r="O144" i="3" s="1"/>
  <c r="Z143" i="3"/>
  <c r="AA143" i="3" s="1"/>
  <c r="X143" i="3"/>
  <c r="V143" i="3"/>
  <c r="W143" i="3" s="1"/>
  <c r="T143" i="3"/>
  <c r="P143" i="3"/>
  <c r="R143" i="3" s="1"/>
  <c r="S143" i="3" s="1"/>
  <c r="O143" i="3"/>
  <c r="M143" i="3"/>
  <c r="X142" i="3"/>
  <c r="Z142" i="3" s="1"/>
  <c r="AA142" i="3" s="1"/>
  <c r="T142" i="3"/>
  <c r="V142" i="3" s="1"/>
  <c r="W142" i="3" s="1"/>
  <c r="O142" i="3"/>
  <c r="M142" i="3"/>
  <c r="P142" i="3" s="1"/>
  <c r="R142" i="3" s="1"/>
  <c r="S142" i="3" s="1"/>
  <c r="X141" i="3"/>
  <c r="Z141" i="3" s="1"/>
  <c r="AA141" i="3" s="1"/>
  <c r="T141" i="3"/>
  <c r="V141" i="3" s="1"/>
  <c r="W141" i="3" s="1"/>
  <c r="R141" i="3"/>
  <c r="S141" i="3" s="1"/>
  <c r="P141" i="3"/>
  <c r="M141" i="3"/>
  <c r="O141" i="3" s="1"/>
  <c r="X140" i="3"/>
  <c r="Z140" i="3" s="1"/>
  <c r="AA140" i="3" s="1"/>
  <c r="T140" i="3"/>
  <c r="V140" i="3" s="1"/>
  <c r="W140" i="3" s="1"/>
  <c r="P140" i="3"/>
  <c r="R140" i="3" s="1"/>
  <c r="S140" i="3" s="1"/>
  <c r="M140" i="3"/>
  <c r="O140" i="3" s="1"/>
  <c r="Z139" i="3"/>
  <c r="AA139" i="3" s="1"/>
  <c r="X139" i="3"/>
  <c r="V139" i="3"/>
  <c r="W139" i="3" s="1"/>
  <c r="T139" i="3"/>
  <c r="M139" i="3"/>
  <c r="P139" i="3" s="1"/>
  <c r="R139" i="3" s="1"/>
  <c r="S139" i="3" s="1"/>
  <c r="X138" i="3"/>
  <c r="Z138" i="3" s="1"/>
  <c r="AA138" i="3" s="1"/>
  <c r="T138" i="3"/>
  <c r="V138" i="3" s="1"/>
  <c r="W138" i="3" s="1"/>
  <c r="R138" i="3"/>
  <c r="S138" i="3" s="1"/>
  <c r="P138" i="3"/>
  <c r="O138" i="3"/>
  <c r="M138" i="3"/>
  <c r="X137" i="3"/>
  <c r="Z137" i="3" s="1"/>
  <c r="AA137" i="3" s="1"/>
  <c r="V137" i="3"/>
  <c r="W137" i="3" s="1"/>
  <c r="T137" i="3"/>
  <c r="M137" i="3"/>
  <c r="P137" i="3" s="1"/>
  <c r="R137" i="3" s="1"/>
  <c r="S137" i="3" s="1"/>
  <c r="Z136" i="3"/>
  <c r="AA136" i="3" s="1"/>
  <c r="X136" i="3"/>
  <c r="W136" i="3"/>
  <c r="V136" i="3"/>
  <c r="T136" i="3"/>
  <c r="O136" i="3"/>
  <c r="M136" i="3"/>
  <c r="P136" i="3" s="1"/>
  <c r="R136" i="3" s="1"/>
  <c r="S136" i="3" s="1"/>
  <c r="Z135" i="3"/>
  <c r="AA135" i="3" s="1"/>
  <c r="X135" i="3"/>
  <c r="T135" i="3"/>
  <c r="V135" i="3" s="1"/>
  <c r="W135" i="3" s="1"/>
  <c r="P135" i="3"/>
  <c r="R135" i="3" s="1"/>
  <c r="S135" i="3" s="1"/>
  <c r="O135" i="3"/>
  <c r="M135" i="3"/>
  <c r="Z134" i="3"/>
  <c r="AA134" i="3" s="1"/>
  <c r="X134" i="3"/>
  <c r="T134" i="3"/>
  <c r="V134" i="3" s="1"/>
  <c r="W134" i="3" s="1"/>
  <c r="M134" i="3"/>
  <c r="P134" i="3" s="1"/>
  <c r="R134" i="3" s="1"/>
  <c r="S134" i="3" s="1"/>
  <c r="X133" i="3"/>
  <c r="Z133" i="3" s="1"/>
  <c r="AA133" i="3" s="1"/>
  <c r="T133" i="3"/>
  <c r="V133" i="3" s="1"/>
  <c r="W133" i="3" s="1"/>
  <c r="M133" i="3"/>
  <c r="P133" i="3" s="1"/>
  <c r="R133" i="3" s="1"/>
  <c r="S133" i="3" s="1"/>
  <c r="X132" i="3"/>
  <c r="Z132" i="3" s="1"/>
  <c r="AA132" i="3" s="1"/>
  <c r="T132" i="3"/>
  <c r="V132" i="3" s="1"/>
  <c r="W132" i="3" s="1"/>
  <c r="R132" i="3"/>
  <c r="S132" i="3" s="1"/>
  <c r="P132" i="3"/>
  <c r="M132" i="3"/>
  <c r="O132" i="3" s="1"/>
  <c r="X131" i="3"/>
  <c r="Z131" i="3" s="1"/>
  <c r="AA131" i="3" s="1"/>
  <c r="T131" i="3"/>
  <c r="V131" i="3" s="1"/>
  <c r="W131" i="3" s="1"/>
  <c r="M131" i="3"/>
  <c r="P131" i="3" s="1"/>
  <c r="R131" i="3" s="1"/>
  <c r="S131" i="3" s="1"/>
  <c r="Z130" i="3"/>
  <c r="AA130" i="3" s="1"/>
  <c r="X130" i="3"/>
  <c r="T130" i="3"/>
  <c r="V130" i="3" s="1"/>
  <c r="W130" i="3" s="1"/>
  <c r="M130" i="3"/>
  <c r="P130" i="3" s="1"/>
  <c r="R130" i="3" s="1"/>
  <c r="S130" i="3" s="1"/>
  <c r="X129" i="3"/>
  <c r="Z129" i="3" s="1"/>
  <c r="AA129" i="3" s="1"/>
  <c r="V129" i="3"/>
  <c r="W129" i="3" s="1"/>
  <c r="T129" i="3"/>
  <c r="M129" i="3"/>
  <c r="P129" i="3" s="1"/>
  <c r="R129" i="3" s="1"/>
  <c r="S129" i="3" s="1"/>
  <c r="Z128" i="3"/>
  <c r="AA128" i="3" s="1"/>
  <c r="X128" i="3"/>
  <c r="V128" i="3"/>
  <c r="W128" i="3" s="1"/>
  <c r="T128" i="3"/>
  <c r="P128" i="3"/>
  <c r="R128" i="3" s="1"/>
  <c r="S128" i="3" s="1"/>
  <c r="O128" i="3"/>
  <c r="M128" i="3"/>
  <c r="AA127" i="3"/>
  <c r="Z127" i="3"/>
  <c r="X127" i="3"/>
  <c r="V127" i="3"/>
  <c r="W127" i="3" s="1"/>
  <c r="T127" i="3"/>
  <c r="P127" i="3"/>
  <c r="R127" i="3" s="1"/>
  <c r="S127" i="3" s="1"/>
  <c r="O127" i="3"/>
  <c r="M127" i="3"/>
  <c r="X126" i="3"/>
  <c r="Z126" i="3" s="1"/>
  <c r="AA126" i="3" s="1"/>
  <c r="T126" i="3"/>
  <c r="V126" i="3" s="1"/>
  <c r="W126" i="3" s="1"/>
  <c r="O126" i="3"/>
  <c r="M126" i="3"/>
  <c r="P126" i="3" s="1"/>
  <c r="R126" i="3" s="1"/>
  <c r="S126" i="3" s="1"/>
  <c r="X125" i="3"/>
  <c r="Z125" i="3" s="1"/>
  <c r="AA125" i="3" s="1"/>
  <c r="T125" i="3"/>
  <c r="V125" i="3" s="1"/>
  <c r="W125" i="3" s="1"/>
  <c r="M125" i="3"/>
  <c r="P125" i="3" s="1"/>
  <c r="R125" i="3" s="1"/>
  <c r="S125" i="3" s="1"/>
  <c r="X124" i="3"/>
  <c r="Z124" i="3" s="1"/>
  <c r="AA124" i="3" s="1"/>
  <c r="T124" i="3"/>
  <c r="V124" i="3" s="1"/>
  <c r="W124" i="3" s="1"/>
  <c r="P124" i="3"/>
  <c r="R124" i="3" s="1"/>
  <c r="S124" i="3" s="1"/>
  <c r="M124" i="3"/>
  <c r="O124" i="3" s="1"/>
  <c r="X123" i="3"/>
  <c r="Z123" i="3" s="1"/>
  <c r="AA123" i="3" s="1"/>
  <c r="V123" i="3"/>
  <c r="W123" i="3" s="1"/>
  <c r="T123" i="3"/>
  <c r="M123" i="3"/>
  <c r="P123" i="3" s="1"/>
  <c r="R123" i="3" s="1"/>
  <c r="S123" i="3" s="1"/>
  <c r="X122" i="3"/>
  <c r="Z122" i="3" s="1"/>
  <c r="AA122" i="3" s="1"/>
  <c r="T122" i="3"/>
  <c r="V122" i="3" s="1"/>
  <c r="W122" i="3" s="1"/>
  <c r="O122" i="3"/>
  <c r="M122" i="3"/>
  <c r="P122" i="3" s="1"/>
  <c r="R122" i="3" s="1"/>
  <c r="S122" i="3" s="1"/>
  <c r="X121" i="3"/>
  <c r="Z121" i="3" s="1"/>
  <c r="AA121" i="3" s="1"/>
  <c r="V121" i="3"/>
  <c r="W121" i="3" s="1"/>
  <c r="T121" i="3"/>
  <c r="M121" i="3"/>
  <c r="P121" i="3" s="1"/>
  <c r="R121" i="3" s="1"/>
  <c r="S121" i="3" s="1"/>
  <c r="Z120" i="3"/>
  <c r="AA120" i="3" s="1"/>
  <c r="X120" i="3"/>
  <c r="W120" i="3"/>
  <c r="V120" i="3"/>
  <c r="T120" i="3"/>
  <c r="O120" i="3"/>
  <c r="M120" i="3"/>
  <c r="P120" i="3" s="1"/>
  <c r="R120" i="3" s="1"/>
  <c r="S120" i="3" s="1"/>
  <c r="Z119" i="3"/>
  <c r="AA119" i="3" s="1"/>
  <c r="X119" i="3"/>
  <c r="T119" i="3"/>
  <c r="V119" i="3" s="1"/>
  <c r="W119" i="3" s="1"/>
  <c r="P119" i="3"/>
  <c r="R119" i="3" s="1"/>
  <c r="S119" i="3" s="1"/>
  <c r="O119" i="3"/>
  <c r="M119" i="3"/>
  <c r="Z118" i="3"/>
  <c r="AA118" i="3" s="1"/>
  <c r="X118" i="3"/>
  <c r="T118" i="3"/>
  <c r="V118" i="3" s="1"/>
  <c r="W118" i="3" s="1"/>
  <c r="M118" i="3"/>
  <c r="P118" i="3" s="1"/>
  <c r="R118" i="3" s="1"/>
  <c r="S118" i="3" s="1"/>
  <c r="X116" i="3"/>
  <c r="Z116" i="3" s="1"/>
  <c r="AA116" i="3" s="1"/>
  <c r="T116" i="3"/>
  <c r="V116" i="3" s="1"/>
  <c r="W116" i="3" s="1"/>
  <c r="M116" i="3"/>
  <c r="P116" i="3" s="1"/>
  <c r="R116" i="3" s="1"/>
  <c r="S116" i="3" s="1"/>
  <c r="Z115" i="3"/>
  <c r="AA115" i="3" s="1"/>
  <c r="X115" i="3"/>
  <c r="V115" i="3"/>
  <c r="W115" i="3" s="1"/>
  <c r="T115" i="3"/>
  <c r="M115" i="3"/>
  <c r="P115" i="3" s="1"/>
  <c r="R115" i="3" s="1"/>
  <c r="S115" i="3" s="1"/>
  <c r="X114" i="3"/>
  <c r="Z114" i="3" s="1"/>
  <c r="AA114" i="3" s="1"/>
  <c r="T114" i="3"/>
  <c r="V114" i="3" s="1"/>
  <c r="W114" i="3" s="1"/>
  <c r="P114" i="3"/>
  <c r="R114" i="3" s="1"/>
  <c r="S114" i="3" s="1"/>
  <c r="O114" i="3"/>
  <c r="M114" i="3"/>
  <c r="Z113" i="3"/>
  <c r="AA113" i="3" s="1"/>
  <c r="X113" i="3"/>
  <c r="V113" i="3"/>
  <c r="W113" i="3" s="1"/>
  <c r="T113" i="3"/>
  <c r="M113" i="3"/>
  <c r="P113" i="3" s="1"/>
  <c r="R113" i="3" s="1"/>
  <c r="S113" i="3" s="1"/>
  <c r="X112" i="3"/>
  <c r="Z112" i="3" s="1"/>
  <c r="AA112" i="3" s="1"/>
  <c r="W112" i="3"/>
  <c r="V112" i="3"/>
  <c r="T112" i="3"/>
  <c r="O112" i="3"/>
  <c r="M112" i="3"/>
  <c r="P112" i="3" s="1"/>
  <c r="R112" i="3" s="1"/>
  <c r="S112" i="3" s="1"/>
  <c r="Z111" i="3"/>
  <c r="AA111" i="3" s="1"/>
  <c r="X111" i="3"/>
  <c r="T111" i="3"/>
  <c r="V111" i="3" s="1"/>
  <c r="W111" i="3" s="1"/>
  <c r="P111" i="3"/>
  <c r="R111" i="3" s="1"/>
  <c r="S111" i="3" s="1"/>
  <c r="O111" i="3"/>
  <c r="M111" i="3"/>
  <c r="AA110" i="3"/>
  <c r="Z110" i="3"/>
  <c r="X110" i="3"/>
  <c r="W110" i="3"/>
  <c r="V110" i="3"/>
  <c r="T110" i="3"/>
  <c r="M110" i="3"/>
  <c r="P110" i="3" s="1"/>
  <c r="R110" i="3" s="1"/>
  <c r="S110" i="3" s="1"/>
  <c r="X109" i="3"/>
  <c r="Z109" i="3" s="1"/>
  <c r="AA109" i="3" s="1"/>
  <c r="T109" i="3"/>
  <c r="V109" i="3" s="1"/>
  <c r="W109" i="3" s="1"/>
  <c r="P109" i="3"/>
  <c r="R109" i="3" s="1"/>
  <c r="S109" i="3" s="1"/>
  <c r="O109" i="3"/>
  <c r="M109" i="3"/>
  <c r="X108" i="3"/>
  <c r="Z108" i="3" s="1"/>
  <c r="AA108" i="3" s="1"/>
  <c r="V108" i="3"/>
  <c r="W108" i="3" s="1"/>
  <c r="T108" i="3"/>
  <c r="M108" i="3"/>
  <c r="P108" i="3" s="1"/>
  <c r="R108" i="3" s="1"/>
  <c r="S108" i="3" s="1"/>
  <c r="X107" i="3"/>
  <c r="Z107" i="3" s="1"/>
  <c r="AA107" i="3" s="1"/>
  <c r="T107" i="3"/>
  <c r="V107" i="3" s="1"/>
  <c r="W107" i="3" s="1"/>
  <c r="P107" i="3"/>
  <c r="R107" i="3" s="1"/>
  <c r="S107" i="3" s="1"/>
  <c r="O107" i="3"/>
  <c r="M107" i="3"/>
  <c r="Z106" i="3"/>
  <c r="AA106" i="3" s="1"/>
  <c r="X106" i="3"/>
  <c r="V106" i="3"/>
  <c r="W106" i="3" s="1"/>
  <c r="T106" i="3"/>
  <c r="M106" i="3"/>
  <c r="P106" i="3" s="1"/>
  <c r="R106" i="3" s="1"/>
  <c r="S106" i="3" s="1"/>
  <c r="X105" i="3"/>
  <c r="Z105" i="3" s="1"/>
  <c r="AA105" i="3" s="1"/>
  <c r="T105" i="3"/>
  <c r="V105" i="3" s="1"/>
  <c r="W105" i="3" s="1"/>
  <c r="S105" i="3"/>
  <c r="R105" i="3"/>
  <c r="P105" i="3"/>
  <c r="O105" i="3"/>
  <c r="M105" i="3"/>
  <c r="Z104" i="3"/>
  <c r="AA104" i="3" s="1"/>
  <c r="X104" i="3"/>
  <c r="V104" i="3"/>
  <c r="W104" i="3" s="1"/>
  <c r="T104" i="3"/>
  <c r="M104" i="3"/>
  <c r="P104" i="3" s="1"/>
  <c r="R104" i="3" s="1"/>
  <c r="S104" i="3" s="1"/>
  <c r="AA103" i="3"/>
  <c r="Z103" i="3"/>
  <c r="X103" i="3"/>
  <c r="W103" i="3"/>
  <c r="V103" i="3"/>
  <c r="T103" i="3"/>
  <c r="O103" i="3"/>
  <c r="M103" i="3"/>
  <c r="P103" i="3" s="1"/>
  <c r="R103" i="3" s="1"/>
  <c r="S103" i="3" s="1"/>
  <c r="X102" i="3"/>
  <c r="Z102" i="3" s="1"/>
  <c r="AA102" i="3" s="1"/>
  <c r="T102" i="3"/>
  <c r="V102" i="3" s="1"/>
  <c r="W102" i="3" s="1"/>
  <c r="P102" i="3"/>
  <c r="R102" i="3" s="1"/>
  <c r="S102" i="3" s="1"/>
  <c r="O102" i="3"/>
  <c r="M102" i="3"/>
  <c r="AA101" i="3"/>
  <c r="Z101" i="3"/>
  <c r="X101" i="3"/>
  <c r="T101" i="3"/>
  <c r="V101" i="3" s="1"/>
  <c r="W101" i="3" s="1"/>
  <c r="M101" i="3"/>
  <c r="O101" i="3" s="1"/>
  <c r="X100" i="3"/>
  <c r="Z100" i="3" s="1"/>
  <c r="AA100" i="3" s="1"/>
  <c r="T100" i="3"/>
  <c r="V100" i="3" s="1"/>
  <c r="W100" i="3" s="1"/>
  <c r="M100" i="3"/>
  <c r="P100" i="3" s="1"/>
  <c r="R100" i="3" s="1"/>
  <c r="S100" i="3" s="1"/>
  <c r="Z99" i="3"/>
  <c r="AA99" i="3" s="1"/>
  <c r="X99" i="3"/>
  <c r="V99" i="3"/>
  <c r="W99" i="3" s="1"/>
  <c r="T99" i="3"/>
  <c r="M99" i="3"/>
  <c r="P99" i="3" s="1"/>
  <c r="R99" i="3" s="1"/>
  <c r="S99" i="3" s="1"/>
  <c r="X98" i="3"/>
  <c r="Z98" i="3" s="1"/>
  <c r="AA98" i="3" s="1"/>
  <c r="T98" i="3"/>
  <c r="V98" i="3" s="1"/>
  <c r="W98" i="3" s="1"/>
  <c r="P98" i="3"/>
  <c r="R98" i="3" s="1"/>
  <c r="S98" i="3" s="1"/>
  <c r="O98" i="3"/>
  <c r="M98" i="3"/>
  <c r="Z97" i="3"/>
  <c r="AA97" i="3" s="1"/>
  <c r="X97" i="3"/>
  <c r="V97" i="3"/>
  <c r="W97" i="3" s="1"/>
  <c r="T97" i="3"/>
  <c r="M97" i="3"/>
  <c r="P97" i="3" s="1"/>
  <c r="R97" i="3" s="1"/>
  <c r="S97" i="3" s="1"/>
  <c r="X96" i="3"/>
  <c r="Z96" i="3" s="1"/>
  <c r="AA96" i="3" s="1"/>
  <c r="W96" i="3"/>
  <c r="V96" i="3"/>
  <c r="T96" i="3"/>
  <c r="O96" i="3"/>
  <c r="M96" i="3"/>
  <c r="P96" i="3" s="1"/>
  <c r="R96" i="3" s="1"/>
  <c r="S96" i="3" s="1"/>
  <c r="Z95" i="3"/>
  <c r="AA95" i="3" s="1"/>
  <c r="X95" i="3"/>
  <c r="T95" i="3"/>
  <c r="V95" i="3" s="1"/>
  <c r="W95" i="3" s="1"/>
  <c r="P95" i="3"/>
  <c r="R95" i="3" s="1"/>
  <c r="S95" i="3" s="1"/>
  <c r="O95" i="3"/>
  <c r="M95" i="3"/>
  <c r="AA94" i="3"/>
  <c r="Z94" i="3"/>
  <c r="X94" i="3"/>
  <c r="W94" i="3"/>
  <c r="V94" i="3"/>
  <c r="T94" i="3"/>
  <c r="M94" i="3"/>
  <c r="P94" i="3" s="1"/>
  <c r="R94" i="3" s="1"/>
  <c r="S94" i="3" s="1"/>
  <c r="X93" i="3"/>
  <c r="Z93" i="3" s="1"/>
  <c r="AA93" i="3" s="1"/>
  <c r="T93" i="3"/>
  <c r="V93" i="3" s="1"/>
  <c r="W93" i="3" s="1"/>
  <c r="P93" i="3"/>
  <c r="R93" i="3" s="1"/>
  <c r="S93" i="3" s="1"/>
  <c r="O93" i="3"/>
  <c r="M93" i="3"/>
  <c r="X92" i="3"/>
  <c r="Z92" i="3" s="1"/>
  <c r="AA92" i="3" s="1"/>
  <c r="V92" i="3"/>
  <c r="W92" i="3" s="1"/>
  <c r="T92" i="3"/>
  <c r="M92" i="3"/>
  <c r="P92" i="3" s="1"/>
  <c r="R92" i="3" s="1"/>
  <c r="S92" i="3" s="1"/>
  <c r="X91" i="3"/>
  <c r="Z91" i="3" s="1"/>
  <c r="AA91" i="3" s="1"/>
  <c r="T91" i="3"/>
  <c r="V91" i="3" s="1"/>
  <c r="W91" i="3" s="1"/>
  <c r="P91" i="3"/>
  <c r="R91" i="3" s="1"/>
  <c r="S91" i="3" s="1"/>
  <c r="O91" i="3"/>
  <c r="M91" i="3"/>
  <c r="Z90" i="3"/>
  <c r="AA90" i="3" s="1"/>
  <c r="X90" i="3"/>
  <c r="V90" i="3"/>
  <c r="W90" i="3" s="1"/>
  <c r="T90" i="3"/>
  <c r="M90" i="3"/>
  <c r="P90" i="3" s="1"/>
  <c r="R90" i="3" s="1"/>
  <c r="S90" i="3" s="1"/>
  <c r="X89" i="3"/>
  <c r="Z89" i="3" s="1"/>
  <c r="AA89" i="3" s="1"/>
  <c r="T89" i="3"/>
  <c r="V89" i="3" s="1"/>
  <c r="W89" i="3" s="1"/>
  <c r="S89" i="3"/>
  <c r="R89" i="3"/>
  <c r="P89" i="3"/>
  <c r="O89" i="3"/>
  <c r="M89" i="3"/>
  <c r="X87" i="3"/>
  <c r="Z87" i="3" s="1"/>
  <c r="AA87" i="3" s="1"/>
  <c r="T87" i="3"/>
  <c r="V87" i="3" s="1"/>
  <c r="W87" i="3" s="1"/>
  <c r="R87" i="3"/>
  <c r="S87" i="3" s="1"/>
  <c r="P87" i="3"/>
  <c r="M87" i="3"/>
  <c r="O87" i="3" s="1"/>
  <c r="Z86" i="3"/>
  <c r="AA86" i="3" s="1"/>
  <c r="X86" i="3"/>
  <c r="V86" i="3"/>
  <c r="W86" i="3" s="1"/>
  <c r="T86" i="3"/>
  <c r="P86" i="3"/>
  <c r="R86" i="3" s="1"/>
  <c r="S86" i="3" s="1"/>
  <c r="M86" i="3"/>
  <c r="O86" i="3" s="1"/>
  <c r="Z85" i="3"/>
  <c r="AA85" i="3" s="1"/>
  <c r="X85" i="3"/>
  <c r="T85" i="3"/>
  <c r="V85" i="3" s="1"/>
  <c r="W85" i="3" s="1"/>
  <c r="P85" i="3"/>
  <c r="R85" i="3" s="1"/>
  <c r="S85" i="3" s="1"/>
  <c r="O85" i="3"/>
  <c r="M85" i="3"/>
  <c r="X84" i="3"/>
  <c r="Z84" i="3" s="1"/>
  <c r="AA84" i="3" s="1"/>
  <c r="V84" i="3"/>
  <c r="W84" i="3" s="1"/>
  <c r="T84" i="3"/>
  <c r="S84" i="3"/>
  <c r="R84" i="3"/>
  <c r="P84" i="3"/>
  <c r="M84" i="3"/>
  <c r="O84" i="3" s="1"/>
  <c r="X83" i="3"/>
  <c r="Z83" i="3" s="1"/>
  <c r="AA83" i="3" s="1"/>
  <c r="W83" i="3"/>
  <c r="V83" i="3"/>
  <c r="T83" i="3"/>
  <c r="R83" i="3"/>
  <c r="S83" i="3" s="1"/>
  <c r="P83" i="3"/>
  <c r="O83" i="3"/>
  <c r="M83" i="3"/>
  <c r="AA82" i="3"/>
  <c r="Z82" i="3"/>
  <c r="X82" i="3"/>
  <c r="T82" i="3"/>
  <c r="V82" i="3" s="1"/>
  <c r="W82" i="3" s="1"/>
  <c r="P82" i="3"/>
  <c r="R82" i="3" s="1"/>
  <c r="S82" i="3" s="1"/>
  <c r="O82" i="3"/>
  <c r="M82" i="3"/>
  <c r="Z81" i="3"/>
  <c r="AA81" i="3" s="1"/>
  <c r="X81" i="3"/>
  <c r="T81" i="3"/>
  <c r="V81" i="3" s="1"/>
  <c r="W81" i="3" s="1"/>
  <c r="M81" i="3"/>
  <c r="P81" i="3" s="1"/>
  <c r="R81" i="3" s="1"/>
  <c r="S81" i="3" s="1"/>
  <c r="X80" i="3"/>
  <c r="Z80" i="3" s="1"/>
  <c r="AA80" i="3" s="1"/>
  <c r="T80" i="3"/>
  <c r="V80" i="3" s="1"/>
  <c r="W80" i="3" s="1"/>
  <c r="P80" i="3"/>
  <c r="R80" i="3" s="1"/>
  <c r="S80" i="3" s="1"/>
  <c r="M80" i="3"/>
  <c r="O80" i="3" s="1"/>
  <c r="AA79" i="3"/>
  <c r="Z79" i="3"/>
  <c r="X79" i="3"/>
  <c r="V79" i="3"/>
  <c r="W79" i="3" s="1"/>
  <c r="T79" i="3"/>
  <c r="R79" i="3"/>
  <c r="S79" i="3" s="1"/>
  <c r="P79" i="3"/>
  <c r="M79" i="3"/>
  <c r="O79" i="3" s="1"/>
  <c r="X78" i="3"/>
  <c r="Z78" i="3" s="1"/>
  <c r="AA78" i="3" s="1"/>
  <c r="V78" i="3"/>
  <c r="W78" i="3" s="1"/>
  <c r="T78" i="3"/>
  <c r="O78" i="3"/>
  <c r="M78" i="3"/>
  <c r="P78" i="3" s="1"/>
  <c r="R78" i="3" s="1"/>
  <c r="S78" i="3" s="1"/>
  <c r="Z77" i="3"/>
  <c r="AA77" i="3" s="1"/>
  <c r="X77" i="3"/>
  <c r="V77" i="3"/>
  <c r="W77" i="3" s="1"/>
  <c r="T77" i="3"/>
  <c r="R77" i="3"/>
  <c r="S77" i="3" s="1"/>
  <c r="P77" i="3"/>
  <c r="O77" i="3"/>
  <c r="M77" i="3"/>
  <c r="X76" i="3"/>
  <c r="Z76" i="3" s="1"/>
  <c r="AA76" i="3" s="1"/>
  <c r="T76" i="3"/>
  <c r="V76" i="3" s="1"/>
  <c r="W76" i="3" s="1"/>
  <c r="S76" i="3"/>
  <c r="R76" i="3"/>
  <c r="P76" i="3"/>
  <c r="O76" i="3"/>
  <c r="M76" i="3"/>
  <c r="Z75" i="3"/>
  <c r="AA75" i="3" s="1"/>
  <c r="X75" i="3"/>
  <c r="W75" i="3"/>
  <c r="V75" i="3"/>
  <c r="T75" i="3"/>
  <c r="M75" i="3"/>
  <c r="P75" i="3" s="1"/>
  <c r="R75" i="3" s="1"/>
  <c r="S75" i="3" s="1"/>
  <c r="AA74" i="3"/>
  <c r="Z74" i="3"/>
  <c r="X74" i="3"/>
  <c r="W74" i="3"/>
  <c r="V74" i="3"/>
  <c r="T74" i="3"/>
  <c r="P74" i="3"/>
  <c r="R74" i="3" s="1"/>
  <c r="S74" i="3" s="1"/>
  <c r="O74" i="3"/>
  <c r="M74" i="3"/>
  <c r="X73" i="3"/>
  <c r="Z73" i="3" s="1"/>
  <c r="AA73" i="3" s="1"/>
  <c r="T73" i="3"/>
  <c r="V73" i="3" s="1"/>
  <c r="W73" i="3" s="1"/>
  <c r="P73" i="3"/>
  <c r="R73" i="3" s="1"/>
  <c r="S73" i="3" s="1"/>
  <c r="O73" i="3"/>
  <c r="M73" i="3"/>
  <c r="X72" i="3"/>
  <c r="Z72" i="3" s="1"/>
  <c r="AA72" i="3" s="1"/>
  <c r="W72" i="3"/>
  <c r="V72" i="3"/>
  <c r="T72" i="3"/>
  <c r="M72" i="3"/>
  <c r="O72" i="3" s="1"/>
  <c r="X71" i="3"/>
  <c r="Z71" i="3" s="1"/>
  <c r="AA71" i="3" s="1"/>
  <c r="T71" i="3"/>
  <c r="V71" i="3" s="1"/>
  <c r="W71" i="3" s="1"/>
  <c r="R71" i="3"/>
  <c r="S71" i="3" s="1"/>
  <c r="P71" i="3"/>
  <c r="O71" i="3"/>
  <c r="M71" i="3"/>
  <c r="Z70" i="3"/>
  <c r="AA70" i="3" s="1"/>
  <c r="X70" i="3"/>
  <c r="V70" i="3"/>
  <c r="W70" i="3" s="1"/>
  <c r="T70" i="3"/>
  <c r="M70" i="3"/>
  <c r="P70" i="3" s="1"/>
  <c r="R70" i="3" s="1"/>
  <c r="S70" i="3" s="1"/>
  <c r="Z69" i="3"/>
  <c r="AA69" i="3" s="1"/>
  <c r="X69" i="3"/>
  <c r="T69" i="3"/>
  <c r="V69" i="3" s="1"/>
  <c r="W69" i="3" s="1"/>
  <c r="P69" i="3"/>
  <c r="R69" i="3" s="1"/>
  <c r="S69" i="3" s="1"/>
  <c r="O69" i="3"/>
  <c r="M69" i="3"/>
  <c r="Z68" i="3"/>
  <c r="AA68" i="3" s="1"/>
  <c r="X68" i="3"/>
  <c r="V68" i="3"/>
  <c r="W68" i="3" s="1"/>
  <c r="T68" i="3"/>
  <c r="S68" i="3"/>
  <c r="R68" i="3"/>
  <c r="P68" i="3"/>
  <c r="M68" i="3"/>
  <c r="O68" i="3" s="1"/>
  <c r="X67" i="3"/>
  <c r="Z67" i="3" s="1"/>
  <c r="AA67" i="3" s="1"/>
  <c r="W67" i="3"/>
  <c r="V67" i="3"/>
  <c r="T67" i="3"/>
  <c r="S67" i="3"/>
  <c r="R67" i="3"/>
  <c r="P67" i="3"/>
  <c r="O67" i="3"/>
  <c r="M67" i="3"/>
  <c r="AA66" i="3"/>
  <c r="Z66" i="3"/>
  <c r="X66" i="3"/>
  <c r="T66" i="3"/>
  <c r="V66" i="3" s="1"/>
  <c r="W66" i="3" s="1"/>
  <c r="P66" i="3"/>
  <c r="R66" i="3" s="1"/>
  <c r="S66" i="3" s="1"/>
  <c r="O66" i="3"/>
  <c r="M66" i="3"/>
  <c r="AA65" i="3"/>
  <c r="Z65" i="3"/>
  <c r="X65" i="3"/>
  <c r="T65" i="3"/>
  <c r="V65" i="3" s="1"/>
  <c r="W65" i="3" s="1"/>
  <c r="M65" i="3"/>
  <c r="P65" i="3" s="1"/>
  <c r="R65" i="3" s="1"/>
  <c r="S65" i="3" s="1"/>
  <c r="X64" i="3"/>
  <c r="Z64" i="3" s="1"/>
  <c r="AA64" i="3" s="1"/>
  <c r="T64" i="3"/>
  <c r="V64" i="3" s="1"/>
  <c r="W64" i="3" s="1"/>
  <c r="P64" i="3"/>
  <c r="R64" i="3" s="1"/>
  <c r="S64" i="3" s="1"/>
  <c r="M64" i="3"/>
  <c r="O64" i="3" s="1"/>
  <c r="AA63" i="3"/>
  <c r="Z63" i="3"/>
  <c r="X63" i="3"/>
  <c r="V63" i="3"/>
  <c r="W63" i="3" s="1"/>
  <c r="T63" i="3"/>
  <c r="R63" i="3"/>
  <c r="S63" i="3" s="1"/>
  <c r="P63" i="3"/>
  <c r="M63" i="3"/>
  <c r="O63" i="3" s="1"/>
  <c r="X62" i="3"/>
  <c r="Z62" i="3" s="1"/>
  <c r="AA62" i="3" s="1"/>
  <c r="V62" i="3"/>
  <c r="W62" i="3" s="1"/>
  <c r="T62" i="3"/>
  <c r="O62" i="3"/>
  <c r="M62" i="3"/>
  <c r="P62" i="3" s="1"/>
  <c r="R62" i="3" s="1"/>
  <c r="S62" i="3" s="1"/>
  <c r="Z61" i="3"/>
  <c r="AA61" i="3" s="1"/>
  <c r="X61" i="3"/>
  <c r="V61" i="3"/>
  <c r="W61" i="3" s="1"/>
  <c r="T61" i="3"/>
  <c r="R61" i="3"/>
  <c r="S61" i="3" s="1"/>
  <c r="P61" i="3"/>
  <c r="O61" i="3"/>
  <c r="M61" i="3"/>
  <c r="X60" i="3"/>
  <c r="Z60" i="3" s="1"/>
  <c r="AA60" i="3" s="1"/>
  <c r="T60" i="3"/>
  <c r="V60" i="3" s="1"/>
  <c r="W60" i="3" s="1"/>
  <c r="S60" i="3"/>
  <c r="R60" i="3"/>
  <c r="P60" i="3"/>
  <c r="O60" i="3"/>
  <c r="M60" i="3"/>
  <c r="X58" i="3"/>
  <c r="Z58" i="3" s="1"/>
  <c r="AA58" i="3" s="1"/>
  <c r="T58" i="3"/>
  <c r="V58" i="3" s="1"/>
  <c r="W58" i="3" s="1"/>
  <c r="R58" i="3"/>
  <c r="S58" i="3" s="1"/>
  <c r="P58" i="3"/>
  <c r="M58" i="3"/>
  <c r="O58" i="3" s="1"/>
  <c r="X57" i="3"/>
  <c r="Z57" i="3" s="1"/>
  <c r="AA57" i="3" s="1"/>
  <c r="T57" i="3"/>
  <c r="V57" i="3" s="1"/>
  <c r="W57" i="3" s="1"/>
  <c r="M57" i="3"/>
  <c r="P57" i="3" s="1"/>
  <c r="R57" i="3" s="1"/>
  <c r="S57" i="3" s="1"/>
  <c r="Z56" i="3"/>
  <c r="AA56" i="3" s="1"/>
  <c r="X56" i="3"/>
  <c r="T56" i="3"/>
  <c r="V56" i="3" s="1"/>
  <c r="W56" i="3" s="1"/>
  <c r="M56" i="3"/>
  <c r="P56" i="3" s="1"/>
  <c r="R56" i="3" s="1"/>
  <c r="S56" i="3" s="1"/>
  <c r="X55" i="3"/>
  <c r="Z55" i="3" s="1"/>
  <c r="AA55" i="3" s="1"/>
  <c r="T55" i="3"/>
  <c r="V55" i="3" s="1"/>
  <c r="W55" i="3" s="1"/>
  <c r="M55" i="3"/>
  <c r="P55" i="3" s="1"/>
  <c r="R55" i="3" s="1"/>
  <c r="S55" i="3" s="1"/>
  <c r="Z54" i="3"/>
  <c r="AA54" i="3" s="1"/>
  <c r="X54" i="3"/>
  <c r="T54" i="3"/>
  <c r="V54" i="3" s="1"/>
  <c r="W54" i="3" s="1"/>
  <c r="M54" i="3"/>
  <c r="P54" i="3" s="1"/>
  <c r="R54" i="3" s="1"/>
  <c r="S54" i="3" s="1"/>
  <c r="AA53" i="3"/>
  <c r="Z53" i="3"/>
  <c r="X53" i="3"/>
  <c r="T53" i="3"/>
  <c r="V53" i="3" s="1"/>
  <c r="W53" i="3" s="1"/>
  <c r="M53" i="3"/>
  <c r="P53" i="3" s="1"/>
  <c r="R53" i="3" s="1"/>
  <c r="S53" i="3" s="1"/>
  <c r="X52" i="3"/>
  <c r="Z52" i="3" s="1"/>
  <c r="AA52" i="3" s="1"/>
  <c r="T52" i="3"/>
  <c r="V52" i="3" s="1"/>
  <c r="W52" i="3" s="1"/>
  <c r="M52" i="3"/>
  <c r="P52" i="3" s="1"/>
  <c r="R52" i="3" s="1"/>
  <c r="S52" i="3" s="1"/>
  <c r="X51" i="3"/>
  <c r="Z51" i="3" s="1"/>
  <c r="AA51" i="3" s="1"/>
  <c r="T51" i="3"/>
  <c r="V51" i="3" s="1"/>
  <c r="W51" i="3" s="1"/>
  <c r="P51" i="3"/>
  <c r="R51" i="3" s="1"/>
  <c r="S51" i="3" s="1"/>
  <c r="M51" i="3"/>
  <c r="O51" i="3" s="1"/>
  <c r="X50" i="3"/>
  <c r="Z50" i="3" s="1"/>
  <c r="AA50" i="3" s="1"/>
  <c r="T50" i="3"/>
  <c r="V50" i="3" s="1"/>
  <c r="W50" i="3" s="1"/>
  <c r="M50" i="3"/>
  <c r="P50" i="3" s="1"/>
  <c r="R50" i="3" s="1"/>
  <c r="S50" i="3" s="1"/>
  <c r="X49" i="3"/>
  <c r="Z49" i="3" s="1"/>
  <c r="AA49" i="3" s="1"/>
  <c r="V49" i="3"/>
  <c r="W49" i="3" s="1"/>
  <c r="T49" i="3"/>
  <c r="M49" i="3"/>
  <c r="P49" i="3" s="1"/>
  <c r="R49" i="3" s="1"/>
  <c r="S49" i="3" s="1"/>
  <c r="X48" i="3"/>
  <c r="Z48" i="3" s="1"/>
  <c r="AA48" i="3" s="1"/>
  <c r="T48" i="3"/>
  <c r="V48" i="3" s="1"/>
  <c r="W48" i="3" s="1"/>
  <c r="P48" i="3"/>
  <c r="R48" i="3" s="1"/>
  <c r="S48" i="3" s="1"/>
  <c r="O48" i="3"/>
  <c r="M48" i="3"/>
  <c r="X47" i="3"/>
  <c r="Z47" i="3" s="1"/>
  <c r="AA47" i="3" s="1"/>
  <c r="V47" i="3"/>
  <c r="W47" i="3" s="1"/>
  <c r="T47" i="3"/>
  <c r="M47" i="3"/>
  <c r="P47" i="3" s="1"/>
  <c r="R47" i="3" s="1"/>
  <c r="S47" i="3" s="1"/>
  <c r="X46" i="3"/>
  <c r="Z46" i="3" s="1"/>
  <c r="AA46" i="3" s="1"/>
  <c r="W46" i="3"/>
  <c r="V46" i="3"/>
  <c r="T46" i="3"/>
  <c r="P46" i="3"/>
  <c r="R46" i="3" s="1"/>
  <c r="S46" i="3" s="1"/>
  <c r="O46" i="3"/>
  <c r="M46" i="3"/>
  <c r="X45" i="3"/>
  <c r="Z45" i="3" s="1"/>
  <c r="AA45" i="3" s="1"/>
  <c r="V45" i="3"/>
  <c r="W45" i="3" s="1"/>
  <c r="T45" i="3"/>
  <c r="P45" i="3"/>
  <c r="R45" i="3" s="1"/>
  <c r="S45" i="3" s="1"/>
  <c r="O45" i="3"/>
  <c r="M45" i="3"/>
  <c r="X44" i="3"/>
  <c r="Z44" i="3" s="1"/>
  <c r="AA44" i="3" s="1"/>
  <c r="T44" i="3"/>
  <c r="V44" i="3" s="1"/>
  <c r="W44" i="3" s="1"/>
  <c r="O44" i="3"/>
  <c r="M44" i="3"/>
  <c r="P44" i="3" s="1"/>
  <c r="R44" i="3" s="1"/>
  <c r="S44" i="3" s="1"/>
  <c r="X43" i="3"/>
  <c r="Z43" i="3" s="1"/>
  <c r="AA43" i="3" s="1"/>
  <c r="T43" i="3"/>
  <c r="V43" i="3" s="1"/>
  <c r="W43" i="3" s="1"/>
  <c r="P43" i="3"/>
  <c r="R43" i="3" s="1"/>
  <c r="S43" i="3" s="1"/>
  <c r="M43" i="3"/>
  <c r="O43" i="3" s="1"/>
  <c r="X42" i="3"/>
  <c r="Z42" i="3" s="1"/>
  <c r="AA42" i="3" s="1"/>
  <c r="T42" i="3"/>
  <c r="V42" i="3" s="1"/>
  <c r="W42" i="3" s="1"/>
  <c r="R42" i="3"/>
  <c r="S42" i="3" s="1"/>
  <c r="P42" i="3"/>
  <c r="M42" i="3"/>
  <c r="O42" i="3" s="1"/>
  <c r="X41" i="3"/>
  <c r="Z41" i="3" s="1"/>
  <c r="AA41" i="3" s="1"/>
  <c r="T41" i="3"/>
  <c r="V41" i="3" s="1"/>
  <c r="W41" i="3" s="1"/>
  <c r="M41" i="3"/>
  <c r="P41" i="3" s="1"/>
  <c r="R41" i="3" s="1"/>
  <c r="S41" i="3" s="1"/>
  <c r="Z40" i="3"/>
  <c r="AA40" i="3" s="1"/>
  <c r="X40" i="3"/>
  <c r="T40" i="3"/>
  <c r="V40" i="3" s="1"/>
  <c r="W40" i="3" s="1"/>
  <c r="M40" i="3"/>
  <c r="P40" i="3" s="1"/>
  <c r="R40" i="3" s="1"/>
  <c r="S40" i="3" s="1"/>
  <c r="X39" i="3"/>
  <c r="Z39" i="3" s="1"/>
  <c r="AA39" i="3" s="1"/>
  <c r="T39" i="3"/>
  <c r="V39" i="3" s="1"/>
  <c r="W39" i="3" s="1"/>
  <c r="M39" i="3"/>
  <c r="P39" i="3" s="1"/>
  <c r="R39" i="3" s="1"/>
  <c r="S39" i="3" s="1"/>
  <c r="Z38" i="3"/>
  <c r="AA38" i="3" s="1"/>
  <c r="X38" i="3"/>
  <c r="T38" i="3"/>
  <c r="V38" i="3" s="1"/>
  <c r="W38" i="3" s="1"/>
  <c r="R38" i="3"/>
  <c r="S38" i="3" s="1"/>
  <c r="P38" i="3"/>
  <c r="M38" i="3"/>
  <c r="O38" i="3" s="1"/>
  <c r="AA37" i="3"/>
  <c r="Z37" i="3"/>
  <c r="X37" i="3"/>
  <c r="T37" i="3"/>
  <c r="V37" i="3" s="1"/>
  <c r="W37" i="3" s="1"/>
  <c r="M37" i="3"/>
  <c r="P37" i="3" s="1"/>
  <c r="R37" i="3" s="1"/>
  <c r="S37" i="3" s="1"/>
  <c r="Z36" i="3"/>
  <c r="AA36" i="3" s="1"/>
  <c r="X36" i="3"/>
  <c r="T36" i="3"/>
  <c r="V36" i="3" s="1"/>
  <c r="W36" i="3" s="1"/>
  <c r="M36" i="3"/>
  <c r="P36" i="3" s="1"/>
  <c r="R36" i="3" s="1"/>
  <c r="S36" i="3" s="1"/>
  <c r="X35" i="3"/>
  <c r="Z35" i="3" s="1"/>
  <c r="AA35" i="3" s="1"/>
  <c r="T35" i="3"/>
  <c r="V35" i="3" s="1"/>
  <c r="W35" i="3" s="1"/>
  <c r="M35" i="3"/>
  <c r="P35" i="3" s="1"/>
  <c r="R35" i="3" s="1"/>
  <c r="S35" i="3" s="1"/>
  <c r="X34" i="3"/>
  <c r="Z34" i="3" s="1"/>
  <c r="AA34" i="3" s="1"/>
  <c r="T34" i="3"/>
  <c r="V34" i="3" s="1"/>
  <c r="W34" i="3" s="1"/>
  <c r="M34" i="3"/>
  <c r="P34" i="3" s="1"/>
  <c r="R34" i="3" s="1"/>
  <c r="S34" i="3" s="1"/>
  <c r="X33" i="3"/>
  <c r="Z33" i="3" s="1"/>
  <c r="AA33" i="3" s="1"/>
  <c r="V33" i="3"/>
  <c r="W33" i="3" s="1"/>
  <c r="T33" i="3"/>
  <c r="M33" i="3"/>
  <c r="P33" i="3" s="1"/>
  <c r="R33" i="3" s="1"/>
  <c r="S33" i="3" s="1"/>
  <c r="X32" i="3"/>
  <c r="Z32" i="3" s="1"/>
  <c r="AA32" i="3" s="1"/>
  <c r="T32" i="3"/>
  <c r="V32" i="3" s="1"/>
  <c r="W32" i="3" s="1"/>
  <c r="R32" i="3"/>
  <c r="S32" i="3" s="1"/>
  <c r="P32" i="3"/>
  <c r="O32" i="3"/>
  <c r="M32" i="3"/>
  <c r="X31" i="3"/>
  <c r="Z31" i="3" s="1"/>
  <c r="AA31" i="3" s="1"/>
  <c r="V31" i="3"/>
  <c r="W31" i="3" s="1"/>
  <c r="T31" i="3"/>
  <c r="M31" i="3"/>
  <c r="P31" i="3" s="1"/>
  <c r="R31" i="3" s="1"/>
  <c r="S31" i="3" s="1"/>
  <c r="M3" i="3"/>
  <c r="M4" i="3"/>
  <c r="M5" i="3"/>
  <c r="M6" i="3"/>
  <c r="M7" i="3"/>
  <c r="M8" i="3"/>
  <c r="P8" i="3" s="1"/>
  <c r="R8" i="3" s="1"/>
  <c r="S8" i="3" s="1"/>
  <c r="M9" i="3"/>
  <c r="M10" i="3"/>
  <c r="P10" i="3" s="1"/>
  <c r="R10" i="3" s="1"/>
  <c r="S10" i="3" s="1"/>
  <c r="M11" i="3"/>
  <c r="O11" i="3" s="1"/>
  <c r="M12" i="3"/>
  <c r="P12" i="3" s="1"/>
  <c r="R12" i="3" s="1"/>
  <c r="S12" i="3" s="1"/>
  <c r="M13" i="3"/>
  <c r="M14" i="3"/>
  <c r="P14" i="3" s="1"/>
  <c r="R14" i="3" s="1"/>
  <c r="S14" i="3" s="1"/>
  <c r="M15" i="3"/>
  <c r="P15" i="3" s="1"/>
  <c r="R15" i="3" s="1"/>
  <c r="S15" i="3" s="1"/>
  <c r="M16" i="3"/>
  <c r="P16" i="3" s="1"/>
  <c r="R16" i="3" s="1"/>
  <c r="S16" i="3" s="1"/>
  <c r="M17" i="3"/>
  <c r="M18" i="3"/>
  <c r="P18" i="3" s="1"/>
  <c r="R18" i="3" s="1"/>
  <c r="S18" i="3" s="1"/>
  <c r="M19" i="3"/>
  <c r="M20" i="3"/>
  <c r="M21" i="3"/>
  <c r="M22" i="3"/>
  <c r="M23" i="3"/>
  <c r="M24" i="3"/>
  <c r="P24" i="3" s="1"/>
  <c r="R24" i="3" s="1"/>
  <c r="S24" i="3" s="1"/>
  <c r="M25" i="3"/>
  <c r="M26" i="3"/>
  <c r="P26" i="3" s="1"/>
  <c r="R26" i="3" s="1"/>
  <c r="S26" i="3" s="1"/>
  <c r="M27" i="3"/>
  <c r="P27" i="3" s="1"/>
  <c r="R27" i="3" s="1"/>
  <c r="S27" i="3" s="1"/>
  <c r="M28" i="3"/>
  <c r="P28" i="3" s="1"/>
  <c r="R28" i="3" s="1"/>
  <c r="S28" i="3" s="1"/>
  <c r="M29" i="3"/>
  <c r="M2" i="3"/>
  <c r="X29" i="3"/>
  <c r="Z29" i="3" s="1"/>
  <c r="AA29" i="3" s="1"/>
  <c r="T29" i="3"/>
  <c r="V29" i="3" s="1"/>
  <c r="W29" i="3" s="1"/>
  <c r="P29" i="3"/>
  <c r="R29" i="3" s="1"/>
  <c r="S29" i="3" s="1"/>
  <c r="O29" i="3"/>
  <c r="X28" i="3"/>
  <c r="Z28" i="3" s="1"/>
  <c r="AA28" i="3" s="1"/>
  <c r="T28" i="3"/>
  <c r="V28" i="3" s="1"/>
  <c r="W28" i="3" s="1"/>
  <c r="X27" i="3"/>
  <c r="Z27" i="3" s="1"/>
  <c r="AA27" i="3" s="1"/>
  <c r="T27" i="3"/>
  <c r="V27" i="3" s="1"/>
  <c r="W27" i="3" s="1"/>
  <c r="X26" i="3"/>
  <c r="Z26" i="3" s="1"/>
  <c r="AA26" i="3" s="1"/>
  <c r="T26" i="3"/>
  <c r="V26" i="3" s="1"/>
  <c r="W26" i="3" s="1"/>
  <c r="X25" i="3"/>
  <c r="Z25" i="3" s="1"/>
  <c r="AA25" i="3" s="1"/>
  <c r="T25" i="3"/>
  <c r="V25" i="3" s="1"/>
  <c r="W25" i="3" s="1"/>
  <c r="P25" i="3"/>
  <c r="R25" i="3" s="1"/>
  <c r="S25" i="3" s="1"/>
  <c r="O25" i="3"/>
  <c r="X24" i="3"/>
  <c r="Z24" i="3" s="1"/>
  <c r="AA24" i="3" s="1"/>
  <c r="T24" i="3"/>
  <c r="V24" i="3" s="1"/>
  <c r="W24" i="3" s="1"/>
  <c r="X23" i="3"/>
  <c r="Z23" i="3" s="1"/>
  <c r="AA23" i="3" s="1"/>
  <c r="T23" i="3"/>
  <c r="V23" i="3" s="1"/>
  <c r="W23" i="3" s="1"/>
  <c r="P23" i="3"/>
  <c r="R23" i="3" s="1"/>
  <c r="S23" i="3" s="1"/>
  <c r="O23" i="3"/>
  <c r="X22" i="3"/>
  <c r="Z22" i="3" s="1"/>
  <c r="AA22" i="3" s="1"/>
  <c r="T22" i="3"/>
  <c r="V22" i="3" s="1"/>
  <c r="W22" i="3" s="1"/>
  <c r="P22" i="3"/>
  <c r="R22" i="3" s="1"/>
  <c r="S22" i="3" s="1"/>
  <c r="O22" i="3"/>
  <c r="X21" i="3"/>
  <c r="Z21" i="3" s="1"/>
  <c r="AA21" i="3" s="1"/>
  <c r="T21" i="3"/>
  <c r="V21" i="3" s="1"/>
  <c r="W21" i="3" s="1"/>
  <c r="P21" i="3"/>
  <c r="R21" i="3" s="1"/>
  <c r="S21" i="3" s="1"/>
  <c r="O21" i="3"/>
  <c r="X20" i="3"/>
  <c r="Z20" i="3" s="1"/>
  <c r="AA20" i="3" s="1"/>
  <c r="T20" i="3"/>
  <c r="V20" i="3" s="1"/>
  <c r="W20" i="3" s="1"/>
  <c r="P20" i="3"/>
  <c r="R20" i="3" s="1"/>
  <c r="S20" i="3" s="1"/>
  <c r="O20" i="3"/>
  <c r="X19" i="3"/>
  <c r="Z19" i="3" s="1"/>
  <c r="AA19" i="3" s="1"/>
  <c r="T19" i="3"/>
  <c r="V19" i="3" s="1"/>
  <c r="W19" i="3" s="1"/>
  <c r="P19" i="3"/>
  <c r="R19" i="3" s="1"/>
  <c r="S19" i="3" s="1"/>
  <c r="O19" i="3"/>
  <c r="X18" i="3"/>
  <c r="Z18" i="3" s="1"/>
  <c r="AA18" i="3" s="1"/>
  <c r="T18" i="3"/>
  <c r="V18" i="3" s="1"/>
  <c r="W18" i="3" s="1"/>
  <c r="X17" i="3"/>
  <c r="Z17" i="3" s="1"/>
  <c r="AA17" i="3" s="1"/>
  <c r="T17" i="3"/>
  <c r="V17" i="3" s="1"/>
  <c r="W17" i="3" s="1"/>
  <c r="P17" i="3"/>
  <c r="R17" i="3" s="1"/>
  <c r="S17" i="3" s="1"/>
  <c r="O17" i="3"/>
  <c r="X16" i="3"/>
  <c r="Z16" i="3" s="1"/>
  <c r="AA16" i="3" s="1"/>
  <c r="T16" i="3"/>
  <c r="V16" i="3" s="1"/>
  <c r="W16" i="3" s="1"/>
  <c r="X15" i="3"/>
  <c r="Z15" i="3" s="1"/>
  <c r="AA15" i="3" s="1"/>
  <c r="T15" i="3"/>
  <c r="V15" i="3" s="1"/>
  <c r="W15" i="3" s="1"/>
  <c r="O15" i="3"/>
  <c r="X14" i="3"/>
  <c r="Z14" i="3" s="1"/>
  <c r="AA14" i="3" s="1"/>
  <c r="T14" i="3"/>
  <c r="V14" i="3" s="1"/>
  <c r="W14" i="3" s="1"/>
  <c r="O14" i="3"/>
  <c r="X13" i="3"/>
  <c r="Z13" i="3" s="1"/>
  <c r="AA13" i="3" s="1"/>
  <c r="T13" i="3"/>
  <c r="V13" i="3" s="1"/>
  <c r="W13" i="3" s="1"/>
  <c r="P13" i="3"/>
  <c r="R13" i="3" s="1"/>
  <c r="S13" i="3" s="1"/>
  <c r="O13" i="3"/>
  <c r="X12" i="3"/>
  <c r="Z12" i="3" s="1"/>
  <c r="AA12" i="3" s="1"/>
  <c r="T12" i="3"/>
  <c r="V12" i="3" s="1"/>
  <c r="W12" i="3" s="1"/>
  <c r="X11" i="3"/>
  <c r="Z11" i="3" s="1"/>
  <c r="AA11" i="3" s="1"/>
  <c r="T11" i="3"/>
  <c r="V11" i="3" s="1"/>
  <c r="W11" i="3" s="1"/>
  <c r="X10" i="3"/>
  <c r="Z10" i="3" s="1"/>
  <c r="AA10" i="3" s="1"/>
  <c r="T10" i="3"/>
  <c r="V10" i="3" s="1"/>
  <c r="W10" i="3" s="1"/>
  <c r="X9" i="3"/>
  <c r="Z9" i="3" s="1"/>
  <c r="AA9" i="3" s="1"/>
  <c r="T9" i="3"/>
  <c r="V9" i="3" s="1"/>
  <c r="W9" i="3" s="1"/>
  <c r="P9" i="3"/>
  <c r="R9" i="3" s="1"/>
  <c r="S9" i="3" s="1"/>
  <c r="O9" i="3"/>
  <c r="X8" i="3"/>
  <c r="Z8" i="3" s="1"/>
  <c r="AA8" i="3" s="1"/>
  <c r="T8" i="3"/>
  <c r="V8" i="3" s="1"/>
  <c r="W8" i="3" s="1"/>
  <c r="X7" i="3"/>
  <c r="Z7" i="3" s="1"/>
  <c r="AA7" i="3" s="1"/>
  <c r="T7" i="3"/>
  <c r="V7" i="3" s="1"/>
  <c r="W7" i="3" s="1"/>
  <c r="P7" i="3"/>
  <c r="R7" i="3" s="1"/>
  <c r="S7" i="3" s="1"/>
  <c r="O7" i="3"/>
  <c r="X6" i="3"/>
  <c r="Z6" i="3" s="1"/>
  <c r="AA6" i="3" s="1"/>
  <c r="T6" i="3"/>
  <c r="V6" i="3" s="1"/>
  <c r="W6" i="3" s="1"/>
  <c r="P6" i="3"/>
  <c r="R6" i="3" s="1"/>
  <c r="S6" i="3" s="1"/>
  <c r="O6" i="3"/>
  <c r="X5" i="3"/>
  <c r="Z5" i="3" s="1"/>
  <c r="AA5" i="3" s="1"/>
  <c r="T5" i="3"/>
  <c r="V5" i="3" s="1"/>
  <c r="W5" i="3" s="1"/>
  <c r="P5" i="3"/>
  <c r="R5" i="3" s="1"/>
  <c r="S5" i="3" s="1"/>
  <c r="O5" i="3"/>
  <c r="X4" i="3"/>
  <c r="Z4" i="3" s="1"/>
  <c r="AA4" i="3" s="1"/>
  <c r="T4" i="3"/>
  <c r="V4" i="3" s="1"/>
  <c r="W4" i="3" s="1"/>
  <c r="P4" i="3"/>
  <c r="R4" i="3" s="1"/>
  <c r="S4" i="3" s="1"/>
  <c r="O4" i="3"/>
  <c r="X3" i="3"/>
  <c r="Z3" i="3" s="1"/>
  <c r="AA3" i="3" s="1"/>
  <c r="T3" i="3"/>
  <c r="V3" i="3" s="1"/>
  <c r="W3" i="3" s="1"/>
  <c r="P3" i="3"/>
  <c r="R3" i="3" s="1"/>
  <c r="S3" i="3" s="1"/>
  <c r="O3" i="3"/>
  <c r="X2" i="3"/>
  <c r="Z2" i="3" s="1"/>
  <c r="AA2" i="3" s="1"/>
  <c r="T2" i="3"/>
  <c r="V2" i="3" s="1"/>
  <c r="W2" i="3" s="1"/>
  <c r="P2" i="3"/>
  <c r="R2" i="3" s="1"/>
  <c r="S2" i="3" s="1"/>
  <c r="O2" i="3"/>
  <c r="B5" i="2"/>
  <c r="B4" i="2"/>
  <c r="B3" i="2"/>
  <c r="O214" i="5" l="1"/>
  <c r="O230" i="5"/>
  <c r="O227" i="5"/>
  <c r="O208" i="5"/>
  <c r="O205" i="5"/>
  <c r="O218" i="5"/>
  <c r="O215" i="5"/>
  <c r="O228" i="5"/>
  <c r="O209" i="5"/>
  <c r="T212" i="5"/>
  <c r="V212" i="5" s="1"/>
  <c r="W212" i="5" s="1"/>
  <c r="O206" i="5"/>
  <c r="O222" i="5"/>
  <c r="T225" i="5"/>
  <c r="V225" i="5" s="1"/>
  <c r="W225" i="5" s="1"/>
  <c r="O219" i="5"/>
  <c r="O211" i="5"/>
  <c r="O224" i="5"/>
  <c r="O216" i="5"/>
  <c r="O232" i="5"/>
  <c r="O221" i="5"/>
  <c r="T217" i="5"/>
  <c r="V217" i="5" s="1"/>
  <c r="W217" i="5" s="1"/>
  <c r="O231" i="5"/>
  <c r="O188" i="5"/>
  <c r="T198" i="5"/>
  <c r="V198" i="5" s="1"/>
  <c r="W198" i="5" s="1"/>
  <c r="T179" i="5"/>
  <c r="V179" i="5" s="1"/>
  <c r="W179" i="5" s="1"/>
  <c r="T189" i="5"/>
  <c r="V189" i="5" s="1"/>
  <c r="W189" i="5" s="1"/>
  <c r="O202" i="5"/>
  <c r="O183" i="5"/>
  <c r="T180" i="5"/>
  <c r="V180" i="5" s="1"/>
  <c r="W180" i="5" s="1"/>
  <c r="T177" i="5"/>
  <c r="V177" i="5" s="1"/>
  <c r="W177" i="5" s="1"/>
  <c r="O190" i="5"/>
  <c r="T193" i="5"/>
  <c r="V193" i="5" s="1"/>
  <c r="W193" i="5" s="1"/>
  <c r="O195" i="5"/>
  <c r="O192" i="5"/>
  <c r="O196" i="5"/>
  <c r="O187" i="5"/>
  <c r="O203" i="5"/>
  <c r="O201" i="5"/>
  <c r="O181" i="5"/>
  <c r="O197" i="5"/>
  <c r="O185" i="5"/>
  <c r="O182" i="5"/>
  <c r="O176" i="5"/>
  <c r="O186" i="5"/>
  <c r="O199" i="5"/>
  <c r="O156" i="5"/>
  <c r="O172" i="5"/>
  <c r="O150" i="5"/>
  <c r="O166" i="5"/>
  <c r="O163" i="5"/>
  <c r="T170" i="5"/>
  <c r="V170" i="5" s="1"/>
  <c r="W170" i="5" s="1"/>
  <c r="T148" i="5"/>
  <c r="V148" i="5" s="1"/>
  <c r="W148" i="5" s="1"/>
  <c r="O161" i="5"/>
  <c r="T164" i="5"/>
  <c r="V164" i="5" s="1"/>
  <c r="W164" i="5" s="1"/>
  <c r="O159" i="5"/>
  <c r="T169" i="5"/>
  <c r="V169" i="5" s="1"/>
  <c r="W169" i="5" s="1"/>
  <c r="T173" i="5"/>
  <c r="V173" i="5" s="1"/>
  <c r="W173" i="5" s="1"/>
  <c r="O151" i="5"/>
  <c r="O167" i="5"/>
  <c r="O158" i="5"/>
  <c r="O174" i="5"/>
  <c r="T153" i="5"/>
  <c r="V153" i="5" s="1"/>
  <c r="W153" i="5" s="1"/>
  <c r="O147" i="5"/>
  <c r="T157" i="5"/>
  <c r="V157" i="5" s="1"/>
  <c r="W157" i="5" s="1"/>
  <c r="T160" i="5"/>
  <c r="V160" i="5" s="1"/>
  <c r="W160" i="5" s="1"/>
  <c r="O152" i="5"/>
  <c r="O168" i="5"/>
  <c r="O154" i="5"/>
  <c r="O130" i="5"/>
  <c r="O127" i="5"/>
  <c r="O143" i="5"/>
  <c r="O140" i="5"/>
  <c r="O121" i="5"/>
  <c r="O134" i="5"/>
  <c r="T131" i="5"/>
  <c r="V131" i="5" s="1"/>
  <c r="W131" i="5" s="1"/>
  <c r="O122" i="5"/>
  <c r="T141" i="5"/>
  <c r="V141" i="5" s="1"/>
  <c r="W141" i="5" s="1"/>
  <c r="O119" i="5"/>
  <c r="T138" i="5"/>
  <c r="V138" i="5" s="1"/>
  <c r="W138" i="5" s="1"/>
  <c r="O132" i="5"/>
  <c r="T135" i="5"/>
  <c r="V135" i="5" s="1"/>
  <c r="W135" i="5" s="1"/>
  <c r="O124" i="5"/>
  <c r="O137" i="5"/>
  <c r="O118" i="5"/>
  <c r="O144" i="5"/>
  <c r="O125" i="5"/>
  <c r="O123" i="5"/>
  <c r="O139" i="5"/>
  <c r="O101" i="5"/>
  <c r="O95" i="5"/>
  <c r="T114" i="5"/>
  <c r="V114" i="5" s="1"/>
  <c r="W114" i="5" s="1"/>
  <c r="T92" i="5"/>
  <c r="V92" i="5" s="1"/>
  <c r="W92" i="5" s="1"/>
  <c r="O99" i="5"/>
  <c r="O112" i="5"/>
  <c r="O93" i="5"/>
  <c r="T90" i="5"/>
  <c r="V90" i="5" s="1"/>
  <c r="W90" i="5" s="1"/>
  <c r="O103" i="5"/>
  <c r="T106" i="5"/>
  <c r="V106" i="5" s="1"/>
  <c r="W106" i="5" s="1"/>
  <c r="O98" i="5"/>
  <c r="O108" i="5"/>
  <c r="T105" i="5"/>
  <c r="V105" i="5" s="1"/>
  <c r="W105" i="5" s="1"/>
  <c r="O109" i="5"/>
  <c r="O100" i="5"/>
  <c r="O116" i="5"/>
  <c r="O115" i="5"/>
  <c r="O94" i="5"/>
  <c r="O110" i="5"/>
  <c r="O111" i="5"/>
  <c r="O89" i="5"/>
  <c r="O102" i="5"/>
  <c r="O96" i="5"/>
  <c r="T72" i="5"/>
  <c r="V72" i="5" s="1"/>
  <c r="W72" i="5" s="1"/>
  <c r="O85" i="5"/>
  <c r="O66" i="5"/>
  <c r="O79" i="5"/>
  <c r="O70" i="5"/>
  <c r="O83" i="5"/>
  <c r="O64" i="5"/>
  <c r="T61" i="5"/>
  <c r="V61" i="5" s="1"/>
  <c r="W61" i="5" s="1"/>
  <c r="O74" i="5"/>
  <c r="T77" i="5"/>
  <c r="V77" i="5" s="1"/>
  <c r="W77" i="5" s="1"/>
  <c r="O71" i="5"/>
  <c r="O87" i="5"/>
  <c r="T76" i="5"/>
  <c r="V76" i="5" s="1"/>
  <c r="W76" i="5" s="1"/>
  <c r="T82" i="5"/>
  <c r="V82" i="5" s="1"/>
  <c r="W82" i="5" s="1"/>
  <c r="O60" i="5"/>
  <c r="O80" i="5"/>
  <c r="O65" i="5"/>
  <c r="O81" i="5"/>
  <c r="O69" i="5"/>
  <c r="O63" i="5"/>
  <c r="O73" i="5"/>
  <c r="O86" i="5"/>
  <c r="O67" i="5"/>
  <c r="O43" i="5"/>
  <c r="O40" i="5"/>
  <c r="O56" i="5"/>
  <c r="O53" i="5"/>
  <c r="O47" i="5"/>
  <c r="O38" i="5"/>
  <c r="T54" i="5"/>
  <c r="V54" i="5" s="1"/>
  <c r="W54" i="5" s="1"/>
  <c r="O32" i="5"/>
  <c r="O45" i="5"/>
  <c r="T48" i="5"/>
  <c r="V48" i="5" s="1"/>
  <c r="W48" i="5" s="1"/>
  <c r="O50" i="5"/>
  <c r="O31" i="5"/>
  <c r="O42" i="5"/>
  <c r="O58" i="5"/>
  <c r="T37" i="5"/>
  <c r="V37" i="5" s="1"/>
  <c r="W37" i="5" s="1"/>
  <c r="O44" i="5"/>
  <c r="T57" i="5"/>
  <c r="V57" i="5" s="1"/>
  <c r="W57" i="5" s="1"/>
  <c r="O41" i="5"/>
  <c r="O35" i="5"/>
  <c r="O51" i="5"/>
  <c r="O36" i="5"/>
  <c r="O52" i="5"/>
  <c r="O34" i="5"/>
  <c r="O130" i="4"/>
  <c r="O124" i="4"/>
  <c r="O140" i="4"/>
  <c r="O137" i="4"/>
  <c r="O131" i="4"/>
  <c r="O128" i="4"/>
  <c r="O144" i="4"/>
  <c r="O119" i="4"/>
  <c r="O135" i="4"/>
  <c r="O129" i="4"/>
  <c r="O145" i="4"/>
  <c r="O126" i="4"/>
  <c r="O142" i="4"/>
  <c r="O123" i="4"/>
  <c r="O139" i="4"/>
  <c r="O101" i="4"/>
  <c r="O98" i="4"/>
  <c r="O114" i="4"/>
  <c r="O95" i="4"/>
  <c r="O111" i="4"/>
  <c r="O105" i="4"/>
  <c r="O102" i="4"/>
  <c r="O99" i="4"/>
  <c r="O115" i="4"/>
  <c r="O96" i="4"/>
  <c r="O112" i="4"/>
  <c r="O109" i="4"/>
  <c r="O103" i="4"/>
  <c r="O100" i="4"/>
  <c r="O116" i="4"/>
  <c r="O113" i="4"/>
  <c r="O110" i="4"/>
  <c r="O72" i="4"/>
  <c r="O69" i="4"/>
  <c r="O85" i="4"/>
  <c r="O66" i="4"/>
  <c r="O82" i="4"/>
  <c r="O63" i="4"/>
  <c r="O79" i="4"/>
  <c r="O60" i="4"/>
  <c r="O76" i="4"/>
  <c r="O70" i="4"/>
  <c r="O86" i="4"/>
  <c r="O61" i="4"/>
  <c r="O77" i="4"/>
  <c r="O71" i="4"/>
  <c r="O87" i="4"/>
  <c r="O68" i="4"/>
  <c r="O84" i="4"/>
  <c r="O65" i="4"/>
  <c r="O81" i="4"/>
  <c r="O43" i="4"/>
  <c r="O37" i="4"/>
  <c r="O53" i="4"/>
  <c r="O34" i="4"/>
  <c r="O50" i="4"/>
  <c r="O31" i="4"/>
  <c r="O47" i="4"/>
  <c r="O44" i="4"/>
  <c r="O35" i="4"/>
  <c r="O51" i="4"/>
  <c r="O48" i="4"/>
  <c r="O42" i="4"/>
  <c r="O58" i="4"/>
  <c r="O39" i="4"/>
  <c r="O55" i="4"/>
  <c r="O36" i="4"/>
  <c r="O52" i="4"/>
  <c r="P182" i="3"/>
  <c r="R182" i="3" s="1"/>
  <c r="S182" i="3" s="1"/>
  <c r="O188" i="3"/>
  <c r="O191" i="3"/>
  <c r="O181" i="3"/>
  <c r="O197" i="3"/>
  <c r="O177" i="3"/>
  <c r="O193" i="3"/>
  <c r="O183" i="3"/>
  <c r="O199" i="3"/>
  <c r="O189" i="3"/>
  <c r="O170" i="3"/>
  <c r="P170" i="3"/>
  <c r="R170" i="3" s="1"/>
  <c r="S170" i="3" s="1"/>
  <c r="P154" i="3"/>
  <c r="R154" i="3" s="1"/>
  <c r="S154" i="3" s="1"/>
  <c r="O154" i="3"/>
  <c r="O164" i="3"/>
  <c r="O167" i="3"/>
  <c r="O151" i="3"/>
  <c r="O173" i="3"/>
  <c r="O147" i="3"/>
  <c r="O150" i="3"/>
  <c r="P163" i="3"/>
  <c r="R163" i="3" s="1"/>
  <c r="S163" i="3" s="1"/>
  <c r="O166" i="3"/>
  <c r="O153" i="3"/>
  <c r="O169" i="3"/>
  <c r="O156" i="3"/>
  <c r="O172" i="3"/>
  <c r="P152" i="3"/>
  <c r="R152" i="3" s="1"/>
  <c r="S152" i="3" s="1"/>
  <c r="O155" i="3"/>
  <c r="P168" i="3"/>
  <c r="R168" i="3" s="1"/>
  <c r="S168" i="3" s="1"/>
  <c r="O171" i="3"/>
  <c r="O157" i="3"/>
  <c r="O160" i="3"/>
  <c r="O149" i="3"/>
  <c r="O165" i="3"/>
  <c r="O130" i="3"/>
  <c r="O133" i="3"/>
  <c r="O123" i="3"/>
  <c r="O139" i="3"/>
  <c r="O129" i="3"/>
  <c r="O145" i="3"/>
  <c r="O125" i="3"/>
  <c r="O131" i="3"/>
  <c r="O118" i="3"/>
  <c r="O134" i="3"/>
  <c r="O121" i="3"/>
  <c r="O137" i="3"/>
  <c r="P101" i="3"/>
  <c r="R101" i="3" s="1"/>
  <c r="S101" i="3" s="1"/>
  <c r="O104" i="3"/>
  <c r="O94" i="3"/>
  <c r="O110" i="3"/>
  <c r="O97" i="3"/>
  <c r="O113" i="3"/>
  <c r="O100" i="3"/>
  <c r="O116" i="3"/>
  <c r="O90" i="3"/>
  <c r="O106" i="3"/>
  <c r="O99" i="3"/>
  <c r="O115" i="3"/>
  <c r="O92" i="3"/>
  <c r="O108" i="3"/>
  <c r="P72" i="3"/>
  <c r="R72" i="3" s="1"/>
  <c r="S72" i="3" s="1"/>
  <c r="O75" i="3"/>
  <c r="O65" i="3"/>
  <c r="O81" i="3"/>
  <c r="O70" i="3"/>
  <c r="O31" i="3"/>
  <c r="O47" i="3"/>
  <c r="O34" i="3"/>
  <c r="O50" i="3"/>
  <c r="O37" i="3"/>
  <c r="O53" i="3"/>
  <c r="O40" i="3"/>
  <c r="O56" i="3"/>
  <c r="O33" i="3"/>
  <c r="O49" i="3"/>
  <c r="O36" i="3"/>
  <c r="O52" i="3"/>
  <c r="O39" i="3"/>
  <c r="O55" i="3"/>
  <c r="O35" i="3"/>
  <c r="O54" i="3"/>
  <c r="O41" i="3"/>
  <c r="O57" i="3"/>
  <c r="O10" i="3"/>
  <c r="O18" i="3"/>
  <c r="O26" i="3"/>
  <c r="O27" i="3"/>
  <c r="P11" i="3"/>
  <c r="R11" i="3" s="1"/>
  <c r="S11" i="3" s="1"/>
  <c r="O8" i="3"/>
  <c r="O12" i="3"/>
  <c r="O16" i="3"/>
  <c r="O24" i="3"/>
  <c r="O28" i="3"/>
</calcChain>
</file>

<file path=xl/sharedStrings.xml><?xml version="1.0" encoding="utf-8"?>
<sst xmlns="http://schemas.openxmlformats.org/spreadsheetml/2006/main" count="4703" uniqueCount="153">
  <si>
    <t>Página</t>
  </si>
  <si>
    <t>Categoría</t>
  </si>
  <si>
    <t>Código</t>
  </si>
  <si>
    <t>Descripción</t>
  </si>
  <si>
    <t>Unidad de empaque</t>
  </si>
  <si>
    <t>Registro sanitario</t>
  </si>
  <si>
    <t>Vencimiento registro</t>
  </si>
  <si>
    <t>Riesgo</t>
  </si>
  <si>
    <t>Precio unitario público</t>
  </si>
  <si>
    <t>Hemoglobina Tópica</t>
  </si>
  <si>
    <t>360001</t>
  </si>
  <si>
    <t>Granulox Hemoglobina Spray</t>
  </si>
  <si>
    <t>Unidad</t>
  </si>
  <si>
    <t>2019DM-0020921</t>
  </si>
  <si>
    <t>III</t>
  </si>
  <si>
    <t>Solución de irrigación para limpieza y enjuague</t>
  </si>
  <si>
    <t>2023DM-0027387</t>
  </si>
  <si>
    <t>360100</t>
  </si>
  <si>
    <t>Granudacyn Solución 250 ml Spray</t>
  </si>
  <si>
    <t>Apósito de Fibras Gelificantes de PVA</t>
  </si>
  <si>
    <t>709900</t>
  </si>
  <si>
    <t>Exufiber 5 x 5 cm</t>
  </si>
  <si>
    <t>Caja X 10</t>
  </si>
  <si>
    <t>2019DM-0020382</t>
  </si>
  <si>
    <t>IIb</t>
  </si>
  <si>
    <t>709902</t>
  </si>
  <si>
    <t>Exufiber 10 x 12 cm</t>
  </si>
  <si>
    <t>709903</t>
  </si>
  <si>
    <t>Exufiber 15 x 15 cm</t>
  </si>
  <si>
    <t>Caja X 5</t>
  </si>
  <si>
    <t>Apósito de Fibras Gelificantes de PVA y Tecnología Hydrolock® y Acción Antimicrobiana</t>
  </si>
  <si>
    <t>603421</t>
  </si>
  <si>
    <t>Exufiber Ag+ 5 x 5 cm</t>
  </si>
  <si>
    <t>2019DM-0020271</t>
  </si>
  <si>
    <t>603422</t>
  </si>
  <si>
    <t>Exufiber Ag+ 10 x 12 cm</t>
  </si>
  <si>
    <t>603423</t>
  </si>
  <si>
    <t>Exufiber Ag+ 15 x 15 cm</t>
  </si>
  <si>
    <t>Apósito Multicapa (5 capas) Oval con Bordes Autoadherentes - Tecnología Exclusiva Flex</t>
  </si>
  <si>
    <t>2020DM-0021620</t>
  </si>
  <si>
    <t>Apósito Multicapa (5 capas) con Bordes Autoadherentes - Tecnología Exclusiva Flex</t>
  </si>
  <si>
    <t>Apósito Multicapa (4 capas) Extrafino con Bordes Autoadherentes - Tecnología Exclusiva Flex</t>
  </si>
  <si>
    <t>Apósito Multicapa (5 capas) Oval con Bordes Autoadherentes para el Talón y los Maléolos</t>
  </si>
  <si>
    <t>Apósito Multicapa (5 capas) Oval con Bordes Autoadherentes para el Sacro</t>
  </si>
  <si>
    <t>Apósito Espumas de Poliuretano</t>
  </si>
  <si>
    <t>294199</t>
  </si>
  <si>
    <t>Mepilex 10 x 10 cm</t>
  </si>
  <si>
    <t>294299</t>
  </si>
  <si>
    <t>Mepilex 10 x 20 cm</t>
  </si>
  <si>
    <t>294399</t>
  </si>
  <si>
    <t>Mepilex 15 x 15 cm</t>
  </si>
  <si>
    <t>294499</t>
  </si>
  <si>
    <t>Mepilex 20 x 20 cm</t>
  </si>
  <si>
    <t>Caja X 2</t>
  </si>
  <si>
    <t>Apósito Espumas de Poliuretano para el talón</t>
  </si>
  <si>
    <t>Apósito Espumas de Poliuretano Extrafino</t>
  </si>
  <si>
    <t>284190</t>
  </si>
  <si>
    <t>Mepilex Lite 10 x 10 cm</t>
  </si>
  <si>
    <t>284390</t>
  </si>
  <si>
    <t>Mepilex Lite 15 x 15 cm</t>
  </si>
  <si>
    <t>Apósito Espumas de Poliuretano con Acción Antimicrobiana</t>
  </si>
  <si>
    <t>287100</t>
  </si>
  <si>
    <t>Mepilex Ag 10 x 10 cm</t>
  </si>
  <si>
    <t>2020DM-0021561</t>
  </si>
  <si>
    <t>287200</t>
  </si>
  <si>
    <t>Mepilex Ag 10 x 20 cm</t>
  </si>
  <si>
    <t>287300</t>
  </si>
  <si>
    <t>Mepilex Ag 15 x 15 cm</t>
  </si>
  <si>
    <t>287400</t>
  </si>
  <si>
    <t>Mepilex Ag 20 x 20 cm</t>
  </si>
  <si>
    <t>Apósito Multicapa (5 capas) con Bordes Autoadherentes con Efecto Antimicrobiano</t>
  </si>
  <si>
    <t>Apósito Multicapa (5 capas) con Bordes Autoadherentes con Efecto Antimicrobiano para el Sacro</t>
  </si>
  <si>
    <t>Apósito Espuma de Poliuretano Transferencia de Exudado</t>
  </si>
  <si>
    <t>294899</t>
  </si>
  <si>
    <t>Mepilex Transfer 15 x 20 cm</t>
  </si>
  <si>
    <t>Apósito Espuma de Poliuretano Transferencia de Exudado con Acción Antimicrobiana</t>
  </si>
  <si>
    <t>394590</t>
  </si>
  <si>
    <t>Mepilex Transfer Ag 20 x 50 cm</t>
  </si>
  <si>
    <t>Aposito Superabsorbente con Revestimiento Repelente de Fluidos</t>
  </si>
  <si>
    <t>2023DM-0027509</t>
  </si>
  <si>
    <t>610200</t>
  </si>
  <si>
    <t>Mextra Superabsorbent 12.5x22.5 cm</t>
  </si>
  <si>
    <t>610300</t>
  </si>
  <si>
    <t>Mextra Superabsorbent 17.5x22.5 cm</t>
  </si>
  <si>
    <t>610400</t>
  </si>
  <si>
    <t>Mextra Superabsorbent 22.5x27.5 cm</t>
  </si>
  <si>
    <t>610500</t>
  </si>
  <si>
    <t>Mextra Superabsorbent 22.5x32.5 cm</t>
  </si>
  <si>
    <t>Lámina de Silicona para el Tratamiento de Cicatrices Hipertróficas y Queloides</t>
  </si>
  <si>
    <t>IIa</t>
  </si>
  <si>
    <t>Cinta Adhesiva de Fijación</t>
  </si>
  <si>
    <t>Láminas de Contacto Porosa con Micro adherencia Selectiva por las dos Caras</t>
  </si>
  <si>
    <t>Láminas de Contacto Porosa con Micro adherencia por una Cara</t>
  </si>
  <si>
    <t>Apósito Post Quirúrgico de 4 Capas</t>
  </si>
  <si>
    <t>Apósito Post Quirúrgico de 5 Capas con Efecto Antimicrobiano</t>
  </si>
  <si>
    <t>Vendaje de Media y Alta Compresión Graduada</t>
  </si>
  <si>
    <t>3505</t>
  </si>
  <si>
    <t>Setopress 10 cm x 3.5 m Relaxed x 12</t>
  </si>
  <si>
    <t>2022DM-0026232</t>
  </si>
  <si>
    <t>I</t>
  </si>
  <si>
    <t>Vendaje Tubular con Elasticidad Radial y Longitudinal - Fijación de Apósitos</t>
  </si>
  <si>
    <t>2440</t>
  </si>
  <si>
    <t>Tubifast 10m Amarillo</t>
  </si>
  <si>
    <t>2018DM-0018813</t>
  </si>
  <si>
    <t>2438</t>
  </si>
  <si>
    <t>Tubifast 10m Azul</t>
  </si>
  <si>
    <t>2434</t>
  </si>
  <si>
    <t>Tubifast 10m Rojo</t>
  </si>
  <si>
    <t>2436</t>
  </si>
  <si>
    <t>Tubifast 10m Verde</t>
  </si>
  <si>
    <t>Indicador</t>
  </si>
  <si>
    <t>Valor</t>
  </si>
  <si>
    <t>Total referencias</t>
  </si>
  <si>
    <t>Precio mínimo</t>
  </si>
  <si>
    <t>Precio máximo</t>
  </si>
  <si>
    <t>Precio promedio</t>
  </si>
  <si>
    <t>Cantidad referencias</t>
  </si>
  <si>
    <t>Año</t>
  </si>
  <si>
    <t>Mes</t>
  </si>
  <si>
    <t>COMPLEJIDAD</t>
  </si>
  <si>
    <t>PROCEDIMIENTO</t>
  </si>
  <si>
    <t>CODIGO_CUPS</t>
  </si>
  <si>
    <t>TIEMPO_MINUTOS</t>
  </si>
  <si>
    <t>TIPO_REGISTRO</t>
  </si>
  <si>
    <t>CATEGORIA_COSTO</t>
  </si>
  <si>
    <t>ITEM</t>
  </si>
  <si>
    <t>CANTIDAD</t>
  </si>
  <si>
    <t>UNIDAD_MEDIDA</t>
  </si>
  <si>
    <t>COSTO_UNITARIO</t>
  </si>
  <si>
    <t>COSTO_TOTAL</t>
  </si>
  <si>
    <t>OBSERVACIONES</t>
  </si>
  <si>
    <t>PRECIO VENTA</t>
  </si>
  <si>
    <t>COSTO ALTA COMPLEJIDAD</t>
  </si>
  <si>
    <t>% INCRE_ALTA</t>
  </si>
  <si>
    <t>PRECIO VTA ALTA COMPLEJIDAD</t>
  </si>
  <si>
    <t>% UTILIDAD ALTA COMPLEJIDAD</t>
  </si>
  <si>
    <t>COSTO MEDIANA COMPLEJIDAD</t>
  </si>
  <si>
    <t>% INCRE MEDIA</t>
  </si>
  <si>
    <t>PRECIO VTA MEDIANA COMPLEJIDAD</t>
  </si>
  <si>
    <t>% UTILIDAD MEDIANA COMPLEJIDAD</t>
  </si>
  <si>
    <t>COSTO BAJA COMPLEJIDAD</t>
  </si>
  <si>
    <t>% INCRE BAJA</t>
  </si>
  <si>
    <t>PRECIO VTA BAJA COMPLEJIDAD</t>
  </si>
  <si>
    <t>% UTILIDAD BAJA COMPLEJIDAD</t>
  </si>
  <si>
    <t>% CRECIMIENTO</t>
  </si>
  <si>
    <t>Agosto</t>
  </si>
  <si>
    <t>Alta Complejidad</t>
  </si>
  <si>
    <t>Curación de ALTA COMPLEJIDAD</t>
  </si>
  <si>
    <t>INSUMO ALTA TECNOLOGIA</t>
  </si>
  <si>
    <t>Baja Complejidad</t>
  </si>
  <si>
    <t>Curación de BAJA COMPLEJIDAD</t>
  </si>
  <si>
    <t>Mediana Complejidad</t>
  </si>
  <si>
    <t>Curación de MEDIANA COMPLEJIDAD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</si>
</sst>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\ #,##0"/>
    <numFmt numFmtId="166" formatCode="[$$-240A]\ #,##0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4F24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NumberFormat="1" applyFont="1" applyFill="1" applyBorder="1" applyAlignment="1">
      <alignment horizont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  <xf numFmtId="1" fontId="0" fillId="0" borderId="0" xfId="0" applyNumberFormat="1" applyFont="1" applyFill="1" applyBorder="1" applyAlignment="1">
      <alignment vertical="center" wrapText="1"/>
    </xf>
    <xf numFmtId="49" fontId="0" fillId="0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vertical="center" wrapText="1"/>
    </xf>
    <xf numFmtId="165" fontId="0" fillId="0" borderId="0" xfId="0" applyNumberFormat="1" applyFont="1" applyFill="1" applyBorder="1" applyAlignment="1">
      <alignment vertical="center" wrapText="1"/>
    </xf>
    <xf numFmtId="165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66" fontId="3" fillId="0" borderId="1" xfId="0" applyNumberFormat="1" applyFont="1" applyBorder="1" applyAlignment="1">
      <alignment horizontal="center" vertical="top"/>
    </xf>
    <xf numFmtId="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2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9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ferenciasCrosswell" displayName="TablaReferenciasCrosswell" ref="A1:I29">
  <tableColumns count="9">
    <tableColumn id="1" xr3:uid="{00000000-0010-0000-0000-000001000000}" name="Página"/>
    <tableColumn id="2" xr3:uid="{00000000-0010-0000-0000-000002000000}" name="Categoría"/>
    <tableColumn id="3" xr3:uid="{00000000-0010-0000-0000-000003000000}" name="Código"/>
    <tableColumn id="4" xr3:uid="{00000000-0010-0000-0000-000004000000}" name="Descripción"/>
    <tableColumn id="5" xr3:uid="{00000000-0010-0000-0000-000005000000}" name="Unidad de empaque"/>
    <tableColumn id="6" xr3:uid="{00000000-0010-0000-0000-000006000000}" name="Registro sanitario"/>
    <tableColumn id="7" xr3:uid="{00000000-0010-0000-0000-000007000000}" name="Vencimiento registro"/>
    <tableColumn id="8" xr3:uid="{00000000-0010-0000-0000-000008000000}" name="Riesgo"/>
    <tableColumn id="9" xr3:uid="{00000000-0010-0000-0000-000009000000}" name="Precio unitario públic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Categorias" displayName="ResumenCategorias" ref="A8:B34">
  <tableColumns count="2">
    <tableColumn id="1" xr3:uid="{00000000-0010-0000-0100-000001000000}" name="Categoría"/>
    <tableColumn id="2" xr3:uid="{00000000-0010-0000-0100-000002000000}" name="Cantidad referenci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menRiesgos" displayName="ResumenRiesgos" ref="D8:E12">
  <tableColumns count="2">
    <tableColumn id="1" xr3:uid="{00000000-0010-0000-0200-000001000000}" name="Riesgo"/>
    <tableColumn id="2" xr3:uid="{00000000-0010-0000-0200-000002000000}" name="Cantidad referenc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zoomScaleNormal="150" zoomScaleSheetLayoutView="100" workbookViewId="0"/>
  </sheetViews>
  <sheetFormatPr baseColWidth="10" defaultColWidth="9" defaultRowHeight="14.25"/>
  <cols>
    <col min="1" max="1" width="10" customWidth="1"/>
    <col min="2" max="2" width="42" customWidth="1"/>
    <col min="3" max="3" width="12" customWidth="1"/>
    <col min="4" max="4" width="40" customWidth="1"/>
    <col min="5" max="5" width="18" customWidth="1"/>
    <col min="6" max="6" width="22" customWidth="1"/>
    <col min="7" max="7" width="18" customWidth="1"/>
    <col min="8" max="8" width="10" customWidth="1"/>
    <col min="9" max="9" width="20" customWidth="1"/>
  </cols>
  <sheetData>
    <row r="1" spans="1:9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5">
        <v>1</v>
      </c>
      <c r="B2" s="4" t="s">
        <v>9</v>
      </c>
      <c r="C2" s="6" t="s">
        <v>10</v>
      </c>
      <c r="D2" s="4" t="s">
        <v>11</v>
      </c>
      <c r="E2" s="4" t="s">
        <v>12</v>
      </c>
      <c r="F2" s="4" t="s">
        <v>13</v>
      </c>
      <c r="G2" s="7">
        <v>47051</v>
      </c>
      <c r="H2" s="4" t="s">
        <v>14</v>
      </c>
      <c r="I2" s="8">
        <v>893800</v>
      </c>
    </row>
    <row r="3" spans="1:9">
      <c r="A3" s="5">
        <v>1</v>
      </c>
      <c r="B3" s="4" t="s">
        <v>19</v>
      </c>
      <c r="C3" s="6" t="s">
        <v>20</v>
      </c>
      <c r="D3" s="4" t="s">
        <v>21</v>
      </c>
      <c r="E3" s="4" t="s">
        <v>22</v>
      </c>
      <c r="F3" s="4" t="s">
        <v>23</v>
      </c>
      <c r="G3" s="7">
        <v>47359</v>
      </c>
      <c r="H3" s="4" t="s">
        <v>24</v>
      </c>
      <c r="I3" s="8">
        <v>13500</v>
      </c>
    </row>
    <row r="4" spans="1:9">
      <c r="A4" s="5">
        <v>1</v>
      </c>
      <c r="B4" s="4" t="s">
        <v>19</v>
      </c>
      <c r="C4" s="6" t="s">
        <v>25</v>
      </c>
      <c r="D4" s="4" t="s">
        <v>26</v>
      </c>
      <c r="E4" s="4" t="s">
        <v>22</v>
      </c>
      <c r="F4" s="4" t="s">
        <v>23</v>
      </c>
      <c r="G4" s="7">
        <v>47359</v>
      </c>
      <c r="H4" s="4" t="s">
        <v>24</v>
      </c>
      <c r="I4" s="8">
        <v>28800</v>
      </c>
    </row>
    <row r="5" spans="1:9">
      <c r="A5" s="5">
        <v>1</v>
      </c>
      <c r="B5" s="4" t="s">
        <v>19</v>
      </c>
      <c r="C5" s="6" t="s">
        <v>27</v>
      </c>
      <c r="D5" s="4" t="s">
        <v>28</v>
      </c>
      <c r="E5" s="4" t="s">
        <v>22</v>
      </c>
      <c r="F5" s="4" t="s">
        <v>23</v>
      </c>
      <c r="G5" s="7">
        <v>47359</v>
      </c>
      <c r="H5" s="4" t="s">
        <v>24</v>
      </c>
      <c r="I5" s="8">
        <v>63400</v>
      </c>
    </row>
    <row r="6" spans="1:9" ht="28.5">
      <c r="A6" s="5">
        <v>1</v>
      </c>
      <c r="B6" s="4" t="s">
        <v>30</v>
      </c>
      <c r="C6" s="6" t="s">
        <v>31</v>
      </c>
      <c r="D6" s="4" t="s">
        <v>32</v>
      </c>
      <c r="E6" s="4" t="s">
        <v>22</v>
      </c>
      <c r="F6" s="4" t="s">
        <v>33</v>
      </c>
      <c r="G6" s="7">
        <v>47336</v>
      </c>
      <c r="H6" s="4" t="s">
        <v>14</v>
      </c>
      <c r="I6" s="8">
        <v>24200</v>
      </c>
    </row>
    <row r="7" spans="1:9" ht="28.5">
      <c r="A7" s="5">
        <v>1</v>
      </c>
      <c r="B7" s="4" t="s">
        <v>30</v>
      </c>
      <c r="C7" s="6" t="s">
        <v>34</v>
      </c>
      <c r="D7" s="4" t="s">
        <v>35</v>
      </c>
      <c r="E7" s="4" t="s">
        <v>22</v>
      </c>
      <c r="F7" s="4" t="s">
        <v>33</v>
      </c>
      <c r="G7" s="7">
        <v>47336</v>
      </c>
      <c r="H7" s="4" t="s">
        <v>14</v>
      </c>
      <c r="I7" s="8">
        <v>36700</v>
      </c>
    </row>
    <row r="8" spans="1:9" ht="28.5">
      <c r="A8" s="5">
        <v>1</v>
      </c>
      <c r="B8" s="4" t="s">
        <v>30</v>
      </c>
      <c r="C8" s="6" t="s">
        <v>36</v>
      </c>
      <c r="D8" s="4" t="s">
        <v>37</v>
      </c>
      <c r="E8" s="4" t="s">
        <v>22</v>
      </c>
      <c r="F8" s="4" t="s">
        <v>33</v>
      </c>
      <c r="G8" s="7">
        <v>47336</v>
      </c>
      <c r="H8" s="4" t="s">
        <v>14</v>
      </c>
      <c r="I8" s="8">
        <v>91800</v>
      </c>
    </row>
    <row r="9" spans="1:9">
      <c r="A9" s="5">
        <v>2</v>
      </c>
      <c r="B9" s="4" t="s">
        <v>44</v>
      </c>
      <c r="C9" s="6" t="s">
        <v>45</v>
      </c>
      <c r="D9" s="4" t="s">
        <v>46</v>
      </c>
      <c r="E9" s="4" t="s">
        <v>29</v>
      </c>
      <c r="F9" s="4" t="s">
        <v>39</v>
      </c>
      <c r="G9" s="7">
        <v>47622</v>
      </c>
      <c r="H9" s="4" t="s">
        <v>24</v>
      </c>
      <c r="I9" s="8">
        <v>17300</v>
      </c>
    </row>
    <row r="10" spans="1:9">
      <c r="A10" s="5">
        <v>2</v>
      </c>
      <c r="B10" s="4" t="s">
        <v>44</v>
      </c>
      <c r="C10" s="6" t="s">
        <v>47</v>
      </c>
      <c r="D10" s="4" t="s">
        <v>48</v>
      </c>
      <c r="E10" s="4" t="s">
        <v>29</v>
      </c>
      <c r="F10" s="4" t="s">
        <v>39</v>
      </c>
      <c r="G10" s="7">
        <v>47622</v>
      </c>
      <c r="H10" s="4" t="s">
        <v>24</v>
      </c>
      <c r="I10" s="8">
        <v>29000</v>
      </c>
    </row>
    <row r="11" spans="1:9">
      <c r="A11" s="5">
        <v>2</v>
      </c>
      <c r="B11" s="4" t="s">
        <v>44</v>
      </c>
      <c r="C11" s="6" t="s">
        <v>49</v>
      </c>
      <c r="D11" s="4" t="s">
        <v>50</v>
      </c>
      <c r="E11" s="4" t="s">
        <v>29</v>
      </c>
      <c r="F11" s="4" t="s">
        <v>39</v>
      </c>
      <c r="G11" s="7">
        <v>47622</v>
      </c>
      <c r="H11" s="4" t="s">
        <v>24</v>
      </c>
      <c r="I11" s="8">
        <v>36700</v>
      </c>
    </row>
    <row r="12" spans="1:9">
      <c r="A12" s="5">
        <v>2</v>
      </c>
      <c r="B12" s="4" t="s">
        <v>44</v>
      </c>
      <c r="C12" s="6" t="s">
        <v>51</v>
      </c>
      <c r="D12" s="4" t="s">
        <v>52</v>
      </c>
      <c r="E12" s="4" t="s">
        <v>29</v>
      </c>
      <c r="F12" s="4" t="s">
        <v>39</v>
      </c>
      <c r="G12" s="7">
        <v>47622</v>
      </c>
      <c r="H12" s="4" t="s">
        <v>24</v>
      </c>
      <c r="I12" s="8">
        <v>75900</v>
      </c>
    </row>
    <row r="13" spans="1:9">
      <c r="A13" s="5">
        <v>2</v>
      </c>
      <c r="B13" s="4" t="s">
        <v>55</v>
      </c>
      <c r="C13" s="6" t="s">
        <v>56</v>
      </c>
      <c r="D13" s="4" t="s">
        <v>57</v>
      </c>
      <c r="E13" s="4" t="s">
        <v>29</v>
      </c>
      <c r="F13" s="4" t="s">
        <v>39</v>
      </c>
      <c r="G13" s="7">
        <v>47622</v>
      </c>
      <c r="H13" s="4" t="s">
        <v>24</v>
      </c>
      <c r="I13" s="8">
        <v>16900</v>
      </c>
    </row>
    <row r="14" spans="1:9">
      <c r="A14" s="5">
        <v>2</v>
      </c>
      <c r="B14" s="4" t="s">
        <v>55</v>
      </c>
      <c r="C14" s="6" t="s">
        <v>58</v>
      </c>
      <c r="D14" s="4" t="s">
        <v>59</v>
      </c>
      <c r="E14" s="4" t="s">
        <v>29</v>
      </c>
      <c r="F14" s="4" t="s">
        <v>39</v>
      </c>
      <c r="G14" s="7">
        <v>47622</v>
      </c>
      <c r="H14" s="4" t="s">
        <v>24</v>
      </c>
      <c r="I14" s="8">
        <v>21900</v>
      </c>
    </row>
    <row r="15" spans="1:9" ht="28.5">
      <c r="A15" s="5">
        <v>2</v>
      </c>
      <c r="B15" s="4" t="s">
        <v>60</v>
      </c>
      <c r="C15" s="6" t="s">
        <v>61</v>
      </c>
      <c r="D15" s="4" t="s">
        <v>62</v>
      </c>
      <c r="E15" s="4" t="s">
        <v>29</v>
      </c>
      <c r="F15" s="4" t="s">
        <v>63</v>
      </c>
      <c r="G15" s="7">
        <v>47600</v>
      </c>
      <c r="H15" s="4" t="s">
        <v>14</v>
      </c>
      <c r="I15" s="8">
        <v>38600</v>
      </c>
    </row>
    <row r="16" spans="1:9" ht="28.5">
      <c r="A16" s="5">
        <v>2</v>
      </c>
      <c r="B16" s="4" t="s">
        <v>60</v>
      </c>
      <c r="C16" s="6" t="s">
        <v>64</v>
      </c>
      <c r="D16" s="4" t="s">
        <v>65</v>
      </c>
      <c r="E16" s="4" t="s">
        <v>29</v>
      </c>
      <c r="F16" s="4" t="s">
        <v>63</v>
      </c>
      <c r="G16" s="7">
        <v>47600</v>
      </c>
      <c r="H16" s="4" t="s">
        <v>14</v>
      </c>
      <c r="I16" s="8">
        <v>107200</v>
      </c>
    </row>
    <row r="17" spans="1:9" ht="28.5">
      <c r="A17" s="5">
        <v>2</v>
      </c>
      <c r="B17" s="4" t="s">
        <v>60</v>
      </c>
      <c r="C17" s="6" t="s">
        <v>66</v>
      </c>
      <c r="D17" s="4" t="s">
        <v>67</v>
      </c>
      <c r="E17" s="4" t="s">
        <v>29</v>
      </c>
      <c r="F17" s="4" t="s">
        <v>63</v>
      </c>
      <c r="G17" s="7">
        <v>47600</v>
      </c>
      <c r="H17" s="4" t="s">
        <v>14</v>
      </c>
      <c r="I17" s="8">
        <v>114900</v>
      </c>
    </row>
    <row r="18" spans="1:9" ht="28.5">
      <c r="A18" s="5">
        <v>2</v>
      </c>
      <c r="B18" s="4" t="s">
        <v>60</v>
      </c>
      <c r="C18" s="6" t="s">
        <v>68</v>
      </c>
      <c r="D18" s="4" t="s">
        <v>69</v>
      </c>
      <c r="E18" s="4" t="s">
        <v>29</v>
      </c>
      <c r="F18" s="4" t="s">
        <v>63</v>
      </c>
      <c r="G18" s="7">
        <v>47600</v>
      </c>
      <c r="H18" s="4" t="s">
        <v>14</v>
      </c>
      <c r="I18" s="8">
        <v>129400</v>
      </c>
    </row>
    <row r="19" spans="1:9" ht="28.5">
      <c r="A19" s="5">
        <v>3</v>
      </c>
      <c r="B19" s="4" t="s">
        <v>72</v>
      </c>
      <c r="C19" s="6" t="s">
        <v>73</v>
      </c>
      <c r="D19" s="4" t="s">
        <v>74</v>
      </c>
      <c r="E19" s="4" t="s">
        <v>29</v>
      </c>
      <c r="F19" s="4" t="s">
        <v>39</v>
      </c>
      <c r="G19" s="7">
        <v>47622</v>
      </c>
      <c r="H19" s="4" t="s">
        <v>24</v>
      </c>
      <c r="I19" s="8">
        <v>49000</v>
      </c>
    </row>
    <row r="20" spans="1:9" ht="28.5">
      <c r="A20" s="5">
        <v>3</v>
      </c>
      <c r="B20" s="4" t="s">
        <v>75</v>
      </c>
      <c r="C20" s="6" t="s">
        <v>76</v>
      </c>
      <c r="D20" s="4" t="s">
        <v>77</v>
      </c>
      <c r="E20" s="4" t="s">
        <v>53</v>
      </c>
      <c r="F20" s="4" t="s">
        <v>63</v>
      </c>
      <c r="G20" s="7">
        <v>47600</v>
      </c>
      <c r="H20" s="4" t="s">
        <v>14</v>
      </c>
      <c r="I20" s="8">
        <v>386300</v>
      </c>
    </row>
    <row r="21" spans="1:9" ht="28.5">
      <c r="A21" s="5">
        <v>3</v>
      </c>
      <c r="B21" s="4" t="s">
        <v>78</v>
      </c>
      <c r="C21" s="6" t="s">
        <v>80</v>
      </c>
      <c r="D21" s="4" t="s">
        <v>81</v>
      </c>
      <c r="E21" s="4" t="s">
        <v>22</v>
      </c>
      <c r="F21" s="4" t="s">
        <v>79</v>
      </c>
      <c r="G21" s="7">
        <v>48816</v>
      </c>
      <c r="H21" s="4" t="s">
        <v>24</v>
      </c>
      <c r="I21" s="8">
        <v>38000</v>
      </c>
    </row>
    <row r="22" spans="1:9" ht="28.5">
      <c r="A22" s="5">
        <v>3</v>
      </c>
      <c r="B22" s="4" t="s">
        <v>78</v>
      </c>
      <c r="C22" s="6" t="s">
        <v>82</v>
      </c>
      <c r="D22" s="4" t="s">
        <v>83</v>
      </c>
      <c r="E22" s="4" t="s">
        <v>22</v>
      </c>
      <c r="F22" s="4" t="s">
        <v>79</v>
      </c>
      <c r="G22" s="7">
        <v>48816</v>
      </c>
      <c r="H22" s="4" t="s">
        <v>24</v>
      </c>
      <c r="I22" s="8">
        <v>39800</v>
      </c>
    </row>
    <row r="23" spans="1:9" ht="28.5">
      <c r="A23" s="5">
        <v>3</v>
      </c>
      <c r="B23" s="4" t="s">
        <v>78</v>
      </c>
      <c r="C23" s="6" t="s">
        <v>84</v>
      </c>
      <c r="D23" s="4" t="s">
        <v>85</v>
      </c>
      <c r="E23" s="4" t="s">
        <v>22</v>
      </c>
      <c r="F23" s="4" t="s">
        <v>79</v>
      </c>
      <c r="G23" s="7">
        <v>48816</v>
      </c>
      <c r="H23" s="4" t="s">
        <v>24</v>
      </c>
      <c r="I23" s="8">
        <v>42200</v>
      </c>
    </row>
    <row r="24" spans="1:9" ht="28.5">
      <c r="A24" s="5">
        <v>3</v>
      </c>
      <c r="B24" s="4" t="s">
        <v>78</v>
      </c>
      <c r="C24" s="6" t="s">
        <v>86</v>
      </c>
      <c r="D24" s="4" t="s">
        <v>87</v>
      </c>
      <c r="E24" s="4" t="s">
        <v>22</v>
      </c>
      <c r="F24" s="4" t="s">
        <v>79</v>
      </c>
      <c r="G24" s="7">
        <v>48816</v>
      </c>
      <c r="H24" s="4" t="s">
        <v>24</v>
      </c>
      <c r="I24" s="8">
        <v>51600</v>
      </c>
    </row>
    <row r="25" spans="1:9">
      <c r="A25" s="5">
        <v>4</v>
      </c>
      <c r="B25" s="4" t="s">
        <v>95</v>
      </c>
      <c r="C25" s="6" t="s">
        <v>96</v>
      </c>
      <c r="D25" s="4" t="s">
        <v>97</v>
      </c>
      <c r="E25" s="4" t="s">
        <v>12</v>
      </c>
      <c r="F25" s="4" t="s">
        <v>98</v>
      </c>
      <c r="G25" s="7">
        <v>48561</v>
      </c>
      <c r="H25" s="4" t="s">
        <v>99</v>
      </c>
      <c r="I25" s="8">
        <v>43500</v>
      </c>
    </row>
    <row r="26" spans="1:9" ht="28.5">
      <c r="A26" s="5">
        <v>5</v>
      </c>
      <c r="B26" s="4" t="s">
        <v>100</v>
      </c>
      <c r="C26" s="6" t="s">
        <v>101</v>
      </c>
      <c r="D26" s="4" t="s">
        <v>102</v>
      </c>
      <c r="E26" s="4" t="s">
        <v>12</v>
      </c>
      <c r="F26" s="4" t="s">
        <v>103</v>
      </c>
      <c r="G26" s="7">
        <v>47051</v>
      </c>
      <c r="H26" s="4" t="s">
        <v>99</v>
      </c>
      <c r="I26" s="8">
        <v>89500</v>
      </c>
    </row>
    <row r="27" spans="1:9" ht="28.5">
      <c r="A27" s="5">
        <v>5</v>
      </c>
      <c r="B27" s="4" t="s">
        <v>100</v>
      </c>
      <c r="C27" s="6" t="s">
        <v>104</v>
      </c>
      <c r="D27" s="4" t="s">
        <v>105</v>
      </c>
      <c r="E27" s="4" t="s">
        <v>12</v>
      </c>
      <c r="F27" s="4" t="s">
        <v>103</v>
      </c>
      <c r="G27" s="7">
        <v>47051</v>
      </c>
      <c r="H27" s="4" t="s">
        <v>99</v>
      </c>
      <c r="I27" s="8">
        <v>67900</v>
      </c>
    </row>
    <row r="28" spans="1:9" ht="28.5">
      <c r="A28" s="5">
        <v>5</v>
      </c>
      <c r="B28" s="4" t="s">
        <v>100</v>
      </c>
      <c r="C28" s="6" t="s">
        <v>106</v>
      </c>
      <c r="D28" s="4" t="s">
        <v>107</v>
      </c>
      <c r="E28" s="4" t="s">
        <v>12</v>
      </c>
      <c r="F28" s="4" t="s">
        <v>103</v>
      </c>
      <c r="G28" s="7">
        <v>47051</v>
      </c>
      <c r="H28" s="4" t="s">
        <v>99</v>
      </c>
      <c r="I28" s="8">
        <v>50300</v>
      </c>
    </row>
    <row r="29" spans="1:9" ht="28.5">
      <c r="A29" s="5">
        <v>5</v>
      </c>
      <c r="B29" s="4" t="s">
        <v>100</v>
      </c>
      <c r="C29" s="6" t="s">
        <v>108</v>
      </c>
      <c r="D29" s="4" t="s">
        <v>109</v>
      </c>
      <c r="E29" s="4" t="s">
        <v>12</v>
      </c>
      <c r="F29" s="4" t="s">
        <v>103</v>
      </c>
      <c r="G29" s="7">
        <v>47051</v>
      </c>
      <c r="H29" s="4" t="s">
        <v>99</v>
      </c>
      <c r="I29" s="8">
        <v>53300</v>
      </c>
    </row>
    <row r="33" spans="1:9" ht="16.5" customHeight="1">
      <c r="A33" s="5">
        <v>1</v>
      </c>
      <c r="B33" s="4" t="s">
        <v>15</v>
      </c>
      <c r="C33" s="6" t="s">
        <v>17</v>
      </c>
      <c r="D33" s="4" t="s">
        <v>18</v>
      </c>
      <c r="E33" s="4" t="s">
        <v>12</v>
      </c>
      <c r="F33" s="4" t="s">
        <v>16</v>
      </c>
      <c r="G33" s="7">
        <v>48792</v>
      </c>
      <c r="H33" s="4" t="s">
        <v>14</v>
      </c>
      <c r="I33" s="8">
        <v>80300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5716-C836-4649-B1B9-F8BD07A0B839}">
  <dimension ref="A1:AB203"/>
  <sheetViews>
    <sheetView topLeftCell="H1" workbookViewId="0">
      <selection activeCell="S1" sqref="S1"/>
    </sheetView>
  </sheetViews>
  <sheetFormatPr baseColWidth="10" defaultRowHeight="14.25"/>
  <cols>
    <col min="9" max="9" width="33.125" customWidth="1"/>
  </cols>
  <sheetData>
    <row r="1" spans="1:28" ht="15">
      <c r="A1" s="11" t="s">
        <v>117</v>
      </c>
      <c r="B1" s="11" t="s">
        <v>118</v>
      </c>
      <c r="C1" s="11" t="s">
        <v>119</v>
      </c>
      <c r="D1" s="11" t="s">
        <v>120</v>
      </c>
      <c r="E1" s="11" t="s">
        <v>121</v>
      </c>
      <c r="F1" s="11" t="s">
        <v>122</v>
      </c>
      <c r="G1" s="11" t="s">
        <v>123</v>
      </c>
      <c r="H1" s="11" t="s">
        <v>124</v>
      </c>
      <c r="I1" s="11" t="s">
        <v>125</v>
      </c>
      <c r="J1" s="11" t="s">
        <v>126</v>
      </c>
      <c r="K1" s="11" t="s">
        <v>127</v>
      </c>
      <c r="L1" s="11" t="s">
        <v>128</v>
      </c>
      <c r="M1" s="12" t="s">
        <v>129</v>
      </c>
      <c r="N1" s="11" t="s">
        <v>130</v>
      </c>
      <c r="O1" s="11" t="s">
        <v>131</v>
      </c>
      <c r="P1" s="11" t="s">
        <v>132</v>
      </c>
      <c r="Q1" s="13" t="s">
        <v>133</v>
      </c>
      <c r="R1" s="14" t="s">
        <v>134</v>
      </c>
      <c r="S1" s="15" t="s">
        <v>135</v>
      </c>
      <c r="T1" s="16" t="s">
        <v>136</v>
      </c>
      <c r="U1" s="16" t="s">
        <v>137</v>
      </c>
      <c r="V1" s="16" t="s">
        <v>138</v>
      </c>
      <c r="W1" s="13" t="s">
        <v>139</v>
      </c>
      <c r="X1" s="16" t="s">
        <v>140</v>
      </c>
      <c r="Y1" s="16" t="s">
        <v>141</v>
      </c>
      <c r="Z1" s="16" t="s">
        <v>142</v>
      </c>
      <c r="AA1" s="13" t="s">
        <v>143</v>
      </c>
      <c r="AB1" s="14" t="s">
        <v>144</v>
      </c>
    </row>
    <row r="2" spans="1:28">
      <c r="A2">
        <v>2026</v>
      </c>
      <c r="B2" t="s">
        <v>145</v>
      </c>
      <c r="C2" t="s">
        <v>146</v>
      </c>
      <c r="D2" t="s">
        <v>147</v>
      </c>
      <c r="E2">
        <v>360001</v>
      </c>
      <c r="G2" t="s">
        <v>148</v>
      </c>
      <c r="H2" t="s">
        <v>148</v>
      </c>
      <c r="I2" t="s">
        <v>9</v>
      </c>
      <c r="J2" t="s">
        <v>12</v>
      </c>
      <c r="K2">
        <v>1</v>
      </c>
      <c r="L2">
        <v>893800</v>
      </c>
      <c r="M2" s="17">
        <f>L2/K2</f>
        <v>893800</v>
      </c>
      <c r="O2" s="17">
        <f t="shared" ref="O2:O29" si="0">M2+(M2*30%)</f>
        <v>1161940</v>
      </c>
      <c r="P2" s="17">
        <f>IF(C2="Alta Complejidad",M2,0)</f>
        <v>893800</v>
      </c>
      <c r="Q2" s="18">
        <v>0.15</v>
      </c>
      <c r="R2" s="17">
        <f t="shared" ref="R2:R29" si="1">P2+(P2*Q2)</f>
        <v>1027870</v>
      </c>
      <c r="S2" s="19">
        <f t="shared" ref="S2:S29" si="2">IFERROR(((R2-P2)/R2),0)</f>
        <v>0.13043478260869565</v>
      </c>
      <c r="T2" s="17">
        <f>IF(C2="Mediana Complejidad",M2,0)</f>
        <v>0</v>
      </c>
      <c r="U2" s="18">
        <v>0.3</v>
      </c>
      <c r="V2" s="17">
        <f t="shared" ref="V2:V29" si="3">(T2)+(T2*U2)</f>
        <v>0</v>
      </c>
      <c r="W2" s="18">
        <f t="shared" ref="W2:W29" si="4">IFERROR(((V2-T2)/V2),0)</f>
        <v>0</v>
      </c>
      <c r="X2" s="17">
        <f>IF(C2="Baja Complejidad",M2,0)</f>
        <v>0</v>
      </c>
      <c r="Y2" s="18">
        <v>0.3</v>
      </c>
      <c r="Z2" s="17">
        <f t="shared" ref="Z2:Z29" si="5">(X2)+(X2*Y2)</f>
        <v>0</v>
      </c>
      <c r="AA2" s="18">
        <f t="shared" ref="AA2:AA29" si="6">IFERROR(((Z2-X2)/Z2),0)</f>
        <v>0</v>
      </c>
      <c r="AB2" s="18">
        <v>0.1</v>
      </c>
    </row>
    <row r="3" spans="1:28">
      <c r="A3">
        <v>2026</v>
      </c>
      <c r="B3" t="s">
        <v>145</v>
      </c>
      <c r="C3" t="s">
        <v>146</v>
      </c>
      <c r="D3" t="s">
        <v>147</v>
      </c>
      <c r="E3">
        <v>709900</v>
      </c>
      <c r="G3" t="s">
        <v>148</v>
      </c>
      <c r="H3" t="s">
        <v>148</v>
      </c>
      <c r="I3" t="s">
        <v>19</v>
      </c>
      <c r="J3" t="s">
        <v>22</v>
      </c>
      <c r="K3">
        <v>10</v>
      </c>
      <c r="L3">
        <v>13500</v>
      </c>
      <c r="M3" s="17">
        <f t="shared" ref="M3:M29" si="7">L3/K3</f>
        <v>1350</v>
      </c>
      <c r="O3" s="17">
        <f t="shared" si="0"/>
        <v>1755</v>
      </c>
      <c r="P3" s="17">
        <f>IF(C3="Alta Complejidad",M3,0)</f>
        <v>1350</v>
      </c>
      <c r="Q3" s="18">
        <v>0.18</v>
      </c>
      <c r="R3" s="17">
        <f t="shared" si="1"/>
        <v>1593</v>
      </c>
      <c r="S3" s="19">
        <f t="shared" si="2"/>
        <v>0.15254237288135594</v>
      </c>
      <c r="T3" s="17">
        <f>IF(C3="Mediana Complejidad",M3,0)</f>
        <v>0</v>
      </c>
      <c r="U3" s="18">
        <v>0.28000000000000003</v>
      </c>
      <c r="V3" s="17">
        <f t="shared" si="3"/>
        <v>0</v>
      </c>
      <c r="W3" s="18">
        <f t="shared" si="4"/>
        <v>0</v>
      </c>
      <c r="X3" s="17">
        <f>IF(C3="Baja Complejidad",M3,0)</f>
        <v>0</v>
      </c>
      <c r="Y3" s="18">
        <v>0.28000000000000003</v>
      </c>
      <c r="Z3" s="17">
        <f t="shared" si="5"/>
        <v>0</v>
      </c>
      <c r="AA3" s="18">
        <f t="shared" si="6"/>
        <v>0</v>
      </c>
      <c r="AB3" s="18">
        <v>0.1</v>
      </c>
    </row>
    <row r="4" spans="1:28">
      <c r="A4">
        <v>2026</v>
      </c>
      <c r="B4" t="s">
        <v>145</v>
      </c>
      <c r="C4" t="s">
        <v>146</v>
      </c>
      <c r="D4" t="s">
        <v>147</v>
      </c>
      <c r="E4">
        <v>709902</v>
      </c>
      <c r="G4" t="s">
        <v>148</v>
      </c>
      <c r="H4" t="s">
        <v>148</v>
      </c>
      <c r="I4" t="s">
        <v>19</v>
      </c>
      <c r="J4" t="s">
        <v>22</v>
      </c>
      <c r="K4">
        <v>10</v>
      </c>
      <c r="L4">
        <v>28800</v>
      </c>
      <c r="M4" s="17">
        <f t="shared" si="7"/>
        <v>2880</v>
      </c>
      <c r="O4" s="17">
        <f t="shared" si="0"/>
        <v>3744</v>
      </c>
      <c r="P4" s="17">
        <f>IF(C4="Alta Complejidad",M4,0)</f>
        <v>2880</v>
      </c>
      <c r="Q4" s="18">
        <v>0.28999999999999998</v>
      </c>
      <c r="R4" s="17">
        <f t="shared" si="1"/>
        <v>3715.2</v>
      </c>
      <c r="S4" s="19">
        <f t="shared" si="2"/>
        <v>0.22480620155038755</v>
      </c>
      <c r="T4" s="17">
        <f>IF(C4="Mediana Complejidad",M4,0)</f>
        <v>0</v>
      </c>
      <c r="U4" s="18">
        <v>0.27</v>
      </c>
      <c r="V4" s="17">
        <f t="shared" si="3"/>
        <v>0</v>
      </c>
      <c r="W4" s="18">
        <f t="shared" si="4"/>
        <v>0</v>
      </c>
      <c r="X4" s="17">
        <f>IF(C4="Baja Complejidad",M4,0)</f>
        <v>0</v>
      </c>
      <c r="Y4" s="18">
        <v>0.27</v>
      </c>
      <c r="Z4" s="17">
        <f t="shared" si="5"/>
        <v>0</v>
      </c>
      <c r="AA4" s="18">
        <f t="shared" si="6"/>
        <v>0</v>
      </c>
      <c r="AB4" s="18">
        <v>0.1</v>
      </c>
    </row>
    <row r="5" spans="1:28">
      <c r="A5">
        <v>2026</v>
      </c>
      <c r="B5" t="s">
        <v>145</v>
      </c>
      <c r="C5" t="s">
        <v>146</v>
      </c>
      <c r="D5" t="s">
        <v>147</v>
      </c>
      <c r="E5">
        <v>709903</v>
      </c>
      <c r="G5" t="s">
        <v>148</v>
      </c>
      <c r="H5" t="s">
        <v>148</v>
      </c>
      <c r="I5" t="s">
        <v>19</v>
      </c>
      <c r="J5" t="s">
        <v>22</v>
      </c>
      <c r="K5">
        <v>10</v>
      </c>
      <c r="L5">
        <v>63400</v>
      </c>
      <c r="M5" s="17">
        <f t="shared" si="7"/>
        <v>6340</v>
      </c>
      <c r="O5" s="17">
        <f t="shared" si="0"/>
        <v>8242</v>
      </c>
      <c r="P5" s="17">
        <f>IF(C5="Alta Complejidad",M5,0)</f>
        <v>6340</v>
      </c>
      <c r="Q5" s="18">
        <v>0.34</v>
      </c>
      <c r="R5" s="17">
        <f t="shared" si="1"/>
        <v>8495.6</v>
      </c>
      <c r="S5" s="19">
        <f t="shared" si="2"/>
        <v>0.2537313432835821</v>
      </c>
      <c r="T5" s="17">
        <f>IF(C5="Mediana Complejidad",M5,0)</f>
        <v>0</v>
      </c>
      <c r="U5" s="18">
        <v>0.17</v>
      </c>
      <c r="V5" s="17">
        <f t="shared" si="3"/>
        <v>0</v>
      </c>
      <c r="W5" s="18">
        <f t="shared" si="4"/>
        <v>0</v>
      </c>
      <c r="X5" s="17">
        <f>IF(C5="Baja Complejidad",M5,0)</f>
        <v>0</v>
      </c>
      <c r="Y5" s="18">
        <v>0.17</v>
      </c>
      <c r="Z5" s="17">
        <f t="shared" si="5"/>
        <v>0</v>
      </c>
      <c r="AA5" s="18">
        <f t="shared" si="6"/>
        <v>0</v>
      </c>
      <c r="AB5" s="18">
        <v>0.1</v>
      </c>
    </row>
    <row r="6" spans="1:28">
      <c r="A6">
        <v>2026</v>
      </c>
      <c r="B6" t="s">
        <v>145</v>
      </c>
      <c r="C6" t="s">
        <v>146</v>
      </c>
      <c r="D6" t="s">
        <v>147</v>
      </c>
      <c r="E6">
        <v>603421</v>
      </c>
      <c r="G6" t="s">
        <v>148</v>
      </c>
      <c r="H6" t="s">
        <v>148</v>
      </c>
      <c r="I6" t="s">
        <v>30</v>
      </c>
      <c r="J6" t="s">
        <v>22</v>
      </c>
      <c r="K6">
        <v>10</v>
      </c>
      <c r="L6">
        <v>24200</v>
      </c>
      <c r="M6" s="17">
        <f t="shared" si="7"/>
        <v>2420</v>
      </c>
      <c r="O6" s="17">
        <f t="shared" si="0"/>
        <v>3146</v>
      </c>
      <c r="P6" s="17">
        <f>IF(C6="Alta Complejidad",M6,0)</f>
        <v>2420</v>
      </c>
      <c r="Q6" s="18">
        <v>0.25</v>
      </c>
      <c r="R6" s="17">
        <f t="shared" si="1"/>
        <v>3025</v>
      </c>
      <c r="S6" s="19">
        <f t="shared" si="2"/>
        <v>0.2</v>
      </c>
      <c r="T6" s="17">
        <f>IF(C6="Mediana Complejidad",M6,0)</f>
        <v>0</v>
      </c>
      <c r="U6" s="18">
        <v>0.22</v>
      </c>
      <c r="V6" s="17">
        <f t="shared" si="3"/>
        <v>0</v>
      </c>
      <c r="W6" s="18">
        <f t="shared" si="4"/>
        <v>0</v>
      </c>
      <c r="X6" s="17">
        <f>IF(C6="Baja Complejidad",M6,0)</f>
        <v>0</v>
      </c>
      <c r="Y6" s="18">
        <v>0.22</v>
      </c>
      <c r="Z6" s="17">
        <f t="shared" si="5"/>
        <v>0</v>
      </c>
      <c r="AA6" s="18">
        <f t="shared" si="6"/>
        <v>0</v>
      </c>
      <c r="AB6" s="18">
        <v>0.1</v>
      </c>
    </row>
    <row r="7" spans="1:28">
      <c r="A7">
        <v>2026</v>
      </c>
      <c r="B7" t="s">
        <v>145</v>
      </c>
      <c r="C7" t="s">
        <v>146</v>
      </c>
      <c r="D7" t="s">
        <v>147</v>
      </c>
      <c r="E7">
        <v>603422</v>
      </c>
      <c r="G7" t="s">
        <v>148</v>
      </c>
      <c r="H7" t="s">
        <v>148</v>
      </c>
      <c r="I7" t="s">
        <v>30</v>
      </c>
      <c r="J7" t="s">
        <v>22</v>
      </c>
      <c r="K7">
        <v>10</v>
      </c>
      <c r="L7">
        <v>36700</v>
      </c>
      <c r="M7" s="17">
        <f t="shared" si="7"/>
        <v>3670</v>
      </c>
      <c r="O7" s="17">
        <f t="shared" si="0"/>
        <v>4771</v>
      </c>
      <c r="P7" s="17">
        <f>IF(C7="Alta Complejidad",M7,0)</f>
        <v>3670</v>
      </c>
      <c r="Q7" s="18">
        <v>0.35</v>
      </c>
      <c r="R7" s="17">
        <f t="shared" si="1"/>
        <v>4954.5</v>
      </c>
      <c r="S7" s="19">
        <f t="shared" si="2"/>
        <v>0.25925925925925924</v>
      </c>
      <c r="T7" s="17">
        <f>IF(C7="Mediana Complejidad",M7,0)</f>
        <v>0</v>
      </c>
      <c r="U7" s="18">
        <v>0.12</v>
      </c>
      <c r="V7" s="17">
        <f t="shared" si="3"/>
        <v>0</v>
      </c>
      <c r="W7" s="18">
        <f t="shared" si="4"/>
        <v>0</v>
      </c>
      <c r="X7" s="17">
        <f>IF(C7="Baja Complejidad",M7,0)</f>
        <v>0</v>
      </c>
      <c r="Y7" s="18">
        <v>0.12</v>
      </c>
      <c r="Z7" s="17">
        <f t="shared" si="5"/>
        <v>0</v>
      </c>
      <c r="AA7" s="18">
        <f t="shared" si="6"/>
        <v>0</v>
      </c>
      <c r="AB7" s="18">
        <v>0.1</v>
      </c>
    </row>
    <row r="8" spans="1:28">
      <c r="A8">
        <v>2026</v>
      </c>
      <c r="B8" t="s">
        <v>145</v>
      </c>
      <c r="C8" t="s">
        <v>146</v>
      </c>
      <c r="D8" t="s">
        <v>147</v>
      </c>
      <c r="E8">
        <v>603423</v>
      </c>
      <c r="G8" t="s">
        <v>148</v>
      </c>
      <c r="H8" t="s">
        <v>148</v>
      </c>
      <c r="I8" t="s">
        <v>30</v>
      </c>
      <c r="J8" t="s">
        <v>22</v>
      </c>
      <c r="K8">
        <v>10</v>
      </c>
      <c r="L8">
        <v>91800</v>
      </c>
      <c r="M8" s="17">
        <f t="shared" si="7"/>
        <v>9180</v>
      </c>
      <c r="O8" s="17">
        <f t="shared" si="0"/>
        <v>11934</v>
      </c>
      <c r="P8" s="17">
        <f>IF(C8="Alta Complejidad",M8,0)</f>
        <v>9180</v>
      </c>
      <c r="Q8" s="18">
        <v>0.12</v>
      </c>
      <c r="R8" s="17">
        <f t="shared" si="1"/>
        <v>10281.6</v>
      </c>
      <c r="S8" s="19">
        <f t="shared" si="2"/>
        <v>0.10714285714285718</v>
      </c>
      <c r="T8" s="17">
        <f>IF(C8="Mediana Complejidad",M8,0)</f>
        <v>0</v>
      </c>
      <c r="U8" s="18">
        <v>0.15</v>
      </c>
      <c r="V8" s="17">
        <f t="shared" si="3"/>
        <v>0</v>
      </c>
      <c r="W8" s="18">
        <f t="shared" si="4"/>
        <v>0</v>
      </c>
      <c r="X8" s="17">
        <f>IF(C8="Baja Complejidad",M8,0)</f>
        <v>0</v>
      </c>
      <c r="Y8" s="18">
        <v>0.15</v>
      </c>
      <c r="Z8" s="17">
        <f t="shared" si="5"/>
        <v>0</v>
      </c>
      <c r="AA8" s="18">
        <f t="shared" si="6"/>
        <v>0</v>
      </c>
      <c r="AB8" s="18">
        <v>0.1</v>
      </c>
    </row>
    <row r="9" spans="1:28">
      <c r="A9">
        <v>2026</v>
      </c>
      <c r="B9" t="s">
        <v>145</v>
      </c>
      <c r="C9" t="s">
        <v>146</v>
      </c>
      <c r="D9" t="s">
        <v>147</v>
      </c>
      <c r="E9">
        <v>294199</v>
      </c>
      <c r="G9" t="s">
        <v>148</v>
      </c>
      <c r="H9" t="s">
        <v>148</v>
      </c>
      <c r="I9" t="s">
        <v>44</v>
      </c>
      <c r="J9" t="s">
        <v>29</v>
      </c>
      <c r="K9">
        <v>5</v>
      </c>
      <c r="L9">
        <v>17300</v>
      </c>
      <c r="M9" s="17">
        <f t="shared" si="7"/>
        <v>3460</v>
      </c>
      <c r="O9" s="17">
        <f t="shared" si="0"/>
        <v>4498</v>
      </c>
      <c r="P9" s="17">
        <f>IF(C9="Alta Complejidad",M9,0)</f>
        <v>3460</v>
      </c>
      <c r="Q9" s="18">
        <v>0.25</v>
      </c>
      <c r="R9" s="17">
        <f t="shared" si="1"/>
        <v>4325</v>
      </c>
      <c r="S9" s="19">
        <f t="shared" si="2"/>
        <v>0.2</v>
      </c>
      <c r="T9" s="17">
        <f>IF(C9="Mediana Complejidad",M9,0)</f>
        <v>0</v>
      </c>
      <c r="U9" s="18">
        <v>0.18</v>
      </c>
      <c r="V9" s="17">
        <f t="shared" si="3"/>
        <v>0</v>
      </c>
      <c r="W9" s="18">
        <f t="shared" si="4"/>
        <v>0</v>
      </c>
      <c r="X9" s="17">
        <f>IF(C9="Baja Complejidad",M9,0)</f>
        <v>0</v>
      </c>
      <c r="Y9" s="18">
        <v>0.18</v>
      </c>
      <c r="Z9" s="17">
        <f t="shared" si="5"/>
        <v>0</v>
      </c>
      <c r="AA9" s="18">
        <f t="shared" si="6"/>
        <v>0</v>
      </c>
      <c r="AB9" s="18">
        <v>0.1</v>
      </c>
    </row>
    <row r="10" spans="1:28">
      <c r="A10">
        <v>2026</v>
      </c>
      <c r="B10" t="s">
        <v>145</v>
      </c>
      <c r="C10" t="s">
        <v>146</v>
      </c>
      <c r="D10" t="s">
        <v>147</v>
      </c>
      <c r="E10">
        <v>294299</v>
      </c>
      <c r="G10" t="s">
        <v>148</v>
      </c>
      <c r="H10" t="s">
        <v>148</v>
      </c>
      <c r="I10" t="s">
        <v>44</v>
      </c>
      <c r="J10" t="s">
        <v>29</v>
      </c>
      <c r="K10">
        <v>5</v>
      </c>
      <c r="L10">
        <v>29000</v>
      </c>
      <c r="M10" s="17">
        <f t="shared" si="7"/>
        <v>5800</v>
      </c>
      <c r="O10" s="17">
        <f t="shared" si="0"/>
        <v>7540</v>
      </c>
      <c r="P10" s="17">
        <f>IF(C10="Alta Complejidad",M10,0)</f>
        <v>5800</v>
      </c>
      <c r="Q10" s="18">
        <v>0.1</v>
      </c>
      <c r="R10" s="17">
        <f t="shared" si="1"/>
        <v>6380</v>
      </c>
      <c r="S10" s="19">
        <f t="shared" si="2"/>
        <v>9.0909090909090912E-2</v>
      </c>
      <c r="T10" s="17">
        <f>IF(C10="Mediana Complejidad",M10,0)</f>
        <v>0</v>
      </c>
      <c r="U10" s="18">
        <v>0.28999999999999998</v>
      </c>
      <c r="V10" s="17">
        <f t="shared" si="3"/>
        <v>0</v>
      </c>
      <c r="W10" s="18">
        <f t="shared" si="4"/>
        <v>0</v>
      </c>
      <c r="X10" s="17">
        <f>IF(C10="Baja Complejidad",M10,0)</f>
        <v>0</v>
      </c>
      <c r="Y10" s="18">
        <v>0.28999999999999998</v>
      </c>
      <c r="Z10" s="17">
        <f t="shared" si="5"/>
        <v>0</v>
      </c>
      <c r="AA10" s="18">
        <f t="shared" si="6"/>
        <v>0</v>
      </c>
      <c r="AB10" s="18">
        <v>0.1</v>
      </c>
    </row>
    <row r="11" spans="1:28">
      <c r="A11">
        <v>2026</v>
      </c>
      <c r="B11" t="s">
        <v>145</v>
      </c>
      <c r="C11" t="s">
        <v>146</v>
      </c>
      <c r="D11" t="s">
        <v>147</v>
      </c>
      <c r="E11">
        <v>294399</v>
      </c>
      <c r="G11" t="s">
        <v>148</v>
      </c>
      <c r="H11" t="s">
        <v>148</v>
      </c>
      <c r="I11" t="s">
        <v>44</v>
      </c>
      <c r="J11" t="s">
        <v>29</v>
      </c>
      <c r="K11">
        <v>5</v>
      </c>
      <c r="L11">
        <v>36700</v>
      </c>
      <c r="M11" s="17">
        <f t="shared" si="7"/>
        <v>7340</v>
      </c>
      <c r="O11" s="17">
        <f t="shared" si="0"/>
        <v>9542</v>
      </c>
      <c r="P11" s="17">
        <f>IF(C11="Alta Complejidad",M11,0)</f>
        <v>7340</v>
      </c>
      <c r="Q11" s="18">
        <v>0.35</v>
      </c>
      <c r="R11" s="17">
        <f t="shared" si="1"/>
        <v>9909</v>
      </c>
      <c r="S11" s="19">
        <f t="shared" si="2"/>
        <v>0.25925925925925924</v>
      </c>
      <c r="T11" s="17">
        <f>IF(C11="Mediana Complejidad",M11,0)</f>
        <v>0</v>
      </c>
      <c r="U11" s="18">
        <v>0.34</v>
      </c>
      <c r="V11" s="17">
        <f t="shared" si="3"/>
        <v>0</v>
      </c>
      <c r="W11" s="18">
        <f t="shared" si="4"/>
        <v>0</v>
      </c>
      <c r="X11" s="17">
        <f>IF(C11="Baja Complejidad",M11,0)</f>
        <v>0</v>
      </c>
      <c r="Y11" s="18">
        <v>0.34</v>
      </c>
      <c r="Z11" s="17">
        <f t="shared" si="5"/>
        <v>0</v>
      </c>
      <c r="AA11" s="18">
        <f t="shared" si="6"/>
        <v>0</v>
      </c>
      <c r="AB11" s="18">
        <v>0.1</v>
      </c>
    </row>
    <row r="12" spans="1:28">
      <c r="A12">
        <v>2026</v>
      </c>
      <c r="B12" t="s">
        <v>145</v>
      </c>
      <c r="C12" t="s">
        <v>146</v>
      </c>
      <c r="D12" t="s">
        <v>147</v>
      </c>
      <c r="E12">
        <v>294499</v>
      </c>
      <c r="G12" t="s">
        <v>148</v>
      </c>
      <c r="H12" t="s">
        <v>148</v>
      </c>
      <c r="I12" t="s">
        <v>44</v>
      </c>
      <c r="J12" t="s">
        <v>29</v>
      </c>
      <c r="K12">
        <v>5</v>
      </c>
      <c r="L12">
        <v>75900</v>
      </c>
      <c r="M12" s="17">
        <f t="shared" si="7"/>
        <v>15180</v>
      </c>
      <c r="O12" s="17">
        <f t="shared" si="0"/>
        <v>19734</v>
      </c>
      <c r="P12" s="17">
        <f>IF(C12="Alta Complejidad",M12,0)</f>
        <v>15180</v>
      </c>
      <c r="Q12" s="18">
        <v>0.33</v>
      </c>
      <c r="R12" s="17">
        <f t="shared" si="1"/>
        <v>20189.400000000001</v>
      </c>
      <c r="S12" s="19">
        <f t="shared" si="2"/>
        <v>0.24812030075187974</v>
      </c>
      <c r="T12" s="17">
        <f>IF(C12="Mediana Complejidad",M12,0)</f>
        <v>0</v>
      </c>
      <c r="U12" s="18">
        <v>0.25</v>
      </c>
      <c r="V12" s="17">
        <f t="shared" si="3"/>
        <v>0</v>
      </c>
      <c r="W12" s="18">
        <f t="shared" si="4"/>
        <v>0</v>
      </c>
      <c r="X12" s="17">
        <f>IF(C12="Baja Complejidad",M12,0)</f>
        <v>0</v>
      </c>
      <c r="Y12" s="18">
        <v>0.25</v>
      </c>
      <c r="Z12" s="17">
        <f t="shared" si="5"/>
        <v>0</v>
      </c>
      <c r="AA12" s="18">
        <f t="shared" si="6"/>
        <v>0</v>
      </c>
      <c r="AB12" s="18">
        <v>0.1</v>
      </c>
    </row>
    <row r="13" spans="1:28">
      <c r="A13">
        <v>2026</v>
      </c>
      <c r="B13" t="s">
        <v>145</v>
      </c>
      <c r="C13" t="s">
        <v>146</v>
      </c>
      <c r="D13" t="s">
        <v>147</v>
      </c>
      <c r="E13">
        <v>284190</v>
      </c>
      <c r="G13" t="s">
        <v>148</v>
      </c>
      <c r="H13" t="s">
        <v>148</v>
      </c>
      <c r="I13" t="s">
        <v>55</v>
      </c>
      <c r="J13" t="s">
        <v>29</v>
      </c>
      <c r="K13">
        <v>5</v>
      </c>
      <c r="L13">
        <v>16900</v>
      </c>
      <c r="M13" s="17">
        <f t="shared" si="7"/>
        <v>3380</v>
      </c>
      <c r="O13" s="17">
        <f t="shared" si="0"/>
        <v>4394</v>
      </c>
      <c r="P13" s="17">
        <f>IF(C13="Alta Complejidad",M13,0)</f>
        <v>3380</v>
      </c>
      <c r="Q13" s="18">
        <v>0.31</v>
      </c>
      <c r="R13" s="17">
        <f t="shared" si="1"/>
        <v>4427.8</v>
      </c>
      <c r="S13" s="19">
        <f t="shared" si="2"/>
        <v>0.23664122137404583</v>
      </c>
      <c r="T13" s="17">
        <f>IF(C13="Mediana Complejidad",M13,0)</f>
        <v>0</v>
      </c>
      <c r="U13" s="18">
        <v>0.09</v>
      </c>
      <c r="V13" s="17">
        <f t="shared" si="3"/>
        <v>0</v>
      </c>
      <c r="W13" s="18">
        <f t="shared" si="4"/>
        <v>0</v>
      </c>
      <c r="X13" s="17">
        <f>IF(C13="Baja Complejidad",M13,0)</f>
        <v>0</v>
      </c>
      <c r="Y13" s="18">
        <v>0.35</v>
      </c>
      <c r="Z13" s="17">
        <f t="shared" si="5"/>
        <v>0</v>
      </c>
      <c r="AA13" s="18">
        <f t="shared" si="6"/>
        <v>0</v>
      </c>
      <c r="AB13" s="18">
        <v>0.1</v>
      </c>
    </row>
    <row r="14" spans="1:28">
      <c r="A14">
        <v>2026</v>
      </c>
      <c r="B14" t="s">
        <v>145</v>
      </c>
      <c r="C14" t="s">
        <v>146</v>
      </c>
      <c r="D14" t="s">
        <v>147</v>
      </c>
      <c r="E14">
        <v>284390</v>
      </c>
      <c r="G14" t="s">
        <v>148</v>
      </c>
      <c r="H14" t="s">
        <v>148</v>
      </c>
      <c r="I14" t="s">
        <v>55</v>
      </c>
      <c r="J14" t="s">
        <v>29</v>
      </c>
      <c r="K14">
        <v>5</v>
      </c>
      <c r="L14">
        <v>21900</v>
      </c>
      <c r="M14" s="17">
        <f t="shared" si="7"/>
        <v>4380</v>
      </c>
      <c r="O14" s="17">
        <f t="shared" si="0"/>
        <v>5694</v>
      </c>
      <c r="P14" s="17">
        <f>IF(C14="Alta Complejidad",M14,0)</f>
        <v>4380</v>
      </c>
      <c r="Q14" s="18">
        <v>0.3</v>
      </c>
      <c r="R14" s="17">
        <f t="shared" si="1"/>
        <v>5694</v>
      </c>
      <c r="S14" s="19">
        <f t="shared" si="2"/>
        <v>0.23076923076923078</v>
      </c>
      <c r="T14" s="17">
        <f>IF(C14="Mediana Complejidad",M14,0)</f>
        <v>0</v>
      </c>
      <c r="U14" s="18">
        <v>0.08</v>
      </c>
      <c r="V14" s="17">
        <f t="shared" si="3"/>
        <v>0</v>
      </c>
      <c r="W14" s="18">
        <f t="shared" si="4"/>
        <v>0</v>
      </c>
      <c r="X14" s="17">
        <f>IF(C14="Baja Complejidad",M14,0)</f>
        <v>0</v>
      </c>
      <c r="Y14" s="18">
        <v>0.12</v>
      </c>
      <c r="Z14" s="17">
        <f t="shared" si="5"/>
        <v>0</v>
      </c>
      <c r="AA14" s="18">
        <f t="shared" si="6"/>
        <v>0</v>
      </c>
      <c r="AB14" s="18">
        <v>0.1</v>
      </c>
    </row>
    <row r="15" spans="1:28">
      <c r="A15">
        <v>2026</v>
      </c>
      <c r="B15" t="s">
        <v>145</v>
      </c>
      <c r="C15" t="s">
        <v>146</v>
      </c>
      <c r="D15" t="s">
        <v>147</v>
      </c>
      <c r="E15">
        <v>287100</v>
      </c>
      <c r="G15" t="s">
        <v>148</v>
      </c>
      <c r="H15" t="s">
        <v>148</v>
      </c>
      <c r="I15" t="s">
        <v>60</v>
      </c>
      <c r="J15" t="s">
        <v>29</v>
      </c>
      <c r="K15">
        <v>5</v>
      </c>
      <c r="L15">
        <v>38600</v>
      </c>
      <c r="M15" s="17">
        <f t="shared" si="7"/>
        <v>7720</v>
      </c>
      <c r="O15" s="17">
        <f t="shared" si="0"/>
        <v>10036</v>
      </c>
      <c r="P15" s="17">
        <f>IF(C15="Alta Complejidad",M15,0)</f>
        <v>7720</v>
      </c>
      <c r="Q15" s="18">
        <v>0.28000000000000003</v>
      </c>
      <c r="R15" s="17">
        <f t="shared" si="1"/>
        <v>9881.6</v>
      </c>
      <c r="S15" s="19">
        <f t="shared" si="2"/>
        <v>0.21875000000000003</v>
      </c>
      <c r="T15" s="17">
        <f>IF(C15="Mediana Complejidad",M15,0)</f>
        <v>0</v>
      </c>
      <c r="U15" s="18">
        <v>0.06</v>
      </c>
      <c r="V15" s="17">
        <f t="shared" si="3"/>
        <v>0</v>
      </c>
      <c r="W15" s="18">
        <f t="shared" si="4"/>
        <v>0</v>
      </c>
      <c r="X15" s="17">
        <f>IF(C15="Baja Complejidad",M15,0)</f>
        <v>0</v>
      </c>
      <c r="Y15" s="18">
        <v>0.25</v>
      </c>
      <c r="Z15" s="17">
        <f t="shared" si="5"/>
        <v>0</v>
      </c>
      <c r="AA15" s="18">
        <f t="shared" si="6"/>
        <v>0</v>
      </c>
      <c r="AB15" s="18">
        <v>0.1</v>
      </c>
    </row>
    <row r="16" spans="1:28">
      <c r="A16">
        <v>2026</v>
      </c>
      <c r="B16" t="s">
        <v>145</v>
      </c>
      <c r="C16" t="s">
        <v>146</v>
      </c>
      <c r="D16" t="s">
        <v>147</v>
      </c>
      <c r="E16">
        <v>287200</v>
      </c>
      <c r="G16" t="s">
        <v>148</v>
      </c>
      <c r="H16" t="s">
        <v>148</v>
      </c>
      <c r="I16" t="s">
        <v>60</v>
      </c>
      <c r="J16" t="s">
        <v>29</v>
      </c>
      <c r="K16">
        <v>5</v>
      </c>
      <c r="L16">
        <v>107200</v>
      </c>
      <c r="M16" s="17">
        <f t="shared" si="7"/>
        <v>21440</v>
      </c>
      <c r="O16" s="17">
        <f t="shared" si="0"/>
        <v>27872</v>
      </c>
      <c r="P16" s="17">
        <f>IF(C16="Alta Complejidad",M16,0)</f>
        <v>21440</v>
      </c>
      <c r="Q16" s="18">
        <v>0.27</v>
      </c>
      <c r="R16" s="17">
        <f t="shared" si="1"/>
        <v>27228.799999999999</v>
      </c>
      <c r="S16" s="19">
        <f t="shared" si="2"/>
        <v>0.21259842519685038</v>
      </c>
      <c r="T16" s="17">
        <f>IF(C16="Mediana Complejidad",M16,0)</f>
        <v>0</v>
      </c>
      <c r="U16" s="18">
        <v>0.35</v>
      </c>
      <c r="V16" s="17">
        <f t="shared" si="3"/>
        <v>0</v>
      </c>
      <c r="W16" s="18">
        <f t="shared" si="4"/>
        <v>0</v>
      </c>
      <c r="X16" s="17">
        <f>IF(C16="Baja Complejidad",M16,0)</f>
        <v>0</v>
      </c>
      <c r="Y16" s="18">
        <v>0.1</v>
      </c>
      <c r="Z16" s="17">
        <f t="shared" si="5"/>
        <v>0</v>
      </c>
      <c r="AA16" s="18">
        <f t="shared" si="6"/>
        <v>0</v>
      </c>
      <c r="AB16" s="18">
        <v>0.1</v>
      </c>
    </row>
    <row r="17" spans="1:28">
      <c r="A17">
        <v>2026</v>
      </c>
      <c r="B17" t="s">
        <v>145</v>
      </c>
      <c r="C17" t="s">
        <v>146</v>
      </c>
      <c r="D17" t="s">
        <v>147</v>
      </c>
      <c r="E17">
        <v>287300</v>
      </c>
      <c r="G17" t="s">
        <v>148</v>
      </c>
      <c r="H17" t="s">
        <v>148</v>
      </c>
      <c r="I17" t="s">
        <v>60</v>
      </c>
      <c r="J17" t="s">
        <v>29</v>
      </c>
      <c r="K17">
        <v>5</v>
      </c>
      <c r="L17">
        <v>114900</v>
      </c>
      <c r="M17" s="17">
        <f t="shared" si="7"/>
        <v>22980</v>
      </c>
      <c r="O17" s="17">
        <f t="shared" si="0"/>
        <v>29874</v>
      </c>
      <c r="P17" s="17">
        <f>IF(C17="Alta Complejidad",M17,0)</f>
        <v>22980</v>
      </c>
      <c r="Q17" s="18">
        <v>0.17</v>
      </c>
      <c r="R17" s="17">
        <f t="shared" si="1"/>
        <v>26886.6</v>
      </c>
      <c r="S17" s="19">
        <f t="shared" si="2"/>
        <v>0.14529914529914525</v>
      </c>
      <c r="T17" s="17">
        <f>IF(C17="Mediana Complejidad",M17,0)</f>
        <v>0</v>
      </c>
      <c r="U17" s="18">
        <v>0.12</v>
      </c>
      <c r="V17" s="17">
        <f t="shared" si="3"/>
        <v>0</v>
      </c>
      <c r="W17" s="18">
        <f t="shared" si="4"/>
        <v>0</v>
      </c>
      <c r="X17" s="17">
        <f>IF(C17="Baja Complejidad",M17,0)</f>
        <v>0</v>
      </c>
      <c r="Y17" s="18">
        <v>0.35</v>
      </c>
      <c r="Z17" s="17">
        <f t="shared" si="5"/>
        <v>0</v>
      </c>
      <c r="AA17" s="18">
        <f t="shared" si="6"/>
        <v>0</v>
      </c>
      <c r="AB17" s="18">
        <v>0.1</v>
      </c>
    </row>
    <row r="18" spans="1:28">
      <c r="A18">
        <v>2026</v>
      </c>
      <c r="B18" t="s">
        <v>145</v>
      </c>
      <c r="C18" t="s">
        <v>146</v>
      </c>
      <c r="D18" t="s">
        <v>147</v>
      </c>
      <c r="E18">
        <v>287400</v>
      </c>
      <c r="G18" t="s">
        <v>148</v>
      </c>
      <c r="H18" t="s">
        <v>148</v>
      </c>
      <c r="I18" t="s">
        <v>60</v>
      </c>
      <c r="J18" t="s">
        <v>29</v>
      </c>
      <c r="K18">
        <v>5</v>
      </c>
      <c r="L18">
        <v>129400</v>
      </c>
      <c r="M18" s="17">
        <f t="shared" si="7"/>
        <v>25880</v>
      </c>
      <c r="O18" s="17">
        <f t="shared" si="0"/>
        <v>33644</v>
      </c>
      <c r="P18" s="17">
        <f>IF(C18="Alta Complejidad",M18,0)</f>
        <v>25880</v>
      </c>
      <c r="Q18" s="18">
        <v>0.22</v>
      </c>
      <c r="R18" s="17">
        <f t="shared" si="1"/>
        <v>31573.599999999999</v>
      </c>
      <c r="S18" s="19">
        <f t="shared" si="2"/>
        <v>0.18032786885245897</v>
      </c>
      <c r="T18" s="17">
        <f>IF(C18="Mediana Complejidad",M18,0)</f>
        <v>0</v>
      </c>
      <c r="U18" s="18">
        <v>0.25</v>
      </c>
      <c r="V18" s="17">
        <f t="shared" si="3"/>
        <v>0</v>
      </c>
      <c r="W18" s="18">
        <f t="shared" si="4"/>
        <v>0</v>
      </c>
      <c r="X18" s="17">
        <f>IF(C18="Baja Complejidad",M18,0)</f>
        <v>0</v>
      </c>
      <c r="Y18" s="18">
        <v>0.33</v>
      </c>
      <c r="Z18" s="17">
        <f t="shared" si="5"/>
        <v>0</v>
      </c>
      <c r="AA18" s="18">
        <f t="shared" si="6"/>
        <v>0</v>
      </c>
      <c r="AB18" s="18">
        <v>0.1</v>
      </c>
    </row>
    <row r="19" spans="1:28">
      <c r="A19">
        <v>2026</v>
      </c>
      <c r="B19" t="s">
        <v>145</v>
      </c>
      <c r="C19" t="s">
        <v>146</v>
      </c>
      <c r="D19" t="s">
        <v>147</v>
      </c>
      <c r="E19">
        <v>294899</v>
      </c>
      <c r="G19" t="s">
        <v>148</v>
      </c>
      <c r="H19" t="s">
        <v>148</v>
      </c>
      <c r="I19" t="s">
        <v>72</v>
      </c>
      <c r="J19" t="s">
        <v>29</v>
      </c>
      <c r="K19">
        <v>5</v>
      </c>
      <c r="L19">
        <v>49000</v>
      </c>
      <c r="M19" s="17">
        <f t="shared" si="7"/>
        <v>9800</v>
      </c>
      <c r="O19" s="17">
        <f t="shared" si="0"/>
        <v>12740</v>
      </c>
      <c r="P19" s="17">
        <f>IF(C19="Alta Complejidad",M19,0)</f>
        <v>9800</v>
      </c>
      <c r="Q19" s="18">
        <v>0.12</v>
      </c>
      <c r="R19" s="17">
        <f t="shared" si="1"/>
        <v>10976</v>
      </c>
      <c r="S19" s="19">
        <f t="shared" si="2"/>
        <v>0.10714285714285714</v>
      </c>
      <c r="T19" s="17">
        <f>IF(C19="Mediana Complejidad",M19,0)</f>
        <v>0</v>
      </c>
      <c r="U19" s="18">
        <v>0.1</v>
      </c>
      <c r="V19" s="17">
        <f t="shared" si="3"/>
        <v>0</v>
      </c>
      <c r="W19" s="18">
        <f t="shared" si="4"/>
        <v>0</v>
      </c>
      <c r="X19" s="17">
        <f>IF(C19="Baja Complejidad",M19,0)</f>
        <v>0</v>
      </c>
      <c r="Y19" s="18">
        <v>0.31</v>
      </c>
      <c r="Z19" s="17">
        <f t="shared" si="5"/>
        <v>0</v>
      </c>
      <c r="AA19" s="18">
        <f t="shared" si="6"/>
        <v>0</v>
      </c>
      <c r="AB19" s="18">
        <v>0.1</v>
      </c>
    </row>
    <row r="20" spans="1:28">
      <c r="A20">
        <v>2026</v>
      </c>
      <c r="B20" t="s">
        <v>145</v>
      </c>
      <c r="C20" t="s">
        <v>146</v>
      </c>
      <c r="D20" t="s">
        <v>147</v>
      </c>
      <c r="E20">
        <v>394590</v>
      </c>
      <c r="G20" t="s">
        <v>148</v>
      </c>
      <c r="H20" t="s">
        <v>148</v>
      </c>
      <c r="I20" t="s">
        <v>75</v>
      </c>
      <c r="J20" t="s">
        <v>53</v>
      </c>
      <c r="K20">
        <v>2</v>
      </c>
      <c r="L20">
        <v>386300</v>
      </c>
      <c r="M20" s="17">
        <f t="shared" si="7"/>
        <v>193150</v>
      </c>
      <c r="O20" s="17">
        <f t="shared" si="0"/>
        <v>251095</v>
      </c>
      <c r="P20" s="17">
        <f>IF(C20="Alta Complejidad",M20,0)</f>
        <v>193150</v>
      </c>
      <c r="Q20" s="18">
        <v>0.15</v>
      </c>
      <c r="R20" s="17">
        <f t="shared" si="1"/>
        <v>222122.5</v>
      </c>
      <c r="S20" s="19">
        <f t="shared" si="2"/>
        <v>0.13043478260869565</v>
      </c>
      <c r="T20" s="17">
        <f>IF(C20="Mediana Complejidad",M20,0)</f>
        <v>0</v>
      </c>
      <c r="U20" s="18">
        <v>0.35</v>
      </c>
      <c r="V20" s="17">
        <f t="shared" si="3"/>
        <v>0</v>
      </c>
      <c r="W20" s="18">
        <f t="shared" si="4"/>
        <v>0</v>
      </c>
      <c r="X20" s="17">
        <f>IF(C20="Baja Complejidad",M20,0)</f>
        <v>0</v>
      </c>
      <c r="Y20" s="18">
        <v>0.3</v>
      </c>
      <c r="Z20" s="17">
        <f t="shared" si="5"/>
        <v>0</v>
      </c>
      <c r="AA20" s="18">
        <f t="shared" si="6"/>
        <v>0</v>
      </c>
      <c r="AB20" s="18">
        <v>0.1</v>
      </c>
    </row>
    <row r="21" spans="1:28">
      <c r="A21">
        <v>2026</v>
      </c>
      <c r="B21" t="s">
        <v>145</v>
      </c>
      <c r="C21" t="s">
        <v>146</v>
      </c>
      <c r="D21" t="s">
        <v>147</v>
      </c>
      <c r="E21">
        <v>610200</v>
      </c>
      <c r="G21" t="s">
        <v>148</v>
      </c>
      <c r="H21" t="s">
        <v>148</v>
      </c>
      <c r="I21" t="s">
        <v>78</v>
      </c>
      <c r="J21" t="s">
        <v>22</v>
      </c>
      <c r="K21">
        <v>10</v>
      </c>
      <c r="L21">
        <v>38000</v>
      </c>
      <c r="M21" s="17">
        <f t="shared" si="7"/>
        <v>3800</v>
      </c>
      <c r="O21" s="17">
        <f t="shared" si="0"/>
        <v>4940</v>
      </c>
      <c r="P21" s="17">
        <f>IF(C21="Alta Complejidad",M21,0)</f>
        <v>3800</v>
      </c>
      <c r="Q21" s="18">
        <v>0.18</v>
      </c>
      <c r="R21" s="17">
        <f t="shared" si="1"/>
        <v>4484</v>
      </c>
      <c r="S21" s="19">
        <f t="shared" si="2"/>
        <v>0.15254237288135594</v>
      </c>
      <c r="T21" s="17">
        <f>IF(C21="Mediana Complejidad",M21,0)</f>
        <v>0</v>
      </c>
      <c r="U21" s="18">
        <v>0.33</v>
      </c>
      <c r="V21" s="17">
        <f t="shared" si="3"/>
        <v>0</v>
      </c>
      <c r="W21" s="18">
        <f t="shared" si="4"/>
        <v>0</v>
      </c>
      <c r="X21" s="17">
        <f>IF(C21="Baja Complejidad",M21,0)</f>
        <v>0</v>
      </c>
      <c r="Y21" s="18">
        <v>0.28000000000000003</v>
      </c>
      <c r="Z21" s="17">
        <f t="shared" si="5"/>
        <v>0</v>
      </c>
      <c r="AA21" s="18">
        <f t="shared" si="6"/>
        <v>0</v>
      </c>
      <c r="AB21" s="18">
        <v>0.1</v>
      </c>
    </row>
    <row r="22" spans="1:28">
      <c r="A22">
        <v>2026</v>
      </c>
      <c r="B22" t="s">
        <v>145</v>
      </c>
      <c r="C22" t="s">
        <v>146</v>
      </c>
      <c r="D22" t="s">
        <v>147</v>
      </c>
      <c r="E22">
        <v>610300</v>
      </c>
      <c r="G22" t="s">
        <v>148</v>
      </c>
      <c r="H22" t="s">
        <v>148</v>
      </c>
      <c r="I22" t="s">
        <v>78</v>
      </c>
      <c r="J22" t="s">
        <v>22</v>
      </c>
      <c r="K22">
        <v>10</v>
      </c>
      <c r="L22">
        <v>39800</v>
      </c>
      <c r="M22" s="17">
        <f t="shared" si="7"/>
        <v>3980</v>
      </c>
      <c r="O22" s="17">
        <f t="shared" si="0"/>
        <v>5174</v>
      </c>
      <c r="P22" s="17">
        <f>IF(C22="Alta Complejidad",M22,0)</f>
        <v>3980</v>
      </c>
      <c r="Q22" s="18">
        <v>0.28999999999999998</v>
      </c>
      <c r="R22" s="17">
        <f t="shared" si="1"/>
        <v>5134.2</v>
      </c>
      <c r="S22" s="19">
        <f t="shared" si="2"/>
        <v>0.22480620155038758</v>
      </c>
      <c r="T22" s="17">
        <f>IF(C22="Mediana Complejidad",M22,0)</f>
        <v>0</v>
      </c>
      <c r="U22" s="18">
        <v>0.31</v>
      </c>
      <c r="V22" s="17">
        <f t="shared" si="3"/>
        <v>0</v>
      </c>
      <c r="W22" s="18">
        <f t="shared" si="4"/>
        <v>0</v>
      </c>
      <c r="X22" s="17">
        <f>IF(C22="Baja Complejidad",M22,0)</f>
        <v>0</v>
      </c>
      <c r="Y22" s="18">
        <v>0.27</v>
      </c>
      <c r="Z22" s="17">
        <f t="shared" si="5"/>
        <v>0</v>
      </c>
      <c r="AA22" s="18">
        <f t="shared" si="6"/>
        <v>0</v>
      </c>
      <c r="AB22" s="18">
        <v>0.1</v>
      </c>
    </row>
    <row r="23" spans="1:28">
      <c r="A23">
        <v>2026</v>
      </c>
      <c r="B23" t="s">
        <v>145</v>
      </c>
      <c r="C23" t="s">
        <v>146</v>
      </c>
      <c r="D23" t="s">
        <v>147</v>
      </c>
      <c r="E23">
        <v>610400</v>
      </c>
      <c r="G23" t="s">
        <v>148</v>
      </c>
      <c r="H23" t="s">
        <v>148</v>
      </c>
      <c r="I23" t="s">
        <v>78</v>
      </c>
      <c r="J23" t="s">
        <v>22</v>
      </c>
      <c r="K23">
        <v>10</v>
      </c>
      <c r="L23">
        <v>42200</v>
      </c>
      <c r="M23" s="17">
        <f t="shared" si="7"/>
        <v>4220</v>
      </c>
      <c r="O23" s="17">
        <f t="shared" si="0"/>
        <v>5486</v>
      </c>
      <c r="P23" s="17">
        <f>IF(C23="Alta Complejidad",M23,0)</f>
        <v>4220</v>
      </c>
      <c r="Q23" s="18">
        <v>0.34</v>
      </c>
      <c r="R23" s="17">
        <f t="shared" si="1"/>
        <v>5654.8</v>
      </c>
      <c r="S23" s="19">
        <f t="shared" si="2"/>
        <v>0.2537313432835821</v>
      </c>
      <c r="T23" s="17">
        <f>IF(C23="Mediana Complejidad",M23,0)</f>
        <v>0</v>
      </c>
      <c r="U23" s="18">
        <v>0.3</v>
      </c>
      <c r="V23" s="17">
        <f t="shared" si="3"/>
        <v>0</v>
      </c>
      <c r="W23" s="18">
        <f t="shared" si="4"/>
        <v>0</v>
      </c>
      <c r="X23" s="17">
        <f>IF(C23="Baja Complejidad",M23,0)</f>
        <v>0</v>
      </c>
      <c r="Y23" s="18">
        <v>0.17</v>
      </c>
      <c r="Z23" s="17">
        <f t="shared" si="5"/>
        <v>0</v>
      </c>
      <c r="AA23" s="18">
        <f t="shared" si="6"/>
        <v>0</v>
      </c>
      <c r="AB23" s="18">
        <v>0.1</v>
      </c>
    </row>
    <row r="24" spans="1:28">
      <c r="A24">
        <v>2026</v>
      </c>
      <c r="B24" t="s">
        <v>145</v>
      </c>
      <c r="C24" t="s">
        <v>146</v>
      </c>
      <c r="D24" t="s">
        <v>147</v>
      </c>
      <c r="E24">
        <v>610500</v>
      </c>
      <c r="G24" t="s">
        <v>148</v>
      </c>
      <c r="H24" t="s">
        <v>148</v>
      </c>
      <c r="I24" t="s">
        <v>78</v>
      </c>
      <c r="J24" t="s">
        <v>22</v>
      </c>
      <c r="K24">
        <v>10</v>
      </c>
      <c r="L24">
        <v>51600</v>
      </c>
      <c r="M24" s="17">
        <f t="shared" si="7"/>
        <v>5160</v>
      </c>
      <c r="O24" s="17">
        <f t="shared" si="0"/>
        <v>6708</v>
      </c>
      <c r="P24" s="17">
        <f>IF(C24="Alta Complejidad",M24,0)</f>
        <v>5160</v>
      </c>
      <c r="Q24" s="18">
        <v>0.25</v>
      </c>
      <c r="R24" s="17">
        <f t="shared" si="1"/>
        <v>6450</v>
      </c>
      <c r="S24" s="19">
        <f t="shared" si="2"/>
        <v>0.2</v>
      </c>
      <c r="T24" s="17">
        <f>IF(C24="Mediana Complejidad",M24,0)</f>
        <v>0</v>
      </c>
      <c r="U24" s="18">
        <v>0.28000000000000003</v>
      </c>
      <c r="V24" s="17">
        <f t="shared" si="3"/>
        <v>0</v>
      </c>
      <c r="W24" s="18">
        <f t="shared" si="4"/>
        <v>0</v>
      </c>
      <c r="X24" s="17">
        <f>IF(C24="Baja Complejidad",M24,0)</f>
        <v>0</v>
      </c>
      <c r="Y24" s="18">
        <v>0.22</v>
      </c>
      <c r="Z24" s="17">
        <f t="shared" si="5"/>
        <v>0</v>
      </c>
      <c r="AA24" s="18">
        <f t="shared" si="6"/>
        <v>0</v>
      </c>
      <c r="AB24" s="18">
        <v>0.1</v>
      </c>
    </row>
    <row r="25" spans="1:28">
      <c r="A25">
        <v>2026</v>
      </c>
      <c r="B25" t="s">
        <v>145</v>
      </c>
      <c r="C25" t="s">
        <v>146</v>
      </c>
      <c r="D25" t="s">
        <v>147</v>
      </c>
      <c r="E25">
        <v>3505</v>
      </c>
      <c r="G25" t="s">
        <v>148</v>
      </c>
      <c r="H25" t="s">
        <v>148</v>
      </c>
      <c r="I25" t="s">
        <v>95</v>
      </c>
      <c r="J25" t="s">
        <v>12</v>
      </c>
      <c r="K25">
        <v>1</v>
      </c>
      <c r="L25">
        <v>43500</v>
      </c>
      <c r="M25" s="17">
        <f t="shared" si="7"/>
        <v>43500</v>
      </c>
      <c r="O25" s="17">
        <f t="shared" si="0"/>
        <v>56550</v>
      </c>
      <c r="P25" s="17">
        <f>IF(C25="Alta Complejidad",M25,0)</f>
        <v>43500</v>
      </c>
      <c r="Q25" s="18">
        <v>0.35</v>
      </c>
      <c r="R25" s="17">
        <f t="shared" si="1"/>
        <v>58725</v>
      </c>
      <c r="S25" s="19">
        <f t="shared" si="2"/>
        <v>0.25925925925925924</v>
      </c>
      <c r="T25" s="17">
        <f>IF(C25="Mediana Complejidad",M25,0)</f>
        <v>0</v>
      </c>
      <c r="U25" s="18">
        <v>0.27</v>
      </c>
      <c r="V25" s="17">
        <f t="shared" si="3"/>
        <v>0</v>
      </c>
      <c r="W25" s="18">
        <f t="shared" si="4"/>
        <v>0</v>
      </c>
      <c r="X25" s="17">
        <f>IF(C25="Baja Complejidad",M25,0)</f>
        <v>0</v>
      </c>
      <c r="Y25" s="18">
        <v>0.12</v>
      </c>
      <c r="Z25" s="17">
        <f t="shared" si="5"/>
        <v>0</v>
      </c>
      <c r="AA25" s="18">
        <f t="shared" si="6"/>
        <v>0</v>
      </c>
      <c r="AB25" s="18">
        <v>0.1</v>
      </c>
    </row>
    <row r="26" spans="1:28">
      <c r="A26">
        <v>2026</v>
      </c>
      <c r="B26" t="s">
        <v>145</v>
      </c>
      <c r="C26" t="s">
        <v>146</v>
      </c>
      <c r="D26" t="s">
        <v>147</v>
      </c>
      <c r="E26">
        <v>2440</v>
      </c>
      <c r="G26" t="s">
        <v>148</v>
      </c>
      <c r="H26" t="s">
        <v>148</v>
      </c>
      <c r="I26" t="s">
        <v>100</v>
      </c>
      <c r="J26" t="s">
        <v>12</v>
      </c>
      <c r="K26">
        <v>1</v>
      </c>
      <c r="L26">
        <v>89500</v>
      </c>
      <c r="M26" s="17">
        <f t="shared" si="7"/>
        <v>89500</v>
      </c>
      <c r="O26" s="17">
        <f t="shared" si="0"/>
        <v>116350</v>
      </c>
      <c r="P26" s="17">
        <f>IF(C26="Alta Complejidad",M26,0)</f>
        <v>89500</v>
      </c>
      <c r="Q26" s="18">
        <v>0.12</v>
      </c>
      <c r="R26" s="17">
        <f t="shared" si="1"/>
        <v>100240</v>
      </c>
      <c r="S26" s="19">
        <f t="shared" si="2"/>
        <v>0.10714285714285714</v>
      </c>
      <c r="T26" s="17">
        <f>IF(C26="Mediana Complejidad",M26,0)</f>
        <v>0</v>
      </c>
      <c r="U26" s="18">
        <v>0.17</v>
      </c>
      <c r="V26" s="17">
        <f t="shared" si="3"/>
        <v>0</v>
      </c>
      <c r="W26" s="18">
        <f t="shared" si="4"/>
        <v>0</v>
      </c>
      <c r="X26" s="17">
        <f>IF(C26="Baja Complejidad",M26,0)</f>
        <v>0</v>
      </c>
      <c r="Y26" s="18">
        <v>0.15</v>
      </c>
      <c r="Z26" s="17">
        <f t="shared" si="5"/>
        <v>0</v>
      </c>
      <c r="AA26" s="18">
        <f t="shared" si="6"/>
        <v>0</v>
      </c>
      <c r="AB26" s="18">
        <v>0.1</v>
      </c>
    </row>
    <row r="27" spans="1:28">
      <c r="A27">
        <v>2026</v>
      </c>
      <c r="B27" t="s">
        <v>145</v>
      </c>
      <c r="C27" t="s">
        <v>146</v>
      </c>
      <c r="D27" t="s">
        <v>147</v>
      </c>
      <c r="E27">
        <v>2438</v>
      </c>
      <c r="G27" t="s">
        <v>148</v>
      </c>
      <c r="H27" t="s">
        <v>148</v>
      </c>
      <c r="I27" t="s">
        <v>100</v>
      </c>
      <c r="J27" t="s">
        <v>12</v>
      </c>
      <c r="K27">
        <v>1</v>
      </c>
      <c r="L27">
        <v>67900</v>
      </c>
      <c r="M27" s="17">
        <f t="shared" si="7"/>
        <v>67900</v>
      </c>
      <c r="O27" s="17">
        <f t="shared" si="0"/>
        <v>88270</v>
      </c>
      <c r="P27" s="17">
        <f>IF(C27="Alta Complejidad",M27,0)</f>
        <v>67900</v>
      </c>
      <c r="Q27" s="18">
        <v>0.25</v>
      </c>
      <c r="R27" s="17">
        <f t="shared" si="1"/>
        <v>84875</v>
      </c>
      <c r="S27" s="19">
        <f t="shared" si="2"/>
        <v>0.2</v>
      </c>
      <c r="T27" s="17">
        <f>IF(C27="Mediana Complejidad",M27,0)</f>
        <v>0</v>
      </c>
      <c r="U27" s="18">
        <v>0.22</v>
      </c>
      <c r="V27" s="17">
        <f t="shared" si="3"/>
        <v>0</v>
      </c>
      <c r="W27" s="18">
        <f t="shared" si="4"/>
        <v>0</v>
      </c>
      <c r="X27" s="17">
        <f>IF(C27="Baja Complejidad",M27,0)</f>
        <v>0</v>
      </c>
      <c r="Y27" s="18">
        <v>0.18</v>
      </c>
      <c r="Z27" s="17">
        <f t="shared" si="5"/>
        <v>0</v>
      </c>
      <c r="AA27" s="18">
        <f t="shared" si="6"/>
        <v>0</v>
      </c>
      <c r="AB27" s="18">
        <v>0.1</v>
      </c>
    </row>
    <row r="28" spans="1:28">
      <c r="A28">
        <v>2026</v>
      </c>
      <c r="B28" t="s">
        <v>145</v>
      </c>
      <c r="C28" t="s">
        <v>146</v>
      </c>
      <c r="D28" t="s">
        <v>147</v>
      </c>
      <c r="E28">
        <v>2434</v>
      </c>
      <c r="G28" t="s">
        <v>148</v>
      </c>
      <c r="H28" t="s">
        <v>148</v>
      </c>
      <c r="I28" t="s">
        <v>100</v>
      </c>
      <c r="J28" t="s">
        <v>12</v>
      </c>
      <c r="K28">
        <v>1</v>
      </c>
      <c r="L28">
        <v>50300</v>
      </c>
      <c r="M28" s="17">
        <f t="shared" si="7"/>
        <v>50300</v>
      </c>
      <c r="O28" s="17">
        <f t="shared" si="0"/>
        <v>65390</v>
      </c>
      <c r="P28" s="17">
        <f>IF(C28="Alta Complejidad",M28,0)</f>
        <v>50300</v>
      </c>
      <c r="Q28" s="18">
        <v>0.1</v>
      </c>
      <c r="R28" s="17">
        <f t="shared" si="1"/>
        <v>55330</v>
      </c>
      <c r="S28" s="19">
        <f t="shared" si="2"/>
        <v>9.0909090909090912E-2</v>
      </c>
      <c r="T28" s="17">
        <f>IF(C28="Mediana Complejidad",M28,0)</f>
        <v>0</v>
      </c>
      <c r="U28" s="18">
        <v>0.12</v>
      </c>
      <c r="V28" s="17">
        <f t="shared" si="3"/>
        <v>0</v>
      </c>
      <c r="W28" s="18">
        <f t="shared" si="4"/>
        <v>0</v>
      </c>
      <c r="X28" s="17">
        <f>IF(C28="Baja Complejidad",M28,0)</f>
        <v>0</v>
      </c>
      <c r="Y28" s="18">
        <v>0.28999999999999998</v>
      </c>
      <c r="Z28" s="17">
        <f t="shared" si="5"/>
        <v>0</v>
      </c>
      <c r="AA28" s="18">
        <f t="shared" si="6"/>
        <v>0</v>
      </c>
      <c r="AB28" s="18">
        <v>0.1</v>
      </c>
    </row>
    <row r="29" spans="1:28">
      <c r="A29">
        <v>2026</v>
      </c>
      <c r="B29" t="s">
        <v>145</v>
      </c>
      <c r="C29" t="s">
        <v>146</v>
      </c>
      <c r="D29" t="s">
        <v>147</v>
      </c>
      <c r="E29">
        <v>2436</v>
      </c>
      <c r="G29" t="s">
        <v>148</v>
      </c>
      <c r="H29" t="s">
        <v>148</v>
      </c>
      <c r="I29" t="s">
        <v>100</v>
      </c>
      <c r="J29" t="s">
        <v>12</v>
      </c>
      <c r="K29">
        <v>1</v>
      </c>
      <c r="L29">
        <v>53300</v>
      </c>
      <c r="M29" s="17">
        <f t="shared" si="7"/>
        <v>53300</v>
      </c>
      <c r="O29" s="17">
        <f t="shared" si="0"/>
        <v>69290</v>
      </c>
      <c r="P29" s="17">
        <f>IF(C29="Alta Complejidad",M29,0)</f>
        <v>53300</v>
      </c>
      <c r="Q29" s="18">
        <v>0.35</v>
      </c>
      <c r="R29" s="17">
        <f t="shared" si="1"/>
        <v>71955</v>
      </c>
      <c r="S29" s="19">
        <f t="shared" si="2"/>
        <v>0.25925925925925924</v>
      </c>
      <c r="T29" s="17">
        <f>IF(C29="Mediana Complejidad",M29,0)</f>
        <v>0</v>
      </c>
      <c r="U29" s="18">
        <v>0.15</v>
      </c>
      <c r="V29" s="17">
        <f t="shared" si="3"/>
        <v>0</v>
      </c>
      <c r="W29" s="18">
        <f t="shared" si="4"/>
        <v>0</v>
      </c>
      <c r="X29" s="17">
        <f>IF(C29="Baja Complejidad",M29,0)</f>
        <v>0</v>
      </c>
      <c r="Y29" s="18">
        <v>0.34</v>
      </c>
      <c r="Z29" s="17">
        <f t="shared" si="5"/>
        <v>0</v>
      </c>
      <c r="AA29" s="18">
        <f t="shared" si="6"/>
        <v>0</v>
      </c>
      <c r="AB29" s="18">
        <v>0.1</v>
      </c>
    </row>
    <row r="30" spans="1:28" ht="15">
      <c r="A30" s="11" t="s">
        <v>117</v>
      </c>
      <c r="B30" s="11" t="s">
        <v>118</v>
      </c>
      <c r="C30" s="11" t="s">
        <v>119</v>
      </c>
      <c r="D30" s="11" t="s">
        <v>120</v>
      </c>
      <c r="E30" s="11" t="s">
        <v>121</v>
      </c>
      <c r="F30" s="11" t="s">
        <v>122</v>
      </c>
      <c r="G30" s="11" t="s">
        <v>123</v>
      </c>
      <c r="H30" s="11" t="s">
        <v>124</v>
      </c>
      <c r="I30" s="11" t="s">
        <v>125</v>
      </c>
      <c r="J30" s="11" t="s">
        <v>126</v>
      </c>
      <c r="K30" s="11" t="s">
        <v>127</v>
      </c>
      <c r="L30" s="11" t="s">
        <v>128</v>
      </c>
      <c r="M30" s="12" t="s">
        <v>129</v>
      </c>
      <c r="N30" s="11" t="s">
        <v>130</v>
      </c>
      <c r="O30" s="11" t="s">
        <v>131</v>
      </c>
      <c r="P30" s="11" t="s">
        <v>132</v>
      </c>
      <c r="Q30" s="13" t="s">
        <v>133</v>
      </c>
      <c r="R30" s="14" t="s">
        <v>134</v>
      </c>
      <c r="S30" s="15" t="s">
        <v>135</v>
      </c>
      <c r="T30" s="16" t="s">
        <v>136</v>
      </c>
      <c r="U30" s="16" t="s">
        <v>137</v>
      </c>
      <c r="V30" s="16" t="s">
        <v>138</v>
      </c>
      <c r="W30" s="13" t="s">
        <v>139</v>
      </c>
      <c r="X30" s="16" t="s">
        <v>140</v>
      </c>
      <c r="Y30" s="16" t="s">
        <v>141</v>
      </c>
      <c r="Z30" s="16" t="s">
        <v>142</v>
      </c>
      <c r="AA30" s="13" t="s">
        <v>143</v>
      </c>
      <c r="AB30" s="14" t="s">
        <v>144</v>
      </c>
    </row>
    <row r="31" spans="1:28">
      <c r="A31">
        <v>2026</v>
      </c>
      <c r="B31" t="s">
        <v>145</v>
      </c>
      <c r="C31" t="s">
        <v>146</v>
      </c>
      <c r="D31" t="s">
        <v>147</v>
      </c>
      <c r="E31">
        <v>360001</v>
      </c>
      <c r="G31" t="s">
        <v>148</v>
      </c>
      <c r="H31" t="s">
        <v>148</v>
      </c>
      <c r="I31" t="s">
        <v>9</v>
      </c>
      <c r="J31" t="s">
        <v>12</v>
      </c>
      <c r="K31">
        <v>1</v>
      </c>
      <c r="L31">
        <v>893800</v>
      </c>
      <c r="M31" s="17">
        <f>L31/K31</f>
        <v>893800</v>
      </c>
      <c r="O31" s="17">
        <f t="shared" ref="O31:O58" si="8">M31+(M31*30%)</f>
        <v>1161940</v>
      </c>
      <c r="P31" s="17">
        <f>IF(C31="Alta Complejidad",M31,0)</f>
        <v>893800</v>
      </c>
      <c r="Q31" s="18">
        <v>0.15</v>
      </c>
      <c r="R31" s="17">
        <f t="shared" ref="R31:R58" si="9">P31+(P31*Q31)</f>
        <v>1027870</v>
      </c>
      <c r="S31" s="19">
        <f t="shared" ref="S31:S58" si="10">IFERROR(((R31-P31)/R31),0)</f>
        <v>0.13043478260869565</v>
      </c>
      <c r="T31" s="17">
        <f>IF(C31="Mediana Complejidad",M31,0)</f>
        <v>0</v>
      </c>
      <c r="U31" s="18">
        <v>0.3</v>
      </c>
      <c r="V31" s="17">
        <f t="shared" ref="V31:V58" si="11">(T31)+(T31*U31)</f>
        <v>0</v>
      </c>
      <c r="W31" s="18">
        <f t="shared" ref="W31:W58" si="12">IFERROR(((V31-T31)/V31),0)</f>
        <v>0</v>
      </c>
      <c r="X31" s="17">
        <f>IF(C31="Baja Complejidad",M31,0)</f>
        <v>0</v>
      </c>
      <c r="Y31" s="18">
        <v>0.3</v>
      </c>
      <c r="Z31" s="17">
        <f t="shared" ref="Z31:Z58" si="13">(X31)+(X31*Y31)</f>
        <v>0</v>
      </c>
      <c r="AA31" s="18">
        <f t="shared" ref="AA31:AA58" si="14">IFERROR(((Z31-X31)/Z31),0)</f>
        <v>0</v>
      </c>
      <c r="AB31" s="18">
        <v>0.1</v>
      </c>
    </row>
    <row r="32" spans="1:28">
      <c r="A32">
        <v>2026</v>
      </c>
      <c r="B32" t="s">
        <v>145</v>
      </c>
      <c r="C32" t="s">
        <v>146</v>
      </c>
      <c r="D32" t="s">
        <v>147</v>
      </c>
      <c r="E32">
        <v>709900</v>
      </c>
      <c r="G32" t="s">
        <v>148</v>
      </c>
      <c r="H32" t="s">
        <v>148</v>
      </c>
      <c r="I32" t="s">
        <v>19</v>
      </c>
      <c r="J32" t="s">
        <v>22</v>
      </c>
      <c r="K32">
        <v>10</v>
      </c>
      <c r="L32">
        <v>13500</v>
      </c>
      <c r="M32" s="17">
        <f t="shared" ref="M32:M58" si="15">L32/K32</f>
        <v>1350</v>
      </c>
      <c r="O32" s="17">
        <f t="shared" si="8"/>
        <v>1755</v>
      </c>
      <c r="P32" s="17">
        <f>IF(C32="Alta Complejidad",M32,0)</f>
        <v>1350</v>
      </c>
      <c r="Q32" s="18">
        <v>0.18</v>
      </c>
      <c r="R32" s="17">
        <f t="shared" si="9"/>
        <v>1593</v>
      </c>
      <c r="S32" s="19">
        <f t="shared" si="10"/>
        <v>0.15254237288135594</v>
      </c>
      <c r="T32" s="17">
        <f>IF(C32="Mediana Complejidad",M32,0)</f>
        <v>0</v>
      </c>
      <c r="U32" s="18">
        <v>0.28000000000000003</v>
      </c>
      <c r="V32" s="17">
        <f t="shared" si="11"/>
        <v>0</v>
      </c>
      <c r="W32" s="18">
        <f t="shared" si="12"/>
        <v>0</v>
      </c>
      <c r="X32" s="17">
        <f>IF(C32="Baja Complejidad",M32,0)</f>
        <v>0</v>
      </c>
      <c r="Y32" s="18">
        <v>0.28000000000000003</v>
      </c>
      <c r="Z32" s="17">
        <f t="shared" si="13"/>
        <v>0</v>
      </c>
      <c r="AA32" s="18">
        <f t="shared" si="14"/>
        <v>0</v>
      </c>
      <c r="AB32" s="18">
        <v>0.1</v>
      </c>
    </row>
    <row r="33" spans="1:28">
      <c r="A33">
        <v>2026</v>
      </c>
      <c r="B33" t="s">
        <v>145</v>
      </c>
      <c r="C33" t="s">
        <v>146</v>
      </c>
      <c r="D33" t="s">
        <v>147</v>
      </c>
      <c r="E33">
        <v>709902</v>
      </c>
      <c r="G33" t="s">
        <v>148</v>
      </c>
      <c r="H33" t="s">
        <v>148</v>
      </c>
      <c r="I33" t="s">
        <v>19</v>
      </c>
      <c r="J33" t="s">
        <v>22</v>
      </c>
      <c r="K33">
        <v>10</v>
      </c>
      <c r="L33">
        <v>28800</v>
      </c>
      <c r="M33" s="17">
        <f t="shared" si="15"/>
        <v>2880</v>
      </c>
      <c r="O33" s="17">
        <f t="shared" si="8"/>
        <v>3744</v>
      </c>
      <c r="P33" s="17">
        <f>IF(C33="Alta Complejidad",M33,0)</f>
        <v>2880</v>
      </c>
      <c r="Q33" s="18">
        <v>0.28999999999999998</v>
      </c>
      <c r="R33" s="17">
        <f t="shared" si="9"/>
        <v>3715.2</v>
      </c>
      <c r="S33" s="19">
        <f t="shared" si="10"/>
        <v>0.22480620155038755</v>
      </c>
      <c r="T33" s="17">
        <f>IF(C33="Mediana Complejidad",M33,0)</f>
        <v>0</v>
      </c>
      <c r="U33" s="18">
        <v>0.27</v>
      </c>
      <c r="V33" s="17">
        <f t="shared" si="11"/>
        <v>0</v>
      </c>
      <c r="W33" s="18">
        <f t="shared" si="12"/>
        <v>0</v>
      </c>
      <c r="X33" s="17">
        <f>IF(C33="Baja Complejidad",M33,0)</f>
        <v>0</v>
      </c>
      <c r="Y33" s="18">
        <v>0.27</v>
      </c>
      <c r="Z33" s="17">
        <f t="shared" si="13"/>
        <v>0</v>
      </c>
      <c r="AA33" s="18">
        <f t="shared" si="14"/>
        <v>0</v>
      </c>
      <c r="AB33" s="18">
        <v>0.1</v>
      </c>
    </row>
    <row r="34" spans="1:28">
      <c r="A34">
        <v>2026</v>
      </c>
      <c r="B34" t="s">
        <v>145</v>
      </c>
      <c r="C34" t="s">
        <v>146</v>
      </c>
      <c r="D34" t="s">
        <v>147</v>
      </c>
      <c r="E34">
        <v>709903</v>
      </c>
      <c r="G34" t="s">
        <v>148</v>
      </c>
      <c r="H34" t="s">
        <v>148</v>
      </c>
      <c r="I34" t="s">
        <v>19</v>
      </c>
      <c r="J34" t="s">
        <v>22</v>
      </c>
      <c r="K34">
        <v>10</v>
      </c>
      <c r="L34">
        <v>63400</v>
      </c>
      <c r="M34" s="17">
        <f t="shared" si="15"/>
        <v>6340</v>
      </c>
      <c r="O34" s="17">
        <f t="shared" si="8"/>
        <v>8242</v>
      </c>
      <c r="P34" s="17">
        <f>IF(C34="Alta Complejidad",M34,0)</f>
        <v>6340</v>
      </c>
      <c r="Q34" s="18">
        <v>0.34</v>
      </c>
      <c r="R34" s="17">
        <f t="shared" si="9"/>
        <v>8495.6</v>
      </c>
      <c r="S34" s="19">
        <f t="shared" si="10"/>
        <v>0.2537313432835821</v>
      </c>
      <c r="T34" s="17">
        <f>IF(C34="Mediana Complejidad",M34,0)</f>
        <v>0</v>
      </c>
      <c r="U34" s="18">
        <v>0.17</v>
      </c>
      <c r="V34" s="17">
        <f t="shared" si="11"/>
        <v>0</v>
      </c>
      <c r="W34" s="18">
        <f t="shared" si="12"/>
        <v>0</v>
      </c>
      <c r="X34" s="17">
        <f>IF(C34="Baja Complejidad",M34,0)</f>
        <v>0</v>
      </c>
      <c r="Y34" s="18">
        <v>0.17</v>
      </c>
      <c r="Z34" s="17">
        <f t="shared" si="13"/>
        <v>0</v>
      </c>
      <c r="AA34" s="18">
        <f t="shared" si="14"/>
        <v>0</v>
      </c>
      <c r="AB34" s="18">
        <v>0.1</v>
      </c>
    </row>
    <row r="35" spans="1:28">
      <c r="A35">
        <v>2026</v>
      </c>
      <c r="B35" t="s">
        <v>145</v>
      </c>
      <c r="C35" t="s">
        <v>146</v>
      </c>
      <c r="D35" t="s">
        <v>147</v>
      </c>
      <c r="E35">
        <v>603421</v>
      </c>
      <c r="G35" t="s">
        <v>148</v>
      </c>
      <c r="H35" t="s">
        <v>148</v>
      </c>
      <c r="I35" t="s">
        <v>30</v>
      </c>
      <c r="J35" t="s">
        <v>22</v>
      </c>
      <c r="K35">
        <v>10</v>
      </c>
      <c r="L35">
        <v>24200</v>
      </c>
      <c r="M35" s="17">
        <f t="shared" si="15"/>
        <v>2420</v>
      </c>
      <c r="O35" s="17">
        <f t="shared" si="8"/>
        <v>3146</v>
      </c>
      <c r="P35" s="17">
        <f>IF(C35="Alta Complejidad",M35,0)</f>
        <v>2420</v>
      </c>
      <c r="Q35" s="18">
        <v>0.25</v>
      </c>
      <c r="R35" s="17">
        <f t="shared" si="9"/>
        <v>3025</v>
      </c>
      <c r="S35" s="19">
        <f t="shared" si="10"/>
        <v>0.2</v>
      </c>
      <c r="T35" s="17">
        <f>IF(C35="Mediana Complejidad",M35,0)</f>
        <v>0</v>
      </c>
      <c r="U35" s="18">
        <v>0.22</v>
      </c>
      <c r="V35" s="17">
        <f t="shared" si="11"/>
        <v>0</v>
      </c>
      <c r="W35" s="18">
        <f t="shared" si="12"/>
        <v>0</v>
      </c>
      <c r="X35" s="17">
        <f>IF(C35="Baja Complejidad",M35,0)</f>
        <v>0</v>
      </c>
      <c r="Y35" s="18">
        <v>0.22</v>
      </c>
      <c r="Z35" s="17">
        <f t="shared" si="13"/>
        <v>0</v>
      </c>
      <c r="AA35" s="18">
        <f t="shared" si="14"/>
        <v>0</v>
      </c>
      <c r="AB35" s="18">
        <v>0.1</v>
      </c>
    </row>
    <row r="36" spans="1:28">
      <c r="A36">
        <v>2026</v>
      </c>
      <c r="B36" t="s">
        <v>145</v>
      </c>
      <c r="C36" t="s">
        <v>146</v>
      </c>
      <c r="D36" t="s">
        <v>147</v>
      </c>
      <c r="E36">
        <v>603422</v>
      </c>
      <c r="G36" t="s">
        <v>148</v>
      </c>
      <c r="H36" t="s">
        <v>148</v>
      </c>
      <c r="I36" t="s">
        <v>30</v>
      </c>
      <c r="J36" t="s">
        <v>22</v>
      </c>
      <c r="K36">
        <v>10</v>
      </c>
      <c r="L36">
        <v>36700</v>
      </c>
      <c r="M36" s="17">
        <f t="shared" si="15"/>
        <v>3670</v>
      </c>
      <c r="O36" s="17">
        <f t="shared" si="8"/>
        <v>4771</v>
      </c>
      <c r="P36" s="17">
        <f>IF(C36="Alta Complejidad",M36,0)</f>
        <v>3670</v>
      </c>
      <c r="Q36" s="18">
        <v>0.35</v>
      </c>
      <c r="R36" s="17">
        <f t="shared" si="9"/>
        <v>4954.5</v>
      </c>
      <c r="S36" s="19">
        <f t="shared" si="10"/>
        <v>0.25925925925925924</v>
      </c>
      <c r="T36" s="17">
        <f>IF(C36="Mediana Complejidad",M36,0)</f>
        <v>0</v>
      </c>
      <c r="U36" s="18">
        <v>0.12</v>
      </c>
      <c r="V36" s="17">
        <f t="shared" si="11"/>
        <v>0</v>
      </c>
      <c r="W36" s="18">
        <f t="shared" si="12"/>
        <v>0</v>
      </c>
      <c r="X36" s="17">
        <f>IF(C36="Baja Complejidad",M36,0)</f>
        <v>0</v>
      </c>
      <c r="Y36" s="18">
        <v>0.12</v>
      </c>
      <c r="Z36" s="17">
        <f t="shared" si="13"/>
        <v>0</v>
      </c>
      <c r="AA36" s="18">
        <f t="shared" si="14"/>
        <v>0</v>
      </c>
      <c r="AB36" s="18">
        <v>0.1</v>
      </c>
    </row>
    <row r="37" spans="1:28">
      <c r="A37">
        <v>2026</v>
      </c>
      <c r="B37" t="s">
        <v>145</v>
      </c>
      <c r="C37" t="s">
        <v>146</v>
      </c>
      <c r="D37" t="s">
        <v>147</v>
      </c>
      <c r="E37">
        <v>603423</v>
      </c>
      <c r="G37" t="s">
        <v>148</v>
      </c>
      <c r="H37" t="s">
        <v>148</v>
      </c>
      <c r="I37" t="s">
        <v>30</v>
      </c>
      <c r="J37" t="s">
        <v>22</v>
      </c>
      <c r="K37">
        <v>10</v>
      </c>
      <c r="L37">
        <v>91800</v>
      </c>
      <c r="M37" s="17">
        <f t="shared" si="15"/>
        <v>9180</v>
      </c>
      <c r="O37" s="17">
        <f t="shared" si="8"/>
        <v>11934</v>
      </c>
      <c r="P37" s="17">
        <f>IF(C37="Alta Complejidad",M37,0)</f>
        <v>9180</v>
      </c>
      <c r="Q37" s="18">
        <v>0.12</v>
      </c>
      <c r="R37" s="17">
        <f t="shared" si="9"/>
        <v>10281.6</v>
      </c>
      <c r="S37" s="19">
        <f t="shared" si="10"/>
        <v>0.10714285714285718</v>
      </c>
      <c r="T37" s="17">
        <f>IF(C37="Mediana Complejidad",M37,0)</f>
        <v>0</v>
      </c>
      <c r="U37" s="18">
        <v>0.15</v>
      </c>
      <c r="V37" s="17">
        <f t="shared" si="11"/>
        <v>0</v>
      </c>
      <c r="W37" s="18">
        <f t="shared" si="12"/>
        <v>0</v>
      </c>
      <c r="X37" s="17">
        <f>IF(C37="Baja Complejidad",M37,0)</f>
        <v>0</v>
      </c>
      <c r="Y37" s="18">
        <v>0.15</v>
      </c>
      <c r="Z37" s="17">
        <f t="shared" si="13"/>
        <v>0</v>
      </c>
      <c r="AA37" s="18">
        <f t="shared" si="14"/>
        <v>0</v>
      </c>
      <c r="AB37" s="18">
        <v>0.1</v>
      </c>
    </row>
    <row r="38" spans="1:28">
      <c r="A38">
        <v>2026</v>
      </c>
      <c r="B38" t="s">
        <v>145</v>
      </c>
      <c r="C38" t="s">
        <v>146</v>
      </c>
      <c r="D38" t="s">
        <v>147</v>
      </c>
      <c r="E38">
        <v>294199</v>
      </c>
      <c r="G38" t="s">
        <v>148</v>
      </c>
      <c r="H38" t="s">
        <v>148</v>
      </c>
      <c r="I38" t="s">
        <v>44</v>
      </c>
      <c r="J38" t="s">
        <v>29</v>
      </c>
      <c r="K38">
        <v>5</v>
      </c>
      <c r="L38">
        <v>17300</v>
      </c>
      <c r="M38" s="17">
        <f t="shared" si="15"/>
        <v>3460</v>
      </c>
      <c r="O38" s="17">
        <f t="shared" si="8"/>
        <v>4498</v>
      </c>
      <c r="P38" s="17">
        <f>IF(C38="Alta Complejidad",M38,0)</f>
        <v>3460</v>
      </c>
      <c r="Q38" s="18">
        <v>0.25</v>
      </c>
      <c r="R38" s="17">
        <f t="shared" si="9"/>
        <v>4325</v>
      </c>
      <c r="S38" s="19">
        <f t="shared" si="10"/>
        <v>0.2</v>
      </c>
      <c r="T38" s="17">
        <f>IF(C38="Mediana Complejidad",M38,0)</f>
        <v>0</v>
      </c>
      <c r="U38" s="18">
        <v>0.18</v>
      </c>
      <c r="V38" s="17">
        <f t="shared" si="11"/>
        <v>0</v>
      </c>
      <c r="W38" s="18">
        <f t="shared" si="12"/>
        <v>0</v>
      </c>
      <c r="X38" s="17">
        <f>IF(C38="Baja Complejidad",M38,0)</f>
        <v>0</v>
      </c>
      <c r="Y38" s="18">
        <v>0.18</v>
      </c>
      <c r="Z38" s="17">
        <f t="shared" si="13"/>
        <v>0</v>
      </c>
      <c r="AA38" s="18">
        <f t="shared" si="14"/>
        <v>0</v>
      </c>
      <c r="AB38" s="18">
        <v>0.1</v>
      </c>
    </row>
    <row r="39" spans="1:28">
      <c r="A39">
        <v>2026</v>
      </c>
      <c r="B39" t="s">
        <v>145</v>
      </c>
      <c r="C39" t="s">
        <v>146</v>
      </c>
      <c r="D39" t="s">
        <v>147</v>
      </c>
      <c r="E39">
        <v>294299</v>
      </c>
      <c r="G39" t="s">
        <v>148</v>
      </c>
      <c r="H39" t="s">
        <v>148</v>
      </c>
      <c r="I39" t="s">
        <v>44</v>
      </c>
      <c r="J39" t="s">
        <v>29</v>
      </c>
      <c r="K39">
        <v>5</v>
      </c>
      <c r="L39">
        <v>29000</v>
      </c>
      <c r="M39" s="17">
        <f t="shared" si="15"/>
        <v>5800</v>
      </c>
      <c r="O39" s="17">
        <f t="shared" si="8"/>
        <v>7540</v>
      </c>
      <c r="P39" s="17">
        <f>IF(C39="Alta Complejidad",M39,0)</f>
        <v>5800</v>
      </c>
      <c r="Q39" s="18">
        <v>0.1</v>
      </c>
      <c r="R39" s="17">
        <f t="shared" si="9"/>
        <v>6380</v>
      </c>
      <c r="S39" s="19">
        <f t="shared" si="10"/>
        <v>9.0909090909090912E-2</v>
      </c>
      <c r="T39" s="17">
        <f>IF(C39="Mediana Complejidad",M39,0)</f>
        <v>0</v>
      </c>
      <c r="U39" s="18">
        <v>0.28999999999999998</v>
      </c>
      <c r="V39" s="17">
        <f t="shared" si="11"/>
        <v>0</v>
      </c>
      <c r="W39" s="18">
        <f t="shared" si="12"/>
        <v>0</v>
      </c>
      <c r="X39" s="17">
        <f>IF(C39="Baja Complejidad",M39,0)</f>
        <v>0</v>
      </c>
      <c r="Y39" s="18">
        <v>0.28999999999999998</v>
      </c>
      <c r="Z39" s="17">
        <f t="shared" si="13"/>
        <v>0</v>
      </c>
      <c r="AA39" s="18">
        <f t="shared" si="14"/>
        <v>0</v>
      </c>
      <c r="AB39" s="18">
        <v>0.1</v>
      </c>
    </row>
    <row r="40" spans="1:28">
      <c r="A40">
        <v>2026</v>
      </c>
      <c r="B40" t="s">
        <v>145</v>
      </c>
      <c r="C40" t="s">
        <v>146</v>
      </c>
      <c r="D40" t="s">
        <v>147</v>
      </c>
      <c r="E40">
        <v>294399</v>
      </c>
      <c r="G40" t="s">
        <v>148</v>
      </c>
      <c r="H40" t="s">
        <v>148</v>
      </c>
      <c r="I40" t="s">
        <v>44</v>
      </c>
      <c r="J40" t="s">
        <v>29</v>
      </c>
      <c r="K40">
        <v>5</v>
      </c>
      <c r="L40">
        <v>36700</v>
      </c>
      <c r="M40" s="17">
        <f t="shared" si="15"/>
        <v>7340</v>
      </c>
      <c r="O40" s="17">
        <f t="shared" si="8"/>
        <v>9542</v>
      </c>
      <c r="P40" s="17">
        <f>IF(C40="Alta Complejidad",M40,0)</f>
        <v>7340</v>
      </c>
      <c r="Q40" s="18">
        <v>0.35</v>
      </c>
      <c r="R40" s="17">
        <f t="shared" si="9"/>
        <v>9909</v>
      </c>
      <c r="S40" s="19">
        <f t="shared" si="10"/>
        <v>0.25925925925925924</v>
      </c>
      <c r="T40" s="17">
        <f>IF(C40="Mediana Complejidad",M40,0)</f>
        <v>0</v>
      </c>
      <c r="U40" s="18">
        <v>0.34</v>
      </c>
      <c r="V40" s="17">
        <f t="shared" si="11"/>
        <v>0</v>
      </c>
      <c r="W40" s="18">
        <f t="shared" si="12"/>
        <v>0</v>
      </c>
      <c r="X40" s="17">
        <f>IF(C40="Baja Complejidad",M40,0)</f>
        <v>0</v>
      </c>
      <c r="Y40" s="18">
        <v>0.34</v>
      </c>
      <c r="Z40" s="17">
        <f t="shared" si="13"/>
        <v>0</v>
      </c>
      <c r="AA40" s="18">
        <f t="shared" si="14"/>
        <v>0</v>
      </c>
      <c r="AB40" s="18">
        <v>0.1</v>
      </c>
    </row>
    <row r="41" spans="1:28">
      <c r="A41">
        <v>2026</v>
      </c>
      <c r="B41" t="s">
        <v>145</v>
      </c>
      <c r="C41" t="s">
        <v>146</v>
      </c>
      <c r="D41" t="s">
        <v>147</v>
      </c>
      <c r="E41">
        <v>294499</v>
      </c>
      <c r="G41" t="s">
        <v>148</v>
      </c>
      <c r="H41" t="s">
        <v>148</v>
      </c>
      <c r="I41" t="s">
        <v>44</v>
      </c>
      <c r="J41" t="s">
        <v>29</v>
      </c>
      <c r="K41">
        <v>5</v>
      </c>
      <c r="L41">
        <v>75900</v>
      </c>
      <c r="M41" s="17">
        <f t="shared" si="15"/>
        <v>15180</v>
      </c>
      <c r="O41" s="17">
        <f t="shared" si="8"/>
        <v>19734</v>
      </c>
      <c r="P41" s="17">
        <f>IF(C41="Alta Complejidad",M41,0)</f>
        <v>15180</v>
      </c>
      <c r="Q41" s="18">
        <v>0.33</v>
      </c>
      <c r="R41" s="17">
        <f t="shared" si="9"/>
        <v>20189.400000000001</v>
      </c>
      <c r="S41" s="19">
        <f t="shared" si="10"/>
        <v>0.24812030075187974</v>
      </c>
      <c r="T41" s="17">
        <f>IF(C41="Mediana Complejidad",M41,0)</f>
        <v>0</v>
      </c>
      <c r="U41" s="18">
        <v>0.25</v>
      </c>
      <c r="V41" s="17">
        <f t="shared" si="11"/>
        <v>0</v>
      </c>
      <c r="W41" s="18">
        <f t="shared" si="12"/>
        <v>0</v>
      </c>
      <c r="X41" s="17">
        <f>IF(C41="Baja Complejidad",M41,0)</f>
        <v>0</v>
      </c>
      <c r="Y41" s="18">
        <v>0.25</v>
      </c>
      <c r="Z41" s="17">
        <f t="shared" si="13"/>
        <v>0</v>
      </c>
      <c r="AA41" s="18">
        <f t="shared" si="14"/>
        <v>0</v>
      </c>
      <c r="AB41" s="18">
        <v>0.1</v>
      </c>
    </row>
    <row r="42" spans="1:28">
      <c r="A42">
        <v>2026</v>
      </c>
      <c r="B42" t="s">
        <v>145</v>
      </c>
      <c r="C42" t="s">
        <v>146</v>
      </c>
      <c r="D42" t="s">
        <v>147</v>
      </c>
      <c r="E42">
        <v>284190</v>
      </c>
      <c r="G42" t="s">
        <v>148</v>
      </c>
      <c r="H42" t="s">
        <v>148</v>
      </c>
      <c r="I42" t="s">
        <v>55</v>
      </c>
      <c r="J42" t="s">
        <v>29</v>
      </c>
      <c r="K42">
        <v>5</v>
      </c>
      <c r="L42">
        <v>16900</v>
      </c>
      <c r="M42" s="17">
        <f t="shared" si="15"/>
        <v>3380</v>
      </c>
      <c r="O42" s="17">
        <f t="shared" si="8"/>
        <v>4394</v>
      </c>
      <c r="P42" s="17">
        <f>IF(C42="Alta Complejidad",M42,0)</f>
        <v>3380</v>
      </c>
      <c r="Q42" s="18">
        <v>0.31</v>
      </c>
      <c r="R42" s="17">
        <f t="shared" si="9"/>
        <v>4427.8</v>
      </c>
      <c r="S42" s="19">
        <f t="shared" si="10"/>
        <v>0.23664122137404583</v>
      </c>
      <c r="T42" s="17">
        <f>IF(C42="Mediana Complejidad",M42,0)</f>
        <v>0</v>
      </c>
      <c r="U42" s="18">
        <v>0.09</v>
      </c>
      <c r="V42" s="17">
        <f t="shared" si="11"/>
        <v>0</v>
      </c>
      <c r="W42" s="18">
        <f t="shared" si="12"/>
        <v>0</v>
      </c>
      <c r="X42" s="17">
        <f>IF(C42="Baja Complejidad",M42,0)</f>
        <v>0</v>
      </c>
      <c r="Y42" s="18">
        <v>0.35</v>
      </c>
      <c r="Z42" s="17">
        <f t="shared" si="13"/>
        <v>0</v>
      </c>
      <c r="AA42" s="18">
        <f t="shared" si="14"/>
        <v>0</v>
      </c>
      <c r="AB42" s="18">
        <v>0.1</v>
      </c>
    </row>
    <row r="43" spans="1:28">
      <c r="A43">
        <v>2026</v>
      </c>
      <c r="B43" t="s">
        <v>145</v>
      </c>
      <c r="C43" t="s">
        <v>146</v>
      </c>
      <c r="D43" t="s">
        <v>147</v>
      </c>
      <c r="E43">
        <v>284390</v>
      </c>
      <c r="G43" t="s">
        <v>148</v>
      </c>
      <c r="H43" t="s">
        <v>148</v>
      </c>
      <c r="I43" t="s">
        <v>55</v>
      </c>
      <c r="J43" t="s">
        <v>29</v>
      </c>
      <c r="K43">
        <v>5</v>
      </c>
      <c r="L43">
        <v>21900</v>
      </c>
      <c r="M43" s="17">
        <f t="shared" si="15"/>
        <v>4380</v>
      </c>
      <c r="O43" s="17">
        <f t="shared" si="8"/>
        <v>5694</v>
      </c>
      <c r="P43" s="17">
        <f>IF(C43="Alta Complejidad",M43,0)</f>
        <v>4380</v>
      </c>
      <c r="Q43" s="18">
        <v>0.3</v>
      </c>
      <c r="R43" s="17">
        <f t="shared" si="9"/>
        <v>5694</v>
      </c>
      <c r="S43" s="19">
        <f t="shared" si="10"/>
        <v>0.23076923076923078</v>
      </c>
      <c r="T43" s="17">
        <f>IF(C43="Mediana Complejidad",M43,0)</f>
        <v>0</v>
      </c>
      <c r="U43" s="18">
        <v>0.08</v>
      </c>
      <c r="V43" s="17">
        <f t="shared" si="11"/>
        <v>0</v>
      </c>
      <c r="W43" s="18">
        <f t="shared" si="12"/>
        <v>0</v>
      </c>
      <c r="X43" s="17">
        <f>IF(C43="Baja Complejidad",M43,0)</f>
        <v>0</v>
      </c>
      <c r="Y43" s="18">
        <v>0.12</v>
      </c>
      <c r="Z43" s="17">
        <f t="shared" si="13"/>
        <v>0</v>
      </c>
      <c r="AA43" s="18">
        <f t="shared" si="14"/>
        <v>0</v>
      </c>
      <c r="AB43" s="18">
        <v>0.1</v>
      </c>
    </row>
    <row r="44" spans="1:28">
      <c r="A44">
        <v>2026</v>
      </c>
      <c r="B44" t="s">
        <v>145</v>
      </c>
      <c r="C44" t="s">
        <v>146</v>
      </c>
      <c r="D44" t="s">
        <v>147</v>
      </c>
      <c r="E44">
        <v>287100</v>
      </c>
      <c r="G44" t="s">
        <v>148</v>
      </c>
      <c r="H44" t="s">
        <v>148</v>
      </c>
      <c r="I44" t="s">
        <v>60</v>
      </c>
      <c r="J44" t="s">
        <v>29</v>
      </c>
      <c r="K44">
        <v>5</v>
      </c>
      <c r="L44">
        <v>38600</v>
      </c>
      <c r="M44" s="17">
        <f t="shared" si="15"/>
        <v>7720</v>
      </c>
      <c r="O44" s="17">
        <f t="shared" si="8"/>
        <v>10036</v>
      </c>
      <c r="P44" s="17">
        <f>IF(C44="Alta Complejidad",M44,0)</f>
        <v>7720</v>
      </c>
      <c r="Q44" s="18">
        <v>0.28000000000000003</v>
      </c>
      <c r="R44" s="17">
        <f t="shared" si="9"/>
        <v>9881.6</v>
      </c>
      <c r="S44" s="19">
        <f t="shared" si="10"/>
        <v>0.21875000000000003</v>
      </c>
      <c r="T44" s="17">
        <f>IF(C44="Mediana Complejidad",M44,0)</f>
        <v>0</v>
      </c>
      <c r="U44" s="18">
        <v>0.06</v>
      </c>
      <c r="V44" s="17">
        <f t="shared" si="11"/>
        <v>0</v>
      </c>
      <c r="W44" s="18">
        <f t="shared" si="12"/>
        <v>0</v>
      </c>
      <c r="X44" s="17">
        <f>IF(C44="Baja Complejidad",M44,0)</f>
        <v>0</v>
      </c>
      <c r="Y44" s="18">
        <v>0.25</v>
      </c>
      <c r="Z44" s="17">
        <f t="shared" si="13"/>
        <v>0</v>
      </c>
      <c r="AA44" s="18">
        <f t="shared" si="14"/>
        <v>0</v>
      </c>
      <c r="AB44" s="18">
        <v>0.1</v>
      </c>
    </row>
    <row r="45" spans="1:28">
      <c r="A45">
        <v>2026</v>
      </c>
      <c r="B45" t="s">
        <v>145</v>
      </c>
      <c r="C45" t="s">
        <v>146</v>
      </c>
      <c r="D45" t="s">
        <v>147</v>
      </c>
      <c r="E45">
        <v>287200</v>
      </c>
      <c r="G45" t="s">
        <v>148</v>
      </c>
      <c r="H45" t="s">
        <v>148</v>
      </c>
      <c r="I45" t="s">
        <v>60</v>
      </c>
      <c r="J45" t="s">
        <v>29</v>
      </c>
      <c r="K45">
        <v>5</v>
      </c>
      <c r="L45">
        <v>107200</v>
      </c>
      <c r="M45" s="17">
        <f t="shared" si="15"/>
        <v>21440</v>
      </c>
      <c r="O45" s="17">
        <f t="shared" si="8"/>
        <v>27872</v>
      </c>
      <c r="P45" s="17">
        <f>IF(C45="Alta Complejidad",M45,0)</f>
        <v>21440</v>
      </c>
      <c r="Q45" s="18">
        <v>0.27</v>
      </c>
      <c r="R45" s="17">
        <f t="shared" si="9"/>
        <v>27228.799999999999</v>
      </c>
      <c r="S45" s="19">
        <f t="shared" si="10"/>
        <v>0.21259842519685038</v>
      </c>
      <c r="T45" s="17">
        <f>IF(C45="Mediana Complejidad",M45,0)</f>
        <v>0</v>
      </c>
      <c r="U45" s="18">
        <v>0.35</v>
      </c>
      <c r="V45" s="17">
        <f t="shared" si="11"/>
        <v>0</v>
      </c>
      <c r="W45" s="18">
        <f t="shared" si="12"/>
        <v>0</v>
      </c>
      <c r="X45" s="17">
        <f>IF(C45="Baja Complejidad",M45,0)</f>
        <v>0</v>
      </c>
      <c r="Y45" s="18">
        <v>0.1</v>
      </c>
      <c r="Z45" s="17">
        <f t="shared" si="13"/>
        <v>0</v>
      </c>
      <c r="AA45" s="18">
        <f t="shared" si="14"/>
        <v>0</v>
      </c>
      <c r="AB45" s="18">
        <v>0.1</v>
      </c>
    </row>
    <row r="46" spans="1:28">
      <c r="A46">
        <v>2026</v>
      </c>
      <c r="B46" t="s">
        <v>145</v>
      </c>
      <c r="C46" t="s">
        <v>146</v>
      </c>
      <c r="D46" t="s">
        <v>147</v>
      </c>
      <c r="E46">
        <v>287300</v>
      </c>
      <c r="G46" t="s">
        <v>148</v>
      </c>
      <c r="H46" t="s">
        <v>148</v>
      </c>
      <c r="I46" t="s">
        <v>60</v>
      </c>
      <c r="J46" t="s">
        <v>29</v>
      </c>
      <c r="K46">
        <v>5</v>
      </c>
      <c r="L46">
        <v>114900</v>
      </c>
      <c r="M46" s="17">
        <f t="shared" si="15"/>
        <v>22980</v>
      </c>
      <c r="O46" s="17">
        <f t="shared" si="8"/>
        <v>29874</v>
      </c>
      <c r="P46" s="17">
        <f>IF(C46="Alta Complejidad",M46,0)</f>
        <v>22980</v>
      </c>
      <c r="Q46" s="18">
        <v>0.17</v>
      </c>
      <c r="R46" s="17">
        <f t="shared" si="9"/>
        <v>26886.6</v>
      </c>
      <c r="S46" s="19">
        <f t="shared" si="10"/>
        <v>0.14529914529914525</v>
      </c>
      <c r="T46" s="17">
        <f>IF(C46="Mediana Complejidad",M46,0)</f>
        <v>0</v>
      </c>
      <c r="U46" s="18">
        <v>0.12</v>
      </c>
      <c r="V46" s="17">
        <f t="shared" si="11"/>
        <v>0</v>
      </c>
      <c r="W46" s="18">
        <f t="shared" si="12"/>
        <v>0</v>
      </c>
      <c r="X46" s="17">
        <f>IF(C46="Baja Complejidad",M46,0)</f>
        <v>0</v>
      </c>
      <c r="Y46" s="18">
        <v>0.35</v>
      </c>
      <c r="Z46" s="17">
        <f t="shared" si="13"/>
        <v>0</v>
      </c>
      <c r="AA46" s="18">
        <f t="shared" si="14"/>
        <v>0</v>
      </c>
      <c r="AB46" s="18">
        <v>0.1</v>
      </c>
    </row>
    <row r="47" spans="1:28">
      <c r="A47">
        <v>2026</v>
      </c>
      <c r="B47" t="s">
        <v>145</v>
      </c>
      <c r="C47" t="s">
        <v>146</v>
      </c>
      <c r="D47" t="s">
        <v>147</v>
      </c>
      <c r="E47">
        <v>287400</v>
      </c>
      <c r="G47" t="s">
        <v>148</v>
      </c>
      <c r="H47" t="s">
        <v>148</v>
      </c>
      <c r="I47" t="s">
        <v>60</v>
      </c>
      <c r="J47" t="s">
        <v>29</v>
      </c>
      <c r="K47">
        <v>5</v>
      </c>
      <c r="L47">
        <v>129400</v>
      </c>
      <c r="M47" s="17">
        <f t="shared" si="15"/>
        <v>25880</v>
      </c>
      <c r="O47" s="17">
        <f t="shared" si="8"/>
        <v>33644</v>
      </c>
      <c r="P47" s="17">
        <f>IF(C47="Alta Complejidad",M47,0)</f>
        <v>25880</v>
      </c>
      <c r="Q47" s="18">
        <v>0.22</v>
      </c>
      <c r="R47" s="17">
        <f t="shared" si="9"/>
        <v>31573.599999999999</v>
      </c>
      <c r="S47" s="19">
        <f t="shared" si="10"/>
        <v>0.18032786885245897</v>
      </c>
      <c r="T47" s="17">
        <f>IF(C47="Mediana Complejidad",M47,0)</f>
        <v>0</v>
      </c>
      <c r="U47" s="18">
        <v>0.25</v>
      </c>
      <c r="V47" s="17">
        <f t="shared" si="11"/>
        <v>0</v>
      </c>
      <c r="W47" s="18">
        <f t="shared" si="12"/>
        <v>0</v>
      </c>
      <c r="X47" s="17">
        <f>IF(C47="Baja Complejidad",M47,0)</f>
        <v>0</v>
      </c>
      <c r="Y47" s="18">
        <v>0.33</v>
      </c>
      <c r="Z47" s="17">
        <f t="shared" si="13"/>
        <v>0</v>
      </c>
      <c r="AA47" s="18">
        <f t="shared" si="14"/>
        <v>0</v>
      </c>
      <c r="AB47" s="18">
        <v>0.1</v>
      </c>
    </row>
    <row r="48" spans="1:28">
      <c r="A48">
        <v>2026</v>
      </c>
      <c r="B48" t="s">
        <v>145</v>
      </c>
      <c r="C48" t="s">
        <v>146</v>
      </c>
      <c r="D48" t="s">
        <v>147</v>
      </c>
      <c r="E48">
        <v>294899</v>
      </c>
      <c r="G48" t="s">
        <v>148</v>
      </c>
      <c r="H48" t="s">
        <v>148</v>
      </c>
      <c r="I48" t="s">
        <v>72</v>
      </c>
      <c r="J48" t="s">
        <v>29</v>
      </c>
      <c r="K48">
        <v>5</v>
      </c>
      <c r="L48">
        <v>49000</v>
      </c>
      <c r="M48" s="17">
        <f t="shared" si="15"/>
        <v>9800</v>
      </c>
      <c r="O48" s="17">
        <f t="shared" si="8"/>
        <v>12740</v>
      </c>
      <c r="P48" s="17">
        <f>IF(C48="Alta Complejidad",M48,0)</f>
        <v>9800</v>
      </c>
      <c r="Q48" s="18">
        <v>0.12</v>
      </c>
      <c r="R48" s="17">
        <f t="shared" si="9"/>
        <v>10976</v>
      </c>
      <c r="S48" s="19">
        <f t="shared" si="10"/>
        <v>0.10714285714285714</v>
      </c>
      <c r="T48" s="17">
        <f>IF(C48="Mediana Complejidad",M48,0)</f>
        <v>0</v>
      </c>
      <c r="U48" s="18">
        <v>0.1</v>
      </c>
      <c r="V48" s="17">
        <f t="shared" si="11"/>
        <v>0</v>
      </c>
      <c r="W48" s="18">
        <f t="shared" si="12"/>
        <v>0</v>
      </c>
      <c r="X48" s="17">
        <f>IF(C48="Baja Complejidad",M48,0)</f>
        <v>0</v>
      </c>
      <c r="Y48" s="18">
        <v>0.31</v>
      </c>
      <c r="Z48" s="17">
        <f t="shared" si="13"/>
        <v>0</v>
      </c>
      <c r="AA48" s="18">
        <f t="shared" si="14"/>
        <v>0</v>
      </c>
      <c r="AB48" s="18">
        <v>0.1</v>
      </c>
    </row>
    <row r="49" spans="1:28">
      <c r="A49">
        <v>2026</v>
      </c>
      <c r="B49" t="s">
        <v>145</v>
      </c>
      <c r="C49" t="s">
        <v>146</v>
      </c>
      <c r="D49" t="s">
        <v>147</v>
      </c>
      <c r="E49">
        <v>394590</v>
      </c>
      <c r="G49" t="s">
        <v>148</v>
      </c>
      <c r="H49" t="s">
        <v>148</v>
      </c>
      <c r="I49" t="s">
        <v>75</v>
      </c>
      <c r="J49" t="s">
        <v>53</v>
      </c>
      <c r="K49">
        <v>2</v>
      </c>
      <c r="L49">
        <v>386300</v>
      </c>
      <c r="M49" s="17">
        <f t="shared" si="15"/>
        <v>193150</v>
      </c>
      <c r="O49" s="17">
        <f t="shared" si="8"/>
        <v>251095</v>
      </c>
      <c r="P49" s="17">
        <f>IF(C49="Alta Complejidad",M49,0)</f>
        <v>193150</v>
      </c>
      <c r="Q49" s="18">
        <v>0.15</v>
      </c>
      <c r="R49" s="17">
        <f t="shared" si="9"/>
        <v>222122.5</v>
      </c>
      <c r="S49" s="19">
        <f t="shared" si="10"/>
        <v>0.13043478260869565</v>
      </c>
      <c r="T49" s="17">
        <f>IF(C49="Mediana Complejidad",M49,0)</f>
        <v>0</v>
      </c>
      <c r="U49" s="18">
        <v>0.35</v>
      </c>
      <c r="V49" s="17">
        <f t="shared" si="11"/>
        <v>0</v>
      </c>
      <c r="W49" s="18">
        <f t="shared" si="12"/>
        <v>0</v>
      </c>
      <c r="X49" s="17">
        <f>IF(C49="Baja Complejidad",M49,0)</f>
        <v>0</v>
      </c>
      <c r="Y49" s="18">
        <v>0.3</v>
      </c>
      <c r="Z49" s="17">
        <f t="shared" si="13"/>
        <v>0</v>
      </c>
      <c r="AA49" s="18">
        <f t="shared" si="14"/>
        <v>0</v>
      </c>
      <c r="AB49" s="18">
        <v>0.1</v>
      </c>
    </row>
    <row r="50" spans="1:28">
      <c r="A50">
        <v>2026</v>
      </c>
      <c r="B50" t="s">
        <v>145</v>
      </c>
      <c r="C50" t="s">
        <v>146</v>
      </c>
      <c r="D50" t="s">
        <v>147</v>
      </c>
      <c r="E50">
        <v>610200</v>
      </c>
      <c r="G50" t="s">
        <v>148</v>
      </c>
      <c r="H50" t="s">
        <v>148</v>
      </c>
      <c r="I50" t="s">
        <v>78</v>
      </c>
      <c r="J50" t="s">
        <v>22</v>
      </c>
      <c r="K50">
        <v>10</v>
      </c>
      <c r="L50">
        <v>38000</v>
      </c>
      <c r="M50" s="17">
        <f t="shared" si="15"/>
        <v>3800</v>
      </c>
      <c r="O50" s="17">
        <f t="shared" si="8"/>
        <v>4940</v>
      </c>
      <c r="P50" s="17">
        <f>IF(C50="Alta Complejidad",M50,0)</f>
        <v>3800</v>
      </c>
      <c r="Q50" s="18">
        <v>0.18</v>
      </c>
      <c r="R50" s="17">
        <f t="shared" si="9"/>
        <v>4484</v>
      </c>
      <c r="S50" s="19">
        <f t="shared" si="10"/>
        <v>0.15254237288135594</v>
      </c>
      <c r="T50" s="17">
        <f>IF(C50="Mediana Complejidad",M50,0)</f>
        <v>0</v>
      </c>
      <c r="U50" s="18">
        <v>0.33</v>
      </c>
      <c r="V50" s="17">
        <f t="shared" si="11"/>
        <v>0</v>
      </c>
      <c r="W50" s="18">
        <f t="shared" si="12"/>
        <v>0</v>
      </c>
      <c r="X50" s="17">
        <f>IF(C50="Baja Complejidad",M50,0)</f>
        <v>0</v>
      </c>
      <c r="Y50" s="18">
        <v>0.28000000000000003</v>
      </c>
      <c r="Z50" s="17">
        <f t="shared" si="13"/>
        <v>0</v>
      </c>
      <c r="AA50" s="18">
        <f t="shared" si="14"/>
        <v>0</v>
      </c>
      <c r="AB50" s="18">
        <v>0.1</v>
      </c>
    </row>
    <row r="51" spans="1:28">
      <c r="A51">
        <v>2026</v>
      </c>
      <c r="B51" t="s">
        <v>145</v>
      </c>
      <c r="C51" t="s">
        <v>146</v>
      </c>
      <c r="D51" t="s">
        <v>147</v>
      </c>
      <c r="E51">
        <v>610300</v>
      </c>
      <c r="G51" t="s">
        <v>148</v>
      </c>
      <c r="H51" t="s">
        <v>148</v>
      </c>
      <c r="I51" t="s">
        <v>78</v>
      </c>
      <c r="J51" t="s">
        <v>22</v>
      </c>
      <c r="K51">
        <v>10</v>
      </c>
      <c r="L51">
        <v>39800</v>
      </c>
      <c r="M51" s="17">
        <f t="shared" si="15"/>
        <v>3980</v>
      </c>
      <c r="O51" s="17">
        <f t="shared" si="8"/>
        <v>5174</v>
      </c>
      <c r="P51" s="17">
        <f>IF(C51="Alta Complejidad",M51,0)</f>
        <v>3980</v>
      </c>
      <c r="Q51" s="18">
        <v>0.28999999999999998</v>
      </c>
      <c r="R51" s="17">
        <f t="shared" si="9"/>
        <v>5134.2</v>
      </c>
      <c r="S51" s="19">
        <f t="shared" si="10"/>
        <v>0.22480620155038758</v>
      </c>
      <c r="T51" s="17">
        <f>IF(C51="Mediana Complejidad",M51,0)</f>
        <v>0</v>
      </c>
      <c r="U51" s="18">
        <v>0.31</v>
      </c>
      <c r="V51" s="17">
        <f t="shared" si="11"/>
        <v>0</v>
      </c>
      <c r="W51" s="18">
        <f t="shared" si="12"/>
        <v>0</v>
      </c>
      <c r="X51" s="17">
        <f>IF(C51="Baja Complejidad",M51,0)</f>
        <v>0</v>
      </c>
      <c r="Y51" s="18">
        <v>0.27</v>
      </c>
      <c r="Z51" s="17">
        <f t="shared" si="13"/>
        <v>0</v>
      </c>
      <c r="AA51" s="18">
        <f t="shared" si="14"/>
        <v>0</v>
      </c>
      <c r="AB51" s="18">
        <v>0.1</v>
      </c>
    </row>
    <row r="52" spans="1:28">
      <c r="A52">
        <v>2026</v>
      </c>
      <c r="B52" t="s">
        <v>145</v>
      </c>
      <c r="C52" t="s">
        <v>146</v>
      </c>
      <c r="D52" t="s">
        <v>147</v>
      </c>
      <c r="E52">
        <v>610400</v>
      </c>
      <c r="G52" t="s">
        <v>148</v>
      </c>
      <c r="H52" t="s">
        <v>148</v>
      </c>
      <c r="I52" t="s">
        <v>78</v>
      </c>
      <c r="J52" t="s">
        <v>22</v>
      </c>
      <c r="K52">
        <v>10</v>
      </c>
      <c r="L52">
        <v>42200</v>
      </c>
      <c r="M52" s="17">
        <f t="shared" si="15"/>
        <v>4220</v>
      </c>
      <c r="O52" s="17">
        <f t="shared" si="8"/>
        <v>5486</v>
      </c>
      <c r="P52" s="17">
        <f>IF(C52="Alta Complejidad",M52,0)</f>
        <v>4220</v>
      </c>
      <c r="Q52" s="18">
        <v>0.34</v>
      </c>
      <c r="R52" s="17">
        <f t="shared" si="9"/>
        <v>5654.8</v>
      </c>
      <c r="S52" s="19">
        <f t="shared" si="10"/>
        <v>0.2537313432835821</v>
      </c>
      <c r="T52" s="17">
        <f>IF(C52="Mediana Complejidad",M52,0)</f>
        <v>0</v>
      </c>
      <c r="U52" s="18">
        <v>0.3</v>
      </c>
      <c r="V52" s="17">
        <f t="shared" si="11"/>
        <v>0</v>
      </c>
      <c r="W52" s="18">
        <f t="shared" si="12"/>
        <v>0</v>
      </c>
      <c r="X52" s="17">
        <f>IF(C52="Baja Complejidad",M52,0)</f>
        <v>0</v>
      </c>
      <c r="Y52" s="18">
        <v>0.17</v>
      </c>
      <c r="Z52" s="17">
        <f t="shared" si="13"/>
        <v>0</v>
      </c>
      <c r="AA52" s="18">
        <f t="shared" si="14"/>
        <v>0</v>
      </c>
      <c r="AB52" s="18">
        <v>0.1</v>
      </c>
    </row>
    <row r="53" spans="1:28">
      <c r="A53">
        <v>2026</v>
      </c>
      <c r="B53" t="s">
        <v>145</v>
      </c>
      <c r="C53" t="s">
        <v>146</v>
      </c>
      <c r="D53" t="s">
        <v>147</v>
      </c>
      <c r="E53">
        <v>610500</v>
      </c>
      <c r="G53" t="s">
        <v>148</v>
      </c>
      <c r="H53" t="s">
        <v>148</v>
      </c>
      <c r="I53" t="s">
        <v>78</v>
      </c>
      <c r="J53" t="s">
        <v>22</v>
      </c>
      <c r="K53">
        <v>10</v>
      </c>
      <c r="L53">
        <v>51600</v>
      </c>
      <c r="M53" s="17">
        <f t="shared" si="15"/>
        <v>5160</v>
      </c>
      <c r="O53" s="17">
        <f t="shared" si="8"/>
        <v>6708</v>
      </c>
      <c r="P53" s="17">
        <f>IF(C53="Alta Complejidad",M53,0)</f>
        <v>5160</v>
      </c>
      <c r="Q53" s="18">
        <v>0.25</v>
      </c>
      <c r="R53" s="17">
        <f t="shared" si="9"/>
        <v>6450</v>
      </c>
      <c r="S53" s="19">
        <f t="shared" si="10"/>
        <v>0.2</v>
      </c>
      <c r="T53" s="17">
        <f>IF(C53="Mediana Complejidad",M53,0)</f>
        <v>0</v>
      </c>
      <c r="U53" s="18">
        <v>0.28000000000000003</v>
      </c>
      <c r="V53" s="17">
        <f t="shared" si="11"/>
        <v>0</v>
      </c>
      <c r="W53" s="18">
        <f t="shared" si="12"/>
        <v>0</v>
      </c>
      <c r="X53" s="17">
        <f>IF(C53="Baja Complejidad",M53,0)</f>
        <v>0</v>
      </c>
      <c r="Y53" s="18">
        <v>0.22</v>
      </c>
      <c r="Z53" s="17">
        <f t="shared" si="13"/>
        <v>0</v>
      </c>
      <c r="AA53" s="18">
        <f t="shared" si="14"/>
        <v>0</v>
      </c>
      <c r="AB53" s="18">
        <v>0.1</v>
      </c>
    </row>
    <row r="54" spans="1:28">
      <c r="A54">
        <v>2026</v>
      </c>
      <c r="B54" t="s">
        <v>145</v>
      </c>
      <c r="C54" t="s">
        <v>146</v>
      </c>
      <c r="D54" t="s">
        <v>147</v>
      </c>
      <c r="E54">
        <v>3505</v>
      </c>
      <c r="G54" t="s">
        <v>148</v>
      </c>
      <c r="H54" t="s">
        <v>148</v>
      </c>
      <c r="I54" t="s">
        <v>95</v>
      </c>
      <c r="J54" t="s">
        <v>12</v>
      </c>
      <c r="K54">
        <v>1</v>
      </c>
      <c r="L54">
        <v>43500</v>
      </c>
      <c r="M54" s="17">
        <f t="shared" si="15"/>
        <v>43500</v>
      </c>
      <c r="O54" s="17">
        <f t="shared" si="8"/>
        <v>56550</v>
      </c>
      <c r="P54" s="17">
        <f>IF(C54="Alta Complejidad",M54,0)</f>
        <v>43500</v>
      </c>
      <c r="Q54" s="18">
        <v>0.35</v>
      </c>
      <c r="R54" s="17">
        <f t="shared" si="9"/>
        <v>58725</v>
      </c>
      <c r="S54" s="19">
        <f t="shared" si="10"/>
        <v>0.25925925925925924</v>
      </c>
      <c r="T54" s="17">
        <f>IF(C54="Mediana Complejidad",M54,0)</f>
        <v>0</v>
      </c>
      <c r="U54" s="18">
        <v>0.27</v>
      </c>
      <c r="V54" s="17">
        <f t="shared" si="11"/>
        <v>0</v>
      </c>
      <c r="W54" s="18">
        <f t="shared" si="12"/>
        <v>0</v>
      </c>
      <c r="X54" s="17">
        <f>IF(C54="Baja Complejidad",M54,0)</f>
        <v>0</v>
      </c>
      <c r="Y54" s="18">
        <v>0.12</v>
      </c>
      <c r="Z54" s="17">
        <f t="shared" si="13"/>
        <v>0</v>
      </c>
      <c r="AA54" s="18">
        <f t="shared" si="14"/>
        <v>0</v>
      </c>
      <c r="AB54" s="18">
        <v>0.1</v>
      </c>
    </row>
    <row r="55" spans="1:28">
      <c r="A55">
        <v>2026</v>
      </c>
      <c r="B55" t="s">
        <v>145</v>
      </c>
      <c r="C55" t="s">
        <v>146</v>
      </c>
      <c r="D55" t="s">
        <v>147</v>
      </c>
      <c r="E55">
        <v>2440</v>
      </c>
      <c r="G55" t="s">
        <v>148</v>
      </c>
      <c r="H55" t="s">
        <v>148</v>
      </c>
      <c r="I55" t="s">
        <v>100</v>
      </c>
      <c r="J55" t="s">
        <v>12</v>
      </c>
      <c r="K55">
        <v>1</v>
      </c>
      <c r="L55">
        <v>89500</v>
      </c>
      <c r="M55" s="17">
        <f t="shared" si="15"/>
        <v>89500</v>
      </c>
      <c r="O55" s="17">
        <f t="shared" si="8"/>
        <v>116350</v>
      </c>
      <c r="P55" s="17">
        <f>IF(C55="Alta Complejidad",M55,0)</f>
        <v>89500</v>
      </c>
      <c r="Q55" s="18">
        <v>0.12</v>
      </c>
      <c r="R55" s="17">
        <f t="shared" si="9"/>
        <v>100240</v>
      </c>
      <c r="S55" s="19">
        <f t="shared" si="10"/>
        <v>0.10714285714285714</v>
      </c>
      <c r="T55" s="17">
        <f>IF(C55="Mediana Complejidad",M55,0)</f>
        <v>0</v>
      </c>
      <c r="U55" s="18">
        <v>0.17</v>
      </c>
      <c r="V55" s="17">
        <f t="shared" si="11"/>
        <v>0</v>
      </c>
      <c r="W55" s="18">
        <f t="shared" si="12"/>
        <v>0</v>
      </c>
      <c r="X55" s="17">
        <f>IF(C55="Baja Complejidad",M55,0)</f>
        <v>0</v>
      </c>
      <c r="Y55" s="18">
        <v>0.15</v>
      </c>
      <c r="Z55" s="17">
        <f t="shared" si="13"/>
        <v>0</v>
      </c>
      <c r="AA55" s="18">
        <f t="shared" si="14"/>
        <v>0</v>
      </c>
      <c r="AB55" s="18">
        <v>0.1</v>
      </c>
    </row>
    <row r="56" spans="1:28">
      <c r="A56">
        <v>2026</v>
      </c>
      <c r="B56" t="s">
        <v>145</v>
      </c>
      <c r="C56" t="s">
        <v>146</v>
      </c>
      <c r="D56" t="s">
        <v>147</v>
      </c>
      <c r="E56">
        <v>2438</v>
      </c>
      <c r="G56" t="s">
        <v>148</v>
      </c>
      <c r="H56" t="s">
        <v>148</v>
      </c>
      <c r="I56" t="s">
        <v>100</v>
      </c>
      <c r="J56" t="s">
        <v>12</v>
      </c>
      <c r="K56">
        <v>1</v>
      </c>
      <c r="L56">
        <v>67900</v>
      </c>
      <c r="M56" s="17">
        <f t="shared" si="15"/>
        <v>67900</v>
      </c>
      <c r="O56" s="17">
        <f t="shared" si="8"/>
        <v>88270</v>
      </c>
      <c r="P56" s="17">
        <f>IF(C56="Alta Complejidad",M56,0)</f>
        <v>67900</v>
      </c>
      <c r="Q56" s="18">
        <v>0.25</v>
      </c>
      <c r="R56" s="17">
        <f t="shared" si="9"/>
        <v>84875</v>
      </c>
      <c r="S56" s="19">
        <f t="shared" si="10"/>
        <v>0.2</v>
      </c>
      <c r="T56" s="17">
        <f>IF(C56="Mediana Complejidad",M56,0)</f>
        <v>0</v>
      </c>
      <c r="U56" s="18">
        <v>0.22</v>
      </c>
      <c r="V56" s="17">
        <f t="shared" si="11"/>
        <v>0</v>
      </c>
      <c r="W56" s="18">
        <f t="shared" si="12"/>
        <v>0</v>
      </c>
      <c r="X56" s="17">
        <f>IF(C56="Baja Complejidad",M56,0)</f>
        <v>0</v>
      </c>
      <c r="Y56" s="18">
        <v>0.18</v>
      </c>
      <c r="Z56" s="17">
        <f t="shared" si="13"/>
        <v>0</v>
      </c>
      <c r="AA56" s="18">
        <f t="shared" si="14"/>
        <v>0</v>
      </c>
      <c r="AB56" s="18">
        <v>0.1</v>
      </c>
    </row>
    <row r="57" spans="1:28">
      <c r="A57">
        <v>2026</v>
      </c>
      <c r="B57" t="s">
        <v>145</v>
      </c>
      <c r="C57" t="s">
        <v>146</v>
      </c>
      <c r="D57" t="s">
        <v>147</v>
      </c>
      <c r="E57">
        <v>2434</v>
      </c>
      <c r="G57" t="s">
        <v>148</v>
      </c>
      <c r="H57" t="s">
        <v>148</v>
      </c>
      <c r="I57" t="s">
        <v>100</v>
      </c>
      <c r="J57" t="s">
        <v>12</v>
      </c>
      <c r="K57">
        <v>1</v>
      </c>
      <c r="L57">
        <v>50300</v>
      </c>
      <c r="M57" s="17">
        <f t="shared" si="15"/>
        <v>50300</v>
      </c>
      <c r="O57" s="17">
        <f t="shared" si="8"/>
        <v>65390</v>
      </c>
      <c r="P57" s="17">
        <f>IF(C57="Alta Complejidad",M57,0)</f>
        <v>50300</v>
      </c>
      <c r="Q57" s="18">
        <v>0.1</v>
      </c>
      <c r="R57" s="17">
        <f t="shared" si="9"/>
        <v>55330</v>
      </c>
      <c r="S57" s="19">
        <f t="shared" si="10"/>
        <v>9.0909090909090912E-2</v>
      </c>
      <c r="T57" s="17">
        <f>IF(C57="Mediana Complejidad",M57,0)</f>
        <v>0</v>
      </c>
      <c r="U57" s="18">
        <v>0.12</v>
      </c>
      <c r="V57" s="17">
        <f t="shared" si="11"/>
        <v>0</v>
      </c>
      <c r="W57" s="18">
        <f t="shared" si="12"/>
        <v>0</v>
      </c>
      <c r="X57" s="17">
        <f>IF(C57="Baja Complejidad",M57,0)</f>
        <v>0</v>
      </c>
      <c r="Y57" s="18">
        <v>0.28999999999999998</v>
      </c>
      <c r="Z57" s="17">
        <f t="shared" si="13"/>
        <v>0</v>
      </c>
      <c r="AA57" s="18">
        <f t="shared" si="14"/>
        <v>0</v>
      </c>
      <c r="AB57" s="18">
        <v>0.1</v>
      </c>
    </row>
    <row r="58" spans="1:28">
      <c r="A58">
        <v>2026</v>
      </c>
      <c r="B58" t="s">
        <v>145</v>
      </c>
      <c r="C58" t="s">
        <v>146</v>
      </c>
      <c r="D58" t="s">
        <v>147</v>
      </c>
      <c r="E58">
        <v>2436</v>
      </c>
      <c r="G58" t="s">
        <v>148</v>
      </c>
      <c r="H58" t="s">
        <v>148</v>
      </c>
      <c r="I58" t="s">
        <v>100</v>
      </c>
      <c r="J58" t="s">
        <v>12</v>
      </c>
      <c r="K58">
        <v>1</v>
      </c>
      <c r="L58">
        <v>53300</v>
      </c>
      <c r="M58" s="17">
        <f t="shared" si="15"/>
        <v>53300</v>
      </c>
      <c r="O58" s="17">
        <f t="shared" si="8"/>
        <v>69290</v>
      </c>
      <c r="P58" s="17">
        <f>IF(C58="Alta Complejidad",M58,0)</f>
        <v>53300</v>
      </c>
      <c r="Q58" s="18">
        <v>0.35</v>
      </c>
      <c r="R58" s="17">
        <f t="shared" si="9"/>
        <v>71955</v>
      </c>
      <c r="S58" s="19">
        <f t="shared" si="10"/>
        <v>0.25925925925925924</v>
      </c>
      <c r="T58" s="17">
        <f>IF(C58="Mediana Complejidad",M58,0)</f>
        <v>0</v>
      </c>
      <c r="U58" s="18">
        <v>0.15</v>
      </c>
      <c r="V58" s="17">
        <f t="shared" si="11"/>
        <v>0</v>
      </c>
      <c r="W58" s="18">
        <f t="shared" si="12"/>
        <v>0</v>
      </c>
      <c r="X58" s="17">
        <f>IF(C58="Baja Complejidad",M58,0)</f>
        <v>0</v>
      </c>
      <c r="Y58" s="18">
        <v>0.34</v>
      </c>
      <c r="Z58" s="17">
        <f t="shared" si="13"/>
        <v>0</v>
      </c>
      <c r="AA58" s="18">
        <f t="shared" si="14"/>
        <v>0</v>
      </c>
      <c r="AB58" s="18">
        <v>0.1</v>
      </c>
    </row>
    <row r="59" spans="1:28" ht="15">
      <c r="A59" s="11" t="s">
        <v>117</v>
      </c>
      <c r="B59" s="11" t="s">
        <v>118</v>
      </c>
      <c r="C59" s="11" t="s">
        <v>119</v>
      </c>
      <c r="D59" s="11" t="s">
        <v>120</v>
      </c>
      <c r="E59" s="11" t="s">
        <v>121</v>
      </c>
      <c r="F59" s="11" t="s">
        <v>122</v>
      </c>
      <c r="G59" s="11" t="s">
        <v>123</v>
      </c>
      <c r="H59" s="11" t="s">
        <v>124</v>
      </c>
      <c r="I59" s="11" t="s">
        <v>125</v>
      </c>
      <c r="J59" s="11" t="s">
        <v>126</v>
      </c>
      <c r="K59" s="11" t="s">
        <v>127</v>
      </c>
      <c r="L59" s="11" t="s">
        <v>128</v>
      </c>
      <c r="M59" s="12" t="s">
        <v>129</v>
      </c>
      <c r="N59" s="11" t="s">
        <v>130</v>
      </c>
      <c r="O59" s="11" t="s">
        <v>131</v>
      </c>
      <c r="P59" s="11" t="s">
        <v>132</v>
      </c>
      <c r="Q59" s="13" t="s">
        <v>133</v>
      </c>
      <c r="R59" s="14" t="s">
        <v>134</v>
      </c>
      <c r="S59" s="15" t="s">
        <v>135</v>
      </c>
      <c r="T59" s="16" t="s">
        <v>136</v>
      </c>
      <c r="U59" s="16" t="s">
        <v>137</v>
      </c>
      <c r="V59" s="16" t="s">
        <v>138</v>
      </c>
      <c r="W59" s="13" t="s">
        <v>139</v>
      </c>
      <c r="X59" s="16" t="s">
        <v>140</v>
      </c>
      <c r="Y59" s="16" t="s">
        <v>141</v>
      </c>
      <c r="Z59" s="16" t="s">
        <v>142</v>
      </c>
      <c r="AA59" s="13" t="s">
        <v>143</v>
      </c>
      <c r="AB59" s="14" t="s">
        <v>144</v>
      </c>
    </row>
    <row r="60" spans="1:28">
      <c r="A60">
        <v>2026</v>
      </c>
      <c r="B60" t="s">
        <v>145</v>
      </c>
      <c r="C60" t="s">
        <v>146</v>
      </c>
      <c r="D60" t="s">
        <v>147</v>
      </c>
      <c r="E60">
        <v>360001</v>
      </c>
      <c r="G60" t="s">
        <v>148</v>
      </c>
      <c r="H60" t="s">
        <v>148</v>
      </c>
      <c r="I60" t="s">
        <v>9</v>
      </c>
      <c r="J60" t="s">
        <v>12</v>
      </c>
      <c r="K60">
        <v>1</v>
      </c>
      <c r="L60">
        <v>893800</v>
      </c>
      <c r="M60" s="17">
        <f>L60/K60</f>
        <v>893800</v>
      </c>
      <c r="O60" s="17">
        <f t="shared" ref="O60:O87" si="16">M60+(M60*30%)</f>
        <v>1161940</v>
      </c>
      <c r="P60" s="17">
        <f>IF(C60="Alta Complejidad",M60,0)</f>
        <v>893800</v>
      </c>
      <c r="Q60" s="18">
        <v>0.15</v>
      </c>
      <c r="R60" s="17">
        <f t="shared" ref="R60:R87" si="17">P60+(P60*Q60)</f>
        <v>1027870</v>
      </c>
      <c r="S60" s="19">
        <f t="shared" ref="S60:S87" si="18">IFERROR(((R60-P60)/R60),0)</f>
        <v>0.13043478260869565</v>
      </c>
      <c r="T60" s="17">
        <f>IF(C60="Mediana Complejidad",M60,0)</f>
        <v>0</v>
      </c>
      <c r="U60" s="18">
        <v>0.3</v>
      </c>
      <c r="V60" s="17">
        <f t="shared" ref="V60:V87" si="19">(T60)+(T60*U60)</f>
        <v>0</v>
      </c>
      <c r="W60" s="18">
        <f t="shared" ref="W60:W87" si="20">IFERROR(((V60-T60)/V60),0)</f>
        <v>0</v>
      </c>
      <c r="X60" s="17">
        <f>IF(C60="Baja Complejidad",M60,0)</f>
        <v>0</v>
      </c>
      <c r="Y60" s="18">
        <v>0.3</v>
      </c>
      <c r="Z60" s="17">
        <f t="shared" ref="Z60:Z87" si="21">(X60)+(X60*Y60)</f>
        <v>0</v>
      </c>
      <c r="AA60" s="18">
        <f t="shared" ref="AA60:AA87" si="22">IFERROR(((Z60-X60)/Z60),0)</f>
        <v>0</v>
      </c>
      <c r="AB60" s="18">
        <v>0.1</v>
      </c>
    </row>
    <row r="61" spans="1:28">
      <c r="A61">
        <v>2026</v>
      </c>
      <c r="B61" t="s">
        <v>145</v>
      </c>
      <c r="C61" t="s">
        <v>146</v>
      </c>
      <c r="D61" t="s">
        <v>147</v>
      </c>
      <c r="E61">
        <v>709900</v>
      </c>
      <c r="G61" t="s">
        <v>148</v>
      </c>
      <c r="H61" t="s">
        <v>148</v>
      </c>
      <c r="I61" t="s">
        <v>19</v>
      </c>
      <c r="J61" t="s">
        <v>22</v>
      </c>
      <c r="K61">
        <v>10</v>
      </c>
      <c r="L61">
        <v>13500</v>
      </c>
      <c r="M61" s="17">
        <f t="shared" ref="M61:M87" si="23">L61/K61</f>
        <v>1350</v>
      </c>
      <c r="O61" s="17">
        <f t="shared" si="16"/>
        <v>1755</v>
      </c>
      <c r="P61" s="17">
        <f>IF(C61="Alta Complejidad",M61,0)</f>
        <v>1350</v>
      </c>
      <c r="Q61" s="18">
        <v>0.18</v>
      </c>
      <c r="R61" s="17">
        <f t="shared" si="17"/>
        <v>1593</v>
      </c>
      <c r="S61" s="19">
        <f t="shared" si="18"/>
        <v>0.15254237288135594</v>
      </c>
      <c r="T61" s="17">
        <f>IF(C61="Mediana Complejidad",M61,0)</f>
        <v>0</v>
      </c>
      <c r="U61" s="18">
        <v>0.28000000000000003</v>
      </c>
      <c r="V61" s="17">
        <f t="shared" si="19"/>
        <v>0</v>
      </c>
      <c r="W61" s="18">
        <f t="shared" si="20"/>
        <v>0</v>
      </c>
      <c r="X61" s="17">
        <f>IF(C61="Baja Complejidad",M61,0)</f>
        <v>0</v>
      </c>
      <c r="Y61" s="18">
        <v>0.28000000000000003</v>
      </c>
      <c r="Z61" s="17">
        <f t="shared" si="21"/>
        <v>0</v>
      </c>
      <c r="AA61" s="18">
        <f t="shared" si="22"/>
        <v>0</v>
      </c>
      <c r="AB61" s="18">
        <v>0.1</v>
      </c>
    </row>
    <row r="62" spans="1:28">
      <c r="A62">
        <v>2026</v>
      </c>
      <c r="B62" t="s">
        <v>145</v>
      </c>
      <c r="C62" t="s">
        <v>146</v>
      </c>
      <c r="D62" t="s">
        <v>147</v>
      </c>
      <c r="E62">
        <v>709902</v>
      </c>
      <c r="G62" t="s">
        <v>148</v>
      </c>
      <c r="H62" t="s">
        <v>148</v>
      </c>
      <c r="I62" t="s">
        <v>19</v>
      </c>
      <c r="J62" t="s">
        <v>22</v>
      </c>
      <c r="K62">
        <v>10</v>
      </c>
      <c r="L62">
        <v>28800</v>
      </c>
      <c r="M62" s="17">
        <f t="shared" si="23"/>
        <v>2880</v>
      </c>
      <c r="O62" s="17">
        <f t="shared" si="16"/>
        <v>3744</v>
      </c>
      <c r="P62" s="17">
        <f>IF(C62="Alta Complejidad",M62,0)</f>
        <v>2880</v>
      </c>
      <c r="Q62" s="18">
        <v>0.28999999999999998</v>
      </c>
      <c r="R62" s="17">
        <f t="shared" si="17"/>
        <v>3715.2</v>
      </c>
      <c r="S62" s="19">
        <f t="shared" si="18"/>
        <v>0.22480620155038755</v>
      </c>
      <c r="T62" s="17">
        <f>IF(C62="Mediana Complejidad",M62,0)</f>
        <v>0</v>
      </c>
      <c r="U62" s="18">
        <v>0.27</v>
      </c>
      <c r="V62" s="17">
        <f t="shared" si="19"/>
        <v>0</v>
      </c>
      <c r="W62" s="18">
        <f t="shared" si="20"/>
        <v>0</v>
      </c>
      <c r="X62" s="17">
        <f>IF(C62="Baja Complejidad",M62,0)</f>
        <v>0</v>
      </c>
      <c r="Y62" s="18">
        <v>0.27</v>
      </c>
      <c r="Z62" s="17">
        <f t="shared" si="21"/>
        <v>0</v>
      </c>
      <c r="AA62" s="18">
        <f t="shared" si="22"/>
        <v>0</v>
      </c>
      <c r="AB62" s="18">
        <v>0.1</v>
      </c>
    </row>
    <row r="63" spans="1:28">
      <c r="A63">
        <v>2026</v>
      </c>
      <c r="B63" t="s">
        <v>145</v>
      </c>
      <c r="C63" t="s">
        <v>146</v>
      </c>
      <c r="D63" t="s">
        <v>147</v>
      </c>
      <c r="E63">
        <v>709903</v>
      </c>
      <c r="G63" t="s">
        <v>148</v>
      </c>
      <c r="H63" t="s">
        <v>148</v>
      </c>
      <c r="I63" t="s">
        <v>19</v>
      </c>
      <c r="J63" t="s">
        <v>22</v>
      </c>
      <c r="K63">
        <v>10</v>
      </c>
      <c r="L63">
        <v>63400</v>
      </c>
      <c r="M63" s="17">
        <f t="shared" si="23"/>
        <v>6340</v>
      </c>
      <c r="O63" s="17">
        <f t="shared" si="16"/>
        <v>8242</v>
      </c>
      <c r="P63" s="17">
        <f>IF(C63="Alta Complejidad",M63,0)</f>
        <v>6340</v>
      </c>
      <c r="Q63" s="18">
        <v>0.34</v>
      </c>
      <c r="R63" s="17">
        <f t="shared" si="17"/>
        <v>8495.6</v>
      </c>
      <c r="S63" s="19">
        <f t="shared" si="18"/>
        <v>0.2537313432835821</v>
      </c>
      <c r="T63" s="17">
        <f>IF(C63="Mediana Complejidad",M63,0)</f>
        <v>0</v>
      </c>
      <c r="U63" s="18">
        <v>0.17</v>
      </c>
      <c r="V63" s="17">
        <f t="shared" si="19"/>
        <v>0</v>
      </c>
      <c r="W63" s="18">
        <f t="shared" si="20"/>
        <v>0</v>
      </c>
      <c r="X63" s="17">
        <f>IF(C63="Baja Complejidad",M63,0)</f>
        <v>0</v>
      </c>
      <c r="Y63" s="18">
        <v>0.17</v>
      </c>
      <c r="Z63" s="17">
        <f t="shared" si="21"/>
        <v>0</v>
      </c>
      <c r="AA63" s="18">
        <f t="shared" si="22"/>
        <v>0</v>
      </c>
      <c r="AB63" s="18">
        <v>0.1</v>
      </c>
    </row>
    <row r="64" spans="1:28">
      <c r="A64">
        <v>2026</v>
      </c>
      <c r="B64" t="s">
        <v>145</v>
      </c>
      <c r="C64" t="s">
        <v>146</v>
      </c>
      <c r="D64" t="s">
        <v>147</v>
      </c>
      <c r="E64">
        <v>603421</v>
      </c>
      <c r="G64" t="s">
        <v>148</v>
      </c>
      <c r="H64" t="s">
        <v>148</v>
      </c>
      <c r="I64" t="s">
        <v>30</v>
      </c>
      <c r="J64" t="s">
        <v>22</v>
      </c>
      <c r="K64">
        <v>10</v>
      </c>
      <c r="L64">
        <v>24200</v>
      </c>
      <c r="M64" s="17">
        <f t="shared" si="23"/>
        <v>2420</v>
      </c>
      <c r="O64" s="17">
        <f t="shared" si="16"/>
        <v>3146</v>
      </c>
      <c r="P64" s="17">
        <f>IF(C64="Alta Complejidad",M64,0)</f>
        <v>2420</v>
      </c>
      <c r="Q64" s="18">
        <v>0.25</v>
      </c>
      <c r="R64" s="17">
        <f t="shared" si="17"/>
        <v>3025</v>
      </c>
      <c r="S64" s="19">
        <f t="shared" si="18"/>
        <v>0.2</v>
      </c>
      <c r="T64" s="17">
        <f>IF(C64="Mediana Complejidad",M64,0)</f>
        <v>0</v>
      </c>
      <c r="U64" s="18">
        <v>0.22</v>
      </c>
      <c r="V64" s="17">
        <f t="shared" si="19"/>
        <v>0</v>
      </c>
      <c r="W64" s="18">
        <f t="shared" si="20"/>
        <v>0</v>
      </c>
      <c r="X64" s="17">
        <f>IF(C64="Baja Complejidad",M64,0)</f>
        <v>0</v>
      </c>
      <c r="Y64" s="18">
        <v>0.22</v>
      </c>
      <c r="Z64" s="17">
        <f t="shared" si="21"/>
        <v>0</v>
      </c>
      <c r="AA64" s="18">
        <f t="shared" si="22"/>
        <v>0</v>
      </c>
      <c r="AB64" s="18">
        <v>0.1</v>
      </c>
    </row>
    <row r="65" spans="1:28">
      <c r="A65">
        <v>2026</v>
      </c>
      <c r="B65" t="s">
        <v>145</v>
      </c>
      <c r="C65" t="s">
        <v>146</v>
      </c>
      <c r="D65" t="s">
        <v>147</v>
      </c>
      <c r="E65">
        <v>603422</v>
      </c>
      <c r="G65" t="s">
        <v>148</v>
      </c>
      <c r="H65" t="s">
        <v>148</v>
      </c>
      <c r="I65" t="s">
        <v>30</v>
      </c>
      <c r="J65" t="s">
        <v>22</v>
      </c>
      <c r="K65">
        <v>10</v>
      </c>
      <c r="L65">
        <v>36700</v>
      </c>
      <c r="M65" s="17">
        <f t="shared" si="23"/>
        <v>3670</v>
      </c>
      <c r="O65" s="17">
        <f t="shared" si="16"/>
        <v>4771</v>
      </c>
      <c r="P65" s="17">
        <f>IF(C65="Alta Complejidad",M65,0)</f>
        <v>3670</v>
      </c>
      <c r="Q65" s="18">
        <v>0.35</v>
      </c>
      <c r="R65" s="17">
        <f t="shared" si="17"/>
        <v>4954.5</v>
      </c>
      <c r="S65" s="19">
        <f t="shared" si="18"/>
        <v>0.25925925925925924</v>
      </c>
      <c r="T65" s="17">
        <f>IF(C65="Mediana Complejidad",M65,0)</f>
        <v>0</v>
      </c>
      <c r="U65" s="18">
        <v>0.12</v>
      </c>
      <c r="V65" s="17">
        <f t="shared" si="19"/>
        <v>0</v>
      </c>
      <c r="W65" s="18">
        <f t="shared" si="20"/>
        <v>0</v>
      </c>
      <c r="X65" s="17">
        <f>IF(C65="Baja Complejidad",M65,0)</f>
        <v>0</v>
      </c>
      <c r="Y65" s="18">
        <v>0.12</v>
      </c>
      <c r="Z65" s="17">
        <f t="shared" si="21"/>
        <v>0</v>
      </c>
      <c r="AA65" s="18">
        <f t="shared" si="22"/>
        <v>0</v>
      </c>
      <c r="AB65" s="18">
        <v>0.1</v>
      </c>
    </row>
    <row r="66" spans="1:28">
      <c r="A66">
        <v>2026</v>
      </c>
      <c r="B66" t="s">
        <v>145</v>
      </c>
      <c r="C66" t="s">
        <v>146</v>
      </c>
      <c r="D66" t="s">
        <v>147</v>
      </c>
      <c r="E66">
        <v>603423</v>
      </c>
      <c r="G66" t="s">
        <v>148</v>
      </c>
      <c r="H66" t="s">
        <v>148</v>
      </c>
      <c r="I66" t="s">
        <v>30</v>
      </c>
      <c r="J66" t="s">
        <v>22</v>
      </c>
      <c r="K66">
        <v>10</v>
      </c>
      <c r="L66">
        <v>91800</v>
      </c>
      <c r="M66" s="17">
        <f t="shared" si="23"/>
        <v>9180</v>
      </c>
      <c r="O66" s="17">
        <f t="shared" si="16"/>
        <v>11934</v>
      </c>
      <c r="P66" s="17">
        <f>IF(C66="Alta Complejidad",M66,0)</f>
        <v>9180</v>
      </c>
      <c r="Q66" s="18">
        <v>0.12</v>
      </c>
      <c r="R66" s="17">
        <f t="shared" si="17"/>
        <v>10281.6</v>
      </c>
      <c r="S66" s="19">
        <f t="shared" si="18"/>
        <v>0.10714285714285718</v>
      </c>
      <c r="T66" s="17">
        <f>IF(C66="Mediana Complejidad",M66,0)</f>
        <v>0</v>
      </c>
      <c r="U66" s="18">
        <v>0.15</v>
      </c>
      <c r="V66" s="17">
        <f t="shared" si="19"/>
        <v>0</v>
      </c>
      <c r="W66" s="18">
        <f t="shared" si="20"/>
        <v>0</v>
      </c>
      <c r="X66" s="17">
        <f>IF(C66="Baja Complejidad",M66,0)</f>
        <v>0</v>
      </c>
      <c r="Y66" s="18">
        <v>0.15</v>
      </c>
      <c r="Z66" s="17">
        <f t="shared" si="21"/>
        <v>0</v>
      </c>
      <c r="AA66" s="18">
        <f t="shared" si="22"/>
        <v>0</v>
      </c>
      <c r="AB66" s="18">
        <v>0.1</v>
      </c>
    </row>
    <row r="67" spans="1:28">
      <c r="A67">
        <v>2026</v>
      </c>
      <c r="B67" t="s">
        <v>145</v>
      </c>
      <c r="C67" t="s">
        <v>146</v>
      </c>
      <c r="D67" t="s">
        <v>147</v>
      </c>
      <c r="E67">
        <v>294199</v>
      </c>
      <c r="G67" t="s">
        <v>148</v>
      </c>
      <c r="H67" t="s">
        <v>148</v>
      </c>
      <c r="I67" t="s">
        <v>44</v>
      </c>
      <c r="J67" t="s">
        <v>29</v>
      </c>
      <c r="K67">
        <v>5</v>
      </c>
      <c r="L67">
        <v>17300</v>
      </c>
      <c r="M67" s="17">
        <f t="shared" si="23"/>
        <v>3460</v>
      </c>
      <c r="O67" s="17">
        <f t="shared" si="16"/>
        <v>4498</v>
      </c>
      <c r="P67" s="17">
        <f>IF(C67="Alta Complejidad",M67,0)</f>
        <v>3460</v>
      </c>
      <c r="Q67" s="18">
        <v>0.25</v>
      </c>
      <c r="R67" s="17">
        <f t="shared" si="17"/>
        <v>4325</v>
      </c>
      <c r="S67" s="19">
        <f t="shared" si="18"/>
        <v>0.2</v>
      </c>
      <c r="T67" s="17">
        <f>IF(C67="Mediana Complejidad",M67,0)</f>
        <v>0</v>
      </c>
      <c r="U67" s="18">
        <v>0.18</v>
      </c>
      <c r="V67" s="17">
        <f t="shared" si="19"/>
        <v>0</v>
      </c>
      <c r="W67" s="18">
        <f t="shared" si="20"/>
        <v>0</v>
      </c>
      <c r="X67" s="17">
        <f>IF(C67="Baja Complejidad",M67,0)</f>
        <v>0</v>
      </c>
      <c r="Y67" s="18">
        <v>0.18</v>
      </c>
      <c r="Z67" s="17">
        <f t="shared" si="21"/>
        <v>0</v>
      </c>
      <c r="AA67" s="18">
        <f t="shared" si="22"/>
        <v>0</v>
      </c>
      <c r="AB67" s="18">
        <v>0.1</v>
      </c>
    </row>
    <row r="68" spans="1:28">
      <c r="A68">
        <v>2026</v>
      </c>
      <c r="B68" t="s">
        <v>145</v>
      </c>
      <c r="C68" t="s">
        <v>146</v>
      </c>
      <c r="D68" t="s">
        <v>147</v>
      </c>
      <c r="E68">
        <v>294299</v>
      </c>
      <c r="G68" t="s">
        <v>148</v>
      </c>
      <c r="H68" t="s">
        <v>148</v>
      </c>
      <c r="I68" t="s">
        <v>44</v>
      </c>
      <c r="J68" t="s">
        <v>29</v>
      </c>
      <c r="K68">
        <v>5</v>
      </c>
      <c r="L68">
        <v>29000</v>
      </c>
      <c r="M68" s="17">
        <f t="shared" si="23"/>
        <v>5800</v>
      </c>
      <c r="O68" s="17">
        <f t="shared" si="16"/>
        <v>7540</v>
      </c>
      <c r="P68" s="17">
        <f>IF(C68="Alta Complejidad",M68,0)</f>
        <v>5800</v>
      </c>
      <c r="Q68" s="18">
        <v>0.1</v>
      </c>
      <c r="R68" s="17">
        <f t="shared" si="17"/>
        <v>6380</v>
      </c>
      <c r="S68" s="19">
        <f t="shared" si="18"/>
        <v>9.0909090909090912E-2</v>
      </c>
      <c r="T68" s="17">
        <f>IF(C68="Mediana Complejidad",M68,0)</f>
        <v>0</v>
      </c>
      <c r="U68" s="18">
        <v>0.28999999999999998</v>
      </c>
      <c r="V68" s="17">
        <f t="shared" si="19"/>
        <v>0</v>
      </c>
      <c r="W68" s="18">
        <f t="shared" si="20"/>
        <v>0</v>
      </c>
      <c r="X68" s="17">
        <f>IF(C68="Baja Complejidad",M68,0)</f>
        <v>0</v>
      </c>
      <c r="Y68" s="18">
        <v>0.28999999999999998</v>
      </c>
      <c r="Z68" s="17">
        <f t="shared" si="21"/>
        <v>0</v>
      </c>
      <c r="AA68" s="18">
        <f t="shared" si="22"/>
        <v>0</v>
      </c>
      <c r="AB68" s="18">
        <v>0.1</v>
      </c>
    </row>
    <row r="69" spans="1:28">
      <c r="A69">
        <v>2026</v>
      </c>
      <c r="B69" t="s">
        <v>145</v>
      </c>
      <c r="C69" t="s">
        <v>146</v>
      </c>
      <c r="D69" t="s">
        <v>147</v>
      </c>
      <c r="E69">
        <v>294399</v>
      </c>
      <c r="G69" t="s">
        <v>148</v>
      </c>
      <c r="H69" t="s">
        <v>148</v>
      </c>
      <c r="I69" t="s">
        <v>44</v>
      </c>
      <c r="J69" t="s">
        <v>29</v>
      </c>
      <c r="K69">
        <v>5</v>
      </c>
      <c r="L69">
        <v>36700</v>
      </c>
      <c r="M69" s="17">
        <f t="shared" si="23"/>
        <v>7340</v>
      </c>
      <c r="O69" s="17">
        <f t="shared" si="16"/>
        <v>9542</v>
      </c>
      <c r="P69" s="17">
        <f>IF(C69="Alta Complejidad",M69,0)</f>
        <v>7340</v>
      </c>
      <c r="Q69" s="18">
        <v>0.35</v>
      </c>
      <c r="R69" s="17">
        <f t="shared" si="17"/>
        <v>9909</v>
      </c>
      <c r="S69" s="19">
        <f t="shared" si="18"/>
        <v>0.25925925925925924</v>
      </c>
      <c r="T69" s="17">
        <f>IF(C69="Mediana Complejidad",M69,0)</f>
        <v>0</v>
      </c>
      <c r="U69" s="18">
        <v>0.34</v>
      </c>
      <c r="V69" s="17">
        <f t="shared" si="19"/>
        <v>0</v>
      </c>
      <c r="W69" s="18">
        <f t="shared" si="20"/>
        <v>0</v>
      </c>
      <c r="X69" s="17">
        <f>IF(C69="Baja Complejidad",M69,0)</f>
        <v>0</v>
      </c>
      <c r="Y69" s="18">
        <v>0.34</v>
      </c>
      <c r="Z69" s="17">
        <f t="shared" si="21"/>
        <v>0</v>
      </c>
      <c r="AA69" s="18">
        <f t="shared" si="22"/>
        <v>0</v>
      </c>
      <c r="AB69" s="18">
        <v>0.1</v>
      </c>
    </row>
    <row r="70" spans="1:28">
      <c r="A70">
        <v>2026</v>
      </c>
      <c r="B70" t="s">
        <v>145</v>
      </c>
      <c r="C70" t="s">
        <v>146</v>
      </c>
      <c r="D70" t="s">
        <v>147</v>
      </c>
      <c r="E70">
        <v>294499</v>
      </c>
      <c r="G70" t="s">
        <v>148</v>
      </c>
      <c r="H70" t="s">
        <v>148</v>
      </c>
      <c r="I70" t="s">
        <v>44</v>
      </c>
      <c r="J70" t="s">
        <v>29</v>
      </c>
      <c r="K70">
        <v>5</v>
      </c>
      <c r="L70">
        <v>75900</v>
      </c>
      <c r="M70" s="17">
        <f t="shared" si="23"/>
        <v>15180</v>
      </c>
      <c r="O70" s="17">
        <f t="shared" si="16"/>
        <v>19734</v>
      </c>
      <c r="P70" s="17">
        <f>IF(C70="Alta Complejidad",M70,0)</f>
        <v>15180</v>
      </c>
      <c r="Q70" s="18">
        <v>0.33</v>
      </c>
      <c r="R70" s="17">
        <f t="shared" si="17"/>
        <v>20189.400000000001</v>
      </c>
      <c r="S70" s="19">
        <f t="shared" si="18"/>
        <v>0.24812030075187974</v>
      </c>
      <c r="T70" s="17">
        <f>IF(C70="Mediana Complejidad",M70,0)</f>
        <v>0</v>
      </c>
      <c r="U70" s="18">
        <v>0.25</v>
      </c>
      <c r="V70" s="17">
        <f t="shared" si="19"/>
        <v>0</v>
      </c>
      <c r="W70" s="18">
        <f t="shared" si="20"/>
        <v>0</v>
      </c>
      <c r="X70" s="17">
        <f>IF(C70="Baja Complejidad",M70,0)</f>
        <v>0</v>
      </c>
      <c r="Y70" s="18">
        <v>0.25</v>
      </c>
      <c r="Z70" s="17">
        <f t="shared" si="21"/>
        <v>0</v>
      </c>
      <c r="AA70" s="18">
        <f t="shared" si="22"/>
        <v>0</v>
      </c>
      <c r="AB70" s="18">
        <v>0.1</v>
      </c>
    </row>
    <row r="71" spans="1:28">
      <c r="A71">
        <v>2026</v>
      </c>
      <c r="B71" t="s">
        <v>145</v>
      </c>
      <c r="C71" t="s">
        <v>146</v>
      </c>
      <c r="D71" t="s">
        <v>147</v>
      </c>
      <c r="E71">
        <v>284190</v>
      </c>
      <c r="G71" t="s">
        <v>148</v>
      </c>
      <c r="H71" t="s">
        <v>148</v>
      </c>
      <c r="I71" t="s">
        <v>55</v>
      </c>
      <c r="J71" t="s">
        <v>29</v>
      </c>
      <c r="K71">
        <v>5</v>
      </c>
      <c r="L71">
        <v>16900</v>
      </c>
      <c r="M71" s="17">
        <f t="shared" si="23"/>
        <v>3380</v>
      </c>
      <c r="O71" s="17">
        <f t="shared" si="16"/>
        <v>4394</v>
      </c>
      <c r="P71" s="17">
        <f>IF(C71="Alta Complejidad",M71,0)</f>
        <v>3380</v>
      </c>
      <c r="Q71" s="18">
        <v>0.31</v>
      </c>
      <c r="R71" s="17">
        <f t="shared" si="17"/>
        <v>4427.8</v>
      </c>
      <c r="S71" s="19">
        <f t="shared" si="18"/>
        <v>0.23664122137404583</v>
      </c>
      <c r="T71" s="17">
        <f>IF(C71="Mediana Complejidad",M71,0)</f>
        <v>0</v>
      </c>
      <c r="U71" s="18">
        <v>0.09</v>
      </c>
      <c r="V71" s="17">
        <f t="shared" si="19"/>
        <v>0</v>
      </c>
      <c r="W71" s="18">
        <f t="shared" si="20"/>
        <v>0</v>
      </c>
      <c r="X71" s="17">
        <f>IF(C71="Baja Complejidad",M71,0)</f>
        <v>0</v>
      </c>
      <c r="Y71" s="18">
        <v>0.35</v>
      </c>
      <c r="Z71" s="17">
        <f t="shared" si="21"/>
        <v>0</v>
      </c>
      <c r="AA71" s="18">
        <f t="shared" si="22"/>
        <v>0</v>
      </c>
      <c r="AB71" s="18">
        <v>0.1</v>
      </c>
    </row>
    <row r="72" spans="1:28">
      <c r="A72">
        <v>2026</v>
      </c>
      <c r="B72" t="s">
        <v>145</v>
      </c>
      <c r="C72" t="s">
        <v>146</v>
      </c>
      <c r="D72" t="s">
        <v>147</v>
      </c>
      <c r="E72">
        <v>284390</v>
      </c>
      <c r="G72" t="s">
        <v>148</v>
      </c>
      <c r="H72" t="s">
        <v>148</v>
      </c>
      <c r="I72" t="s">
        <v>55</v>
      </c>
      <c r="J72" t="s">
        <v>29</v>
      </c>
      <c r="K72">
        <v>5</v>
      </c>
      <c r="L72">
        <v>21900</v>
      </c>
      <c r="M72" s="17">
        <f t="shared" si="23"/>
        <v>4380</v>
      </c>
      <c r="O72" s="17">
        <f t="shared" si="16"/>
        <v>5694</v>
      </c>
      <c r="P72" s="17">
        <f>IF(C72="Alta Complejidad",M72,0)</f>
        <v>4380</v>
      </c>
      <c r="Q72" s="18">
        <v>0.3</v>
      </c>
      <c r="R72" s="17">
        <f t="shared" si="17"/>
        <v>5694</v>
      </c>
      <c r="S72" s="19">
        <f t="shared" si="18"/>
        <v>0.23076923076923078</v>
      </c>
      <c r="T72" s="17">
        <f>IF(C72="Mediana Complejidad",M72,0)</f>
        <v>0</v>
      </c>
      <c r="U72" s="18">
        <v>0.08</v>
      </c>
      <c r="V72" s="17">
        <f t="shared" si="19"/>
        <v>0</v>
      </c>
      <c r="W72" s="18">
        <f t="shared" si="20"/>
        <v>0</v>
      </c>
      <c r="X72" s="17">
        <f>IF(C72="Baja Complejidad",M72,0)</f>
        <v>0</v>
      </c>
      <c r="Y72" s="18">
        <v>0.12</v>
      </c>
      <c r="Z72" s="17">
        <f t="shared" si="21"/>
        <v>0</v>
      </c>
      <c r="AA72" s="18">
        <f t="shared" si="22"/>
        <v>0</v>
      </c>
      <c r="AB72" s="18">
        <v>0.1</v>
      </c>
    </row>
    <row r="73" spans="1:28">
      <c r="A73">
        <v>2026</v>
      </c>
      <c r="B73" t="s">
        <v>145</v>
      </c>
      <c r="C73" t="s">
        <v>146</v>
      </c>
      <c r="D73" t="s">
        <v>147</v>
      </c>
      <c r="E73">
        <v>287100</v>
      </c>
      <c r="G73" t="s">
        <v>148</v>
      </c>
      <c r="H73" t="s">
        <v>148</v>
      </c>
      <c r="I73" t="s">
        <v>60</v>
      </c>
      <c r="J73" t="s">
        <v>29</v>
      </c>
      <c r="K73">
        <v>5</v>
      </c>
      <c r="L73">
        <v>38600</v>
      </c>
      <c r="M73" s="17">
        <f t="shared" si="23"/>
        <v>7720</v>
      </c>
      <c r="O73" s="17">
        <f t="shared" si="16"/>
        <v>10036</v>
      </c>
      <c r="P73" s="17">
        <f>IF(C73="Alta Complejidad",M73,0)</f>
        <v>7720</v>
      </c>
      <c r="Q73" s="18">
        <v>0.28000000000000003</v>
      </c>
      <c r="R73" s="17">
        <f t="shared" si="17"/>
        <v>9881.6</v>
      </c>
      <c r="S73" s="19">
        <f t="shared" si="18"/>
        <v>0.21875000000000003</v>
      </c>
      <c r="T73" s="17">
        <f>IF(C73="Mediana Complejidad",M73,0)</f>
        <v>0</v>
      </c>
      <c r="U73" s="18">
        <v>0.06</v>
      </c>
      <c r="V73" s="17">
        <f t="shared" si="19"/>
        <v>0</v>
      </c>
      <c r="W73" s="18">
        <f t="shared" si="20"/>
        <v>0</v>
      </c>
      <c r="X73" s="17">
        <f>IF(C73="Baja Complejidad",M73,0)</f>
        <v>0</v>
      </c>
      <c r="Y73" s="18">
        <v>0.25</v>
      </c>
      <c r="Z73" s="17">
        <f t="shared" si="21"/>
        <v>0</v>
      </c>
      <c r="AA73" s="18">
        <f t="shared" si="22"/>
        <v>0</v>
      </c>
      <c r="AB73" s="18">
        <v>0.1</v>
      </c>
    </row>
    <row r="74" spans="1:28">
      <c r="A74">
        <v>2026</v>
      </c>
      <c r="B74" t="s">
        <v>145</v>
      </c>
      <c r="C74" t="s">
        <v>146</v>
      </c>
      <c r="D74" t="s">
        <v>147</v>
      </c>
      <c r="E74">
        <v>287200</v>
      </c>
      <c r="G74" t="s">
        <v>148</v>
      </c>
      <c r="H74" t="s">
        <v>148</v>
      </c>
      <c r="I74" t="s">
        <v>60</v>
      </c>
      <c r="J74" t="s">
        <v>29</v>
      </c>
      <c r="K74">
        <v>5</v>
      </c>
      <c r="L74">
        <v>107200</v>
      </c>
      <c r="M74" s="17">
        <f t="shared" si="23"/>
        <v>21440</v>
      </c>
      <c r="O74" s="17">
        <f t="shared" si="16"/>
        <v>27872</v>
      </c>
      <c r="P74" s="17">
        <f>IF(C74="Alta Complejidad",M74,0)</f>
        <v>21440</v>
      </c>
      <c r="Q74" s="18">
        <v>0.27</v>
      </c>
      <c r="R74" s="17">
        <f t="shared" si="17"/>
        <v>27228.799999999999</v>
      </c>
      <c r="S74" s="19">
        <f t="shared" si="18"/>
        <v>0.21259842519685038</v>
      </c>
      <c r="T74" s="17">
        <f>IF(C74="Mediana Complejidad",M74,0)</f>
        <v>0</v>
      </c>
      <c r="U74" s="18">
        <v>0.35</v>
      </c>
      <c r="V74" s="17">
        <f t="shared" si="19"/>
        <v>0</v>
      </c>
      <c r="W74" s="18">
        <f t="shared" si="20"/>
        <v>0</v>
      </c>
      <c r="X74" s="17">
        <f>IF(C74="Baja Complejidad",M74,0)</f>
        <v>0</v>
      </c>
      <c r="Y74" s="18">
        <v>0.1</v>
      </c>
      <c r="Z74" s="17">
        <f t="shared" si="21"/>
        <v>0</v>
      </c>
      <c r="AA74" s="18">
        <f t="shared" si="22"/>
        <v>0</v>
      </c>
      <c r="AB74" s="18">
        <v>0.1</v>
      </c>
    </row>
    <row r="75" spans="1:28">
      <c r="A75">
        <v>2026</v>
      </c>
      <c r="B75" t="s">
        <v>145</v>
      </c>
      <c r="C75" t="s">
        <v>146</v>
      </c>
      <c r="D75" t="s">
        <v>147</v>
      </c>
      <c r="E75">
        <v>287300</v>
      </c>
      <c r="G75" t="s">
        <v>148</v>
      </c>
      <c r="H75" t="s">
        <v>148</v>
      </c>
      <c r="I75" t="s">
        <v>60</v>
      </c>
      <c r="J75" t="s">
        <v>29</v>
      </c>
      <c r="K75">
        <v>5</v>
      </c>
      <c r="L75">
        <v>114900</v>
      </c>
      <c r="M75" s="17">
        <f t="shared" si="23"/>
        <v>22980</v>
      </c>
      <c r="O75" s="17">
        <f t="shared" si="16"/>
        <v>29874</v>
      </c>
      <c r="P75" s="17">
        <f>IF(C75="Alta Complejidad",M75,0)</f>
        <v>22980</v>
      </c>
      <c r="Q75" s="18">
        <v>0.17</v>
      </c>
      <c r="R75" s="17">
        <f t="shared" si="17"/>
        <v>26886.6</v>
      </c>
      <c r="S75" s="19">
        <f t="shared" si="18"/>
        <v>0.14529914529914525</v>
      </c>
      <c r="T75" s="17">
        <f>IF(C75="Mediana Complejidad",M75,0)</f>
        <v>0</v>
      </c>
      <c r="U75" s="18">
        <v>0.12</v>
      </c>
      <c r="V75" s="17">
        <f t="shared" si="19"/>
        <v>0</v>
      </c>
      <c r="W75" s="18">
        <f t="shared" si="20"/>
        <v>0</v>
      </c>
      <c r="X75" s="17">
        <f>IF(C75="Baja Complejidad",M75,0)</f>
        <v>0</v>
      </c>
      <c r="Y75" s="18">
        <v>0.35</v>
      </c>
      <c r="Z75" s="17">
        <f t="shared" si="21"/>
        <v>0</v>
      </c>
      <c r="AA75" s="18">
        <f t="shared" si="22"/>
        <v>0</v>
      </c>
      <c r="AB75" s="18">
        <v>0.1</v>
      </c>
    </row>
    <row r="76" spans="1:28">
      <c r="A76">
        <v>2026</v>
      </c>
      <c r="B76" t="s">
        <v>145</v>
      </c>
      <c r="C76" t="s">
        <v>146</v>
      </c>
      <c r="D76" t="s">
        <v>147</v>
      </c>
      <c r="E76">
        <v>287400</v>
      </c>
      <c r="G76" t="s">
        <v>148</v>
      </c>
      <c r="H76" t="s">
        <v>148</v>
      </c>
      <c r="I76" t="s">
        <v>60</v>
      </c>
      <c r="J76" t="s">
        <v>29</v>
      </c>
      <c r="K76">
        <v>5</v>
      </c>
      <c r="L76">
        <v>129400</v>
      </c>
      <c r="M76" s="17">
        <f t="shared" si="23"/>
        <v>25880</v>
      </c>
      <c r="O76" s="17">
        <f t="shared" si="16"/>
        <v>33644</v>
      </c>
      <c r="P76" s="17">
        <f>IF(C76="Alta Complejidad",M76,0)</f>
        <v>25880</v>
      </c>
      <c r="Q76" s="18">
        <v>0.22</v>
      </c>
      <c r="R76" s="17">
        <f t="shared" si="17"/>
        <v>31573.599999999999</v>
      </c>
      <c r="S76" s="19">
        <f t="shared" si="18"/>
        <v>0.18032786885245897</v>
      </c>
      <c r="T76" s="17">
        <f>IF(C76="Mediana Complejidad",M76,0)</f>
        <v>0</v>
      </c>
      <c r="U76" s="18">
        <v>0.25</v>
      </c>
      <c r="V76" s="17">
        <f t="shared" si="19"/>
        <v>0</v>
      </c>
      <c r="W76" s="18">
        <f t="shared" si="20"/>
        <v>0</v>
      </c>
      <c r="X76" s="17">
        <f>IF(C76="Baja Complejidad",M76,0)</f>
        <v>0</v>
      </c>
      <c r="Y76" s="18">
        <v>0.33</v>
      </c>
      <c r="Z76" s="17">
        <f t="shared" si="21"/>
        <v>0</v>
      </c>
      <c r="AA76" s="18">
        <f t="shared" si="22"/>
        <v>0</v>
      </c>
      <c r="AB76" s="18">
        <v>0.1</v>
      </c>
    </row>
    <row r="77" spans="1:28">
      <c r="A77">
        <v>2026</v>
      </c>
      <c r="B77" t="s">
        <v>145</v>
      </c>
      <c r="C77" t="s">
        <v>146</v>
      </c>
      <c r="D77" t="s">
        <v>147</v>
      </c>
      <c r="E77">
        <v>294899</v>
      </c>
      <c r="G77" t="s">
        <v>148</v>
      </c>
      <c r="H77" t="s">
        <v>148</v>
      </c>
      <c r="I77" t="s">
        <v>72</v>
      </c>
      <c r="J77" t="s">
        <v>29</v>
      </c>
      <c r="K77">
        <v>5</v>
      </c>
      <c r="L77">
        <v>49000</v>
      </c>
      <c r="M77" s="17">
        <f t="shared" si="23"/>
        <v>9800</v>
      </c>
      <c r="O77" s="17">
        <f t="shared" si="16"/>
        <v>12740</v>
      </c>
      <c r="P77" s="17">
        <f>IF(C77="Alta Complejidad",M77,0)</f>
        <v>9800</v>
      </c>
      <c r="Q77" s="18">
        <v>0.12</v>
      </c>
      <c r="R77" s="17">
        <f t="shared" si="17"/>
        <v>10976</v>
      </c>
      <c r="S77" s="19">
        <f t="shared" si="18"/>
        <v>0.10714285714285714</v>
      </c>
      <c r="T77" s="17">
        <f>IF(C77="Mediana Complejidad",M77,0)</f>
        <v>0</v>
      </c>
      <c r="U77" s="18">
        <v>0.1</v>
      </c>
      <c r="V77" s="17">
        <f t="shared" si="19"/>
        <v>0</v>
      </c>
      <c r="W77" s="18">
        <f t="shared" si="20"/>
        <v>0</v>
      </c>
      <c r="X77" s="17">
        <f>IF(C77="Baja Complejidad",M77,0)</f>
        <v>0</v>
      </c>
      <c r="Y77" s="18">
        <v>0.31</v>
      </c>
      <c r="Z77" s="17">
        <f t="shared" si="21"/>
        <v>0</v>
      </c>
      <c r="AA77" s="18">
        <f t="shared" si="22"/>
        <v>0</v>
      </c>
      <c r="AB77" s="18">
        <v>0.1</v>
      </c>
    </row>
    <row r="78" spans="1:28">
      <c r="A78">
        <v>2026</v>
      </c>
      <c r="B78" t="s">
        <v>145</v>
      </c>
      <c r="C78" t="s">
        <v>146</v>
      </c>
      <c r="D78" t="s">
        <v>147</v>
      </c>
      <c r="E78">
        <v>394590</v>
      </c>
      <c r="G78" t="s">
        <v>148</v>
      </c>
      <c r="H78" t="s">
        <v>148</v>
      </c>
      <c r="I78" t="s">
        <v>75</v>
      </c>
      <c r="J78" t="s">
        <v>53</v>
      </c>
      <c r="K78">
        <v>2</v>
      </c>
      <c r="L78">
        <v>386300</v>
      </c>
      <c r="M78" s="17">
        <f t="shared" si="23"/>
        <v>193150</v>
      </c>
      <c r="O78" s="17">
        <f t="shared" si="16"/>
        <v>251095</v>
      </c>
      <c r="P78" s="17">
        <f>IF(C78="Alta Complejidad",M78,0)</f>
        <v>193150</v>
      </c>
      <c r="Q78" s="18">
        <v>0.15</v>
      </c>
      <c r="R78" s="17">
        <f t="shared" si="17"/>
        <v>222122.5</v>
      </c>
      <c r="S78" s="19">
        <f t="shared" si="18"/>
        <v>0.13043478260869565</v>
      </c>
      <c r="T78" s="17">
        <f>IF(C78="Mediana Complejidad",M78,0)</f>
        <v>0</v>
      </c>
      <c r="U78" s="18">
        <v>0.35</v>
      </c>
      <c r="V78" s="17">
        <f t="shared" si="19"/>
        <v>0</v>
      </c>
      <c r="W78" s="18">
        <f t="shared" si="20"/>
        <v>0</v>
      </c>
      <c r="X78" s="17">
        <f>IF(C78="Baja Complejidad",M78,0)</f>
        <v>0</v>
      </c>
      <c r="Y78" s="18">
        <v>0.3</v>
      </c>
      <c r="Z78" s="17">
        <f t="shared" si="21"/>
        <v>0</v>
      </c>
      <c r="AA78" s="18">
        <f t="shared" si="22"/>
        <v>0</v>
      </c>
      <c r="AB78" s="18">
        <v>0.1</v>
      </c>
    </row>
    <row r="79" spans="1:28">
      <c r="A79">
        <v>2026</v>
      </c>
      <c r="B79" t="s">
        <v>145</v>
      </c>
      <c r="C79" t="s">
        <v>146</v>
      </c>
      <c r="D79" t="s">
        <v>147</v>
      </c>
      <c r="E79">
        <v>610200</v>
      </c>
      <c r="G79" t="s">
        <v>148</v>
      </c>
      <c r="H79" t="s">
        <v>148</v>
      </c>
      <c r="I79" t="s">
        <v>78</v>
      </c>
      <c r="J79" t="s">
        <v>22</v>
      </c>
      <c r="K79">
        <v>10</v>
      </c>
      <c r="L79">
        <v>38000</v>
      </c>
      <c r="M79" s="17">
        <f t="shared" si="23"/>
        <v>3800</v>
      </c>
      <c r="O79" s="17">
        <f t="shared" si="16"/>
        <v>4940</v>
      </c>
      <c r="P79" s="17">
        <f>IF(C79="Alta Complejidad",M79,0)</f>
        <v>3800</v>
      </c>
      <c r="Q79" s="18">
        <v>0.18</v>
      </c>
      <c r="R79" s="17">
        <f t="shared" si="17"/>
        <v>4484</v>
      </c>
      <c r="S79" s="19">
        <f t="shared" si="18"/>
        <v>0.15254237288135594</v>
      </c>
      <c r="T79" s="17">
        <f>IF(C79="Mediana Complejidad",M79,0)</f>
        <v>0</v>
      </c>
      <c r="U79" s="18">
        <v>0.33</v>
      </c>
      <c r="V79" s="17">
        <f t="shared" si="19"/>
        <v>0</v>
      </c>
      <c r="W79" s="18">
        <f t="shared" si="20"/>
        <v>0</v>
      </c>
      <c r="X79" s="17">
        <f>IF(C79="Baja Complejidad",M79,0)</f>
        <v>0</v>
      </c>
      <c r="Y79" s="18">
        <v>0.28000000000000003</v>
      </c>
      <c r="Z79" s="17">
        <f t="shared" si="21"/>
        <v>0</v>
      </c>
      <c r="AA79" s="18">
        <f t="shared" si="22"/>
        <v>0</v>
      </c>
      <c r="AB79" s="18">
        <v>0.1</v>
      </c>
    </row>
    <row r="80" spans="1:28">
      <c r="A80">
        <v>2026</v>
      </c>
      <c r="B80" t="s">
        <v>145</v>
      </c>
      <c r="C80" t="s">
        <v>146</v>
      </c>
      <c r="D80" t="s">
        <v>147</v>
      </c>
      <c r="E80">
        <v>610300</v>
      </c>
      <c r="G80" t="s">
        <v>148</v>
      </c>
      <c r="H80" t="s">
        <v>148</v>
      </c>
      <c r="I80" t="s">
        <v>78</v>
      </c>
      <c r="J80" t="s">
        <v>22</v>
      </c>
      <c r="K80">
        <v>10</v>
      </c>
      <c r="L80">
        <v>39800</v>
      </c>
      <c r="M80" s="17">
        <f t="shared" si="23"/>
        <v>3980</v>
      </c>
      <c r="O80" s="17">
        <f t="shared" si="16"/>
        <v>5174</v>
      </c>
      <c r="P80" s="17">
        <f>IF(C80="Alta Complejidad",M80,0)</f>
        <v>3980</v>
      </c>
      <c r="Q80" s="18">
        <v>0.28999999999999998</v>
      </c>
      <c r="R80" s="17">
        <f t="shared" si="17"/>
        <v>5134.2</v>
      </c>
      <c r="S80" s="19">
        <f t="shared" si="18"/>
        <v>0.22480620155038758</v>
      </c>
      <c r="T80" s="17">
        <f>IF(C80="Mediana Complejidad",M80,0)</f>
        <v>0</v>
      </c>
      <c r="U80" s="18">
        <v>0.31</v>
      </c>
      <c r="V80" s="17">
        <f t="shared" si="19"/>
        <v>0</v>
      </c>
      <c r="W80" s="18">
        <f t="shared" si="20"/>
        <v>0</v>
      </c>
      <c r="X80" s="17">
        <f>IF(C80="Baja Complejidad",M80,0)</f>
        <v>0</v>
      </c>
      <c r="Y80" s="18">
        <v>0.27</v>
      </c>
      <c r="Z80" s="17">
        <f t="shared" si="21"/>
        <v>0</v>
      </c>
      <c r="AA80" s="18">
        <f t="shared" si="22"/>
        <v>0</v>
      </c>
      <c r="AB80" s="18">
        <v>0.1</v>
      </c>
    </row>
    <row r="81" spans="1:28">
      <c r="A81">
        <v>2026</v>
      </c>
      <c r="B81" t="s">
        <v>145</v>
      </c>
      <c r="C81" t="s">
        <v>146</v>
      </c>
      <c r="D81" t="s">
        <v>147</v>
      </c>
      <c r="E81">
        <v>610400</v>
      </c>
      <c r="G81" t="s">
        <v>148</v>
      </c>
      <c r="H81" t="s">
        <v>148</v>
      </c>
      <c r="I81" t="s">
        <v>78</v>
      </c>
      <c r="J81" t="s">
        <v>22</v>
      </c>
      <c r="K81">
        <v>10</v>
      </c>
      <c r="L81">
        <v>42200</v>
      </c>
      <c r="M81" s="17">
        <f t="shared" si="23"/>
        <v>4220</v>
      </c>
      <c r="O81" s="17">
        <f t="shared" si="16"/>
        <v>5486</v>
      </c>
      <c r="P81" s="17">
        <f>IF(C81="Alta Complejidad",M81,0)</f>
        <v>4220</v>
      </c>
      <c r="Q81" s="18">
        <v>0.34</v>
      </c>
      <c r="R81" s="17">
        <f t="shared" si="17"/>
        <v>5654.8</v>
      </c>
      <c r="S81" s="19">
        <f t="shared" si="18"/>
        <v>0.2537313432835821</v>
      </c>
      <c r="T81" s="17">
        <f>IF(C81="Mediana Complejidad",M81,0)</f>
        <v>0</v>
      </c>
      <c r="U81" s="18">
        <v>0.3</v>
      </c>
      <c r="V81" s="17">
        <f t="shared" si="19"/>
        <v>0</v>
      </c>
      <c r="W81" s="18">
        <f t="shared" si="20"/>
        <v>0</v>
      </c>
      <c r="X81" s="17">
        <f>IF(C81="Baja Complejidad",M81,0)</f>
        <v>0</v>
      </c>
      <c r="Y81" s="18">
        <v>0.17</v>
      </c>
      <c r="Z81" s="17">
        <f t="shared" si="21"/>
        <v>0</v>
      </c>
      <c r="AA81" s="18">
        <f t="shared" si="22"/>
        <v>0</v>
      </c>
      <c r="AB81" s="18">
        <v>0.1</v>
      </c>
    </row>
    <row r="82" spans="1:28">
      <c r="A82">
        <v>2026</v>
      </c>
      <c r="B82" t="s">
        <v>145</v>
      </c>
      <c r="C82" t="s">
        <v>146</v>
      </c>
      <c r="D82" t="s">
        <v>147</v>
      </c>
      <c r="E82">
        <v>610500</v>
      </c>
      <c r="G82" t="s">
        <v>148</v>
      </c>
      <c r="H82" t="s">
        <v>148</v>
      </c>
      <c r="I82" t="s">
        <v>78</v>
      </c>
      <c r="J82" t="s">
        <v>22</v>
      </c>
      <c r="K82">
        <v>10</v>
      </c>
      <c r="L82">
        <v>51600</v>
      </c>
      <c r="M82" s="17">
        <f t="shared" si="23"/>
        <v>5160</v>
      </c>
      <c r="O82" s="17">
        <f t="shared" si="16"/>
        <v>6708</v>
      </c>
      <c r="P82" s="17">
        <f>IF(C82="Alta Complejidad",M82,0)</f>
        <v>5160</v>
      </c>
      <c r="Q82" s="18">
        <v>0.25</v>
      </c>
      <c r="R82" s="17">
        <f t="shared" si="17"/>
        <v>6450</v>
      </c>
      <c r="S82" s="19">
        <f t="shared" si="18"/>
        <v>0.2</v>
      </c>
      <c r="T82" s="17">
        <f>IF(C82="Mediana Complejidad",M82,0)</f>
        <v>0</v>
      </c>
      <c r="U82" s="18">
        <v>0.28000000000000003</v>
      </c>
      <c r="V82" s="17">
        <f t="shared" si="19"/>
        <v>0</v>
      </c>
      <c r="W82" s="18">
        <f t="shared" si="20"/>
        <v>0</v>
      </c>
      <c r="X82" s="17">
        <f>IF(C82="Baja Complejidad",M82,0)</f>
        <v>0</v>
      </c>
      <c r="Y82" s="18">
        <v>0.22</v>
      </c>
      <c r="Z82" s="17">
        <f t="shared" si="21"/>
        <v>0</v>
      </c>
      <c r="AA82" s="18">
        <f t="shared" si="22"/>
        <v>0</v>
      </c>
      <c r="AB82" s="18">
        <v>0.1</v>
      </c>
    </row>
    <row r="83" spans="1:28">
      <c r="A83">
        <v>2026</v>
      </c>
      <c r="B83" t="s">
        <v>145</v>
      </c>
      <c r="C83" t="s">
        <v>146</v>
      </c>
      <c r="D83" t="s">
        <v>147</v>
      </c>
      <c r="E83">
        <v>3505</v>
      </c>
      <c r="G83" t="s">
        <v>148</v>
      </c>
      <c r="H83" t="s">
        <v>148</v>
      </c>
      <c r="I83" t="s">
        <v>95</v>
      </c>
      <c r="J83" t="s">
        <v>12</v>
      </c>
      <c r="K83">
        <v>1</v>
      </c>
      <c r="L83">
        <v>43500</v>
      </c>
      <c r="M83" s="17">
        <f t="shared" si="23"/>
        <v>43500</v>
      </c>
      <c r="O83" s="17">
        <f t="shared" si="16"/>
        <v>56550</v>
      </c>
      <c r="P83" s="17">
        <f>IF(C83="Alta Complejidad",M83,0)</f>
        <v>43500</v>
      </c>
      <c r="Q83" s="18">
        <v>0.35</v>
      </c>
      <c r="R83" s="17">
        <f t="shared" si="17"/>
        <v>58725</v>
      </c>
      <c r="S83" s="19">
        <f t="shared" si="18"/>
        <v>0.25925925925925924</v>
      </c>
      <c r="T83" s="17">
        <f>IF(C83="Mediana Complejidad",M83,0)</f>
        <v>0</v>
      </c>
      <c r="U83" s="18">
        <v>0.27</v>
      </c>
      <c r="V83" s="17">
        <f t="shared" si="19"/>
        <v>0</v>
      </c>
      <c r="W83" s="18">
        <f t="shared" si="20"/>
        <v>0</v>
      </c>
      <c r="X83" s="17">
        <f>IF(C83="Baja Complejidad",M83,0)</f>
        <v>0</v>
      </c>
      <c r="Y83" s="18">
        <v>0.12</v>
      </c>
      <c r="Z83" s="17">
        <f t="shared" si="21"/>
        <v>0</v>
      </c>
      <c r="AA83" s="18">
        <f t="shared" si="22"/>
        <v>0</v>
      </c>
      <c r="AB83" s="18">
        <v>0.1</v>
      </c>
    </row>
    <row r="84" spans="1:28">
      <c r="A84">
        <v>2026</v>
      </c>
      <c r="B84" t="s">
        <v>145</v>
      </c>
      <c r="C84" t="s">
        <v>146</v>
      </c>
      <c r="D84" t="s">
        <v>147</v>
      </c>
      <c r="E84">
        <v>2440</v>
      </c>
      <c r="G84" t="s">
        <v>148</v>
      </c>
      <c r="H84" t="s">
        <v>148</v>
      </c>
      <c r="I84" t="s">
        <v>100</v>
      </c>
      <c r="J84" t="s">
        <v>12</v>
      </c>
      <c r="K84">
        <v>1</v>
      </c>
      <c r="L84">
        <v>89500</v>
      </c>
      <c r="M84" s="17">
        <f t="shared" si="23"/>
        <v>89500</v>
      </c>
      <c r="O84" s="17">
        <f t="shared" si="16"/>
        <v>116350</v>
      </c>
      <c r="P84" s="17">
        <f>IF(C84="Alta Complejidad",M84,0)</f>
        <v>89500</v>
      </c>
      <c r="Q84" s="18">
        <v>0.12</v>
      </c>
      <c r="R84" s="17">
        <f t="shared" si="17"/>
        <v>100240</v>
      </c>
      <c r="S84" s="19">
        <f t="shared" si="18"/>
        <v>0.10714285714285714</v>
      </c>
      <c r="T84" s="17">
        <f>IF(C84="Mediana Complejidad",M84,0)</f>
        <v>0</v>
      </c>
      <c r="U84" s="18">
        <v>0.17</v>
      </c>
      <c r="V84" s="17">
        <f t="shared" si="19"/>
        <v>0</v>
      </c>
      <c r="W84" s="18">
        <f t="shared" si="20"/>
        <v>0</v>
      </c>
      <c r="X84" s="17">
        <f>IF(C84="Baja Complejidad",M84,0)</f>
        <v>0</v>
      </c>
      <c r="Y84" s="18">
        <v>0.15</v>
      </c>
      <c r="Z84" s="17">
        <f t="shared" si="21"/>
        <v>0</v>
      </c>
      <c r="AA84" s="18">
        <f t="shared" si="22"/>
        <v>0</v>
      </c>
      <c r="AB84" s="18">
        <v>0.1</v>
      </c>
    </row>
    <row r="85" spans="1:28">
      <c r="A85">
        <v>2026</v>
      </c>
      <c r="B85" t="s">
        <v>145</v>
      </c>
      <c r="C85" t="s">
        <v>146</v>
      </c>
      <c r="D85" t="s">
        <v>147</v>
      </c>
      <c r="E85">
        <v>2438</v>
      </c>
      <c r="G85" t="s">
        <v>148</v>
      </c>
      <c r="H85" t="s">
        <v>148</v>
      </c>
      <c r="I85" t="s">
        <v>100</v>
      </c>
      <c r="J85" t="s">
        <v>12</v>
      </c>
      <c r="K85">
        <v>1</v>
      </c>
      <c r="L85">
        <v>67900</v>
      </c>
      <c r="M85" s="17">
        <f t="shared" si="23"/>
        <v>67900</v>
      </c>
      <c r="O85" s="17">
        <f t="shared" si="16"/>
        <v>88270</v>
      </c>
      <c r="P85" s="17">
        <f>IF(C85="Alta Complejidad",M85,0)</f>
        <v>67900</v>
      </c>
      <c r="Q85" s="18">
        <v>0.25</v>
      </c>
      <c r="R85" s="17">
        <f t="shared" si="17"/>
        <v>84875</v>
      </c>
      <c r="S85" s="19">
        <f t="shared" si="18"/>
        <v>0.2</v>
      </c>
      <c r="T85" s="17">
        <f>IF(C85="Mediana Complejidad",M85,0)</f>
        <v>0</v>
      </c>
      <c r="U85" s="18">
        <v>0.22</v>
      </c>
      <c r="V85" s="17">
        <f t="shared" si="19"/>
        <v>0</v>
      </c>
      <c r="W85" s="18">
        <f t="shared" si="20"/>
        <v>0</v>
      </c>
      <c r="X85" s="17">
        <f>IF(C85="Baja Complejidad",M85,0)</f>
        <v>0</v>
      </c>
      <c r="Y85" s="18">
        <v>0.18</v>
      </c>
      <c r="Z85" s="17">
        <f t="shared" si="21"/>
        <v>0</v>
      </c>
      <c r="AA85" s="18">
        <f t="shared" si="22"/>
        <v>0</v>
      </c>
      <c r="AB85" s="18">
        <v>0.1</v>
      </c>
    </row>
    <row r="86" spans="1:28">
      <c r="A86">
        <v>2026</v>
      </c>
      <c r="B86" t="s">
        <v>145</v>
      </c>
      <c r="C86" t="s">
        <v>146</v>
      </c>
      <c r="D86" t="s">
        <v>147</v>
      </c>
      <c r="E86">
        <v>2434</v>
      </c>
      <c r="G86" t="s">
        <v>148</v>
      </c>
      <c r="H86" t="s">
        <v>148</v>
      </c>
      <c r="I86" t="s">
        <v>100</v>
      </c>
      <c r="J86" t="s">
        <v>12</v>
      </c>
      <c r="K86">
        <v>1</v>
      </c>
      <c r="L86">
        <v>50300</v>
      </c>
      <c r="M86" s="17">
        <f t="shared" si="23"/>
        <v>50300</v>
      </c>
      <c r="O86" s="17">
        <f t="shared" si="16"/>
        <v>65390</v>
      </c>
      <c r="P86" s="17">
        <f>IF(C86="Alta Complejidad",M86,0)</f>
        <v>50300</v>
      </c>
      <c r="Q86" s="18">
        <v>0.1</v>
      </c>
      <c r="R86" s="17">
        <f t="shared" si="17"/>
        <v>55330</v>
      </c>
      <c r="S86" s="19">
        <f t="shared" si="18"/>
        <v>9.0909090909090912E-2</v>
      </c>
      <c r="T86" s="17">
        <f>IF(C86="Mediana Complejidad",M86,0)</f>
        <v>0</v>
      </c>
      <c r="U86" s="18">
        <v>0.12</v>
      </c>
      <c r="V86" s="17">
        <f t="shared" si="19"/>
        <v>0</v>
      </c>
      <c r="W86" s="18">
        <f t="shared" si="20"/>
        <v>0</v>
      </c>
      <c r="X86" s="17">
        <f>IF(C86="Baja Complejidad",M86,0)</f>
        <v>0</v>
      </c>
      <c r="Y86" s="18">
        <v>0.28999999999999998</v>
      </c>
      <c r="Z86" s="17">
        <f t="shared" si="21"/>
        <v>0</v>
      </c>
      <c r="AA86" s="18">
        <f t="shared" si="22"/>
        <v>0</v>
      </c>
      <c r="AB86" s="18">
        <v>0.1</v>
      </c>
    </row>
    <row r="87" spans="1:28">
      <c r="A87">
        <v>2026</v>
      </c>
      <c r="B87" t="s">
        <v>145</v>
      </c>
      <c r="C87" t="s">
        <v>146</v>
      </c>
      <c r="D87" t="s">
        <v>147</v>
      </c>
      <c r="E87">
        <v>2436</v>
      </c>
      <c r="G87" t="s">
        <v>148</v>
      </c>
      <c r="H87" t="s">
        <v>148</v>
      </c>
      <c r="I87" t="s">
        <v>100</v>
      </c>
      <c r="J87" t="s">
        <v>12</v>
      </c>
      <c r="K87">
        <v>1</v>
      </c>
      <c r="L87">
        <v>53300</v>
      </c>
      <c r="M87" s="17">
        <f t="shared" si="23"/>
        <v>53300</v>
      </c>
      <c r="O87" s="17">
        <f t="shared" si="16"/>
        <v>69290</v>
      </c>
      <c r="P87" s="17">
        <f>IF(C87="Alta Complejidad",M87,0)</f>
        <v>53300</v>
      </c>
      <c r="Q87" s="18">
        <v>0.35</v>
      </c>
      <c r="R87" s="17">
        <f t="shared" si="17"/>
        <v>71955</v>
      </c>
      <c r="S87" s="19">
        <f t="shared" si="18"/>
        <v>0.25925925925925924</v>
      </c>
      <c r="T87" s="17">
        <f>IF(C87="Mediana Complejidad",M87,0)</f>
        <v>0</v>
      </c>
      <c r="U87" s="18">
        <v>0.15</v>
      </c>
      <c r="V87" s="17">
        <f t="shared" si="19"/>
        <v>0</v>
      </c>
      <c r="W87" s="18">
        <f t="shared" si="20"/>
        <v>0</v>
      </c>
      <c r="X87" s="17">
        <f>IF(C87="Baja Complejidad",M87,0)</f>
        <v>0</v>
      </c>
      <c r="Y87" s="18">
        <v>0.34</v>
      </c>
      <c r="Z87" s="17">
        <f t="shared" si="21"/>
        <v>0</v>
      </c>
      <c r="AA87" s="18">
        <f t="shared" si="22"/>
        <v>0</v>
      </c>
      <c r="AB87" s="18">
        <v>0.1</v>
      </c>
    </row>
    <row r="88" spans="1:28" ht="15">
      <c r="A88" s="11" t="s">
        <v>117</v>
      </c>
      <c r="B88" s="11" t="s">
        <v>118</v>
      </c>
      <c r="C88" s="11" t="s">
        <v>119</v>
      </c>
      <c r="D88" s="11" t="s">
        <v>120</v>
      </c>
      <c r="E88" s="11" t="s">
        <v>121</v>
      </c>
      <c r="F88" s="11" t="s">
        <v>122</v>
      </c>
      <c r="G88" s="11" t="s">
        <v>123</v>
      </c>
      <c r="H88" s="11" t="s">
        <v>124</v>
      </c>
      <c r="I88" s="11" t="s">
        <v>125</v>
      </c>
      <c r="J88" s="11" t="s">
        <v>126</v>
      </c>
      <c r="K88" s="11" t="s">
        <v>127</v>
      </c>
      <c r="L88" s="11" t="s">
        <v>128</v>
      </c>
      <c r="M88" s="12" t="s">
        <v>129</v>
      </c>
      <c r="N88" s="11" t="s">
        <v>130</v>
      </c>
      <c r="O88" s="11" t="s">
        <v>131</v>
      </c>
      <c r="P88" s="11" t="s">
        <v>132</v>
      </c>
      <c r="Q88" s="13" t="s">
        <v>133</v>
      </c>
      <c r="R88" s="14" t="s">
        <v>134</v>
      </c>
      <c r="S88" s="15" t="s">
        <v>135</v>
      </c>
      <c r="T88" s="16" t="s">
        <v>136</v>
      </c>
      <c r="U88" s="16" t="s">
        <v>137</v>
      </c>
      <c r="V88" s="16" t="s">
        <v>138</v>
      </c>
      <c r="W88" s="13" t="s">
        <v>139</v>
      </c>
      <c r="X88" s="16" t="s">
        <v>140</v>
      </c>
      <c r="Y88" s="16" t="s">
        <v>141</v>
      </c>
      <c r="Z88" s="16" t="s">
        <v>142</v>
      </c>
      <c r="AA88" s="13" t="s">
        <v>143</v>
      </c>
      <c r="AB88" s="14" t="s">
        <v>144</v>
      </c>
    </row>
    <row r="89" spans="1:28">
      <c r="A89">
        <v>2026</v>
      </c>
      <c r="B89" t="s">
        <v>145</v>
      </c>
      <c r="C89" t="s">
        <v>146</v>
      </c>
      <c r="D89" t="s">
        <v>147</v>
      </c>
      <c r="E89">
        <v>360001</v>
      </c>
      <c r="G89" t="s">
        <v>148</v>
      </c>
      <c r="H89" t="s">
        <v>148</v>
      </c>
      <c r="I89" t="s">
        <v>9</v>
      </c>
      <c r="J89" t="s">
        <v>12</v>
      </c>
      <c r="K89">
        <v>1</v>
      </c>
      <c r="L89">
        <v>893800</v>
      </c>
      <c r="M89" s="17">
        <f>L89/K89</f>
        <v>893800</v>
      </c>
      <c r="O89" s="17">
        <f t="shared" ref="O89:O116" si="24">M89+(M89*30%)</f>
        <v>1161940</v>
      </c>
      <c r="P89" s="17">
        <f>IF(C89="Alta Complejidad",M89,0)</f>
        <v>893800</v>
      </c>
      <c r="Q89" s="18">
        <v>0.15</v>
      </c>
      <c r="R89" s="17">
        <f t="shared" ref="R89:R116" si="25">P89+(P89*Q89)</f>
        <v>1027870</v>
      </c>
      <c r="S89" s="19">
        <f t="shared" ref="S89:S116" si="26">IFERROR(((R89-P89)/R89),0)</f>
        <v>0.13043478260869565</v>
      </c>
      <c r="T89" s="17">
        <f>IF(C89="Mediana Complejidad",M89,0)</f>
        <v>0</v>
      </c>
      <c r="U89" s="18">
        <v>0.3</v>
      </c>
      <c r="V89" s="17">
        <f t="shared" ref="V89:V116" si="27">(T89)+(T89*U89)</f>
        <v>0</v>
      </c>
      <c r="W89" s="18">
        <f t="shared" ref="W89:W116" si="28">IFERROR(((V89-T89)/V89),0)</f>
        <v>0</v>
      </c>
      <c r="X89" s="17">
        <f>IF(C89="Baja Complejidad",M89,0)</f>
        <v>0</v>
      </c>
      <c r="Y89" s="18">
        <v>0.3</v>
      </c>
      <c r="Z89" s="17">
        <f t="shared" ref="Z89:Z116" si="29">(X89)+(X89*Y89)</f>
        <v>0</v>
      </c>
      <c r="AA89" s="18">
        <f t="shared" ref="AA89:AA116" si="30">IFERROR(((Z89-X89)/Z89),0)</f>
        <v>0</v>
      </c>
      <c r="AB89" s="18">
        <v>0.1</v>
      </c>
    </row>
    <row r="90" spans="1:28">
      <c r="A90">
        <v>2026</v>
      </c>
      <c r="B90" t="s">
        <v>145</v>
      </c>
      <c r="C90" t="s">
        <v>146</v>
      </c>
      <c r="D90" t="s">
        <v>147</v>
      </c>
      <c r="E90">
        <v>709900</v>
      </c>
      <c r="G90" t="s">
        <v>148</v>
      </c>
      <c r="H90" t="s">
        <v>148</v>
      </c>
      <c r="I90" t="s">
        <v>19</v>
      </c>
      <c r="J90" t="s">
        <v>22</v>
      </c>
      <c r="K90">
        <v>10</v>
      </c>
      <c r="L90">
        <v>13500</v>
      </c>
      <c r="M90" s="17">
        <f t="shared" ref="M90:M116" si="31">L90/K90</f>
        <v>1350</v>
      </c>
      <c r="O90" s="17">
        <f t="shared" si="24"/>
        <v>1755</v>
      </c>
      <c r="P90" s="17">
        <f>IF(C90="Alta Complejidad",M90,0)</f>
        <v>1350</v>
      </c>
      <c r="Q90" s="18">
        <v>0.18</v>
      </c>
      <c r="R90" s="17">
        <f t="shared" si="25"/>
        <v>1593</v>
      </c>
      <c r="S90" s="19">
        <f t="shared" si="26"/>
        <v>0.15254237288135594</v>
      </c>
      <c r="T90" s="17">
        <f>IF(C90="Mediana Complejidad",M90,0)</f>
        <v>0</v>
      </c>
      <c r="U90" s="18">
        <v>0.28000000000000003</v>
      </c>
      <c r="V90" s="17">
        <f t="shared" si="27"/>
        <v>0</v>
      </c>
      <c r="W90" s="18">
        <f t="shared" si="28"/>
        <v>0</v>
      </c>
      <c r="X90" s="17">
        <f>IF(C90="Baja Complejidad",M90,0)</f>
        <v>0</v>
      </c>
      <c r="Y90" s="18">
        <v>0.28000000000000003</v>
      </c>
      <c r="Z90" s="17">
        <f t="shared" si="29"/>
        <v>0</v>
      </c>
      <c r="AA90" s="18">
        <f t="shared" si="30"/>
        <v>0</v>
      </c>
      <c r="AB90" s="18">
        <v>0.1</v>
      </c>
    </row>
    <row r="91" spans="1:28">
      <c r="A91">
        <v>2026</v>
      </c>
      <c r="B91" t="s">
        <v>145</v>
      </c>
      <c r="C91" t="s">
        <v>146</v>
      </c>
      <c r="D91" t="s">
        <v>147</v>
      </c>
      <c r="E91">
        <v>709902</v>
      </c>
      <c r="G91" t="s">
        <v>148</v>
      </c>
      <c r="H91" t="s">
        <v>148</v>
      </c>
      <c r="I91" t="s">
        <v>19</v>
      </c>
      <c r="J91" t="s">
        <v>22</v>
      </c>
      <c r="K91">
        <v>10</v>
      </c>
      <c r="L91">
        <v>28800</v>
      </c>
      <c r="M91" s="17">
        <f t="shared" si="31"/>
        <v>2880</v>
      </c>
      <c r="O91" s="17">
        <f t="shared" si="24"/>
        <v>3744</v>
      </c>
      <c r="P91" s="17">
        <f>IF(C91="Alta Complejidad",M91,0)</f>
        <v>2880</v>
      </c>
      <c r="Q91" s="18">
        <v>0.28999999999999998</v>
      </c>
      <c r="R91" s="17">
        <f t="shared" si="25"/>
        <v>3715.2</v>
      </c>
      <c r="S91" s="19">
        <f t="shared" si="26"/>
        <v>0.22480620155038755</v>
      </c>
      <c r="T91" s="17">
        <f>IF(C91="Mediana Complejidad",M91,0)</f>
        <v>0</v>
      </c>
      <c r="U91" s="18">
        <v>0.27</v>
      </c>
      <c r="V91" s="17">
        <f t="shared" si="27"/>
        <v>0</v>
      </c>
      <c r="W91" s="18">
        <f t="shared" si="28"/>
        <v>0</v>
      </c>
      <c r="X91" s="17">
        <f>IF(C91="Baja Complejidad",M91,0)</f>
        <v>0</v>
      </c>
      <c r="Y91" s="18">
        <v>0.27</v>
      </c>
      <c r="Z91" s="17">
        <f t="shared" si="29"/>
        <v>0</v>
      </c>
      <c r="AA91" s="18">
        <f t="shared" si="30"/>
        <v>0</v>
      </c>
      <c r="AB91" s="18">
        <v>0.1</v>
      </c>
    </row>
    <row r="92" spans="1:28">
      <c r="A92">
        <v>2026</v>
      </c>
      <c r="B92" t="s">
        <v>145</v>
      </c>
      <c r="C92" t="s">
        <v>146</v>
      </c>
      <c r="D92" t="s">
        <v>147</v>
      </c>
      <c r="E92">
        <v>709903</v>
      </c>
      <c r="G92" t="s">
        <v>148</v>
      </c>
      <c r="H92" t="s">
        <v>148</v>
      </c>
      <c r="I92" t="s">
        <v>19</v>
      </c>
      <c r="J92" t="s">
        <v>22</v>
      </c>
      <c r="K92">
        <v>10</v>
      </c>
      <c r="L92">
        <v>63400</v>
      </c>
      <c r="M92" s="17">
        <f t="shared" si="31"/>
        <v>6340</v>
      </c>
      <c r="O92" s="17">
        <f t="shared" si="24"/>
        <v>8242</v>
      </c>
      <c r="P92" s="17">
        <f>IF(C92="Alta Complejidad",M92,0)</f>
        <v>6340</v>
      </c>
      <c r="Q92" s="18">
        <v>0.34</v>
      </c>
      <c r="R92" s="17">
        <f t="shared" si="25"/>
        <v>8495.6</v>
      </c>
      <c r="S92" s="19">
        <f t="shared" si="26"/>
        <v>0.2537313432835821</v>
      </c>
      <c r="T92" s="17">
        <f>IF(C92="Mediana Complejidad",M92,0)</f>
        <v>0</v>
      </c>
      <c r="U92" s="18">
        <v>0.17</v>
      </c>
      <c r="V92" s="17">
        <f t="shared" si="27"/>
        <v>0</v>
      </c>
      <c r="W92" s="18">
        <f t="shared" si="28"/>
        <v>0</v>
      </c>
      <c r="X92" s="17">
        <f>IF(C92="Baja Complejidad",M92,0)</f>
        <v>0</v>
      </c>
      <c r="Y92" s="18">
        <v>0.17</v>
      </c>
      <c r="Z92" s="17">
        <f t="shared" si="29"/>
        <v>0</v>
      </c>
      <c r="AA92" s="18">
        <f t="shared" si="30"/>
        <v>0</v>
      </c>
      <c r="AB92" s="18">
        <v>0.1</v>
      </c>
    </row>
    <row r="93" spans="1:28">
      <c r="A93">
        <v>2026</v>
      </c>
      <c r="B93" t="s">
        <v>145</v>
      </c>
      <c r="C93" t="s">
        <v>146</v>
      </c>
      <c r="D93" t="s">
        <v>147</v>
      </c>
      <c r="E93">
        <v>603421</v>
      </c>
      <c r="G93" t="s">
        <v>148</v>
      </c>
      <c r="H93" t="s">
        <v>148</v>
      </c>
      <c r="I93" t="s">
        <v>30</v>
      </c>
      <c r="J93" t="s">
        <v>22</v>
      </c>
      <c r="K93">
        <v>10</v>
      </c>
      <c r="L93">
        <v>24200</v>
      </c>
      <c r="M93" s="17">
        <f t="shared" si="31"/>
        <v>2420</v>
      </c>
      <c r="O93" s="17">
        <f t="shared" si="24"/>
        <v>3146</v>
      </c>
      <c r="P93" s="17">
        <f>IF(C93="Alta Complejidad",M93,0)</f>
        <v>2420</v>
      </c>
      <c r="Q93" s="18">
        <v>0.25</v>
      </c>
      <c r="R93" s="17">
        <f t="shared" si="25"/>
        <v>3025</v>
      </c>
      <c r="S93" s="19">
        <f t="shared" si="26"/>
        <v>0.2</v>
      </c>
      <c r="T93" s="17">
        <f>IF(C93="Mediana Complejidad",M93,0)</f>
        <v>0</v>
      </c>
      <c r="U93" s="18">
        <v>0.22</v>
      </c>
      <c r="V93" s="17">
        <f t="shared" si="27"/>
        <v>0</v>
      </c>
      <c r="W93" s="18">
        <f t="shared" si="28"/>
        <v>0</v>
      </c>
      <c r="X93" s="17">
        <f>IF(C93="Baja Complejidad",M93,0)</f>
        <v>0</v>
      </c>
      <c r="Y93" s="18">
        <v>0.22</v>
      </c>
      <c r="Z93" s="17">
        <f t="shared" si="29"/>
        <v>0</v>
      </c>
      <c r="AA93" s="18">
        <f t="shared" si="30"/>
        <v>0</v>
      </c>
      <c r="AB93" s="18">
        <v>0.1</v>
      </c>
    </row>
    <row r="94" spans="1:28">
      <c r="A94">
        <v>2026</v>
      </c>
      <c r="B94" t="s">
        <v>145</v>
      </c>
      <c r="C94" t="s">
        <v>146</v>
      </c>
      <c r="D94" t="s">
        <v>147</v>
      </c>
      <c r="E94">
        <v>603422</v>
      </c>
      <c r="G94" t="s">
        <v>148</v>
      </c>
      <c r="H94" t="s">
        <v>148</v>
      </c>
      <c r="I94" t="s">
        <v>30</v>
      </c>
      <c r="J94" t="s">
        <v>22</v>
      </c>
      <c r="K94">
        <v>10</v>
      </c>
      <c r="L94">
        <v>36700</v>
      </c>
      <c r="M94" s="17">
        <f t="shared" si="31"/>
        <v>3670</v>
      </c>
      <c r="O94" s="17">
        <f t="shared" si="24"/>
        <v>4771</v>
      </c>
      <c r="P94" s="17">
        <f>IF(C94="Alta Complejidad",M94,0)</f>
        <v>3670</v>
      </c>
      <c r="Q94" s="18">
        <v>0.35</v>
      </c>
      <c r="R94" s="17">
        <f t="shared" si="25"/>
        <v>4954.5</v>
      </c>
      <c r="S94" s="19">
        <f t="shared" si="26"/>
        <v>0.25925925925925924</v>
      </c>
      <c r="T94" s="17">
        <f>IF(C94="Mediana Complejidad",M94,0)</f>
        <v>0</v>
      </c>
      <c r="U94" s="18">
        <v>0.12</v>
      </c>
      <c r="V94" s="17">
        <f t="shared" si="27"/>
        <v>0</v>
      </c>
      <c r="W94" s="18">
        <f t="shared" si="28"/>
        <v>0</v>
      </c>
      <c r="X94" s="17">
        <f>IF(C94="Baja Complejidad",M94,0)</f>
        <v>0</v>
      </c>
      <c r="Y94" s="18">
        <v>0.12</v>
      </c>
      <c r="Z94" s="17">
        <f t="shared" si="29"/>
        <v>0</v>
      </c>
      <c r="AA94" s="18">
        <f t="shared" si="30"/>
        <v>0</v>
      </c>
      <c r="AB94" s="18">
        <v>0.1</v>
      </c>
    </row>
    <row r="95" spans="1:28">
      <c r="A95">
        <v>2026</v>
      </c>
      <c r="B95" t="s">
        <v>145</v>
      </c>
      <c r="C95" t="s">
        <v>146</v>
      </c>
      <c r="D95" t="s">
        <v>147</v>
      </c>
      <c r="E95">
        <v>603423</v>
      </c>
      <c r="G95" t="s">
        <v>148</v>
      </c>
      <c r="H95" t="s">
        <v>148</v>
      </c>
      <c r="I95" t="s">
        <v>30</v>
      </c>
      <c r="J95" t="s">
        <v>22</v>
      </c>
      <c r="K95">
        <v>10</v>
      </c>
      <c r="L95">
        <v>91800</v>
      </c>
      <c r="M95" s="17">
        <f t="shared" si="31"/>
        <v>9180</v>
      </c>
      <c r="O95" s="17">
        <f t="shared" si="24"/>
        <v>11934</v>
      </c>
      <c r="P95" s="17">
        <f>IF(C95="Alta Complejidad",M95,0)</f>
        <v>9180</v>
      </c>
      <c r="Q95" s="18">
        <v>0.12</v>
      </c>
      <c r="R95" s="17">
        <f t="shared" si="25"/>
        <v>10281.6</v>
      </c>
      <c r="S95" s="19">
        <f t="shared" si="26"/>
        <v>0.10714285714285718</v>
      </c>
      <c r="T95" s="17">
        <f>IF(C95="Mediana Complejidad",M95,0)</f>
        <v>0</v>
      </c>
      <c r="U95" s="18">
        <v>0.15</v>
      </c>
      <c r="V95" s="17">
        <f t="shared" si="27"/>
        <v>0</v>
      </c>
      <c r="W95" s="18">
        <f t="shared" si="28"/>
        <v>0</v>
      </c>
      <c r="X95" s="17">
        <f>IF(C95="Baja Complejidad",M95,0)</f>
        <v>0</v>
      </c>
      <c r="Y95" s="18">
        <v>0.15</v>
      </c>
      <c r="Z95" s="17">
        <f t="shared" si="29"/>
        <v>0</v>
      </c>
      <c r="AA95" s="18">
        <f t="shared" si="30"/>
        <v>0</v>
      </c>
      <c r="AB95" s="18">
        <v>0.1</v>
      </c>
    </row>
    <row r="96" spans="1:28">
      <c r="A96">
        <v>2026</v>
      </c>
      <c r="B96" t="s">
        <v>145</v>
      </c>
      <c r="C96" t="s">
        <v>146</v>
      </c>
      <c r="D96" t="s">
        <v>147</v>
      </c>
      <c r="E96">
        <v>294199</v>
      </c>
      <c r="G96" t="s">
        <v>148</v>
      </c>
      <c r="H96" t="s">
        <v>148</v>
      </c>
      <c r="I96" t="s">
        <v>44</v>
      </c>
      <c r="J96" t="s">
        <v>29</v>
      </c>
      <c r="K96">
        <v>5</v>
      </c>
      <c r="L96">
        <v>17300</v>
      </c>
      <c r="M96" s="17">
        <f t="shared" si="31"/>
        <v>3460</v>
      </c>
      <c r="O96" s="17">
        <f t="shared" si="24"/>
        <v>4498</v>
      </c>
      <c r="P96" s="17">
        <f>IF(C96="Alta Complejidad",M96,0)</f>
        <v>3460</v>
      </c>
      <c r="Q96" s="18">
        <v>0.25</v>
      </c>
      <c r="R96" s="17">
        <f t="shared" si="25"/>
        <v>4325</v>
      </c>
      <c r="S96" s="19">
        <f t="shared" si="26"/>
        <v>0.2</v>
      </c>
      <c r="T96" s="17">
        <f>IF(C96="Mediana Complejidad",M96,0)</f>
        <v>0</v>
      </c>
      <c r="U96" s="18">
        <v>0.18</v>
      </c>
      <c r="V96" s="17">
        <f t="shared" si="27"/>
        <v>0</v>
      </c>
      <c r="W96" s="18">
        <f t="shared" si="28"/>
        <v>0</v>
      </c>
      <c r="X96" s="17">
        <f>IF(C96="Baja Complejidad",M96,0)</f>
        <v>0</v>
      </c>
      <c r="Y96" s="18">
        <v>0.18</v>
      </c>
      <c r="Z96" s="17">
        <f t="shared" si="29"/>
        <v>0</v>
      </c>
      <c r="AA96" s="18">
        <f t="shared" si="30"/>
        <v>0</v>
      </c>
      <c r="AB96" s="18">
        <v>0.1</v>
      </c>
    </row>
    <row r="97" spans="1:28">
      <c r="A97">
        <v>2026</v>
      </c>
      <c r="B97" t="s">
        <v>145</v>
      </c>
      <c r="C97" t="s">
        <v>146</v>
      </c>
      <c r="D97" t="s">
        <v>147</v>
      </c>
      <c r="E97">
        <v>294299</v>
      </c>
      <c r="G97" t="s">
        <v>148</v>
      </c>
      <c r="H97" t="s">
        <v>148</v>
      </c>
      <c r="I97" t="s">
        <v>44</v>
      </c>
      <c r="J97" t="s">
        <v>29</v>
      </c>
      <c r="K97">
        <v>5</v>
      </c>
      <c r="L97">
        <v>29000</v>
      </c>
      <c r="M97" s="17">
        <f t="shared" si="31"/>
        <v>5800</v>
      </c>
      <c r="O97" s="17">
        <f t="shared" si="24"/>
        <v>7540</v>
      </c>
      <c r="P97" s="17">
        <f>IF(C97="Alta Complejidad",M97,0)</f>
        <v>5800</v>
      </c>
      <c r="Q97" s="18">
        <v>0.1</v>
      </c>
      <c r="R97" s="17">
        <f t="shared" si="25"/>
        <v>6380</v>
      </c>
      <c r="S97" s="19">
        <f t="shared" si="26"/>
        <v>9.0909090909090912E-2</v>
      </c>
      <c r="T97" s="17">
        <f>IF(C97="Mediana Complejidad",M97,0)</f>
        <v>0</v>
      </c>
      <c r="U97" s="18">
        <v>0.28999999999999998</v>
      </c>
      <c r="V97" s="17">
        <f t="shared" si="27"/>
        <v>0</v>
      </c>
      <c r="W97" s="18">
        <f t="shared" si="28"/>
        <v>0</v>
      </c>
      <c r="X97" s="17">
        <f>IF(C97="Baja Complejidad",M97,0)</f>
        <v>0</v>
      </c>
      <c r="Y97" s="18">
        <v>0.28999999999999998</v>
      </c>
      <c r="Z97" s="17">
        <f t="shared" si="29"/>
        <v>0</v>
      </c>
      <c r="AA97" s="18">
        <f t="shared" si="30"/>
        <v>0</v>
      </c>
      <c r="AB97" s="18">
        <v>0.1</v>
      </c>
    </row>
    <row r="98" spans="1:28">
      <c r="A98">
        <v>2026</v>
      </c>
      <c r="B98" t="s">
        <v>145</v>
      </c>
      <c r="C98" t="s">
        <v>146</v>
      </c>
      <c r="D98" t="s">
        <v>147</v>
      </c>
      <c r="E98">
        <v>294399</v>
      </c>
      <c r="G98" t="s">
        <v>148</v>
      </c>
      <c r="H98" t="s">
        <v>148</v>
      </c>
      <c r="I98" t="s">
        <v>44</v>
      </c>
      <c r="J98" t="s">
        <v>29</v>
      </c>
      <c r="K98">
        <v>5</v>
      </c>
      <c r="L98">
        <v>36700</v>
      </c>
      <c r="M98" s="17">
        <f t="shared" si="31"/>
        <v>7340</v>
      </c>
      <c r="O98" s="17">
        <f t="shared" si="24"/>
        <v>9542</v>
      </c>
      <c r="P98" s="17">
        <f>IF(C98="Alta Complejidad",M98,0)</f>
        <v>7340</v>
      </c>
      <c r="Q98" s="18">
        <v>0.35</v>
      </c>
      <c r="R98" s="17">
        <f t="shared" si="25"/>
        <v>9909</v>
      </c>
      <c r="S98" s="19">
        <f t="shared" si="26"/>
        <v>0.25925925925925924</v>
      </c>
      <c r="T98" s="17">
        <f>IF(C98="Mediana Complejidad",M98,0)</f>
        <v>0</v>
      </c>
      <c r="U98" s="18">
        <v>0.34</v>
      </c>
      <c r="V98" s="17">
        <f t="shared" si="27"/>
        <v>0</v>
      </c>
      <c r="W98" s="18">
        <f t="shared" si="28"/>
        <v>0</v>
      </c>
      <c r="X98" s="17">
        <f>IF(C98="Baja Complejidad",M98,0)</f>
        <v>0</v>
      </c>
      <c r="Y98" s="18">
        <v>0.34</v>
      </c>
      <c r="Z98" s="17">
        <f t="shared" si="29"/>
        <v>0</v>
      </c>
      <c r="AA98" s="18">
        <f t="shared" si="30"/>
        <v>0</v>
      </c>
      <c r="AB98" s="18">
        <v>0.1</v>
      </c>
    </row>
    <row r="99" spans="1:28">
      <c r="A99">
        <v>2026</v>
      </c>
      <c r="B99" t="s">
        <v>145</v>
      </c>
      <c r="C99" t="s">
        <v>146</v>
      </c>
      <c r="D99" t="s">
        <v>147</v>
      </c>
      <c r="E99">
        <v>294499</v>
      </c>
      <c r="G99" t="s">
        <v>148</v>
      </c>
      <c r="H99" t="s">
        <v>148</v>
      </c>
      <c r="I99" t="s">
        <v>44</v>
      </c>
      <c r="J99" t="s">
        <v>29</v>
      </c>
      <c r="K99">
        <v>5</v>
      </c>
      <c r="L99">
        <v>75900</v>
      </c>
      <c r="M99" s="17">
        <f t="shared" si="31"/>
        <v>15180</v>
      </c>
      <c r="O99" s="17">
        <f t="shared" si="24"/>
        <v>19734</v>
      </c>
      <c r="P99" s="17">
        <f>IF(C99="Alta Complejidad",M99,0)</f>
        <v>15180</v>
      </c>
      <c r="Q99" s="18">
        <v>0.33</v>
      </c>
      <c r="R99" s="17">
        <f t="shared" si="25"/>
        <v>20189.400000000001</v>
      </c>
      <c r="S99" s="19">
        <f t="shared" si="26"/>
        <v>0.24812030075187974</v>
      </c>
      <c r="T99" s="17">
        <f>IF(C99="Mediana Complejidad",M99,0)</f>
        <v>0</v>
      </c>
      <c r="U99" s="18">
        <v>0.25</v>
      </c>
      <c r="V99" s="17">
        <f t="shared" si="27"/>
        <v>0</v>
      </c>
      <c r="W99" s="18">
        <f t="shared" si="28"/>
        <v>0</v>
      </c>
      <c r="X99" s="17">
        <f>IF(C99="Baja Complejidad",M99,0)</f>
        <v>0</v>
      </c>
      <c r="Y99" s="18">
        <v>0.25</v>
      </c>
      <c r="Z99" s="17">
        <f t="shared" si="29"/>
        <v>0</v>
      </c>
      <c r="AA99" s="18">
        <f t="shared" si="30"/>
        <v>0</v>
      </c>
      <c r="AB99" s="18">
        <v>0.1</v>
      </c>
    </row>
    <row r="100" spans="1:28">
      <c r="A100">
        <v>2026</v>
      </c>
      <c r="B100" t="s">
        <v>145</v>
      </c>
      <c r="C100" t="s">
        <v>146</v>
      </c>
      <c r="D100" t="s">
        <v>147</v>
      </c>
      <c r="E100">
        <v>284190</v>
      </c>
      <c r="G100" t="s">
        <v>148</v>
      </c>
      <c r="H100" t="s">
        <v>148</v>
      </c>
      <c r="I100" t="s">
        <v>55</v>
      </c>
      <c r="J100" t="s">
        <v>29</v>
      </c>
      <c r="K100">
        <v>5</v>
      </c>
      <c r="L100">
        <v>16900</v>
      </c>
      <c r="M100" s="17">
        <f t="shared" si="31"/>
        <v>3380</v>
      </c>
      <c r="O100" s="17">
        <f t="shared" si="24"/>
        <v>4394</v>
      </c>
      <c r="P100" s="17">
        <f>IF(C100="Alta Complejidad",M100,0)</f>
        <v>3380</v>
      </c>
      <c r="Q100" s="18">
        <v>0.31</v>
      </c>
      <c r="R100" s="17">
        <f t="shared" si="25"/>
        <v>4427.8</v>
      </c>
      <c r="S100" s="19">
        <f t="shared" si="26"/>
        <v>0.23664122137404583</v>
      </c>
      <c r="T100" s="17">
        <f>IF(C100="Mediana Complejidad",M100,0)</f>
        <v>0</v>
      </c>
      <c r="U100" s="18">
        <v>0.09</v>
      </c>
      <c r="V100" s="17">
        <f t="shared" si="27"/>
        <v>0</v>
      </c>
      <c r="W100" s="18">
        <f t="shared" si="28"/>
        <v>0</v>
      </c>
      <c r="X100" s="17">
        <f>IF(C100="Baja Complejidad",M100,0)</f>
        <v>0</v>
      </c>
      <c r="Y100" s="18">
        <v>0.35</v>
      </c>
      <c r="Z100" s="17">
        <f t="shared" si="29"/>
        <v>0</v>
      </c>
      <c r="AA100" s="18">
        <f t="shared" si="30"/>
        <v>0</v>
      </c>
      <c r="AB100" s="18">
        <v>0.1</v>
      </c>
    </row>
    <row r="101" spans="1:28">
      <c r="A101">
        <v>2026</v>
      </c>
      <c r="B101" t="s">
        <v>145</v>
      </c>
      <c r="C101" t="s">
        <v>146</v>
      </c>
      <c r="D101" t="s">
        <v>147</v>
      </c>
      <c r="E101">
        <v>284390</v>
      </c>
      <c r="G101" t="s">
        <v>148</v>
      </c>
      <c r="H101" t="s">
        <v>148</v>
      </c>
      <c r="I101" t="s">
        <v>55</v>
      </c>
      <c r="J101" t="s">
        <v>29</v>
      </c>
      <c r="K101">
        <v>5</v>
      </c>
      <c r="L101">
        <v>21900</v>
      </c>
      <c r="M101" s="17">
        <f t="shared" si="31"/>
        <v>4380</v>
      </c>
      <c r="O101" s="17">
        <f t="shared" si="24"/>
        <v>5694</v>
      </c>
      <c r="P101" s="17">
        <f>IF(C101="Alta Complejidad",M101,0)</f>
        <v>4380</v>
      </c>
      <c r="Q101" s="18">
        <v>0.3</v>
      </c>
      <c r="R101" s="17">
        <f t="shared" si="25"/>
        <v>5694</v>
      </c>
      <c r="S101" s="19">
        <f t="shared" si="26"/>
        <v>0.23076923076923078</v>
      </c>
      <c r="T101" s="17">
        <f>IF(C101="Mediana Complejidad",M101,0)</f>
        <v>0</v>
      </c>
      <c r="U101" s="18">
        <v>0.08</v>
      </c>
      <c r="V101" s="17">
        <f t="shared" si="27"/>
        <v>0</v>
      </c>
      <c r="W101" s="18">
        <f t="shared" si="28"/>
        <v>0</v>
      </c>
      <c r="X101" s="17">
        <f>IF(C101="Baja Complejidad",M101,0)</f>
        <v>0</v>
      </c>
      <c r="Y101" s="18">
        <v>0.12</v>
      </c>
      <c r="Z101" s="17">
        <f t="shared" si="29"/>
        <v>0</v>
      </c>
      <c r="AA101" s="18">
        <f t="shared" si="30"/>
        <v>0</v>
      </c>
      <c r="AB101" s="18">
        <v>0.1</v>
      </c>
    </row>
    <row r="102" spans="1:28">
      <c r="A102">
        <v>2026</v>
      </c>
      <c r="B102" t="s">
        <v>145</v>
      </c>
      <c r="C102" t="s">
        <v>146</v>
      </c>
      <c r="D102" t="s">
        <v>147</v>
      </c>
      <c r="E102">
        <v>287100</v>
      </c>
      <c r="G102" t="s">
        <v>148</v>
      </c>
      <c r="H102" t="s">
        <v>148</v>
      </c>
      <c r="I102" t="s">
        <v>60</v>
      </c>
      <c r="J102" t="s">
        <v>29</v>
      </c>
      <c r="K102">
        <v>5</v>
      </c>
      <c r="L102">
        <v>38600</v>
      </c>
      <c r="M102" s="17">
        <f t="shared" si="31"/>
        <v>7720</v>
      </c>
      <c r="O102" s="17">
        <f t="shared" si="24"/>
        <v>10036</v>
      </c>
      <c r="P102" s="17">
        <f>IF(C102="Alta Complejidad",M102,0)</f>
        <v>7720</v>
      </c>
      <c r="Q102" s="18">
        <v>0.28000000000000003</v>
      </c>
      <c r="R102" s="17">
        <f t="shared" si="25"/>
        <v>9881.6</v>
      </c>
      <c r="S102" s="19">
        <f t="shared" si="26"/>
        <v>0.21875000000000003</v>
      </c>
      <c r="T102" s="17">
        <f>IF(C102="Mediana Complejidad",M102,0)</f>
        <v>0</v>
      </c>
      <c r="U102" s="18">
        <v>0.06</v>
      </c>
      <c r="V102" s="17">
        <f t="shared" si="27"/>
        <v>0</v>
      </c>
      <c r="W102" s="18">
        <f t="shared" si="28"/>
        <v>0</v>
      </c>
      <c r="X102" s="17">
        <f>IF(C102="Baja Complejidad",M102,0)</f>
        <v>0</v>
      </c>
      <c r="Y102" s="18">
        <v>0.25</v>
      </c>
      <c r="Z102" s="17">
        <f t="shared" si="29"/>
        <v>0</v>
      </c>
      <c r="AA102" s="18">
        <f t="shared" si="30"/>
        <v>0</v>
      </c>
      <c r="AB102" s="18">
        <v>0.1</v>
      </c>
    </row>
    <row r="103" spans="1:28">
      <c r="A103">
        <v>2026</v>
      </c>
      <c r="B103" t="s">
        <v>145</v>
      </c>
      <c r="C103" t="s">
        <v>146</v>
      </c>
      <c r="D103" t="s">
        <v>147</v>
      </c>
      <c r="E103">
        <v>287200</v>
      </c>
      <c r="G103" t="s">
        <v>148</v>
      </c>
      <c r="H103" t="s">
        <v>148</v>
      </c>
      <c r="I103" t="s">
        <v>60</v>
      </c>
      <c r="J103" t="s">
        <v>29</v>
      </c>
      <c r="K103">
        <v>5</v>
      </c>
      <c r="L103">
        <v>107200</v>
      </c>
      <c r="M103" s="17">
        <f t="shared" si="31"/>
        <v>21440</v>
      </c>
      <c r="O103" s="17">
        <f t="shared" si="24"/>
        <v>27872</v>
      </c>
      <c r="P103" s="17">
        <f>IF(C103="Alta Complejidad",M103,0)</f>
        <v>21440</v>
      </c>
      <c r="Q103" s="18">
        <v>0.27</v>
      </c>
      <c r="R103" s="17">
        <f t="shared" si="25"/>
        <v>27228.799999999999</v>
      </c>
      <c r="S103" s="19">
        <f t="shared" si="26"/>
        <v>0.21259842519685038</v>
      </c>
      <c r="T103" s="17">
        <f>IF(C103="Mediana Complejidad",M103,0)</f>
        <v>0</v>
      </c>
      <c r="U103" s="18">
        <v>0.35</v>
      </c>
      <c r="V103" s="17">
        <f t="shared" si="27"/>
        <v>0</v>
      </c>
      <c r="W103" s="18">
        <f t="shared" si="28"/>
        <v>0</v>
      </c>
      <c r="X103" s="17">
        <f>IF(C103="Baja Complejidad",M103,0)</f>
        <v>0</v>
      </c>
      <c r="Y103" s="18">
        <v>0.1</v>
      </c>
      <c r="Z103" s="17">
        <f t="shared" si="29"/>
        <v>0</v>
      </c>
      <c r="AA103" s="18">
        <f t="shared" si="30"/>
        <v>0</v>
      </c>
      <c r="AB103" s="18">
        <v>0.1</v>
      </c>
    </row>
    <row r="104" spans="1:28">
      <c r="A104">
        <v>2026</v>
      </c>
      <c r="B104" t="s">
        <v>145</v>
      </c>
      <c r="C104" t="s">
        <v>146</v>
      </c>
      <c r="D104" t="s">
        <v>147</v>
      </c>
      <c r="E104">
        <v>287300</v>
      </c>
      <c r="G104" t="s">
        <v>148</v>
      </c>
      <c r="H104" t="s">
        <v>148</v>
      </c>
      <c r="I104" t="s">
        <v>60</v>
      </c>
      <c r="J104" t="s">
        <v>29</v>
      </c>
      <c r="K104">
        <v>5</v>
      </c>
      <c r="L104">
        <v>114900</v>
      </c>
      <c r="M104" s="17">
        <f t="shared" si="31"/>
        <v>22980</v>
      </c>
      <c r="O104" s="17">
        <f t="shared" si="24"/>
        <v>29874</v>
      </c>
      <c r="P104" s="17">
        <f>IF(C104="Alta Complejidad",M104,0)</f>
        <v>22980</v>
      </c>
      <c r="Q104" s="18">
        <v>0.17</v>
      </c>
      <c r="R104" s="17">
        <f t="shared" si="25"/>
        <v>26886.6</v>
      </c>
      <c r="S104" s="19">
        <f t="shared" si="26"/>
        <v>0.14529914529914525</v>
      </c>
      <c r="T104" s="17">
        <f>IF(C104="Mediana Complejidad",M104,0)</f>
        <v>0</v>
      </c>
      <c r="U104" s="18">
        <v>0.12</v>
      </c>
      <c r="V104" s="17">
        <f t="shared" si="27"/>
        <v>0</v>
      </c>
      <c r="W104" s="18">
        <f t="shared" si="28"/>
        <v>0</v>
      </c>
      <c r="X104" s="17">
        <f>IF(C104="Baja Complejidad",M104,0)</f>
        <v>0</v>
      </c>
      <c r="Y104" s="18">
        <v>0.35</v>
      </c>
      <c r="Z104" s="17">
        <f t="shared" si="29"/>
        <v>0</v>
      </c>
      <c r="AA104" s="18">
        <f t="shared" si="30"/>
        <v>0</v>
      </c>
      <c r="AB104" s="18">
        <v>0.1</v>
      </c>
    </row>
    <row r="105" spans="1:28">
      <c r="A105">
        <v>2026</v>
      </c>
      <c r="B105" t="s">
        <v>145</v>
      </c>
      <c r="C105" t="s">
        <v>146</v>
      </c>
      <c r="D105" t="s">
        <v>147</v>
      </c>
      <c r="E105">
        <v>287400</v>
      </c>
      <c r="G105" t="s">
        <v>148</v>
      </c>
      <c r="H105" t="s">
        <v>148</v>
      </c>
      <c r="I105" t="s">
        <v>60</v>
      </c>
      <c r="J105" t="s">
        <v>29</v>
      </c>
      <c r="K105">
        <v>5</v>
      </c>
      <c r="L105">
        <v>129400</v>
      </c>
      <c r="M105" s="17">
        <f t="shared" si="31"/>
        <v>25880</v>
      </c>
      <c r="O105" s="17">
        <f t="shared" si="24"/>
        <v>33644</v>
      </c>
      <c r="P105" s="17">
        <f>IF(C105="Alta Complejidad",M105,0)</f>
        <v>25880</v>
      </c>
      <c r="Q105" s="18">
        <v>0.22</v>
      </c>
      <c r="R105" s="17">
        <f t="shared" si="25"/>
        <v>31573.599999999999</v>
      </c>
      <c r="S105" s="19">
        <f t="shared" si="26"/>
        <v>0.18032786885245897</v>
      </c>
      <c r="T105" s="17">
        <f>IF(C105="Mediana Complejidad",M105,0)</f>
        <v>0</v>
      </c>
      <c r="U105" s="18">
        <v>0.25</v>
      </c>
      <c r="V105" s="17">
        <f t="shared" si="27"/>
        <v>0</v>
      </c>
      <c r="W105" s="18">
        <f t="shared" si="28"/>
        <v>0</v>
      </c>
      <c r="X105" s="17">
        <f>IF(C105="Baja Complejidad",M105,0)</f>
        <v>0</v>
      </c>
      <c r="Y105" s="18">
        <v>0.33</v>
      </c>
      <c r="Z105" s="17">
        <f t="shared" si="29"/>
        <v>0</v>
      </c>
      <c r="AA105" s="18">
        <f t="shared" si="30"/>
        <v>0</v>
      </c>
      <c r="AB105" s="18">
        <v>0.1</v>
      </c>
    </row>
    <row r="106" spans="1:28">
      <c r="A106">
        <v>2026</v>
      </c>
      <c r="B106" t="s">
        <v>145</v>
      </c>
      <c r="C106" t="s">
        <v>146</v>
      </c>
      <c r="D106" t="s">
        <v>147</v>
      </c>
      <c r="E106">
        <v>294899</v>
      </c>
      <c r="G106" t="s">
        <v>148</v>
      </c>
      <c r="H106" t="s">
        <v>148</v>
      </c>
      <c r="I106" t="s">
        <v>72</v>
      </c>
      <c r="J106" t="s">
        <v>29</v>
      </c>
      <c r="K106">
        <v>5</v>
      </c>
      <c r="L106">
        <v>49000</v>
      </c>
      <c r="M106" s="17">
        <f t="shared" si="31"/>
        <v>9800</v>
      </c>
      <c r="O106" s="17">
        <f t="shared" si="24"/>
        <v>12740</v>
      </c>
      <c r="P106" s="17">
        <f>IF(C106="Alta Complejidad",M106,0)</f>
        <v>9800</v>
      </c>
      <c r="Q106" s="18">
        <v>0.12</v>
      </c>
      <c r="R106" s="17">
        <f t="shared" si="25"/>
        <v>10976</v>
      </c>
      <c r="S106" s="19">
        <f t="shared" si="26"/>
        <v>0.10714285714285714</v>
      </c>
      <c r="T106" s="17">
        <f>IF(C106="Mediana Complejidad",M106,0)</f>
        <v>0</v>
      </c>
      <c r="U106" s="18">
        <v>0.1</v>
      </c>
      <c r="V106" s="17">
        <f t="shared" si="27"/>
        <v>0</v>
      </c>
      <c r="W106" s="18">
        <f t="shared" si="28"/>
        <v>0</v>
      </c>
      <c r="X106" s="17">
        <f>IF(C106="Baja Complejidad",M106,0)</f>
        <v>0</v>
      </c>
      <c r="Y106" s="18">
        <v>0.31</v>
      </c>
      <c r="Z106" s="17">
        <f t="shared" si="29"/>
        <v>0</v>
      </c>
      <c r="AA106" s="18">
        <f t="shared" si="30"/>
        <v>0</v>
      </c>
      <c r="AB106" s="18">
        <v>0.1</v>
      </c>
    </row>
    <row r="107" spans="1:28">
      <c r="A107">
        <v>2026</v>
      </c>
      <c r="B107" t="s">
        <v>145</v>
      </c>
      <c r="C107" t="s">
        <v>146</v>
      </c>
      <c r="D107" t="s">
        <v>147</v>
      </c>
      <c r="E107">
        <v>394590</v>
      </c>
      <c r="G107" t="s">
        <v>148</v>
      </c>
      <c r="H107" t="s">
        <v>148</v>
      </c>
      <c r="I107" t="s">
        <v>75</v>
      </c>
      <c r="J107" t="s">
        <v>53</v>
      </c>
      <c r="K107">
        <v>2</v>
      </c>
      <c r="L107">
        <v>386300</v>
      </c>
      <c r="M107" s="17">
        <f t="shared" si="31"/>
        <v>193150</v>
      </c>
      <c r="O107" s="17">
        <f t="shared" si="24"/>
        <v>251095</v>
      </c>
      <c r="P107" s="17">
        <f>IF(C107="Alta Complejidad",M107,0)</f>
        <v>193150</v>
      </c>
      <c r="Q107" s="18">
        <v>0.15</v>
      </c>
      <c r="R107" s="17">
        <f t="shared" si="25"/>
        <v>222122.5</v>
      </c>
      <c r="S107" s="19">
        <f t="shared" si="26"/>
        <v>0.13043478260869565</v>
      </c>
      <c r="T107" s="17">
        <f>IF(C107="Mediana Complejidad",M107,0)</f>
        <v>0</v>
      </c>
      <c r="U107" s="18">
        <v>0.35</v>
      </c>
      <c r="V107" s="17">
        <f t="shared" si="27"/>
        <v>0</v>
      </c>
      <c r="W107" s="18">
        <f t="shared" si="28"/>
        <v>0</v>
      </c>
      <c r="X107" s="17">
        <f>IF(C107="Baja Complejidad",M107,0)</f>
        <v>0</v>
      </c>
      <c r="Y107" s="18">
        <v>0.3</v>
      </c>
      <c r="Z107" s="17">
        <f t="shared" si="29"/>
        <v>0</v>
      </c>
      <c r="AA107" s="18">
        <f t="shared" si="30"/>
        <v>0</v>
      </c>
      <c r="AB107" s="18">
        <v>0.1</v>
      </c>
    </row>
    <row r="108" spans="1:28">
      <c r="A108">
        <v>2026</v>
      </c>
      <c r="B108" t="s">
        <v>145</v>
      </c>
      <c r="C108" t="s">
        <v>146</v>
      </c>
      <c r="D108" t="s">
        <v>147</v>
      </c>
      <c r="E108">
        <v>610200</v>
      </c>
      <c r="G108" t="s">
        <v>148</v>
      </c>
      <c r="H108" t="s">
        <v>148</v>
      </c>
      <c r="I108" t="s">
        <v>78</v>
      </c>
      <c r="J108" t="s">
        <v>22</v>
      </c>
      <c r="K108">
        <v>10</v>
      </c>
      <c r="L108">
        <v>38000</v>
      </c>
      <c r="M108" s="17">
        <f t="shared" si="31"/>
        <v>3800</v>
      </c>
      <c r="O108" s="17">
        <f t="shared" si="24"/>
        <v>4940</v>
      </c>
      <c r="P108" s="17">
        <f>IF(C108="Alta Complejidad",M108,0)</f>
        <v>3800</v>
      </c>
      <c r="Q108" s="18">
        <v>0.18</v>
      </c>
      <c r="R108" s="17">
        <f t="shared" si="25"/>
        <v>4484</v>
      </c>
      <c r="S108" s="19">
        <f t="shared" si="26"/>
        <v>0.15254237288135594</v>
      </c>
      <c r="T108" s="17">
        <f>IF(C108="Mediana Complejidad",M108,0)</f>
        <v>0</v>
      </c>
      <c r="U108" s="18">
        <v>0.33</v>
      </c>
      <c r="V108" s="17">
        <f t="shared" si="27"/>
        <v>0</v>
      </c>
      <c r="W108" s="18">
        <f t="shared" si="28"/>
        <v>0</v>
      </c>
      <c r="X108" s="17">
        <f>IF(C108="Baja Complejidad",M108,0)</f>
        <v>0</v>
      </c>
      <c r="Y108" s="18">
        <v>0.28000000000000003</v>
      </c>
      <c r="Z108" s="17">
        <f t="shared" si="29"/>
        <v>0</v>
      </c>
      <c r="AA108" s="18">
        <f t="shared" si="30"/>
        <v>0</v>
      </c>
      <c r="AB108" s="18">
        <v>0.1</v>
      </c>
    </row>
    <row r="109" spans="1:28">
      <c r="A109">
        <v>2026</v>
      </c>
      <c r="B109" t="s">
        <v>145</v>
      </c>
      <c r="C109" t="s">
        <v>146</v>
      </c>
      <c r="D109" t="s">
        <v>147</v>
      </c>
      <c r="E109">
        <v>610300</v>
      </c>
      <c r="G109" t="s">
        <v>148</v>
      </c>
      <c r="H109" t="s">
        <v>148</v>
      </c>
      <c r="I109" t="s">
        <v>78</v>
      </c>
      <c r="J109" t="s">
        <v>22</v>
      </c>
      <c r="K109">
        <v>10</v>
      </c>
      <c r="L109">
        <v>39800</v>
      </c>
      <c r="M109" s="17">
        <f t="shared" si="31"/>
        <v>3980</v>
      </c>
      <c r="O109" s="17">
        <f t="shared" si="24"/>
        <v>5174</v>
      </c>
      <c r="P109" s="17">
        <f>IF(C109="Alta Complejidad",M109,0)</f>
        <v>3980</v>
      </c>
      <c r="Q109" s="18">
        <v>0.28999999999999998</v>
      </c>
      <c r="R109" s="17">
        <f t="shared" si="25"/>
        <v>5134.2</v>
      </c>
      <c r="S109" s="19">
        <f t="shared" si="26"/>
        <v>0.22480620155038758</v>
      </c>
      <c r="T109" s="17">
        <f>IF(C109="Mediana Complejidad",M109,0)</f>
        <v>0</v>
      </c>
      <c r="U109" s="18">
        <v>0.31</v>
      </c>
      <c r="V109" s="17">
        <f t="shared" si="27"/>
        <v>0</v>
      </c>
      <c r="W109" s="18">
        <f t="shared" si="28"/>
        <v>0</v>
      </c>
      <c r="X109" s="17">
        <f>IF(C109="Baja Complejidad",M109,0)</f>
        <v>0</v>
      </c>
      <c r="Y109" s="18">
        <v>0.27</v>
      </c>
      <c r="Z109" s="17">
        <f t="shared" si="29"/>
        <v>0</v>
      </c>
      <c r="AA109" s="18">
        <f t="shared" si="30"/>
        <v>0</v>
      </c>
      <c r="AB109" s="18">
        <v>0.1</v>
      </c>
    </row>
    <row r="110" spans="1:28">
      <c r="A110">
        <v>2026</v>
      </c>
      <c r="B110" t="s">
        <v>145</v>
      </c>
      <c r="C110" t="s">
        <v>146</v>
      </c>
      <c r="D110" t="s">
        <v>147</v>
      </c>
      <c r="E110">
        <v>610400</v>
      </c>
      <c r="G110" t="s">
        <v>148</v>
      </c>
      <c r="H110" t="s">
        <v>148</v>
      </c>
      <c r="I110" t="s">
        <v>78</v>
      </c>
      <c r="J110" t="s">
        <v>22</v>
      </c>
      <c r="K110">
        <v>10</v>
      </c>
      <c r="L110">
        <v>42200</v>
      </c>
      <c r="M110" s="17">
        <f t="shared" si="31"/>
        <v>4220</v>
      </c>
      <c r="O110" s="17">
        <f t="shared" si="24"/>
        <v>5486</v>
      </c>
      <c r="P110" s="17">
        <f>IF(C110="Alta Complejidad",M110,0)</f>
        <v>4220</v>
      </c>
      <c r="Q110" s="18">
        <v>0.34</v>
      </c>
      <c r="R110" s="17">
        <f t="shared" si="25"/>
        <v>5654.8</v>
      </c>
      <c r="S110" s="19">
        <f t="shared" si="26"/>
        <v>0.2537313432835821</v>
      </c>
      <c r="T110" s="17">
        <f>IF(C110="Mediana Complejidad",M110,0)</f>
        <v>0</v>
      </c>
      <c r="U110" s="18">
        <v>0.3</v>
      </c>
      <c r="V110" s="17">
        <f t="shared" si="27"/>
        <v>0</v>
      </c>
      <c r="W110" s="18">
        <f t="shared" si="28"/>
        <v>0</v>
      </c>
      <c r="X110" s="17">
        <f>IF(C110="Baja Complejidad",M110,0)</f>
        <v>0</v>
      </c>
      <c r="Y110" s="18">
        <v>0.17</v>
      </c>
      <c r="Z110" s="17">
        <f t="shared" si="29"/>
        <v>0</v>
      </c>
      <c r="AA110" s="18">
        <f t="shared" si="30"/>
        <v>0</v>
      </c>
      <c r="AB110" s="18">
        <v>0.1</v>
      </c>
    </row>
    <row r="111" spans="1:28">
      <c r="A111">
        <v>2026</v>
      </c>
      <c r="B111" t="s">
        <v>145</v>
      </c>
      <c r="C111" t="s">
        <v>146</v>
      </c>
      <c r="D111" t="s">
        <v>147</v>
      </c>
      <c r="E111">
        <v>610500</v>
      </c>
      <c r="G111" t="s">
        <v>148</v>
      </c>
      <c r="H111" t="s">
        <v>148</v>
      </c>
      <c r="I111" t="s">
        <v>78</v>
      </c>
      <c r="J111" t="s">
        <v>22</v>
      </c>
      <c r="K111">
        <v>10</v>
      </c>
      <c r="L111">
        <v>51600</v>
      </c>
      <c r="M111" s="17">
        <f t="shared" si="31"/>
        <v>5160</v>
      </c>
      <c r="O111" s="17">
        <f t="shared" si="24"/>
        <v>6708</v>
      </c>
      <c r="P111" s="17">
        <f>IF(C111="Alta Complejidad",M111,0)</f>
        <v>5160</v>
      </c>
      <c r="Q111" s="18">
        <v>0.25</v>
      </c>
      <c r="R111" s="17">
        <f t="shared" si="25"/>
        <v>6450</v>
      </c>
      <c r="S111" s="19">
        <f t="shared" si="26"/>
        <v>0.2</v>
      </c>
      <c r="T111" s="17">
        <f>IF(C111="Mediana Complejidad",M111,0)</f>
        <v>0</v>
      </c>
      <c r="U111" s="18">
        <v>0.28000000000000003</v>
      </c>
      <c r="V111" s="17">
        <f t="shared" si="27"/>
        <v>0</v>
      </c>
      <c r="W111" s="18">
        <f t="shared" si="28"/>
        <v>0</v>
      </c>
      <c r="X111" s="17">
        <f>IF(C111="Baja Complejidad",M111,0)</f>
        <v>0</v>
      </c>
      <c r="Y111" s="18">
        <v>0.22</v>
      </c>
      <c r="Z111" s="17">
        <f t="shared" si="29"/>
        <v>0</v>
      </c>
      <c r="AA111" s="18">
        <f t="shared" si="30"/>
        <v>0</v>
      </c>
      <c r="AB111" s="18">
        <v>0.1</v>
      </c>
    </row>
    <row r="112" spans="1:28">
      <c r="A112">
        <v>2026</v>
      </c>
      <c r="B112" t="s">
        <v>145</v>
      </c>
      <c r="C112" t="s">
        <v>146</v>
      </c>
      <c r="D112" t="s">
        <v>147</v>
      </c>
      <c r="E112">
        <v>3505</v>
      </c>
      <c r="G112" t="s">
        <v>148</v>
      </c>
      <c r="H112" t="s">
        <v>148</v>
      </c>
      <c r="I112" t="s">
        <v>95</v>
      </c>
      <c r="J112" t="s">
        <v>12</v>
      </c>
      <c r="K112">
        <v>1</v>
      </c>
      <c r="L112">
        <v>43500</v>
      </c>
      <c r="M112" s="17">
        <f t="shared" si="31"/>
        <v>43500</v>
      </c>
      <c r="O112" s="17">
        <f t="shared" si="24"/>
        <v>56550</v>
      </c>
      <c r="P112" s="17">
        <f>IF(C112="Alta Complejidad",M112,0)</f>
        <v>43500</v>
      </c>
      <c r="Q112" s="18">
        <v>0.35</v>
      </c>
      <c r="R112" s="17">
        <f t="shared" si="25"/>
        <v>58725</v>
      </c>
      <c r="S112" s="19">
        <f t="shared" si="26"/>
        <v>0.25925925925925924</v>
      </c>
      <c r="T112" s="17">
        <f>IF(C112="Mediana Complejidad",M112,0)</f>
        <v>0</v>
      </c>
      <c r="U112" s="18">
        <v>0.27</v>
      </c>
      <c r="V112" s="17">
        <f t="shared" si="27"/>
        <v>0</v>
      </c>
      <c r="W112" s="18">
        <f t="shared" si="28"/>
        <v>0</v>
      </c>
      <c r="X112" s="17">
        <f>IF(C112="Baja Complejidad",M112,0)</f>
        <v>0</v>
      </c>
      <c r="Y112" s="18">
        <v>0.12</v>
      </c>
      <c r="Z112" s="17">
        <f t="shared" si="29"/>
        <v>0</v>
      </c>
      <c r="AA112" s="18">
        <f t="shared" si="30"/>
        <v>0</v>
      </c>
      <c r="AB112" s="18">
        <v>0.1</v>
      </c>
    </row>
    <row r="113" spans="1:28">
      <c r="A113">
        <v>2026</v>
      </c>
      <c r="B113" t="s">
        <v>145</v>
      </c>
      <c r="C113" t="s">
        <v>146</v>
      </c>
      <c r="D113" t="s">
        <v>147</v>
      </c>
      <c r="E113">
        <v>2440</v>
      </c>
      <c r="G113" t="s">
        <v>148</v>
      </c>
      <c r="H113" t="s">
        <v>148</v>
      </c>
      <c r="I113" t="s">
        <v>100</v>
      </c>
      <c r="J113" t="s">
        <v>12</v>
      </c>
      <c r="K113">
        <v>1</v>
      </c>
      <c r="L113">
        <v>89500</v>
      </c>
      <c r="M113" s="17">
        <f t="shared" si="31"/>
        <v>89500</v>
      </c>
      <c r="O113" s="17">
        <f t="shared" si="24"/>
        <v>116350</v>
      </c>
      <c r="P113" s="17">
        <f>IF(C113="Alta Complejidad",M113,0)</f>
        <v>89500</v>
      </c>
      <c r="Q113" s="18">
        <v>0.12</v>
      </c>
      <c r="R113" s="17">
        <f t="shared" si="25"/>
        <v>100240</v>
      </c>
      <c r="S113" s="19">
        <f t="shared" si="26"/>
        <v>0.10714285714285714</v>
      </c>
      <c r="T113" s="17">
        <f>IF(C113="Mediana Complejidad",M113,0)</f>
        <v>0</v>
      </c>
      <c r="U113" s="18">
        <v>0.17</v>
      </c>
      <c r="V113" s="17">
        <f t="shared" si="27"/>
        <v>0</v>
      </c>
      <c r="W113" s="18">
        <f t="shared" si="28"/>
        <v>0</v>
      </c>
      <c r="X113" s="17">
        <f>IF(C113="Baja Complejidad",M113,0)</f>
        <v>0</v>
      </c>
      <c r="Y113" s="18">
        <v>0.15</v>
      </c>
      <c r="Z113" s="17">
        <f t="shared" si="29"/>
        <v>0</v>
      </c>
      <c r="AA113" s="18">
        <f t="shared" si="30"/>
        <v>0</v>
      </c>
      <c r="AB113" s="18">
        <v>0.1</v>
      </c>
    </row>
    <row r="114" spans="1:28">
      <c r="A114">
        <v>2026</v>
      </c>
      <c r="B114" t="s">
        <v>145</v>
      </c>
      <c r="C114" t="s">
        <v>146</v>
      </c>
      <c r="D114" t="s">
        <v>147</v>
      </c>
      <c r="E114">
        <v>2438</v>
      </c>
      <c r="G114" t="s">
        <v>148</v>
      </c>
      <c r="H114" t="s">
        <v>148</v>
      </c>
      <c r="I114" t="s">
        <v>100</v>
      </c>
      <c r="J114" t="s">
        <v>12</v>
      </c>
      <c r="K114">
        <v>1</v>
      </c>
      <c r="L114">
        <v>67900</v>
      </c>
      <c r="M114" s="17">
        <f t="shared" si="31"/>
        <v>67900</v>
      </c>
      <c r="O114" s="17">
        <f t="shared" si="24"/>
        <v>88270</v>
      </c>
      <c r="P114" s="17">
        <f>IF(C114="Alta Complejidad",M114,0)</f>
        <v>67900</v>
      </c>
      <c r="Q114" s="18">
        <v>0.25</v>
      </c>
      <c r="R114" s="17">
        <f t="shared" si="25"/>
        <v>84875</v>
      </c>
      <c r="S114" s="19">
        <f t="shared" si="26"/>
        <v>0.2</v>
      </c>
      <c r="T114" s="17">
        <f>IF(C114="Mediana Complejidad",M114,0)</f>
        <v>0</v>
      </c>
      <c r="U114" s="18">
        <v>0.22</v>
      </c>
      <c r="V114" s="17">
        <f t="shared" si="27"/>
        <v>0</v>
      </c>
      <c r="W114" s="18">
        <f t="shared" si="28"/>
        <v>0</v>
      </c>
      <c r="X114" s="17">
        <f>IF(C114="Baja Complejidad",M114,0)</f>
        <v>0</v>
      </c>
      <c r="Y114" s="18">
        <v>0.18</v>
      </c>
      <c r="Z114" s="17">
        <f t="shared" si="29"/>
        <v>0</v>
      </c>
      <c r="AA114" s="18">
        <f t="shared" si="30"/>
        <v>0</v>
      </c>
      <c r="AB114" s="18">
        <v>0.1</v>
      </c>
    </row>
    <row r="115" spans="1:28">
      <c r="A115">
        <v>2026</v>
      </c>
      <c r="B115" t="s">
        <v>145</v>
      </c>
      <c r="C115" t="s">
        <v>146</v>
      </c>
      <c r="D115" t="s">
        <v>147</v>
      </c>
      <c r="E115">
        <v>2434</v>
      </c>
      <c r="G115" t="s">
        <v>148</v>
      </c>
      <c r="H115" t="s">
        <v>148</v>
      </c>
      <c r="I115" t="s">
        <v>100</v>
      </c>
      <c r="J115" t="s">
        <v>12</v>
      </c>
      <c r="K115">
        <v>1</v>
      </c>
      <c r="L115">
        <v>50300</v>
      </c>
      <c r="M115" s="17">
        <f t="shared" si="31"/>
        <v>50300</v>
      </c>
      <c r="O115" s="17">
        <f t="shared" si="24"/>
        <v>65390</v>
      </c>
      <c r="P115" s="17">
        <f>IF(C115="Alta Complejidad",M115,0)</f>
        <v>50300</v>
      </c>
      <c r="Q115" s="18">
        <v>0.1</v>
      </c>
      <c r="R115" s="17">
        <f t="shared" si="25"/>
        <v>55330</v>
      </c>
      <c r="S115" s="19">
        <f t="shared" si="26"/>
        <v>9.0909090909090912E-2</v>
      </c>
      <c r="T115" s="17">
        <f>IF(C115="Mediana Complejidad",M115,0)</f>
        <v>0</v>
      </c>
      <c r="U115" s="18">
        <v>0.12</v>
      </c>
      <c r="V115" s="17">
        <f t="shared" si="27"/>
        <v>0</v>
      </c>
      <c r="W115" s="18">
        <f t="shared" si="28"/>
        <v>0</v>
      </c>
      <c r="X115" s="17">
        <f>IF(C115="Baja Complejidad",M115,0)</f>
        <v>0</v>
      </c>
      <c r="Y115" s="18">
        <v>0.28999999999999998</v>
      </c>
      <c r="Z115" s="17">
        <f t="shared" si="29"/>
        <v>0</v>
      </c>
      <c r="AA115" s="18">
        <f t="shared" si="30"/>
        <v>0</v>
      </c>
      <c r="AB115" s="18">
        <v>0.1</v>
      </c>
    </row>
    <row r="116" spans="1:28">
      <c r="A116">
        <v>2026</v>
      </c>
      <c r="B116" t="s">
        <v>145</v>
      </c>
      <c r="C116" t="s">
        <v>146</v>
      </c>
      <c r="D116" t="s">
        <v>147</v>
      </c>
      <c r="E116">
        <v>2436</v>
      </c>
      <c r="G116" t="s">
        <v>148</v>
      </c>
      <c r="H116" t="s">
        <v>148</v>
      </c>
      <c r="I116" t="s">
        <v>100</v>
      </c>
      <c r="J116" t="s">
        <v>12</v>
      </c>
      <c r="K116">
        <v>1</v>
      </c>
      <c r="L116">
        <v>53300</v>
      </c>
      <c r="M116" s="17">
        <f t="shared" si="31"/>
        <v>53300</v>
      </c>
      <c r="O116" s="17">
        <f t="shared" si="24"/>
        <v>69290</v>
      </c>
      <c r="P116" s="17">
        <f>IF(C116="Alta Complejidad",M116,0)</f>
        <v>53300</v>
      </c>
      <c r="Q116" s="18">
        <v>0.35</v>
      </c>
      <c r="R116" s="17">
        <f t="shared" si="25"/>
        <v>71955</v>
      </c>
      <c r="S116" s="19">
        <f t="shared" si="26"/>
        <v>0.25925925925925924</v>
      </c>
      <c r="T116" s="17">
        <f>IF(C116="Mediana Complejidad",M116,0)</f>
        <v>0</v>
      </c>
      <c r="U116" s="18">
        <v>0.15</v>
      </c>
      <c r="V116" s="17">
        <f t="shared" si="27"/>
        <v>0</v>
      </c>
      <c r="W116" s="18">
        <f t="shared" si="28"/>
        <v>0</v>
      </c>
      <c r="X116" s="17">
        <f>IF(C116="Baja Complejidad",M116,0)</f>
        <v>0</v>
      </c>
      <c r="Y116" s="18">
        <v>0.34</v>
      </c>
      <c r="Z116" s="17">
        <f t="shared" si="29"/>
        <v>0</v>
      </c>
      <c r="AA116" s="18">
        <f t="shared" si="30"/>
        <v>0</v>
      </c>
      <c r="AB116" s="18">
        <v>0.1</v>
      </c>
    </row>
    <row r="117" spans="1:28" ht="15">
      <c r="A117" s="11" t="s">
        <v>117</v>
      </c>
      <c r="B117" s="11" t="s">
        <v>118</v>
      </c>
      <c r="C117" s="11" t="s">
        <v>119</v>
      </c>
      <c r="D117" s="11" t="s">
        <v>120</v>
      </c>
      <c r="E117" s="11" t="s">
        <v>121</v>
      </c>
      <c r="F117" s="11" t="s">
        <v>122</v>
      </c>
      <c r="G117" s="11" t="s">
        <v>123</v>
      </c>
      <c r="H117" s="11" t="s">
        <v>124</v>
      </c>
      <c r="I117" s="11" t="s">
        <v>125</v>
      </c>
      <c r="J117" s="11" t="s">
        <v>126</v>
      </c>
      <c r="K117" s="11" t="s">
        <v>127</v>
      </c>
      <c r="L117" s="11" t="s">
        <v>128</v>
      </c>
      <c r="M117" s="12" t="s">
        <v>129</v>
      </c>
      <c r="N117" s="11" t="s">
        <v>130</v>
      </c>
      <c r="O117" s="11" t="s">
        <v>131</v>
      </c>
      <c r="P117" s="11" t="s">
        <v>132</v>
      </c>
      <c r="Q117" s="13" t="s">
        <v>133</v>
      </c>
      <c r="R117" s="14" t="s">
        <v>134</v>
      </c>
      <c r="S117" s="15" t="s">
        <v>135</v>
      </c>
      <c r="T117" s="16" t="s">
        <v>136</v>
      </c>
      <c r="U117" s="16" t="s">
        <v>137</v>
      </c>
      <c r="V117" s="16" t="s">
        <v>138</v>
      </c>
      <c r="W117" s="13" t="s">
        <v>139</v>
      </c>
      <c r="X117" s="16" t="s">
        <v>140</v>
      </c>
      <c r="Y117" s="16" t="s">
        <v>141</v>
      </c>
      <c r="Z117" s="16" t="s">
        <v>142</v>
      </c>
      <c r="AA117" s="13" t="s">
        <v>143</v>
      </c>
      <c r="AB117" s="14" t="s">
        <v>144</v>
      </c>
    </row>
    <row r="118" spans="1:28">
      <c r="A118">
        <v>2026</v>
      </c>
      <c r="B118" t="s">
        <v>145</v>
      </c>
      <c r="C118" t="s">
        <v>146</v>
      </c>
      <c r="D118" t="s">
        <v>147</v>
      </c>
      <c r="E118">
        <v>360001</v>
      </c>
      <c r="G118" t="s">
        <v>148</v>
      </c>
      <c r="H118" t="s">
        <v>148</v>
      </c>
      <c r="I118" t="s">
        <v>9</v>
      </c>
      <c r="J118" t="s">
        <v>12</v>
      </c>
      <c r="K118">
        <v>1</v>
      </c>
      <c r="L118">
        <v>893800</v>
      </c>
      <c r="M118" s="17">
        <f>L118/K118</f>
        <v>893800</v>
      </c>
      <c r="O118" s="17">
        <f t="shared" ref="O118:O145" si="32">M118+(M118*30%)</f>
        <v>1161940</v>
      </c>
      <c r="P118" s="17">
        <f>IF(C118="Alta Complejidad",M118,0)</f>
        <v>893800</v>
      </c>
      <c r="Q118" s="18">
        <v>0.15</v>
      </c>
      <c r="R118" s="17">
        <f t="shared" ref="R118:R145" si="33">P118+(P118*Q118)</f>
        <v>1027870</v>
      </c>
      <c r="S118" s="19">
        <f t="shared" ref="S118:S145" si="34">IFERROR(((R118-P118)/R118),0)</f>
        <v>0.13043478260869565</v>
      </c>
      <c r="T118" s="17">
        <f>IF(C118="Mediana Complejidad",M118,0)</f>
        <v>0</v>
      </c>
      <c r="U118" s="18">
        <v>0.3</v>
      </c>
      <c r="V118" s="17">
        <f t="shared" ref="V118:V145" si="35">(T118)+(T118*U118)</f>
        <v>0</v>
      </c>
      <c r="W118" s="18">
        <f t="shared" ref="W118:W145" si="36">IFERROR(((V118-T118)/V118),0)</f>
        <v>0</v>
      </c>
      <c r="X118" s="17">
        <f>IF(C118="Baja Complejidad",M118,0)</f>
        <v>0</v>
      </c>
      <c r="Y118" s="18">
        <v>0.3</v>
      </c>
      <c r="Z118" s="17">
        <f t="shared" ref="Z118:Z145" si="37">(X118)+(X118*Y118)</f>
        <v>0</v>
      </c>
      <c r="AA118" s="18">
        <f t="shared" ref="AA118:AA145" si="38">IFERROR(((Z118-X118)/Z118),0)</f>
        <v>0</v>
      </c>
      <c r="AB118" s="18">
        <v>0.1</v>
      </c>
    </row>
    <row r="119" spans="1:28">
      <c r="A119">
        <v>2026</v>
      </c>
      <c r="B119" t="s">
        <v>145</v>
      </c>
      <c r="C119" t="s">
        <v>146</v>
      </c>
      <c r="D119" t="s">
        <v>147</v>
      </c>
      <c r="E119">
        <v>709900</v>
      </c>
      <c r="G119" t="s">
        <v>148</v>
      </c>
      <c r="H119" t="s">
        <v>148</v>
      </c>
      <c r="I119" t="s">
        <v>19</v>
      </c>
      <c r="J119" t="s">
        <v>22</v>
      </c>
      <c r="K119">
        <v>10</v>
      </c>
      <c r="L119">
        <v>13500</v>
      </c>
      <c r="M119" s="17">
        <f t="shared" ref="M119:M145" si="39">L119/K119</f>
        <v>1350</v>
      </c>
      <c r="O119" s="17">
        <f t="shared" si="32"/>
        <v>1755</v>
      </c>
      <c r="P119" s="17">
        <f>IF(C119="Alta Complejidad",M119,0)</f>
        <v>1350</v>
      </c>
      <c r="Q119" s="18">
        <v>0.18</v>
      </c>
      <c r="R119" s="17">
        <f t="shared" si="33"/>
        <v>1593</v>
      </c>
      <c r="S119" s="19">
        <f t="shared" si="34"/>
        <v>0.15254237288135594</v>
      </c>
      <c r="T119" s="17">
        <f>IF(C119="Mediana Complejidad",M119,0)</f>
        <v>0</v>
      </c>
      <c r="U119" s="18">
        <v>0.28000000000000003</v>
      </c>
      <c r="V119" s="17">
        <f t="shared" si="35"/>
        <v>0</v>
      </c>
      <c r="W119" s="18">
        <f t="shared" si="36"/>
        <v>0</v>
      </c>
      <c r="X119" s="17">
        <f>IF(C119="Baja Complejidad",M119,0)</f>
        <v>0</v>
      </c>
      <c r="Y119" s="18">
        <v>0.28000000000000003</v>
      </c>
      <c r="Z119" s="17">
        <f t="shared" si="37"/>
        <v>0</v>
      </c>
      <c r="AA119" s="18">
        <f t="shared" si="38"/>
        <v>0</v>
      </c>
      <c r="AB119" s="18">
        <v>0.1</v>
      </c>
    </row>
    <row r="120" spans="1:28">
      <c r="A120">
        <v>2026</v>
      </c>
      <c r="B120" t="s">
        <v>145</v>
      </c>
      <c r="C120" t="s">
        <v>146</v>
      </c>
      <c r="D120" t="s">
        <v>147</v>
      </c>
      <c r="E120">
        <v>709902</v>
      </c>
      <c r="G120" t="s">
        <v>148</v>
      </c>
      <c r="H120" t="s">
        <v>148</v>
      </c>
      <c r="I120" t="s">
        <v>19</v>
      </c>
      <c r="J120" t="s">
        <v>22</v>
      </c>
      <c r="K120">
        <v>10</v>
      </c>
      <c r="L120">
        <v>28800</v>
      </c>
      <c r="M120" s="17">
        <f t="shared" si="39"/>
        <v>2880</v>
      </c>
      <c r="O120" s="17">
        <f t="shared" si="32"/>
        <v>3744</v>
      </c>
      <c r="P120" s="17">
        <f>IF(C120="Alta Complejidad",M120,0)</f>
        <v>2880</v>
      </c>
      <c r="Q120" s="18">
        <v>0.28999999999999998</v>
      </c>
      <c r="R120" s="17">
        <f t="shared" si="33"/>
        <v>3715.2</v>
      </c>
      <c r="S120" s="19">
        <f t="shared" si="34"/>
        <v>0.22480620155038755</v>
      </c>
      <c r="T120" s="17">
        <f>IF(C120="Mediana Complejidad",M120,0)</f>
        <v>0</v>
      </c>
      <c r="U120" s="18">
        <v>0.27</v>
      </c>
      <c r="V120" s="17">
        <f t="shared" si="35"/>
        <v>0</v>
      </c>
      <c r="W120" s="18">
        <f t="shared" si="36"/>
        <v>0</v>
      </c>
      <c r="X120" s="17">
        <f>IF(C120="Baja Complejidad",M120,0)</f>
        <v>0</v>
      </c>
      <c r="Y120" s="18">
        <v>0.27</v>
      </c>
      <c r="Z120" s="17">
        <f t="shared" si="37"/>
        <v>0</v>
      </c>
      <c r="AA120" s="18">
        <f t="shared" si="38"/>
        <v>0</v>
      </c>
      <c r="AB120" s="18">
        <v>0.1</v>
      </c>
    </row>
    <row r="121" spans="1:28">
      <c r="A121">
        <v>2026</v>
      </c>
      <c r="B121" t="s">
        <v>145</v>
      </c>
      <c r="C121" t="s">
        <v>146</v>
      </c>
      <c r="D121" t="s">
        <v>147</v>
      </c>
      <c r="E121">
        <v>709903</v>
      </c>
      <c r="G121" t="s">
        <v>148</v>
      </c>
      <c r="H121" t="s">
        <v>148</v>
      </c>
      <c r="I121" t="s">
        <v>19</v>
      </c>
      <c r="J121" t="s">
        <v>22</v>
      </c>
      <c r="K121">
        <v>10</v>
      </c>
      <c r="L121">
        <v>63400</v>
      </c>
      <c r="M121" s="17">
        <f t="shared" si="39"/>
        <v>6340</v>
      </c>
      <c r="O121" s="17">
        <f t="shared" si="32"/>
        <v>8242</v>
      </c>
      <c r="P121" s="17">
        <f>IF(C121="Alta Complejidad",M121,0)</f>
        <v>6340</v>
      </c>
      <c r="Q121" s="18">
        <v>0.34</v>
      </c>
      <c r="R121" s="17">
        <f t="shared" si="33"/>
        <v>8495.6</v>
      </c>
      <c r="S121" s="19">
        <f t="shared" si="34"/>
        <v>0.2537313432835821</v>
      </c>
      <c r="T121" s="17">
        <f>IF(C121="Mediana Complejidad",M121,0)</f>
        <v>0</v>
      </c>
      <c r="U121" s="18">
        <v>0.17</v>
      </c>
      <c r="V121" s="17">
        <f t="shared" si="35"/>
        <v>0</v>
      </c>
      <c r="W121" s="18">
        <f t="shared" si="36"/>
        <v>0</v>
      </c>
      <c r="X121" s="17">
        <f>IF(C121="Baja Complejidad",M121,0)</f>
        <v>0</v>
      </c>
      <c r="Y121" s="18">
        <v>0.17</v>
      </c>
      <c r="Z121" s="17">
        <f t="shared" si="37"/>
        <v>0</v>
      </c>
      <c r="AA121" s="18">
        <f t="shared" si="38"/>
        <v>0</v>
      </c>
      <c r="AB121" s="18">
        <v>0.1</v>
      </c>
    </row>
    <row r="122" spans="1:28">
      <c r="A122">
        <v>2026</v>
      </c>
      <c r="B122" t="s">
        <v>145</v>
      </c>
      <c r="C122" t="s">
        <v>146</v>
      </c>
      <c r="D122" t="s">
        <v>147</v>
      </c>
      <c r="E122">
        <v>603421</v>
      </c>
      <c r="G122" t="s">
        <v>148</v>
      </c>
      <c r="H122" t="s">
        <v>148</v>
      </c>
      <c r="I122" t="s">
        <v>30</v>
      </c>
      <c r="J122" t="s">
        <v>22</v>
      </c>
      <c r="K122">
        <v>10</v>
      </c>
      <c r="L122">
        <v>24200</v>
      </c>
      <c r="M122" s="17">
        <f t="shared" si="39"/>
        <v>2420</v>
      </c>
      <c r="O122" s="17">
        <f t="shared" si="32"/>
        <v>3146</v>
      </c>
      <c r="P122" s="17">
        <f>IF(C122="Alta Complejidad",M122,0)</f>
        <v>2420</v>
      </c>
      <c r="Q122" s="18">
        <v>0.25</v>
      </c>
      <c r="R122" s="17">
        <f t="shared" si="33"/>
        <v>3025</v>
      </c>
      <c r="S122" s="19">
        <f t="shared" si="34"/>
        <v>0.2</v>
      </c>
      <c r="T122" s="17">
        <f>IF(C122="Mediana Complejidad",M122,0)</f>
        <v>0</v>
      </c>
      <c r="U122" s="18">
        <v>0.22</v>
      </c>
      <c r="V122" s="17">
        <f t="shared" si="35"/>
        <v>0</v>
      </c>
      <c r="W122" s="18">
        <f t="shared" si="36"/>
        <v>0</v>
      </c>
      <c r="X122" s="17">
        <f>IF(C122="Baja Complejidad",M122,0)</f>
        <v>0</v>
      </c>
      <c r="Y122" s="18">
        <v>0.22</v>
      </c>
      <c r="Z122" s="17">
        <f t="shared" si="37"/>
        <v>0</v>
      </c>
      <c r="AA122" s="18">
        <f t="shared" si="38"/>
        <v>0</v>
      </c>
      <c r="AB122" s="18">
        <v>0.1</v>
      </c>
    </row>
    <row r="123" spans="1:28">
      <c r="A123">
        <v>2026</v>
      </c>
      <c r="B123" t="s">
        <v>145</v>
      </c>
      <c r="C123" t="s">
        <v>146</v>
      </c>
      <c r="D123" t="s">
        <v>147</v>
      </c>
      <c r="E123">
        <v>603422</v>
      </c>
      <c r="G123" t="s">
        <v>148</v>
      </c>
      <c r="H123" t="s">
        <v>148</v>
      </c>
      <c r="I123" t="s">
        <v>30</v>
      </c>
      <c r="J123" t="s">
        <v>22</v>
      </c>
      <c r="K123">
        <v>10</v>
      </c>
      <c r="L123">
        <v>36700</v>
      </c>
      <c r="M123" s="17">
        <f t="shared" si="39"/>
        <v>3670</v>
      </c>
      <c r="O123" s="17">
        <f t="shared" si="32"/>
        <v>4771</v>
      </c>
      <c r="P123" s="17">
        <f>IF(C123="Alta Complejidad",M123,0)</f>
        <v>3670</v>
      </c>
      <c r="Q123" s="18">
        <v>0.35</v>
      </c>
      <c r="R123" s="17">
        <f t="shared" si="33"/>
        <v>4954.5</v>
      </c>
      <c r="S123" s="19">
        <f t="shared" si="34"/>
        <v>0.25925925925925924</v>
      </c>
      <c r="T123" s="17">
        <f>IF(C123="Mediana Complejidad",M123,0)</f>
        <v>0</v>
      </c>
      <c r="U123" s="18">
        <v>0.12</v>
      </c>
      <c r="V123" s="17">
        <f t="shared" si="35"/>
        <v>0</v>
      </c>
      <c r="W123" s="18">
        <f t="shared" si="36"/>
        <v>0</v>
      </c>
      <c r="X123" s="17">
        <f>IF(C123="Baja Complejidad",M123,0)</f>
        <v>0</v>
      </c>
      <c r="Y123" s="18">
        <v>0.12</v>
      </c>
      <c r="Z123" s="17">
        <f t="shared" si="37"/>
        <v>0</v>
      </c>
      <c r="AA123" s="18">
        <f t="shared" si="38"/>
        <v>0</v>
      </c>
      <c r="AB123" s="18">
        <v>0.1</v>
      </c>
    </row>
    <row r="124" spans="1:28">
      <c r="A124">
        <v>2026</v>
      </c>
      <c r="B124" t="s">
        <v>145</v>
      </c>
      <c r="C124" t="s">
        <v>146</v>
      </c>
      <c r="D124" t="s">
        <v>147</v>
      </c>
      <c r="E124">
        <v>603423</v>
      </c>
      <c r="G124" t="s">
        <v>148</v>
      </c>
      <c r="H124" t="s">
        <v>148</v>
      </c>
      <c r="I124" t="s">
        <v>30</v>
      </c>
      <c r="J124" t="s">
        <v>22</v>
      </c>
      <c r="K124">
        <v>10</v>
      </c>
      <c r="L124">
        <v>91800</v>
      </c>
      <c r="M124" s="17">
        <f t="shared" si="39"/>
        <v>9180</v>
      </c>
      <c r="O124" s="17">
        <f t="shared" si="32"/>
        <v>11934</v>
      </c>
      <c r="P124" s="17">
        <f>IF(C124="Alta Complejidad",M124,0)</f>
        <v>9180</v>
      </c>
      <c r="Q124" s="18">
        <v>0.12</v>
      </c>
      <c r="R124" s="17">
        <f t="shared" si="33"/>
        <v>10281.6</v>
      </c>
      <c r="S124" s="19">
        <f t="shared" si="34"/>
        <v>0.10714285714285718</v>
      </c>
      <c r="T124" s="17">
        <f>IF(C124="Mediana Complejidad",M124,0)</f>
        <v>0</v>
      </c>
      <c r="U124" s="18">
        <v>0.15</v>
      </c>
      <c r="V124" s="17">
        <f t="shared" si="35"/>
        <v>0</v>
      </c>
      <c r="W124" s="18">
        <f t="shared" si="36"/>
        <v>0</v>
      </c>
      <c r="X124" s="17">
        <f>IF(C124="Baja Complejidad",M124,0)</f>
        <v>0</v>
      </c>
      <c r="Y124" s="18">
        <v>0.15</v>
      </c>
      <c r="Z124" s="17">
        <f t="shared" si="37"/>
        <v>0</v>
      </c>
      <c r="AA124" s="18">
        <f t="shared" si="38"/>
        <v>0</v>
      </c>
      <c r="AB124" s="18">
        <v>0.1</v>
      </c>
    </row>
    <row r="125" spans="1:28">
      <c r="A125">
        <v>2026</v>
      </c>
      <c r="B125" t="s">
        <v>145</v>
      </c>
      <c r="C125" t="s">
        <v>146</v>
      </c>
      <c r="D125" t="s">
        <v>147</v>
      </c>
      <c r="E125">
        <v>294199</v>
      </c>
      <c r="G125" t="s">
        <v>148</v>
      </c>
      <c r="H125" t="s">
        <v>148</v>
      </c>
      <c r="I125" t="s">
        <v>44</v>
      </c>
      <c r="J125" t="s">
        <v>29</v>
      </c>
      <c r="K125">
        <v>5</v>
      </c>
      <c r="L125">
        <v>17300</v>
      </c>
      <c r="M125" s="17">
        <f t="shared" si="39"/>
        <v>3460</v>
      </c>
      <c r="O125" s="17">
        <f t="shared" si="32"/>
        <v>4498</v>
      </c>
      <c r="P125" s="17">
        <f>IF(C125="Alta Complejidad",M125,0)</f>
        <v>3460</v>
      </c>
      <c r="Q125" s="18">
        <v>0.25</v>
      </c>
      <c r="R125" s="17">
        <f t="shared" si="33"/>
        <v>4325</v>
      </c>
      <c r="S125" s="19">
        <f t="shared" si="34"/>
        <v>0.2</v>
      </c>
      <c r="T125" s="17">
        <f>IF(C125="Mediana Complejidad",M125,0)</f>
        <v>0</v>
      </c>
      <c r="U125" s="18">
        <v>0.18</v>
      </c>
      <c r="V125" s="17">
        <f t="shared" si="35"/>
        <v>0</v>
      </c>
      <c r="W125" s="18">
        <f t="shared" si="36"/>
        <v>0</v>
      </c>
      <c r="X125" s="17">
        <f>IF(C125="Baja Complejidad",M125,0)</f>
        <v>0</v>
      </c>
      <c r="Y125" s="18">
        <v>0.18</v>
      </c>
      <c r="Z125" s="17">
        <f t="shared" si="37"/>
        <v>0</v>
      </c>
      <c r="AA125" s="18">
        <f t="shared" si="38"/>
        <v>0</v>
      </c>
      <c r="AB125" s="18">
        <v>0.1</v>
      </c>
    </row>
    <row r="126" spans="1:28">
      <c r="A126">
        <v>2026</v>
      </c>
      <c r="B126" t="s">
        <v>145</v>
      </c>
      <c r="C126" t="s">
        <v>146</v>
      </c>
      <c r="D126" t="s">
        <v>147</v>
      </c>
      <c r="E126">
        <v>294299</v>
      </c>
      <c r="G126" t="s">
        <v>148</v>
      </c>
      <c r="H126" t="s">
        <v>148</v>
      </c>
      <c r="I126" t="s">
        <v>44</v>
      </c>
      <c r="J126" t="s">
        <v>29</v>
      </c>
      <c r="K126">
        <v>5</v>
      </c>
      <c r="L126">
        <v>29000</v>
      </c>
      <c r="M126" s="17">
        <f t="shared" si="39"/>
        <v>5800</v>
      </c>
      <c r="O126" s="17">
        <f t="shared" si="32"/>
        <v>7540</v>
      </c>
      <c r="P126" s="17">
        <f>IF(C126="Alta Complejidad",M126,0)</f>
        <v>5800</v>
      </c>
      <c r="Q126" s="18">
        <v>0.1</v>
      </c>
      <c r="R126" s="17">
        <f t="shared" si="33"/>
        <v>6380</v>
      </c>
      <c r="S126" s="19">
        <f t="shared" si="34"/>
        <v>9.0909090909090912E-2</v>
      </c>
      <c r="T126" s="17">
        <f>IF(C126="Mediana Complejidad",M126,0)</f>
        <v>0</v>
      </c>
      <c r="U126" s="18">
        <v>0.28999999999999998</v>
      </c>
      <c r="V126" s="17">
        <f t="shared" si="35"/>
        <v>0</v>
      </c>
      <c r="W126" s="18">
        <f t="shared" si="36"/>
        <v>0</v>
      </c>
      <c r="X126" s="17">
        <f>IF(C126="Baja Complejidad",M126,0)</f>
        <v>0</v>
      </c>
      <c r="Y126" s="18">
        <v>0.28999999999999998</v>
      </c>
      <c r="Z126" s="17">
        <f t="shared" si="37"/>
        <v>0</v>
      </c>
      <c r="AA126" s="18">
        <f t="shared" si="38"/>
        <v>0</v>
      </c>
      <c r="AB126" s="18">
        <v>0.1</v>
      </c>
    </row>
    <row r="127" spans="1:28">
      <c r="A127">
        <v>2026</v>
      </c>
      <c r="B127" t="s">
        <v>145</v>
      </c>
      <c r="C127" t="s">
        <v>146</v>
      </c>
      <c r="D127" t="s">
        <v>147</v>
      </c>
      <c r="E127">
        <v>294399</v>
      </c>
      <c r="G127" t="s">
        <v>148</v>
      </c>
      <c r="H127" t="s">
        <v>148</v>
      </c>
      <c r="I127" t="s">
        <v>44</v>
      </c>
      <c r="J127" t="s">
        <v>29</v>
      </c>
      <c r="K127">
        <v>5</v>
      </c>
      <c r="L127">
        <v>36700</v>
      </c>
      <c r="M127" s="17">
        <f t="shared" si="39"/>
        <v>7340</v>
      </c>
      <c r="O127" s="17">
        <f t="shared" si="32"/>
        <v>9542</v>
      </c>
      <c r="P127" s="17">
        <f>IF(C127="Alta Complejidad",M127,0)</f>
        <v>7340</v>
      </c>
      <c r="Q127" s="18">
        <v>0.35</v>
      </c>
      <c r="R127" s="17">
        <f t="shared" si="33"/>
        <v>9909</v>
      </c>
      <c r="S127" s="19">
        <f t="shared" si="34"/>
        <v>0.25925925925925924</v>
      </c>
      <c r="T127" s="17">
        <f>IF(C127="Mediana Complejidad",M127,0)</f>
        <v>0</v>
      </c>
      <c r="U127" s="18">
        <v>0.34</v>
      </c>
      <c r="V127" s="17">
        <f t="shared" si="35"/>
        <v>0</v>
      </c>
      <c r="W127" s="18">
        <f t="shared" si="36"/>
        <v>0</v>
      </c>
      <c r="X127" s="17">
        <f>IF(C127="Baja Complejidad",M127,0)</f>
        <v>0</v>
      </c>
      <c r="Y127" s="18">
        <v>0.34</v>
      </c>
      <c r="Z127" s="17">
        <f t="shared" si="37"/>
        <v>0</v>
      </c>
      <c r="AA127" s="18">
        <f t="shared" si="38"/>
        <v>0</v>
      </c>
      <c r="AB127" s="18">
        <v>0.1</v>
      </c>
    </row>
    <row r="128" spans="1:28">
      <c r="A128">
        <v>2026</v>
      </c>
      <c r="B128" t="s">
        <v>145</v>
      </c>
      <c r="C128" t="s">
        <v>146</v>
      </c>
      <c r="D128" t="s">
        <v>147</v>
      </c>
      <c r="E128">
        <v>294499</v>
      </c>
      <c r="G128" t="s">
        <v>148</v>
      </c>
      <c r="H128" t="s">
        <v>148</v>
      </c>
      <c r="I128" t="s">
        <v>44</v>
      </c>
      <c r="J128" t="s">
        <v>29</v>
      </c>
      <c r="K128">
        <v>5</v>
      </c>
      <c r="L128">
        <v>75900</v>
      </c>
      <c r="M128" s="17">
        <f t="shared" si="39"/>
        <v>15180</v>
      </c>
      <c r="O128" s="17">
        <f t="shared" si="32"/>
        <v>19734</v>
      </c>
      <c r="P128" s="17">
        <f>IF(C128="Alta Complejidad",M128,0)</f>
        <v>15180</v>
      </c>
      <c r="Q128" s="18">
        <v>0.33</v>
      </c>
      <c r="R128" s="17">
        <f t="shared" si="33"/>
        <v>20189.400000000001</v>
      </c>
      <c r="S128" s="19">
        <f t="shared" si="34"/>
        <v>0.24812030075187974</v>
      </c>
      <c r="T128" s="17">
        <f>IF(C128="Mediana Complejidad",M128,0)</f>
        <v>0</v>
      </c>
      <c r="U128" s="18">
        <v>0.25</v>
      </c>
      <c r="V128" s="17">
        <f t="shared" si="35"/>
        <v>0</v>
      </c>
      <c r="W128" s="18">
        <f t="shared" si="36"/>
        <v>0</v>
      </c>
      <c r="X128" s="17">
        <f>IF(C128="Baja Complejidad",M128,0)</f>
        <v>0</v>
      </c>
      <c r="Y128" s="18">
        <v>0.25</v>
      </c>
      <c r="Z128" s="17">
        <f t="shared" si="37"/>
        <v>0</v>
      </c>
      <c r="AA128" s="18">
        <f t="shared" si="38"/>
        <v>0</v>
      </c>
      <c r="AB128" s="18">
        <v>0.1</v>
      </c>
    </row>
    <row r="129" spans="1:28">
      <c r="A129">
        <v>2026</v>
      </c>
      <c r="B129" t="s">
        <v>145</v>
      </c>
      <c r="C129" t="s">
        <v>146</v>
      </c>
      <c r="D129" t="s">
        <v>147</v>
      </c>
      <c r="E129">
        <v>284190</v>
      </c>
      <c r="G129" t="s">
        <v>148</v>
      </c>
      <c r="H129" t="s">
        <v>148</v>
      </c>
      <c r="I129" t="s">
        <v>55</v>
      </c>
      <c r="J129" t="s">
        <v>29</v>
      </c>
      <c r="K129">
        <v>5</v>
      </c>
      <c r="L129">
        <v>16900</v>
      </c>
      <c r="M129" s="17">
        <f t="shared" si="39"/>
        <v>3380</v>
      </c>
      <c r="O129" s="17">
        <f t="shared" si="32"/>
        <v>4394</v>
      </c>
      <c r="P129" s="17">
        <f>IF(C129="Alta Complejidad",M129,0)</f>
        <v>3380</v>
      </c>
      <c r="Q129" s="18">
        <v>0.31</v>
      </c>
      <c r="R129" s="17">
        <f t="shared" si="33"/>
        <v>4427.8</v>
      </c>
      <c r="S129" s="19">
        <f t="shared" si="34"/>
        <v>0.23664122137404583</v>
      </c>
      <c r="T129" s="17">
        <f>IF(C129="Mediana Complejidad",M129,0)</f>
        <v>0</v>
      </c>
      <c r="U129" s="18">
        <v>0.09</v>
      </c>
      <c r="V129" s="17">
        <f t="shared" si="35"/>
        <v>0</v>
      </c>
      <c r="W129" s="18">
        <f t="shared" si="36"/>
        <v>0</v>
      </c>
      <c r="X129" s="17">
        <f>IF(C129="Baja Complejidad",M129,0)</f>
        <v>0</v>
      </c>
      <c r="Y129" s="18">
        <v>0.35</v>
      </c>
      <c r="Z129" s="17">
        <f t="shared" si="37"/>
        <v>0</v>
      </c>
      <c r="AA129" s="18">
        <f t="shared" si="38"/>
        <v>0</v>
      </c>
      <c r="AB129" s="18">
        <v>0.1</v>
      </c>
    </row>
    <row r="130" spans="1:28">
      <c r="A130">
        <v>2026</v>
      </c>
      <c r="B130" t="s">
        <v>145</v>
      </c>
      <c r="C130" t="s">
        <v>146</v>
      </c>
      <c r="D130" t="s">
        <v>147</v>
      </c>
      <c r="E130">
        <v>284390</v>
      </c>
      <c r="G130" t="s">
        <v>148</v>
      </c>
      <c r="H130" t="s">
        <v>148</v>
      </c>
      <c r="I130" t="s">
        <v>55</v>
      </c>
      <c r="J130" t="s">
        <v>29</v>
      </c>
      <c r="K130">
        <v>5</v>
      </c>
      <c r="L130">
        <v>21900</v>
      </c>
      <c r="M130" s="17">
        <f t="shared" si="39"/>
        <v>4380</v>
      </c>
      <c r="O130" s="17">
        <f t="shared" si="32"/>
        <v>5694</v>
      </c>
      <c r="P130" s="17">
        <f>IF(C130="Alta Complejidad",M130,0)</f>
        <v>4380</v>
      </c>
      <c r="Q130" s="18">
        <v>0.3</v>
      </c>
      <c r="R130" s="17">
        <f t="shared" si="33"/>
        <v>5694</v>
      </c>
      <c r="S130" s="19">
        <f t="shared" si="34"/>
        <v>0.23076923076923078</v>
      </c>
      <c r="T130" s="17">
        <f>IF(C130="Mediana Complejidad",M130,0)</f>
        <v>0</v>
      </c>
      <c r="U130" s="18">
        <v>0.08</v>
      </c>
      <c r="V130" s="17">
        <f t="shared" si="35"/>
        <v>0</v>
      </c>
      <c r="W130" s="18">
        <f t="shared" si="36"/>
        <v>0</v>
      </c>
      <c r="X130" s="17">
        <f>IF(C130="Baja Complejidad",M130,0)</f>
        <v>0</v>
      </c>
      <c r="Y130" s="18">
        <v>0.12</v>
      </c>
      <c r="Z130" s="17">
        <f t="shared" si="37"/>
        <v>0</v>
      </c>
      <c r="AA130" s="18">
        <f t="shared" si="38"/>
        <v>0</v>
      </c>
      <c r="AB130" s="18">
        <v>0.1</v>
      </c>
    </row>
    <row r="131" spans="1:28">
      <c r="A131">
        <v>2026</v>
      </c>
      <c r="B131" t="s">
        <v>145</v>
      </c>
      <c r="C131" t="s">
        <v>146</v>
      </c>
      <c r="D131" t="s">
        <v>147</v>
      </c>
      <c r="E131">
        <v>287100</v>
      </c>
      <c r="G131" t="s">
        <v>148</v>
      </c>
      <c r="H131" t="s">
        <v>148</v>
      </c>
      <c r="I131" t="s">
        <v>60</v>
      </c>
      <c r="J131" t="s">
        <v>29</v>
      </c>
      <c r="K131">
        <v>5</v>
      </c>
      <c r="L131">
        <v>38600</v>
      </c>
      <c r="M131" s="17">
        <f t="shared" si="39"/>
        <v>7720</v>
      </c>
      <c r="O131" s="17">
        <f t="shared" si="32"/>
        <v>10036</v>
      </c>
      <c r="P131" s="17">
        <f>IF(C131="Alta Complejidad",M131,0)</f>
        <v>7720</v>
      </c>
      <c r="Q131" s="18">
        <v>0.28000000000000003</v>
      </c>
      <c r="R131" s="17">
        <f t="shared" si="33"/>
        <v>9881.6</v>
      </c>
      <c r="S131" s="19">
        <f t="shared" si="34"/>
        <v>0.21875000000000003</v>
      </c>
      <c r="T131" s="17">
        <f>IF(C131="Mediana Complejidad",M131,0)</f>
        <v>0</v>
      </c>
      <c r="U131" s="18">
        <v>0.06</v>
      </c>
      <c r="V131" s="17">
        <f t="shared" si="35"/>
        <v>0</v>
      </c>
      <c r="W131" s="18">
        <f t="shared" si="36"/>
        <v>0</v>
      </c>
      <c r="X131" s="17">
        <f>IF(C131="Baja Complejidad",M131,0)</f>
        <v>0</v>
      </c>
      <c r="Y131" s="18">
        <v>0.25</v>
      </c>
      <c r="Z131" s="17">
        <f t="shared" si="37"/>
        <v>0</v>
      </c>
      <c r="AA131" s="18">
        <f t="shared" si="38"/>
        <v>0</v>
      </c>
      <c r="AB131" s="18">
        <v>0.1</v>
      </c>
    </row>
    <row r="132" spans="1:28">
      <c r="A132">
        <v>2026</v>
      </c>
      <c r="B132" t="s">
        <v>145</v>
      </c>
      <c r="C132" t="s">
        <v>146</v>
      </c>
      <c r="D132" t="s">
        <v>147</v>
      </c>
      <c r="E132">
        <v>287200</v>
      </c>
      <c r="G132" t="s">
        <v>148</v>
      </c>
      <c r="H132" t="s">
        <v>148</v>
      </c>
      <c r="I132" t="s">
        <v>60</v>
      </c>
      <c r="J132" t="s">
        <v>29</v>
      </c>
      <c r="K132">
        <v>5</v>
      </c>
      <c r="L132">
        <v>107200</v>
      </c>
      <c r="M132" s="17">
        <f t="shared" si="39"/>
        <v>21440</v>
      </c>
      <c r="O132" s="17">
        <f t="shared" si="32"/>
        <v>27872</v>
      </c>
      <c r="P132" s="17">
        <f>IF(C132="Alta Complejidad",M132,0)</f>
        <v>21440</v>
      </c>
      <c r="Q132" s="18">
        <v>0.27</v>
      </c>
      <c r="R132" s="17">
        <f t="shared" si="33"/>
        <v>27228.799999999999</v>
      </c>
      <c r="S132" s="19">
        <f t="shared" si="34"/>
        <v>0.21259842519685038</v>
      </c>
      <c r="T132" s="17">
        <f>IF(C132="Mediana Complejidad",M132,0)</f>
        <v>0</v>
      </c>
      <c r="U132" s="18">
        <v>0.35</v>
      </c>
      <c r="V132" s="17">
        <f t="shared" si="35"/>
        <v>0</v>
      </c>
      <c r="W132" s="18">
        <f t="shared" si="36"/>
        <v>0</v>
      </c>
      <c r="X132" s="17">
        <f>IF(C132="Baja Complejidad",M132,0)</f>
        <v>0</v>
      </c>
      <c r="Y132" s="18">
        <v>0.1</v>
      </c>
      <c r="Z132" s="17">
        <f t="shared" si="37"/>
        <v>0</v>
      </c>
      <c r="AA132" s="18">
        <f t="shared" si="38"/>
        <v>0</v>
      </c>
      <c r="AB132" s="18">
        <v>0.1</v>
      </c>
    </row>
    <row r="133" spans="1:28">
      <c r="A133">
        <v>2026</v>
      </c>
      <c r="B133" t="s">
        <v>145</v>
      </c>
      <c r="C133" t="s">
        <v>146</v>
      </c>
      <c r="D133" t="s">
        <v>147</v>
      </c>
      <c r="E133">
        <v>287300</v>
      </c>
      <c r="G133" t="s">
        <v>148</v>
      </c>
      <c r="H133" t="s">
        <v>148</v>
      </c>
      <c r="I133" t="s">
        <v>60</v>
      </c>
      <c r="J133" t="s">
        <v>29</v>
      </c>
      <c r="K133">
        <v>5</v>
      </c>
      <c r="L133">
        <v>114900</v>
      </c>
      <c r="M133" s="17">
        <f t="shared" si="39"/>
        <v>22980</v>
      </c>
      <c r="O133" s="17">
        <f t="shared" si="32"/>
        <v>29874</v>
      </c>
      <c r="P133" s="17">
        <f>IF(C133="Alta Complejidad",M133,0)</f>
        <v>22980</v>
      </c>
      <c r="Q133" s="18">
        <v>0.17</v>
      </c>
      <c r="R133" s="17">
        <f t="shared" si="33"/>
        <v>26886.6</v>
      </c>
      <c r="S133" s="19">
        <f t="shared" si="34"/>
        <v>0.14529914529914525</v>
      </c>
      <c r="T133" s="17">
        <f>IF(C133="Mediana Complejidad",M133,0)</f>
        <v>0</v>
      </c>
      <c r="U133" s="18">
        <v>0.12</v>
      </c>
      <c r="V133" s="17">
        <f t="shared" si="35"/>
        <v>0</v>
      </c>
      <c r="W133" s="18">
        <f t="shared" si="36"/>
        <v>0</v>
      </c>
      <c r="X133" s="17">
        <f>IF(C133="Baja Complejidad",M133,0)</f>
        <v>0</v>
      </c>
      <c r="Y133" s="18">
        <v>0.35</v>
      </c>
      <c r="Z133" s="17">
        <f t="shared" si="37"/>
        <v>0</v>
      </c>
      <c r="AA133" s="18">
        <f t="shared" si="38"/>
        <v>0</v>
      </c>
      <c r="AB133" s="18">
        <v>0.1</v>
      </c>
    </row>
    <row r="134" spans="1:28">
      <c r="A134">
        <v>2026</v>
      </c>
      <c r="B134" t="s">
        <v>145</v>
      </c>
      <c r="C134" t="s">
        <v>146</v>
      </c>
      <c r="D134" t="s">
        <v>147</v>
      </c>
      <c r="E134">
        <v>287400</v>
      </c>
      <c r="G134" t="s">
        <v>148</v>
      </c>
      <c r="H134" t="s">
        <v>148</v>
      </c>
      <c r="I134" t="s">
        <v>60</v>
      </c>
      <c r="J134" t="s">
        <v>29</v>
      </c>
      <c r="K134">
        <v>5</v>
      </c>
      <c r="L134">
        <v>129400</v>
      </c>
      <c r="M134" s="17">
        <f t="shared" si="39"/>
        <v>25880</v>
      </c>
      <c r="O134" s="17">
        <f t="shared" si="32"/>
        <v>33644</v>
      </c>
      <c r="P134" s="17">
        <f>IF(C134="Alta Complejidad",M134,0)</f>
        <v>25880</v>
      </c>
      <c r="Q134" s="18">
        <v>0.22</v>
      </c>
      <c r="R134" s="17">
        <f t="shared" si="33"/>
        <v>31573.599999999999</v>
      </c>
      <c r="S134" s="19">
        <f t="shared" si="34"/>
        <v>0.18032786885245897</v>
      </c>
      <c r="T134" s="17">
        <f>IF(C134="Mediana Complejidad",M134,0)</f>
        <v>0</v>
      </c>
      <c r="U134" s="18">
        <v>0.25</v>
      </c>
      <c r="V134" s="17">
        <f t="shared" si="35"/>
        <v>0</v>
      </c>
      <c r="W134" s="18">
        <f t="shared" si="36"/>
        <v>0</v>
      </c>
      <c r="X134" s="17">
        <f>IF(C134="Baja Complejidad",M134,0)</f>
        <v>0</v>
      </c>
      <c r="Y134" s="18">
        <v>0.33</v>
      </c>
      <c r="Z134" s="17">
        <f t="shared" si="37"/>
        <v>0</v>
      </c>
      <c r="AA134" s="18">
        <f t="shared" si="38"/>
        <v>0</v>
      </c>
      <c r="AB134" s="18">
        <v>0.1</v>
      </c>
    </row>
    <row r="135" spans="1:28">
      <c r="A135">
        <v>2026</v>
      </c>
      <c r="B135" t="s">
        <v>145</v>
      </c>
      <c r="C135" t="s">
        <v>146</v>
      </c>
      <c r="D135" t="s">
        <v>147</v>
      </c>
      <c r="E135">
        <v>294899</v>
      </c>
      <c r="G135" t="s">
        <v>148</v>
      </c>
      <c r="H135" t="s">
        <v>148</v>
      </c>
      <c r="I135" t="s">
        <v>72</v>
      </c>
      <c r="J135" t="s">
        <v>29</v>
      </c>
      <c r="K135">
        <v>5</v>
      </c>
      <c r="L135">
        <v>49000</v>
      </c>
      <c r="M135" s="17">
        <f t="shared" si="39"/>
        <v>9800</v>
      </c>
      <c r="O135" s="17">
        <f t="shared" si="32"/>
        <v>12740</v>
      </c>
      <c r="P135" s="17">
        <f>IF(C135="Alta Complejidad",M135,0)</f>
        <v>9800</v>
      </c>
      <c r="Q135" s="18">
        <v>0.12</v>
      </c>
      <c r="R135" s="17">
        <f t="shared" si="33"/>
        <v>10976</v>
      </c>
      <c r="S135" s="19">
        <f t="shared" si="34"/>
        <v>0.10714285714285714</v>
      </c>
      <c r="T135" s="17">
        <f>IF(C135="Mediana Complejidad",M135,0)</f>
        <v>0</v>
      </c>
      <c r="U135" s="18">
        <v>0.1</v>
      </c>
      <c r="V135" s="17">
        <f t="shared" si="35"/>
        <v>0</v>
      </c>
      <c r="W135" s="18">
        <f t="shared" si="36"/>
        <v>0</v>
      </c>
      <c r="X135" s="17">
        <f>IF(C135="Baja Complejidad",M135,0)</f>
        <v>0</v>
      </c>
      <c r="Y135" s="18">
        <v>0.31</v>
      </c>
      <c r="Z135" s="17">
        <f t="shared" si="37"/>
        <v>0</v>
      </c>
      <c r="AA135" s="18">
        <f t="shared" si="38"/>
        <v>0</v>
      </c>
      <c r="AB135" s="18">
        <v>0.1</v>
      </c>
    </row>
    <row r="136" spans="1:28">
      <c r="A136">
        <v>2026</v>
      </c>
      <c r="B136" t="s">
        <v>145</v>
      </c>
      <c r="C136" t="s">
        <v>146</v>
      </c>
      <c r="D136" t="s">
        <v>147</v>
      </c>
      <c r="E136">
        <v>394590</v>
      </c>
      <c r="G136" t="s">
        <v>148</v>
      </c>
      <c r="H136" t="s">
        <v>148</v>
      </c>
      <c r="I136" t="s">
        <v>75</v>
      </c>
      <c r="J136" t="s">
        <v>53</v>
      </c>
      <c r="K136">
        <v>2</v>
      </c>
      <c r="L136">
        <v>386300</v>
      </c>
      <c r="M136" s="17">
        <f t="shared" si="39"/>
        <v>193150</v>
      </c>
      <c r="O136" s="17">
        <f t="shared" si="32"/>
        <v>251095</v>
      </c>
      <c r="P136" s="17">
        <f>IF(C136="Alta Complejidad",M136,0)</f>
        <v>193150</v>
      </c>
      <c r="Q136" s="18">
        <v>0.15</v>
      </c>
      <c r="R136" s="17">
        <f t="shared" si="33"/>
        <v>222122.5</v>
      </c>
      <c r="S136" s="19">
        <f t="shared" si="34"/>
        <v>0.13043478260869565</v>
      </c>
      <c r="T136" s="17">
        <f>IF(C136="Mediana Complejidad",M136,0)</f>
        <v>0</v>
      </c>
      <c r="U136" s="18">
        <v>0.35</v>
      </c>
      <c r="V136" s="17">
        <f t="shared" si="35"/>
        <v>0</v>
      </c>
      <c r="W136" s="18">
        <f t="shared" si="36"/>
        <v>0</v>
      </c>
      <c r="X136" s="17">
        <f>IF(C136="Baja Complejidad",M136,0)</f>
        <v>0</v>
      </c>
      <c r="Y136" s="18">
        <v>0.3</v>
      </c>
      <c r="Z136" s="17">
        <f t="shared" si="37"/>
        <v>0</v>
      </c>
      <c r="AA136" s="18">
        <f t="shared" si="38"/>
        <v>0</v>
      </c>
      <c r="AB136" s="18">
        <v>0.1</v>
      </c>
    </row>
    <row r="137" spans="1:28">
      <c r="A137">
        <v>2026</v>
      </c>
      <c r="B137" t="s">
        <v>145</v>
      </c>
      <c r="C137" t="s">
        <v>146</v>
      </c>
      <c r="D137" t="s">
        <v>147</v>
      </c>
      <c r="E137">
        <v>610200</v>
      </c>
      <c r="G137" t="s">
        <v>148</v>
      </c>
      <c r="H137" t="s">
        <v>148</v>
      </c>
      <c r="I137" t="s">
        <v>78</v>
      </c>
      <c r="J137" t="s">
        <v>22</v>
      </c>
      <c r="K137">
        <v>10</v>
      </c>
      <c r="L137">
        <v>38000</v>
      </c>
      <c r="M137" s="17">
        <f t="shared" si="39"/>
        <v>3800</v>
      </c>
      <c r="O137" s="17">
        <f t="shared" si="32"/>
        <v>4940</v>
      </c>
      <c r="P137" s="17">
        <f>IF(C137="Alta Complejidad",M137,0)</f>
        <v>3800</v>
      </c>
      <c r="Q137" s="18">
        <v>0.18</v>
      </c>
      <c r="R137" s="17">
        <f t="shared" si="33"/>
        <v>4484</v>
      </c>
      <c r="S137" s="19">
        <f t="shared" si="34"/>
        <v>0.15254237288135594</v>
      </c>
      <c r="T137" s="17">
        <f>IF(C137="Mediana Complejidad",M137,0)</f>
        <v>0</v>
      </c>
      <c r="U137" s="18">
        <v>0.33</v>
      </c>
      <c r="V137" s="17">
        <f t="shared" si="35"/>
        <v>0</v>
      </c>
      <c r="W137" s="18">
        <f t="shared" si="36"/>
        <v>0</v>
      </c>
      <c r="X137" s="17">
        <f>IF(C137="Baja Complejidad",M137,0)</f>
        <v>0</v>
      </c>
      <c r="Y137" s="18">
        <v>0.28000000000000003</v>
      </c>
      <c r="Z137" s="17">
        <f t="shared" si="37"/>
        <v>0</v>
      </c>
      <c r="AA137" s="18">
        <f t="shared" si="38"/>
        <v>0</v>
      </c>
      <c r="AB137" s="18">
        <v>0.1</v>
      </c>
    </row>
    <row r="138" spans="1:28">
      <c r="A138">
        <v>2026</v>
      </c>
      <c r="B138" t="s">
        <v>145</v>
      </c>
      <c r="C138" t="s">
        <v>146</v>
      </c>
      <c r="D138" t="s">
        <v>147</v>
      </c>
      <c r="E138">
        <v>610300</v>
      </c>
      <c r="G138" t="s">
        <v>148</v>
      </c>
      <c r="H138" t="s">
        <v>148</v>
      </c>
      <c r="I138" t="s">
        <v>78</v>
      </c>
      <c r="J138" t="s">
        <v>22</v>
      </c>
      <c r="K138">
        <v>10</v>
      </c>
      <c r="L138">
        <v>39800</v>
      </c>
      <c r="M138" s="17">
        <f t="shared" si="39"/>
        <v>3980</v>
      </c>
      <c r="O138" s="17">
        <f t="shared" si="32"/>
        <v>5174</v>
      </c>
      <c r="P138" s="17">
        <f>IF(C138="Alta Complejidad",M138,0)</f>
        <v>3980</v>
      </c>
      <c r="Q138" s="18">
        <v>0.28999999999999998</v>
      </c>
      <c r="R138" s="17">
        <f t="shared" si="33"/>
        <v>5134.2</v>
      </c>
      <c r="S138" s="19">
        <f t="shared" si="34"/>
        <v>0.22480620155038758</v>
      </c>
      <c r="T138" s="17">
        <f>IF(C138="Mediana Complejidad",M138,0)</f>
        <v>0</v>
      </c>
      <c r="U138" s="18">
        <v>0.31</v>
      </c>
      <c r="V138" s="17">
        <f t="shared" si="35"/>
        <v>0</v>
      </c>
      <c r="W138" s="18">
        <f t="shared" si="36"/>
        <v>0</v>
      </c>
      <c r="X138" s="17">
        <f>IF(C138="Baja Complejidad",M138,0)</f>
        <v>0</v>
      </c>
      <c r="Y138" s="18">
        <v>0.27</v>
      </c>
      <c r="Z138" s="17">
        <f t="shared" si="37"/>
        <v>0</v>
      </c>
      <c r="AA138" s="18">
        <f t="shared" si="38"/>
        <v>0</v>
      </c>
      <c r="AB138" s="18">
        <v>0.1</v>
      </c>
    </row>
    <row r="139" spans="1:28">
      <c r="A139">
        <v>2026</v>
      </c>
      <c r="B139" t="s">
        <v>145</v>
      </c>
      <c r="C139" t="s">
        <v>146</v>
      </c>
      <c r="D139" t="s">
        <v>147</v>
      </c>
      <c r="E139">
        <v>610400</v>
      </c>
      <c r="G139" t="s">
        <v>148</v>
      </c>
      <c r="H139" t="s">
        <v>148</v>
      </c>
      <c r="I139" t="s">
        <v>78</v>
      </c>
      <c r="J139" t="s">
        <v>22</v>
      </c>
      <c r="K139">
        <v>10</v>
      </c>
      <c r="L139">
        <v>42200</v>
      </c>
      <c r="M139" s="17">
        <f t="shared" si="39"/>
        <v>4220</v>
      </c>
      <c r="O139" s="17">
        <f t="shared" si="32"/>
        <v>5486</v>
      </c>
      <c r="P139" s="17">
        <f>IF(C139="Alta Complejidad",M139,0)</f>
        <v>4220</v>
      </c>
      <c r="Q139" s="18">
        <v>0.34</v>
      </c>
      <c r="R139" s="17">
        <f t="shared" si="33"/>
        <v>5654.8</v>
      </c>
      <c r="S139" s="19">
        <f t="shared" si="34"/>
        <v>0.2537313432835821</v>
      </c>
      <c r="T139" s="17">
        <f>IF(C139="Mediana Complejidad",M139,0)</f>
        <v>0</v>
      </c>
      <c r="U139" s="18">
        <v>0.3</v>
      </c>
      <c r="V139" s="17">
        <f t="shared" si="35"/>
        <v>0</v>
      </c>
      <c r="W139" s="18">
        <f t="shared" si="36"/>
        <v>0</v>
      </c>
      <c r="X139" s="17">
        <f>IF(C139="Baja Complejidad",M139,0)</f>
        <v>0</v>
      </c>
      <c r="Y139" s="18">
        <v>0.17</v>
      </c>
      <c r="Z139" s="17">
        <f t="shared" si="37"/>
        <v>0</v>
      </c>
      <c r="AA139" s="18">
        <f t="shared" si="38"/>
        <v>0</v>
      </c>
      <c r="AB139" s="18">
        <v>0.1</v>
      </c>
    </row>
    <row r="140" spans="1:28">
      <c r="A140">
        <v>2026</v>
      </c>
      <c r="B140" t="s">
        <v>145</v>
      </c>
      <c r="C140" t="s">
        <v>146</v>
      </c>
      <c r="D140" t="s">
        <v>147</v>
      </c>
      <c r="E140">
        <v>610500</v>
      </c>
      <c r="G140" t="s">
        <v>148</v>
      </c>
      <c r="H140" t="s">
        <v>148</v>
      </c>
      <c r="I140" t="s">
        <v>78</v>
      </c>
      <c r="J140" t="s">
        <v>22</v>
      </c>
      <c r="K140">
        <v>10</v>
      </c>
      <c r="L140">
        <v>51600</v>
      </c>
      <c r="M140" s="17">
        <f t="shared" si="39"/>
        <v>5160</v>
      </c>
      <c r="O140" s="17">
        <f t="shared" si="32"/>
        <v>6708</v>
      </c>
      <c r="P140" s="17">
        <f>IF(C140="Alta Complejidad",M140,0)</f>
        <v>5160</v>
      </c>
      <c r="Q140" s="18">
        <v>0.25</v>
      </c>
      <c r="R140" s="17">
        <f t="shared" si="33"/>
        <v>6450</v>
      </c>
      <c r="S140" s="19">
        <f t="shared" si="34"/>
        <v>0.2</v>
      </c>
      <c r="T140" s="17">
        <f>IF(C140="Mediana Complejidad",M140,0)</f>
        <v>0</v>
      </c>
      <c r="U140" s="18">
        <v>0.28000000000000003</v>
      </c>
      <c r="V140" s="17">
        <f t="shared" si="35"/>
        <v>0</v>
      </c>
      <c r="W140" s="18">
        <f t="shared" si="36"/>
        <v>0</v>
      </c>
      <c r="X140" s="17">
        <f>IF(C140="Baja Complejidad",M140,0)</f>
        <v>0</v>
      </c>
      <c r="Y140" s="18">
        <v>0.22</v>
      </c>
      <c r="Z140" s="17">
        <f t="shared" si="37"/>
        <v>0</v>
      </c>
      <c r="AA140" s="18">
        <f t="shared" si="38"/>
        <v>0</v>
      </c>
      <c r="AB140" s="18">
        <v>0.1</v>
      </c>
    </row>
    <row r="141" spans="1:28">
      <c r="A141">
        <v>2026</v>
      </c>
      <c r="B141" t="s">
        <v>145</v>
      </c>
      <c r="C141" t="s">
        <v>146</v>
      </c>
      <c r="D141" t="s">
        <v>147</v>
      </c>
      <c r="E141">
        <v>3505</v>
      </c>
      <c r="G141" t="s">
        <v>148</v>
      </c>
      <c r="H141" t="s">
        <v>148</v>
      </c>
      <c r="I141" t="s">
        <v>95</v>
      </c>
      <c r="J141" t="s">
        <v>12</v>
      </c>
      <c r="K141">
        <v>1</v>
      </c>
      <c r="L141">
        <v>43500</v>
      </c>
      <c r="M141" s="17">
        <f t="shared" si="39"/>
        <v>43500</v>
      </c>
      <c r="O141" s="17">
        <f t="shared" si="32"/>
        <v>56550</v>
      </c>
      <c r="P141" s="17">
        <f>IF(C141="Alta Complejidad",M141,0)</f>
        <v>43500</v>
      </c>
      <c r="Q141" s="18">
        <v>0.35</v>
      </c>
      <c r="R141" s="17">
        <f t="shared" si="33"/>
        <v>58725</v>
      </c>
      <c r="S141" s="19">
        <f t="shared" si="34"/>
        <v>0.25925925925925924</v>
      </c>
      <c r="T141" s="17">
        <f>IF(C141="Mediana Complejidad",M141,0)</f>
        <v>0</v>
      </c>
      <c r="U141" s="18">
        <v>0.27</v>
      </c>
      <c r="V141" s="17">
        <f t="shared" si="35"/>
        <v>0</v>
      </c>
      <c r="W141" s="18">
        <f t="shared" si="36"/>
        <v>0</v>
      </c>
      <c r="X141" s="17">
        <f>IF(C141="Baja Complejidad",M141,0)</f>
        <v>0</v>
      </c>
      <c r="Y141" s="18">
        <v>0.12</v>
      </c>
      <c r="Z141" s="17">
        <f t="shared" si="37"/>
        <v>0</v>
      </c>
      <c r="AA141" s="18">
        <f t="shared" si="38"/>
        <v>0</v>
      </c>
      <c r="AB141" s="18">
        <v>0.1</v>
      </c>
    </row>
    <row r="142" spans="1:28">
      <c r="A142">
        <v>2026</v>
      </c>
      <c r="B142" t="s">
        <v>145</v>
      </c>
      <c r="C142" t="s">
        <v>146</v>
      </c>
      <c r="D142" t="s">
        <v>147</v>
      </c>
      <c r="E142">
        <v>2440</v>
      </c>
      <c r="G142" t="s">
        <v>148</v>
      </c>
      <c r="H142" t="s">
        <v>148</v>
      </c>
      <c r="I142" t="s">
        <v>100</v>
      </c>
      <c r="J142" t="s">
        <v>12</v>
      </c>
      <c r="K142">
        <v>1</v>
      </c>
      <c r="L142">
        <v>89500</v>
      </c>
      <c r="M142" s="17">
        <f t="shared" si="39"/>
        <v>89500</v>
      </c>
      <c r="O142" s="17">
        <f t="shared" si="32"/>
        <v>116350</v>
      </c>
      <c r="P142" s="17">
        <f>IF(C142="Alta Complejidad",M142,0)</f>
        <v>89500</v>
      </c>
      <c r="Q142" s="18">
        <v>0.12</v>
      </c>
      <c r="R142" s="17">
        <f t="shared" si="33"/>
        <v>100240</v>
      </c>
      <c r="S142" s="19">
        <f t="shared" si="34"/>
        <v>0.10714285714285714</v>
      </c>
      <c r="T142" s="17">
        <f>IF(C142="Mediana Complejidad",M142,0)</f>
        <v>0</v>
      </c>
      <c r="U142" s="18">
        <v>0.17</v>
      </c>
      <c r="V142" s="17">
        <f t="shared" si="35"/>
        <v>0</v>
      </c>
      <c r="W142" s="18">
        <f t="shared" si="36"/>
        <v>0</v>
      </c>
      <c r="X142" s="17">
        <f>IF(C142="Baja Complejidad",M142,0)</f>
        <v>0</v>
      </c>
      <c r="Y142" s="18">
        <v>0.15</v>
      </c>
      <c r="Z142" s="17">
        <f t="shared" si="37"/>
        <v>0</v>
      </c>
      <c r="AA142" s="18">
        <f t="shared" si="38"/>
        <v>0</v>
      </c>
      <c r="AB142" s="18">
        <v>0.1</v>
      </c>
    </row>
    <row r="143" spans="1:28">
      <c r="A143">
        <v>2026</v>
      </c>
      <c r="B143" t="s">
        <v>145</v>
      </c>
      <c r="C143" t="s">
        <v>146</v>
      </c>
      <c r="D143" t="s">
        <v>147</v>
      </c>
      <c r="E143">
        <v>2438</v>
      </c>
      <c r="G143" t="s">
        <v>148</v>
      </c>
      <c r="H143" t="s">
        <v>148</v>
      </c>
      <c r="I143" t="s">
        <v>100</v>
      </c>
      <c r="J143" t="s">
        <v>12</v>
      </c>
      <c r="K143">
        <v>1</v>
      </c>
      <c r="L143">
        <v>67900</v>
      </c>
      <c r="M143" s="17">
        <f t="shared" si="39"/>
        <v>67900</v>
      </c>
      <c r="O143" s="17">
        <f t="shared" si="32"/>
        <v>88270</v>
      </c>
      <c r="P143" s="17">
        <f>IF(C143="Alta Complejidad",M143,0)</f>
        <v>67900</v>
      </c>
      <c r="Q143" s="18">
        <v>0.25</v>
      </c>
      <c r="R143" s="17">
        <f t="shared" si="33"/>
        <v>84875</v>
      </c>
      <c r="S143" s="19">
        <f t="shared" si="34"/>
        <v>0.2</v>
      </c>
      <c r="T143" s="17">
        <f>IF(C143="Mediana Complejidad",M143,0)</f>
        <v>0</v>
      </c>
      <c r="U143" s="18">
        <v>0.22</v>
      </c>
      <c r="V143" s="17">
        <f t="shared" si="35"/>
        <v>0</v>
      </c>
      <c r="W143" s="18">
        <f t="shared" si="36"/>
        <v>0</v>
      </c>
      <c r="X143" s="17">
        <f>IF(C143="Baja Complejidad",M143,0)</f>
        <v>0</v>
      </c>
      <c r="Y143" s="18">
        <v>0.18</v>
      </c>
      <c r="Z143" s="17">
        <f t="shared" si="37"/>
        <v>0</v>
      </c>
      <c r="AA143" s="18">
        <f t="shared" si="38"/>
        <v>0</v>
      </c>
      <c r="AB143" s="18">
        <v>0.1</v>
      </c>
    </row>
    <row r="144" spans="1:28">
      <c r="A144">
        <v>2026</v>
      </c>
      <c r="B144" t="s">
        <v>145</v>
      </c>
      <c r="C144" t="s">
        <v>146</v>
      </c>
      <c r="D144" t="s">
        <v>147</v>
      </c>
      <c r="E144">
        <v>2434</v>
      </c>
      <c r="G144" t="s">
        <v>148</v>
      </c>
      <c r="H144" t="s">
        <v>148</v>
      </c>
      <c r="I144" t="s">
        <v>100</v>
      </c>
      <c r="J144" t="s">
        <v>12</v>
      </c>
      <c r="K144">
        <v>1</v>
      </c>
      <c r="L144">
        <v>50300</v>
      </c>
      <c r="M144" s="17">
        <f t="shared" si="39"/>
        <v>50300</v>
      </c>
      <c r="O144" s="17">
        <f t="shared" si="32"/>
        <v>65390</v>
      </c>
      <c r="P144" s="17">
        <f>IF(C144="Alta Complejidad",M144,0)</f>
        <v>50300</v>
      </c>
      <c r="Q144" s="18">
        <v>0.1</v>
      </c>
      <c r="R144" s="17">
        <f t="shared" si="33"/>
        <v>55330</v>
      </c>
      <c r="S144" s="19">
        <f t="shared" si="34"/>
        <v>9.0909090909090912E-2</v>
      </c>
      <c r="T144" s="17">
        <f>IF(C144="Mediana Complejidad",M144,0)</f>
        <v>0</v>
      </c>
      <c r="U144" s="18">
        <v>0.12</v>
      </c>
      <c r="V144" s="17">
        <f t="shared" si="35"/>
        <v>0</v>
      </c>
      <c r="W144" s="18">
        <f t="shared" si="36"/>
        <v>0</v>
      </c>
      <c r="X144" s="17">
        <f>IF(C144="Baja Complejidad",M144,0)</f>
        <v>0</v>
      </c>
      <c r="Y144" s="18">
        <v>0.28999999999999998</v>
      </c>
      <c r="Z144" s="17">
        <f t="shared" si="37"/>
        <v>0</v>
      </c>
      <c r="AA144" s="18">
        <f t="shared" si="38"/>
        <v>0</v>
      </c>
      <c r="AB144" s="18">
        <v>0.1</v>
      </c>
    </row>
    <row r="145" spans="1:28">
      <c r="A145">
        <v>2026</v>
      </c>
      <c r="B145" t="s">
        <v>145</v>
      </c>
      <c r="C145" t="s">
        <v>146</v>
      </c>
      <c r="D145" t="s">
        <v>147</v>
      </c>
      <c r="E145">
        <v>2436</v>
      </c>
      <c r="G145" t="s">
        <v>148</v>
      </c>
      <c r="H145" t="s">
        <v>148</v>
      </c>
      <c r="I145" t="s">
        <v>100</v>
      </c>
      <c r="J145" t="s">
        <v>12</v>
      </c>
      <c r="K145">
        <v>1</v>
      </c>
      <c r="L145">
        <v>53300</v>
      </c>
      <c r="M145" s="17">
        <f t="shared" si="39"/>
        <v>53300</v>
      </c>
      <c r="O145" s="17">
        <f t="shared" si="32"/>
        <v>69290</v>
      </c>
      <c r="P145" s="17">
        <f>IF(C145="Alta Complejidad",M145,0)</f>
        <v>53300</v>
      </c>
      <c r="Q145" s="18">
        <v>0.35</v>
      </c>
      <c r="R145" s="17">
        <f t="shared" si="33"/>
        <v>71955</v>
      </c>
      <c r="S145" s="19">
        <f t="shared" si="34"/>
        <v>0.25925925925925924</v>
      </c>
      <c r="T145" s="17">
        <f>IF(C145="Mediana Complejidad",M145,0)</f>
        <v>0</v>
      </c>
      <c r="U145" s="18">
        <v>0.15</v>
      </c>
      <c r="V145" s="17">
        <f t="shared" si="35"/>
        <v>0</v>
      </c>
      <c r="W145" s="18">
        <f t="shared" si="36"/>
        <v>0</v>
      </c>
      <c r="X145" s="17">
        <f>IF(C145="Baja Complejidad",M145,0)</f>
        <v>0</v>
      </c>
      <c r="Y145" s="18">
        <v>0.34</v>
      </c>
      <c r="Z145" s="17">
        <f t="shared" si="37"/>
        <v>0</v>
      </c>
      <c r="AA145" s="18">
        <f t="shared" si="38"/>
        <v>0</v>
      </c>
      <c r="AB145" s="18">
        <v>0.1</v>
      </c>
    </row>
    <row r="146" spans="1:28" ht="15">
      <c r="A146" s="11" t="s">
        <v>117</v>
      </c>
      <c r="B146" s="11" t="s">
        <v>118</v>
      </c>
      <c r="C146" s="11" t="s">
        <v>119</v>
      </c>
      <c r="D146" s="11" t="s">
        <v>120</v>
      </c>
      <c r="E146" s="11" t="s">
        <v>121</v>
      </c>
      <c r="F146" s="11" t="s">
        <v>122</v>
      </c>
      <c r="G146" s="11" t="s">
        <v>123</v>
      </c>
      <c r="H146" s="11" t="s">
        <v>124</v>
      </c>
      <c r="I146" s="11" t="s">
        <v>125</v>
      </c>
      <c r="J146" s="11" t="s">
        <v>126</v>
      </c>
      <c r="K146" s="11" t="s">
        <v>127</v>
      </c>
      <c r="L146" s="11" t="s">
        <v>128</v>
      </c>
      <c r="M146" s="12" t="s">
        <v>129</v>
      </c>
      <c r="N146" s="11" t="s">
        <v>130</v>
      </c>
      <c r="O146" s="11" t="s">
        <v>131</v>
      </c>
      <c r="P146" s="11" t="s">
        <v>132</v>
      </c>
      <c r="Q146" s="13" t="s">
        <v>133</v>
      </c>
      <c r="R146" s="14" t="s">
        <v>134</v>
      </c>
      <c r="S146" s="15" t="s">
        <v>135</v>
      </c>
      <c r="T146" s="16" t="s">
        <v>136</v>
      </c>
      <c r="U146" s="16" t="s">
        <v>137</v>
      </c>
      <c r="V146" s="16" t="s">
        <v>138</v>
      </c>
      <c r="W146" s="13" t="s">
        <v>139</v>
      </c>
      <c r="X146" s="16" t="s">
        <v>140</v>
      </c>
      <c r="Y146" s="16" t="s">
        <v>141</v>
      </c>
      <c r="Z146" s="16" t="s">
        <v>142</v>
      </c>
      <c r="AA146" s="13" t="s">
        <v>143</v>
      </c>
      <c r="AB146" s="14" t="s">
        <v>144</v>
      </c>
    </row>
    <row r="147" spans="1:28">
      <c r="A147">
        <v>2026</v>
      </c>
      <c r="B147" t="s">
        <v>145</v>
      </c>
      <c r="C147" t="s">
        <v>146</v>
      </c>
      <c r="D147" t="s">
        <v>147</v>
      </c>
      <c r="E147">
        <v>360001</v>
      </c>
      <c r="G147" t="s">
        <v>148</v>
      </c>
      <c r="H147" t="s">
        <v>148</v>
      </c>
      <c r="I147" t="s">
        <v>9</v>
      </c>
      <c r="J147" t="s">
        <v>12</v>
      </c>
      <c r="K147">
        <v>1</v>
      </c>
      <c r="L147">
        <v>893800</v>
      </c>
      <c r="M147" s="17">
        <f>L147/K147</f>
        <v>893800</v>
      </c>
      <c r="O147" s="17">
        <f t="shared" ref="O147:O174" si="40">M147+(M147*30%)</f>
        <v>1161940</v>
      </c>
      <c r="P147" s="17">
        <f>IF(C147="Alta Complejidad",M147,0)</f>
        <v>893800</v>
      </c>
      <c r="Q147" s="18">
        <v>0.15</v>
      </c>
      <c r="R147" s="17">
        <f t="shared" ref="R147:R174" si="41">P147+(P147*Q147)</f>
        <v>1027870</v>
      </c>
      <c r="S147" s="19">
        <f t="shared" ref="S147:S174" si="42">IFERROR(((R147-P147)/R147),0)</f>
        <v>0.13043478260869565</v>
      </c>
      <c r="T147" s="17">
        <f>IF(C147="Mediana Complejidad",M147,0)</f>
        <v>0</v>
      </c>
      <c r="U147" s="18">
        <v>0.3</v>
      </c>
      <c r="V147" s="17">
        <f t="shared" ref="V147:V174" si="43">(T147)+(T147*U147)</f>
        <v>0</v>
      </c>
      <c r="W147" s="18">
        <f t="shared" ref="W147:W174" si="44">IFERROR(((V147-T147)/V147),0)</f>
        <v>0</v>
      </c>
      <c r="X147" s="17">
        <f>IF(C147="Baja Complejidad",M147,0)</f>
        <v>0</v>
      </c>
      <c r="Y147" s="18">
        <v>0.3</v>
      </c>
      <c r="Z147" s="17">
        <f t="shared" ref="Z147:Z174" si="45">(X147)+(X147*Y147)</f>
        <v>0</v>
      </c>
      <c r="AA147" s="18">
        <f t="shared" ref="AA147:AA174" si="46">IFERROR(((Z147-X147)/Z147),0)</f>
        <v>0</v>
      </c>
      <c r="AB147" s="18">
        <v>0.1</v>
      </c>
    </row>
    <row r="148" spans="1:28">
      <c r="A148">
        <v>2026</v>
      </c>
      <c r="B148" t="s">
        <v>145</v>
      </c>
      <c r="C148" t="s">
        <v>146</v>
      </c>
      <c r="D148" t="s">
        <v>147</v>
      </c>
      <c r="E148">
        <v>709900</v>
      </c>
      <c r="G148" t="s">
        <v>148</v>
      </c>
      <c r="H148" t="s">
        <v>148</v>
      </c>
      <c r="I148" t="s">
        <v>19</v>
      </c>
      <c r="J148" t="s">
        <v>22</v>
      </c>
      <c r="K148">
        <v>10</v>
      </c>
      <c r="L148">
        <v>13500</v>
      </c>
      <c r="M148" s="17">
        <f t="shared" ref="M148:M174" si="47">L148/K148</f>
        <v>1350</v>
      </c>
      <c r="O148" s="17">
        <f t="shared" si="40"/>
        <v>1755</v>
      </c>
      <c r="P148" s="17">
        <f>IF(C148="Alta Complejidad",M148,0)</f>
        <v>1350</v>
      </c>
      <c r="Q148" s="18">
        <v>0.18</v>
      </c>
      <c r="R148" s="17">
        <f t="shared" si="41"/>
        <v>1593</v>
      </c>
      <c r="S148" s="19">
        <f t="shared" si="42"/>
        <v>0.15254237288135594</v>
      </c>
      <c r="T148" s="17">
        <f>IF(C148="Mediana Complejidad",M148,0)</f>
        <v>0</v>
      </c>
      <c r="U148" s="18">
        <v>0.28000000000000003</v>
      </c>
      <c r="V148" s="17">
        <f t="shared" si="43"/>
        <v>0</v>
      </c>
      <c r="W148" s="18">
        <f t="shared" si="44"/>
        <v>0</v>
      </c>
      <c r="X148" s="17">
        <f>IF(C148="Baja Complejidad",M148,0)</f>
        <v>0</v>
      </c>
      <c r="Y148" s="18">
        <v>0.28000000000000003</v>
      </c>
      <c r="Z148" s="17">
        <f t="shared" si="45"/>
        <v>0</v>
      </c>
      <c r="AA148" s="18">
        <f t="shared" si="46"/>
        <v>0</v>
      </c>
      <c r="AB148" s="18">
        <v>0.1</v>
      </c>
    </row>
    <row r="149" spans="1:28">
      <c r="A149">
        <v>2026</v>
      </c>
      <c r="B149" t="s">
        <v>145</v>
      </c>
      <c r="C149" t="s">
        <v>146</v>
      </c>
      <c r="D149" t="s">
        <v>147</v>
      </c>
      <c r="E149">
        <v>709902</v>
      </c>
      <c r="G149" t="s">
        <v>148</v>
      </c>
      <c r="H149" t="s">
        <v>148</v>
      </c>
      <c r="I149" t="s">
        <v>19</v>
      </c>
      <c r="J149" t="s">
        <v>22</v>
      </c>
      <c r="K149">
        <v>10</v>
      </c>
      <c r="L149">
        <v>28800</v>
      </c>
      <c r="M149" s="17">
        <f t="shared" si="47"/>
        <v>2880</v>
      </c>
      <c r="O149" s="17">
        <f t="shared" si="40"/>
        <v>3744</v>
      </c>
      <c r="P149" s="17">
        <f>IF(C149="Alta Complejidad",M149,0)</f>
        <v>2880</v>
      </c>
      <c r="Q149" s="18">
        <v>0.28999999999999998</v>
      </c>
      <c r="R149" s="17">
        <f t="shared" si="41"/>
        <v>3715.2</v>
      </c>
      <c r="S149" s="19">
        <f t="shared" si="42"/>
        <v>0.22480620155038755</v>
      </c>
      <c r="T149" s="17">
        <f>IF(C149="Mediana Complejidad",M149,0)</f>
        <v>0</v>
      </c>
      <c r="U149" s="18">
        <v>0.27</v>
      </c>
      <c r="V149" s="17">
        <f t="shared" si="43"/>
        <v>0</v>
      </c>
      <c r="W149" s="18">
        <f t="shared" si="44"/>
        <v>0</v>
      </c>
      <c r="X149" s="17">
        <f>IF(C149="Baja Complejidad",M149,0)</f>
        <v>0</v>
      </c>
      <c r="Y149" s="18">
        <v>0.27</v>
      </c>
      <c r="Z149" s="17">
        <f t="shared" si="45"/>
        <v>0</v>
      </c>
      <c r="AA149" s="18">
        <f t="shared" si="46"/>
        <v>0</v>
      </c>
      <c r="AB149" s="18">
        <v>0.1</v>
      </c>
    </row>
    <row r="150" spans="1:28">
      <c r="A150">
        <v>2026</v>
      </c>
      <c r="B150" t="s">
        <v>145</v>
      </c>
      <c r="C150" t="s">
        <v>146</v>
      </c>
      <c r="D150" t="s">
        <v>147</v>
      </c>
      <c r="E150">
        <v>709903</v>
      </c>
      <c r="G150" t="s">
        <v>148</v>
      </c>
      <c r="H150" t="s">
        <v>148</v>
      </c>
      <c r="I150" t="s">
        <v>19</v>
      </c>
      <c r="J150" t="s">
        <v>22</v>
      </c>
      <c r="K150">
        <v>10</v>
      </c>
      <c r="L150">
        <v>63400</v>
      </c>
      <c r="M150" s="17">
        <f t="shared" si="47"/>
        <v>6340</v>
      </c>
      <c r="O150" s="17">
        <f t="shared" si="40"/>
        <v>8242</v>
      </c>
      <c r="P150" s="17">
        <f>IF(C150="Alta Complejidad",M150,0)</f>
        <v>6340</v>
      </c>
      <c r="Q150" s="18">
        <v>0.34</v>
      </c>
      <c r="R150" s="17">
        <f t="shared" si="41"/>
        <v>8495.6</v>
      </c>
      <c r="S150" s="19">
        <f t="shared" si="42"/>
        <v>0.2537313432835821</v>
      </c>
      <c r="T150" s="17">
        <f>IF(C150="Mediana Complejidad",M150,0)</f>
        <v>0</v>
      </c>
      <c r="U150" s="18">
        <v>0.17</v>
      </c>
      <c r="V150" s="17">
        <f t="shared" si="43"/>
        <v>0</v>
      </c>
      <c r="W150" s="18">
        <f t="shared" si="44"/>
        <v>0</v>
      </c>
      <c r="X150" s="17">
        <f>IF(C150="Baja Complejidad",M150,0)</f>
        <v>0</v>
      </c>
      <c r="Y150" s="18">
        <v>0.17</v>
      </c>
      <c r="Z150" s="17">
        <f t="shared" si="45"/>
        <v>0</v>
      </c>
      <c r="AA150" s="18">
        <f t="shared" si="46"/>
        <v>0</v>
      </c>
      <c r="AB150" s="18">
        <v>0.1</v>
      </c>
    </row>
    <row r="151" spans="1:28">
      <c r="A151">
        <v>2026</v>
      </c>
      <c r="B151" t="s">
        <v>145</v>
      </c>
      <c r="C151" t="s">
        <v>146</v>
      </c>
      <c r="D151" t="s">
        <v>147</v>
      </c>
      <c r="E151">
        <v>603421</v>
      </c>
      <c r="G151" t="s">
        <v>148</v>
      </c>
      <c r="H151" t="s">
        <v>148</v>
      </c>
      <c r="I151" t="s">
        <v>30</v>
      </c>
      <c r="J151" t="s">
        <v>22</v>
      </c>
      <c r="K151">
        <v>10</v>
      </c>
      <c r="L151">
        <v>24200</v>
      </c>
      <c r="M151" s="17">
        <f t="shared" si="47"/>
        <v>2420</v>
      </c>
      <c r="O151" s="17">
        <f t="shared" si="40"/>
        <v>3146</v>
      </c>
      <c r="P151" s="17">
        <f>IF(C151="Alta Complejidad",M151,0)</f>
        <v>2420</v>
      </c>
      <c r="Q151" s="18">
        <v>0.25</v>
      </c>
      <c r="R151" s="17">
        <f t="shared" si="41"/>
        <v>3025</v>
      </c>
      <c r="S151" s="19">
        <f t="shared" si="42"/>
        <v>0.2</v>
      </c>
      <c r="T151" s="17">
        <f>IF(C151="Mediana Complejidad",M151,0)</f>
        <v>0</v>
      </c>
      <c r="U151" s="18">
        <v>0.22</v>
      </c>
      <c r="V151" s="17">
        <f t="shared" si="43"/>
        <v>0</v>
      </c>
      <c r="W151" s="18">
        <f t="shared" si="44"/>
        <v>0</v>
      </c>
      <c r="X151" s="17">
        <f>IF(C151="Baja Complejidad",M151,0)</f>
        <v>0</v>
      </c>
      <c r="Y151" s="18">
        <v>0.22</v>
      </c>
      <c r="Z151" s="17">
        <f t="shared" si="45"/>
        <v>0</v>
      </c>
      <c r="AA151" s="18">
        <f t="shared" si="46"/>
        <v>0</v>
      </c>
      <c r="AB151" s="18">
        <v>0.1</v>
      </c>
    </row>
    <row r="152" spans="1:28">
      <c r="A152">
        <v>2026</v>
      </c>
      <c r="B152" t="s">
        <v>145</v>
      </c>
      <c r="C152" t="s">
        <v>146</v>
      </c>
      <c r="D152" t="s">
        <v>147</v>
      </c>
      <c r="E152">
        <v>603422</v>
      </c>
      <c r="G152" t="s">
        <v>148</v>
      </c>
      <c r="H152" t="s">
        <v>148</v>
      </c>
      <c r="I152" t="s">
        <v>30</v>
      </c>
      <c r="J152" t="s">
        <v>22</v>
      </c>
      <c r="K152">
        <v>10</v>
      </c>
      <c r="L152">
        <v>36700</v>
      </c>
      <c r="M152" s="17">
        <f t="shared" si="47"/>
        <v>3670</v>
      </c>
      <c r="O152" s="17">
        <f t="shared" si="40"/>
        <v>4771</v>
      </c>
      <c r="P152" s="17">
        <f>IF(C152="Alta Complejidad",M152,0)</f>
        <v>3670</v>
      </c>
      <c r="Q152" s="18">
        <v>0.35</v>
      </c>
      <c r="R152" s="17">
        <f t="shared" si="41"/>
        <v>4954.5</v>
      </c>
      <c r="S152" s="19">
        <f t="shared" si="42"/>
        <v>0.25925925925925924</v>
      </c>
      <c r="T152" s="17">
        <f>IF(C152="Mediana Complejidad",M152,0)</f>
        <v>0</v>
      </c>
      <c r="U152" s="18">
        <v>0.12</v>
      </c>
      <c r="V152" s="17">
        <f t="shared" si="43"/>
        <v>0</v>
      </c>
      <c r="W152" s="18">
        <f t="shared" si="44"/>
        <v>0</v>
      </c>
      <c r="X152" s="17">
        <f>IF(C152="Baja Complejidad",M152,0)</f>
        <v>0</v>
      </c>
      <c r="Y152" s="18">
        <v>0.12</v>
      </c>
      <c r="Z152" s="17">
        <f t="shared" si="45"/>
        <v>0</v>
      </c>
      <c r="AA152" s="18">
        <f t="shared" si="46"/>
        <v>0</v>
      </c>
      <c r="AB152" s="18">
        <v>0.1</v>
      </c>
    </row>
    <row r="153" spans="1:28">
      <c r="A153">
        <v>2026</v>
      </c>
      <c r="B153" t="s">
        <v>145</v>
      </c>
      <c r="C153" t="s">
        <v>146</v>
      </c>
      <c r="D153" t="s">
        <v>147</v>
      </c>
      <c r="E153">
        <v>603423</v>
      </c>
      <c r="G153" t="s">
        <v>148</v>
      </c>
      <c r="H153" t="s">
        <v>148</v>
      </c>
      <c r="I153" t="s">
        <v>30</v>
      </c>
      <c r="J153" t="s">
        <v>22</v>
      </c>
      <c r="K153">
        <v>10</v>
      </c>
      <c r="L153">
        <v>91800</v>
      </c>
      <c r="M153" s="17">
        <f t="shared" si="47"/>
        <v>9180</v>
      </c>
      <c r="O153" s="17">
        <f t="shared" si="40"/>
        <v>11934</v>
      </c>
      <c r="P153" s="17">
        <f>IF(C153="Alta Complejidad",M153,0)</f>
        <v>9180</v>
      </c>
      <c r="Q153" s="18">
        <v>0.12</v>
      </c>
      <c r="R153" s="17">
        <f t="shared" si="41"/>
        <v>10281.6</v>
      </c>
      <c r="S153" s="19">
        <f t="shared" si="42"/>
        <v>0.10714285714285718</v>
      </c>
      <c r="T153" s="17">
        <f>IF(C153="Mediana Complejidad",M153,0)</f>
        <v>0</v>
      </c>
      <c r="U153" s="18">
        <v>0.15</v>
      </c>
      <c r="V153" s="17">
        <f t="shared" si="43"/>
        <v>0</v>
      </c>
      <c r="W153" s="18">
        <f t="shared" si="44"/>
        <v>0</v>
      </c>
      <c r="X153" s="17">
        <f>IF(C153="Baja Complejidad",M153,0)</f>
        <v>0</v>
      </c>
      <c r="Y153" s="18">
        <v>0.15</v>
      </c>
      <c r="Z153" s="17">
        <f t="shared" si="45"/>
        <v>0</v>
      </c>
      <c r="AA153" s="18">
        <f t="shared" si="46"/>
        <v>0</v>
      </c>
      <c r="AB153" s="18">
        <v>0.1</v>
      </c>
    </row>
    <row r="154" spans="1:28">
      <c r="A154">
        <v>2026</v>
      </c>
      <c r="B154" t="s">
        <v>145</v>
      </c>
      <c r="C154" t="s">
        <v>146</v>
      </c>
      <c r="D154" t="s">
        <v>147</v>
      </c>
      <c r="E154">
        <v>294199</v>
      </c>
      <c r="G154" t="s">
        <v>148</v>
      </c>
      <c r="H154" t="s">
        <v>148</v>
      </c>
      <c r="I154" t="s">
        <v>44</v>
      </c>
      <c r="J154" t="s">
        <v>29</v>
      </c>
      <c r="K154">
        <v>5</v>
      </c>
      <c r="L154">
        <v>17300</v>
      </c>
      <c r="M154" s="17">
        <f t="shared" si="47"/>
        <v>3460</v>
      </c>
      <c r="O154" s="17">
        <f t="shared" si="40"/>
        <v>4498</v>
      </c>
      <c r="P154" s="17">
        <f>IF(C154="Alta Complejidad",M154,0)</f>
        <v>3460</v>
      </c>
      <c r="Q154" s="18">
        <v>0.25</v>
      </c>
      <c r="R154" s="17">
        <f t="shared" si="41"/>
        <v>4325</v>
      </c>
      <c r="S154" s="19">
        <f t="shared" si="42"/>
        <v>0.2</v>
      </c>
      <c r="T154" s="17">
        <f>IF(C154="Mediana Complejidad",M154,0)</f>
        <v>0</v>
      </c>
      <c r="U154" s="18">
        <v>0.18</v>
      </c>
      <c r="V154" s="17">
        <f t="shared" si="43"/>
        <v>0</v>
      </c>
      <c r="W154" s="18">
        <f t="shared" si="44"/>
        <v>0</v>
      </c>
      <c r="X154" s="17">
        <f>IF(C154="Baja Complejidad",M154,0)</f>
        <v>0</v>
      </c>
      <c r="Y154" s="18">
        <v>0.18</v>
      </c>
      <c r="Z154" s="17">
        <f t="shared" si="45"/>
        <v>0</v>
      </c>
      <c r="AA154" s="18">
        <f t="shared" si="46"/>
        <v>0</v>
      </c>
      <c r="AB154" s="18">
        <v>0.1</v>
      </c>
    </row>
    <row r="155" spans="1:28">
      <c r="A155">
        <v>2026</v>
      </c>
      <c r="B155" t="s">
        <v>145</v>
      </c>
      <c r="C155" t="s">
        <v>146</v>
      </c>
      <c r="D155" t="s">
        <v>147</v>
      </c>
      <c r="E155">
        <v>294299</v>
      </c>
      <c r="G155" t="s">
        <v>148</v>
      </c>
      <c r="H155" t="s">
        <v>148</v>
      </c>
      <c r="I155" t="s">
        <v>44</v>
      </c>
      <c r="J155" t="s">
        <v>29</v>
      </c>
      <c r="K155">
        <v>5</v>
      </c>
      <c r="L155">
        <v>29000</v>
      </c>
      <c r="M155" s="17">
        <f t="shared" si="47"/>
        <v>5800</v>
      </c>
      <c r="O155" s="17">
        <f t="shared" si="40"/>
        <v>7540</v>
      </c>
      <c r="P155" s="17">
        <f>IF(C155="Alta Complejidad",M155,0)</f>
        <v>5800</v>
      </c>
      <c r="Q155" s="18">
        <v>0.1</v>
      </c>
      <c r="R155" s="17">
        <f t="shared" si="41"/>
        <v>6380</v>
      </c>
      <c r="S155" s="19">
        <f t="shared" si="42"/>
        <v>9.0909090909090912E-2</v>
      </c>
      <c r="T155" s="17">
        <f>IF(C155="Mediana Complejidad",M155,0)</f>
        <v>0</v>
      </c>
      <c r="U155" s="18">
        <v>0.28999999999999998</v>
      </c>
      <c r="V155" s="17">
        <f t="shared" si="43"/>
        <v>0</v>
      </c>
      <c r="W155" s="18">
        <f t="shared" si="44"/>
        <v>0</v>
      </c>
      <c r="X155" s="17">
        <f>IF(C155="Baja Complejidad",M155,0)</f>
        <v>0</v>
      </c>
      <c r="Y155" s="18">
        <v>0.28999999999999998</v>
      </c>
      <c r="Z155" s="17">
        <f t="shared" si="45"/>
        <v>0</v>
      </c>
      <c r="AA155" s="18">
        <f t="shared" si="46"/>
        <v>0</v>
      </c>
      <c r="AB155" s="18">
        <v>0.1</v>
      </c>
    </row>
    <row r="156" spans="1:28">
      <c r="A156">
        <v>2026</v>
      </c>
      <c r="B156" t="s">
        <v>145</v>
      </c>
      <c r="C156" t="s">
        <v>146</v>
      </c>
      <c r="D156" t="s">
        <v>147</v>
      </c>
      <c r="E156">
        <v>294399</v>
      </c>
      <c r="G156" t="s">
        <v>148</v>
      </c>
      <c r="H156" t="s">
        <v>148</v>
      </c>
      <c r="I156" t="s">
        <v>44</v>
      </c>
      <c r="J156" t="s">
        <v>29</v>
      </c>
      <c r="K156">
        <v>5</v>
      </c>
      <c r="L156">
        <v>36700</v>
      </c>
      <c r="M156" s="17">
        <f t="shared" si="47"/>
        <v>7340</v>
      </c>
      <c r="O156" s="17">
        <f t="shared" si="40"/>
        <v>9542</v>
      </c>
      <c r="P156" s="17">
        <f>IF(C156="Alta Complejidad",M156,0)</f>
        <v>7340</v>
      </c>
      <c r="Q156" s="18">
        <v>0.35</v>
      </c>
      <c r="R156" s="17">
        <f t="shared" si="41"/>
        <v>9909</v>
      </c>
      <c r="S156" s="19">
        <f t="shared" si="42"/>
        <v>0.25925925925925924</v>
      </c>
      <c r="T156" s="17">
        <f>IF(C156="Mediana Complejidad",M156,0)</f>
        <v>0</v>
      </c>
      <c r="U156" s="18">
        <v>0.34</v>
      </c>
      <c r="V156" s="17">
        <f t="shared" si="43"/>
        <v>0</v>
      </c>
      <c r="W156" s="18">
        <f t="shared" si="44"/>
        <v>0</v>
      </c>
      <c r="X156" s="17">
        <f>IF(C156="Baja Complejidad",M156,0)</f>
        <v>0</v>
      </c>
      <c r="Y156" s="18">
        <v>0.34</v>
      </c>
      <c r="Z156" s="17">
        <f t="shared" si="45"/>
        <v>0</v>
      </c>
      <c r="AA156" s="18">
        <f t="shared" si="46"/>
        <v>0</v>
      </c>
      <c r="AB156" s="18">
        <v>0.1</v>
      </c>
    </row>
    <row r="157" spans="1:28">
      <c r="A157">
        <v>2026</v>
      </c>
      <c r="B157" t="s">
        <v>145</v>
      </c>
      <c r="C157" t="s">
        <v>146</v>
      </c>
      <c r="D157" t="s">
        <v>147</v>
      </c>
      <c r="E157">
        <v>294499</v>
      </c>
      <c r="G157" t="s">
        <v>148</v>
      </c>
      <c r="H157" t="s">
        <v>148</v>
      </c>
      <c r="I157" t="s">
        <v>44</v>
      </c>
      <c r="J157" t="s">
        <v>29</v>
      </c>
      <c r="K157">
        <v>5</v>
      </c>
      <c r="L157">
        <v>75900</v>
      </c>
      <c r="M157" s="17">
        <f t="shared" si="47"/>
        <v>15180</v>
      </c>
      <c r="O157" s="17">
        <f t="shared" si="40"/>
        <v>19734</v>
      </c>
      <c r="P157" s="17">
        <f>IF(C157="Alta Complejidad",M157,0)</f>
        <v>15180</v>
      </c>
      <c r="Q157" s="18">
        <v>0.33</v>
      </c>
      <c r="R157" s="17">
        <f t="shared" si="41"/>
        <v>20189.400000000001</v>
      </c>
      <c r="S157" s="19">
        <f t="shared" si="42"/>
        <v>0.24812030075187974</v>
      </c>
      <c r="T157" s="17">
        <f>IF(C157="Mediana Complejidad",M157,0)</f>
        <v>0</v>
      </c>
      <c r="U157" s="18">
        <v>0.25</v>
      </c>
      <c r="V157" s="17">
        <f t="shared" si="43"/>
        <v>0</v>
      </c>
      <c r="W157" s="18">
        <f t="shared" si="44"/>
        <v>0</v>
      </c>
      <c r="X157" s="17">
        <f>IF(C157="Baja Complejidad",M157,0)</f>
        <v>0</v>
      </c>
      <c r="Y157" s="18">
        <v>0.25</v>
      </c>
      <c r="Z157" s="17">
        <f t="shared" si="45"/>
        <v>0</v>
      </c>
      <c r="AA157" s="18">
        <f t="shared" si="46"/>
        <v>0</v>
      </c>
      <c r="AB157" s="18">
        <v>0.1</v>
      </c>
    </row>
    <row r="158" spans="1:28">
      <c r="A158">
        <v>2026</v>
      </c>
      <c r="B158" t="s">
        <v>145</v>
      </c>
      <c r="C158" t="s">
        <v>146</v>
      </c>
      <c r="D158" t="s">
        <v>147</v>
      </c>
      <c r="E158">
        <v>284190</v>
      </c>
      <c r="G158" t="s">
        <v>148</v>
      </c>
      <c r="H158" t="s">
        <v>148</v>
      </c>
      <c r="I158" t="s">
        <v>55</v>
      </c>
      <c r="J158" t="s">
        <v>29</v>
      </c>
      <c r="K158">
        <v>5</v>
      </c>
      <c r="L158">
        <v>16900</v>
      </c>
      <c r="M158" s="17">
        <f t="shared" si="47"/>
        <v>3380</v>
      </c>
      <c r="O158" s="17">
        <f t="shared" si="40"/>
        <v>4394</v>
      </c>
      <c r="P158" s="17">
        <f>IF(C158="Alta Complejidad",M158,0)</f>
        <v>3380</v>
      </c>
      <c r="Q158" s="18">
        <v>0.31</v>
      </c>
      <c r="R158" s="17">
        <f t="shared" si="41"/>
        <v>4427.8</v>
      </c>
      <c r="S158" s="19">
        <f t="shared" si="42"/>
        <v>0.23664122137404583</v>
      </c>
      <c r="T158" s="17">
        <f>IF(C158="Mediana Complejidad",M158,0)</f>
        <v>0</v>
      </c>
      <c r="U158" s="18">
        <v>0.09</v>
      </c>
      <c r="V158" s="17">
        <f t="shared" si="43"/>
        <v>0</v>
      </c>
      <c r="W158" s="18">
        <f t="shared" si="44"/>
        <v>0</v>
      </c>
      <c r="X158" s="17">
        <f>IF(C158="Baja Complejidad",M158,0)</f>
        <v>0</v>
      </c>
      <c r="Y158" s="18">
        <v>0.35</v>
      </c>
      <c r="Z158" s="17">
        <f t="shared" si="45"/>
        <v>0</v>
      </c>
      <c r="AA158" s="18">
        <f t="shared" si="46"/>
        <v>0</v>
      </c>
      <c r="AB158" s="18">
        <v>0.1</v>
      </c>
    </row>
    <row r="159" spans="1:28">
      <c r="A159">
        <v>2026</v>
      </c>
      <c r="B159" t="s">
        <v>145</v>
      </c>
      <c r="C159" t="s">
        <v>146</v>
      </c>
      <c r="D159" t="s">
        <v>147</v>
      </c>
      <c r="E159">
        <v>284390</v>
      </c>
      <c r="G159" t="s">
        <v>148</v>
      </c>
      <c r="H159" t="s">
        <v>148</v>
      </c>
      <c r="I159" t="s">
        <v>55</v>
      </c>
      <c r="J159" t="s">
        <v>29</v>
      </c>
      <c r="K159">
        <v>5</v>
      </c>
      <c r="L159">
        <v>21900</v>
      </c>
      <c r="M159" s="17">
        <f t="shared" si="47"/>
        <v>4380</v>
      </c>
      <c r="O159" s="17">
        <f t="shared" si="40"/>
        <v>5694</v>
      </c>
      <c r="P159" s="17">
        <f>IF(C159="Alta Complejidad",M159,0)</f>
        <v>4380</v>
      </c>
      <c r="Q159" s="18">
        <v>0.3</v>
      </c>
      <c r="R159" s="17">
        <f t="shared" si="41"/>
        <v>5694</v>
      </c>
      <c r="S159" s="19">
        <f t="shared" si="42"/>
        <v>0.23076923076923078</v>
      </c>
      <c r="T159" s="17">
        <f>IF(C159="Mediana Complejidad",M159,0)</f>
        <v>0</v>
      </c>
      <c r="U159" s="18">
        <v>0.08</v>
      </c>
      <c r="V159" s="17">
        <f t="shared" si="43"/>
        <v>0</v>
      </c>
      <c r="W159" s="18">
        <f t="shared" si="44"/>
        <v>0</v>
      </c>
      <c r="X159" s="17">
        <f>IF(C159="Baja Complejidad",M159,0)</f>
        <v>0</v>
      </c>
      <c r="Y159" s="18">
        <v>0.12</v>
      </c>
      <c r="Z159" s="17">
        <f t="shared" si="45"/>
        <v>0</v>
      </c>
      <c r="AA159" s="18">
        <f t="shared" si="46"/>
        <v>0</v>
      </c>
      <c r="AB159" s="18">
        <v>0.1</v>
      </c>
    </row>
    <row r="160" spans="1:28">
      <c r="A160">
        <v>2026</v>
      </c>
      <c r="B160" t="s">
        <v>145</v>
      </c>
      <c r="C160" t="s">
        <v>146</v>
      </c>
      <c r="D160" t="s">
        <v>147</v>
      </c>
      <c r="E160">
        <v>287100</v>
      </c>
      <c r="G160" t="s">
        <v>148</v>
      </c>
      <c r="H160" t="s">
        <v>148</v>
      </c>
      <c r="I160" t="s">
        <v>60</v>
      </c>
      <c r="J160" t="s">
        <v>29</v>
      </c>
      <c r="K160">
        <v>5</v>
      </c>
      <c r="L160">
        <v>38600</v>
      </c>
      <c r="M160" s="17">
        <f t="shared" si="47"/>
        <v>7720</v>
      </c>
      <c r="O160" s="17">
        <f t="shared" si="40"/>
        <v>10036</v>
      </c>
      <c r="P160" s="17">
        <f>IF(C160="Alta Complejidad",M160,0)</f>
        <v>7720</v>
      </c>
      <c r="Q160" s="18">
        <v>0.28000000000000003</v>
      </c>
      <c r="R160" s="17">
        <f t="shared" si="41"/>
        <v>9881.6</v>
      </c>
      <c r="S160" s="19">
        <f t="shared" si="42"/>
        <v>0.21875000000000003</v>
      </c>
      <c r="T160" s="17">
        <f>IF(C160="Mediana Complejidad",M160,0)</f>
        <v>0</v>
      </c>
      <c r="U160" s="18">
        <v>0.06</v>
      </c>
      <c r="V160" s="17">
        <f t="shared" si="43"/>
        <v>0</v>
      </c>
      <c r="W160" s="18">
        <f t="shared" si="44"/>
        <v>0</v>
      </c>
      <c r="X160" s="17">
        <f>IF(C160="Baja Complejidad",M160,0)</f>
        <v>0</v>
      </c>
      <c r="Y160" s="18">
        <v>0.25</v>
      </c>
      <c r="Z160" s="17">
        <f t="shared" si="45"/>
        <v>0</v>
      </c>
      <c r="AA160" s="18">
        <f t="shared" si="46"/>
        <v>0</v>
      </c>
      <c r="AB160" s="18">
        <v>0.1</v>
      </c>
    </row>
    <row r="161" spans="1:28">
      <c r="A161">
        <v>2026</v>
      </c>
      <c r="B161" t="s">
        <v>145</v>
      </c>
      <c r="C161" t="s">
        <v>146</v>
      </c>
      <c r="D161" t="s">
        <v>147</v>
      </c>
      <c r="E161">
        <v>287200</v>
      </c>
      <c r="G161" t="s">
        <v>148</v>
      </c>
      <c r="H161" t="s">
        <v>148</v>
      </c>
      <c r="I161" t="s">
        <v>60</v>
      </c>
      <c r="J161" t="s">
        <v>29</v>
      </c>
      <c r="K161">
        <v>5</v>
      </c>
      <c r="L161">
        <v>107200</v>
      </c>
      <c r="M161" s="17">
        <f t="shared" si="47"/>
        <v>21440</v>
      </c>
      <c r="O161" s="17">
        <f t="shared" si="40"/>
        <v>27872</v>
      </c>
      <c r="P161" s="17">
        <f>IF(C161="Alta Complejidad",M161,0)</f>
        <v>21440</v>
      </c>
      <c r="Q161" s="18">
        <v>0.27</v>
      </c>
      <c r="R161" s="17">
        <f t="shared" si="41"/>
        <v>27228.799999999999</v>
      </c>
      <c r="S161" s="19">
        <f t="shared" si="42"/>
        <v>0.21259842519685038</v>
      </c>
      <c r="T161" s="17">
        <f>IF(C161="Mediana Complejidad",M161,0)</f>
        <v>0</v>
      </c>
      <c r="U161" s="18">
        <v>0.35</v>
      </c>
      <c r="V161" s="17">
        <f t="shared" si="43"/>
        <v>0</v>
      </c>
      <c r="W161" s="18">
        <f t="shared" si="44"/>
        <v>0</v>
      </c>
      <c r="X161" s="17">
        <f>IF(C161="Baja Complejidad",M161,0)</f>
        <v>0</v>
      </c>
      <c r="Y161" s="18">
        <v>0.1</v>
      </c>
      <c r="Z161" s="17">
        <f t="shared" si="45"/>
        <v>0</v>
      </c>
      <c r="AA161" s="18">
        <f t="shared" si="46"/>
        <v>0</v>
      </c>
      <c r="AB161" s="18">
        <v>0.1</v>
      </c>
    </row>
    <row r="162" spans="1:28">
      <c r="A162">
        <v>2026</v>
      </c>
      <c r="B162" t="s">
        <v>145</v>
      </c>
      <c r="C162" t="s">
        <v>146</v>
      </c>
      <c r="D162" t="s">
        <v>147</v>
      </c>
      <c r="E162">
        <v>287300</v>
      </c>
      <c r="G162" t="s">
        <v>148</v>
      </c>
      <c r="H162" t="s">
        <v>148</v>
      </c>
      <c r="I162" t="s">
        <v>60</v>
      </c>
      <c r="J162" t="s">
        <v>29</v>
      </c>
      <c r="K162">
        <v>5</v>
      </c>
      <c r="L162">
        <v>114900</v>
      </c>
      <c r="M162" s="17">
        <f t="shared" si="47"/>
        <v>22980</v>
      </c>
      <c r="O162" s="17">
        <f t="shared" si="40"/>
        <v>29874</v>
      </c>
      <c r="P162" s="17">
        <f>IF(C162="Alta Complejidad",M162,0)</f>
        <v>22980</v>
      </c>
      <c r="Q162" s="18">
        <v>0.17</v>
      </c>
      <c r="R162" s="17">
        <f t="shared" si="41"/>
        <v>26886.6</v>
      </c>
      <c r="S162" s="19">
        <f t="shared" si="42"/>
        <v>0.14529914529914525</v>
      </c>
      <c r="T162" s="17">
        <f>IF(C162="Mediana Complejidad",M162,0)</f>
        <v>0</v>
      </c>
      <c r="U162" s="18">
        <v>0.12</v>
      </c>
      <c r="V162" s="17">
        <f t="shared" si="43"/>
        <v>0</v>
      </c>
      <c r="W162" s="18">
        <f t="shared" si="44"/>
        <v>0</v>
      </c>
      <c r="X162" s="17">
        <f>IF(C162="Baja Complejidad",M162,0)</f>
        <v>0</v>
      </c>
      <c r="Y162" s="18">
        <v>0.35</v>
      </c>
      <c r="Z162" s="17">
        <f t="shared" si="45"/>
        <v>0</v>
      </c>
      <c r="AA162" s="18">
        <f t="shared" si="46"/>
        <v>0</v>
      </c>
      <c r="AB162" s="18">
        <v>0.1</v>
      </c>
    </row>
    <row r="163" spans="1:28">
      <c r="A163">
        <v>2026</v>
      </c>
      <c r="B163" t="s">
        <v>145</v>
      </c>
      <c r="C163" t="s">
        <v>146</v>
      </c>
      <c r="D163" t="s">
        <v>147</v>
      </c>
      <c r="E163">
        <v>287400</v>
      </c>
      <c r="G163" t="s">
        <v>148</v>
      </c>
      <c r="H163" t="s">
        <v>148</v>
      </c>
      <c r="I163" t="s">
        <v>60</v>
      </c>
      <c r="J163" t="s">
        <v>29</v>
      </c>
      <c r="K163">
        <v>5</v>
      </c>
      <c r="L163">
        <v>129400</v>
      </c>
      <c r="M163" s="17">
        <f t="shared" si="47"/>
        <v>25880</v>
      </c>
      <c r="O163" s="17">
        <f t="shared" si="40"/>
        <v>33644</v>
      </c>
      <c r="P163" s="17">
        <f>IF(C163="Alta Complejidad",M163,0)</f>
        <v>25880</v>
      </c>
      <c r="Q163" s="18">
        <v>0.22</v>
      </c>
      <c r="R163" s="17">
        <f t="shared" si="41"/>
        <v>31573.599999999999</v>
      </c>
      <c r="S163" s="19">
        <f t="shared" si="42"/>
        <v>0.18032786885245897</v>
      </c>
      <c r="T163" s="17">
        <f>IF(C163="Mediana Complejidad",M163,0)</f>
        <v>0</v>
      </c>
      <c r="U163" s="18">
        <v>0.25</v>
      </c>
      <c r="V163" s="17">
        <f t="shared" si="43"/>
        <v>0</v>
      </c>
      <c r="W163" s="18">
        <f t="shared" si="44"/>
        <v>0</v>
      </c>
      <c r="X163" s="17">
        <f>IF(C163="Baja Complejidad",M163,0)</f>
        <v>0</v>
      </c>
      <c r="Y163" s="18">
        <v>0.33</v>
      </c>
      <c r="Z163" s="17">
        <f t="shared" si="45"/>
        <v>0</v>
      </c>
      <c r="AA163" s="18">
        <f t="shared" si="46"/>
        <v>0</v>
      </c>
      <c r="AB163" s="18">
        <v>0.1</v>
      </c>
    </row>
    <row r="164" spans="1:28">
      <c r="A164">
        <v>2026</v>
      </c>
      <c r="B164" t="s">
        <v>145</v>
      </c>
      <c r="C164" t="s">
        <v>146</v>
      </c>
      <c r="D164" t="s">
        <v>147</v>
      </c>
      <c r="E164">
        <v>294899</v>
      </c>
      <c r="G164" t="s">
        <v>148</v>
      </c>
      <c r="H164" t="s">
        <v>148</v>
      </c>
      <c r="I164" t="s">
        <v>72</v>
      </c>
      <c r="J164" t="s">
        <v>29</v>
      </c>
      <c r="K164">
        <v>5</v>
      </c>
      <c r="L164">
        <v>49000</v>
      </c>
      <c r="M164" s="17">
        <f t="shared" si="47"/>
        <v>9800</v>
      </c>
      <c r="O164" s="17">
        <f t="shared" si="40"/>
        <v>12740</v>
      </c>
      <c r="P164" s="17">
        <f>IF(C164="Alta Complejidad",M164,0)</f>
        <v>9800</v>
      </c>
      <c r="Q164" s="18">
        <v>0.12</v>
      </c>
      <c r="R164" s="17">
        <f t="shared" si="41"/>
        <v>10976</v>
      </c>
      <c r="S164" s="19">
        <f t="shared" si="42"/>
        <v>0.10714285714285714</v>
      </c>
      <c r="T164" s="17">
        <f>IF(C164="Mediana Complejidad",M164,0)</f>
        <v>0</v>
      </c>
      <c r="U164" s="18">
        <v>0.1</v>
      </c>
      <c r="V164" s="17">
        <f t="shared" si="43"/>
        <v>0</v>
      </c>
      <c r="W164" s="18">
        <f t="shared" si="44"/>
        <v>0</v>
      </c>
      <c r="X164" s="17">
        <f>IF(C164="Baja Complejidad",M164,0)</f>
        <v>0</v>
      </c>
      <c r="Y164" s="18">
        <v>0.31</v>
      </c>
      <c r="Z164" s="17">
        <f t="shared" si="45"/>
        <v>0</v>
      </c>
      <c r="AA164" s="18">
        <f t="shared" si="46"/>
        <v>0</v>
      </c>
      <c r="AB164" s="18">
        <v>0.1</v>
      </c>
    </row>
    <row r="165" spans="1:28">
      <c r="A165">
        <v>2026</v>
      </c>
      <c r="B165" t="s">
        <v>145</v>
      </c>
      <c r="C165" t="s">
        <v>146</v>
      </c>
      <c r="D165" t="s">
        <v>147</v>
      </c>
      <c r="E165">
        <v>394590</v>
      </c>
      <c r="G165" t="s">
        <v>148</v>
      </c>
      <c r="H165" t="s">
        <v>148</v>
      </c>
      <c r="I165" t="s">
        <v>75</v>
      </c>
      <c r="J165" t="s">
        <v>53</v>
      </c>
      <c r="K165">
        <v>2</v>
      </c>
      <c r="L165">
        <v>386300</v>
      </c>
      <c r="M165" s="17">
        <f t="shared" si="47"/>
        <v>193150</v>
      </c>
      <c r="O165" s="17">
        <f t="shared" si="40"/>
        <v>251095</v>
      </c>
      <c r="P165" s="17">
        <f>IF(C165="Alta Complejidad",M165,0)</f>
        <v>193150</v>
      </c>
      <c r="Q165" s="18">
        <v>0.15</v>
      </c>
      <c r="R165" s="17">
        <f t="shared" si="41"/>
        <v>222122.5</v>
      </c>
      <c r="S165" s="19">
        <f t="shared" si="42"/>
        <v>0.13043478260869565</v>
      </c>
      <c r="T165" s="17">
        <f>IF(C165="Mediana Complejidad",M165,0)</f>
        <v>0</v>
      </c>
      <c r="U165" s="18">
        <v>0.35</v>
      </c>
      <c r="V165" s="17">
        <f t="shared" si="43"/>
        <v>0</v>
      </c>
      <c r="W165" s="18">
        <f t="shared" si="44"/>
        <v>0</v>
      </c>
      <c r="X165" s="17">
        <f>IF(C165="Baja Complejidad",M165,0)</f>
        <v>0</v>
      </c>
      <c r="Y165" s="18">
        <v>0.3</v>
      </c>
      <c r="Z165" s="17">
        <f t="shared" si="45"/>
        <v>0</v>
      </c>
      <c r="AA165" s="18">
        <f t="shared" si="46"/>
        <v>0</v>
      </c>
      <c r="AB165" s="18">
        <v>0.1</v>
      </c>
    </row>
    <row r="166" spans="1:28">
      <c r="A166">
        <v>2026</v>
      </c>
      <c r="B166" t="s">
        <v>145</v>
      </c>
      <c r="C166" t="s">
        <v>146</v>
      </c>
      <c r="D166" t="s">
        <v>147</v>
      </c>
      <c r="E166">
        <v>610200</v>
      </c>
      <c r="G166" t="s">
        <v>148</v>
      </c>
      <c r="H166" t="s">
        <v>148</v>
      </c>
      <c r="I166" t="s">
        <v>78</v>
      </c>
      <c r="J166" t="s">
        <v>22</v>
      </c>
      <c r="K166">
        <v>10</v>
      </c>
      <c r="L166">
        <v>38000</v>
      </c>
      <c r="M166" s="17">
        <f t="shared" si="47"/>
        <v>3800</v>
      </c>
      <c r="O166" s="17">
        <f t="shared" si="40"/>
        <v>4940</v>
      </c>
      <c r="P166" s="17">
        <f>IF(C166="Alta Complejidad",M166,0)</f>
        <v>3800</v>
      </c>
      <c r="Q166" s="18">
        <v>0.18</v>
      </c>
      <c r="R166" s="17">
        <f t="shared" si="41"/>
        <v>4484</v>
      </c>
      <c r="S166" s="19">
        <f t="shared" si="42"/>
        <v>0.15254237288135594</v>
      </c>
      <c r="T166" s="17">
        <f>IF(C166="Mediana Complejidad",M166,0)</f>
        <v>0</v>
      </c>
      <c r="U166" s="18">
        <v>0.33</v>
      </c>
      <c r="V166" s="17">
        <f t="shared" si="43"/>
        <v>0</v>
      </c>
      <c r="W166" s="18">
        <f t="shared" si="44"/>
        <v>0</v>
      </c>
      <c r="X166" s="17">
        <f>IF(C166="Baja Complejidad",M166,0)</f>
        <v>0</v>
      </c>
      <c r="Y166" s="18">
        <v>0.28000000000000003</v>
      </c>
      <c r="Z166" s="17">
        <f t="shared" si="45"/>
        <v>0</v>
      </c>
      <c r="AA166" s="18">
        <f t="shared" si="46"/>
        <v>0</v>
      </c>
      <c r="AB166" s="18">
        <v>0.1</v>
      </c>
    </row>
    <row r="167" spans="1:28">
      <c r="A167">
        <v>2026</v>
      </c>
      <c r="B167" t="s">
        <v>145</v>
      </c>
      <c r="C167" t="s">
        <v>146</v>
      </c>
      <c r="D167" t="s">
        <v>147</v>
      </c>
      <c r="E167">
        <v>610300</v>
      </c>
      <c r="G167" t="s">
        <v>148</v>
      </c>
      <c r="H167" t="s">
        <v>148</v>
      </c>
      <c r="I167" t="s">
        <v>78</v>
      </c>
      <c r="J167" t="s">
        <v>22</v>
      </c>
      <c r="K167">
        <v>10</v>
      </c>
      <c r="L167">
        <v>39800</v>
      </c>
      <c r="M167" s="17">
        <f t="shared" si="47"/>
        <v>3980</v>
      </c>
      <c r="O167" s="17">
        <f t="shared" si="40"/>
        <v>5174</v>
      </c>
      <c r="P167" s="17">
        <f>IF(C167="Alta Complejidad",M167,0)</f>
        <v>3980</v>
      </c>
      <c r="Q167" s="18">
        <v>0.28999999999999998</v>
      </c>
      <c r="R167" s="17">
        <f t="shared" si="41"/>
        <v>5134.2</v>
      </c>
      <c r="S167" s="19">
        <f t="shared" si="42"/>
        <v>0.22480620155038758</v>
      </c>
      <c r="T167" s="17">
        <f>IF(C167="Mediana Complejidad",M167,0)</f>
        <v>0</v>
      </c>
      <c r="U167" s="18">
        <v>0.31</v>
      </c>
      <c r="V167" s="17">
        <f t="shared" si="43"/>
        <v>0</v>
      </c>
      <c r="W167" s="18">
        <f t="shared" si="44"/>
        <v>0</v>
      </c>
      <c r="X167" s="17">
        <f>IF(C167="Baja Complejidad",M167,0)</f>
        <v>0</v>
      </c>
      <c r="Y167" s="18">
        <v>0.27</v>
      </c>
      <c r="Z167" s="17">
        <f t="shared" si="45"/>
        <v>0</v>
      </c>
      <c r="AA167" s="18">
        <f t="shared" si="46"/>
        <v>0</v>
      </c>
      <c r="AB167" s="18">
        <v>0.1</v>
      </c>
    </row>
    <row r="168" spans="1:28">
      <c r="A168">
        <v>2026</v>
      </c>
      <c r="B168" t="s">
        <v>145</v>
      </c>
      <c r="C168" t="s">
        <v>146</v>
      </c>
      <c r="D168" t="s">
        <v>147</v>
      </c>
      <c r="E168">
        <v>610400</v>
      </c>
      <c r="G168" t="s">
        <v>148</v>
      </c>
      <c r="H168" t="s">
        <v>148</v>
      </c>
      <c r="I168" t="s">
        <v>78</v>
      </c>
      <c r="J168" t="s">
        <v>22</v>
      </c>
      <c r="K168">
        <v>10</v>
      </c>
      <c r="L168">
        <v>42200</v>
      </c>
      <c r="M168" s="17">
        <f t="shared" si="47"/>
        <v>4220</v>
      </c>
      <c r="O168" s="17">
        <f t="shared" si="40"/>
        <v>5486</v>
      </c>
      <c r="P168" s="17">
        <f>IF(C168="Alta Complejidad",M168,0)</f>
        <v>4220</v>
      </c>
      <c r="Q168" s="18">
        <v>0.34</v>
      </c>
      <c r="R168" s="17">
        <f t="shared" si="41"/>
        <v>5654.8</v>
      </c>
      <c r="S168" s="19">
        <f t="shared" si="42"/>
        <v>0.2537313432835821</v>
      </c>
      <c r="T168" s="17">
        <f>IF(C168="Mediana Complejidad",M168,0)</f>
        <v>0</v>
      </c>
      <c r="U168" s="18">
        <v>0.3</v>
      </c>
      <c r="V168" s="17">
        <f t="shared" si="43"/>
        <v>0</v>
      </c>
      <c r="W168" s="18">
        <f t="shared" si="44"/>
        <v>0</v>
      </c>
      <c r="X168" s="17">
        <f>IF(C168="Baja Complejidad",M168,0)</f>
        <v>0</v>
      </c>
      <c r="Y168" s="18">
        <v>0.17</v>
      </c>
      <c r="Z168" s="17">
        <f t="shared" si="45"/>
        <v>0</v>
      </c>
      <c r="AA168" s="18">
        <f t="shared" si="46"/>
        <v>0</v>
      </c>
      <c r="AB168" s="18">
        <v>0.1</v>
      </c>
    </row>
    <row r="169" spans="1:28">
      <c r="A169">
        <v>2026</v>
      </c>
      <c r="B169" t="s">
        <v>145</v>
      </c>
      <c r="C169" t="s">
        <v>146</v>
      </c>
      <c r="D169" t="s">
        <v>147</v>
      </c>
      <c r="E169">
        <v>610500</v>
      </c>
      <c r="G169" t="s">
        <v>148</v>
      </c>
      <c r="H169" t="s">
        <v>148</v>
      </c>
      <c r="I169" t="s">
        <v>78</v>
      </c>
      <c r="J169" t="s">
        <v>22</v>
      </c>
      <c r="K169">
        <v>10</v>
      </c>
      <c r="L169">
        <v>51600</v>
      </c>
      <c r="M169" s="17">
        <f t="shared" si="47"/>
        <v>5160</v>
      </c>
      <c r="O169" s="17">
        <f t="shared" si="40"/>
        <v>6708</v>
      </c>
      <c r="P169" s="17">
        <f>IF(C169="Alta Complejidad",M169,0)</f>
        <v>5160</v>
      </c>
      <c r="Q169" s="18">
        <v>0.25</v>
      </c>
      <c r="R169" s="17">
        <f t="shared" si="41"/>
        <v>6450</v>
      </c>
      <c r="S169" s="19">
        <f t="shared" si="42"/>
        <v>0.2</v>
      </c>
      <c r="T169" s="17">
        <f>IF(C169="Mediana Complejidad",M169,0)</f>
        <v>0</v>
      </c>
      <c r="U169" s="18">
        <v>0.28000000000000003</v>
      </c>
      <c r="V169" s="17">
        <f t="shared" si="43"/>
        <v>0</v>
      </c>
      <c r="W169" s="18">
        <f t="shared" si="44"/>
        <v>0</v>
      </c>
      <c r="X169" s="17">
        <f>IF(C169="Baja Complejidad",M169,0)</f>
        <v>0</v>
      </c>
      <c r="Y169" s="18">
        <v>0.22</v>
      </c>
      <c r="Z169" s="17">
        <f t="shared" si="45"/>
        <v>0</v>
      </c>
      <c r="AA169" s="18">
        <f t="shared" si="46"/>
        <v>0</v>
      </c>
      <c r="AB169" s="18">
        <v>0.1</v>
      </c>
    </row>
    <row r="170" spans="1:28">
      <c r="A170">
        <v>2026</v>
      </c>
      <c r="B170" t="s">
        <v>145</v>
      </c>
      <c r="C170" t="s">
        <v>146</v>
      </c>
      <c r="D170" t="s">
        <v>147</v>
      </c>
      <c r="E170">
        <v>3505</v>
      </c>
      <c r="G170" t="s">
        <v>148</v>
      </c>
      <c r="H170" t="s">
        <v>148</v>
      </c>
      <c r="I170" t="s">
        <v>95</v>
      </c>
      <c r="J170" t="s">
        <v>12</v>
      </c>
      <c r="K170">
        <v>1</v>
      </c>
      <c r="L170">
        <v>43500</v>
      </c>
      <c r="M170" s="17">
        <f t="shared" si="47"/>
        <v>43500</v>
      </c>
      <c r="O170" s="17">
        <f t="shared" si="40"/>
        <v>56550</v>
      </c>
      <c r="P170" s="17">
        <f>IF(C170="Alta Complejidad",M170,0)</f>
        <v>43500</v>
      </c>
      <c r="Q170" s="18">
        <v>0.35</v>
      </c>
      <c r="R170" s="17">
        <f t="shared" si="41"/>
        <v>58725</v>
      </c>
      <c r="S170" s="19">
        <f t="shared" si="42"/>
        <v>0.25925925925925924</v>
      </c>
      <c r="T170" s="17">
        <f>IF(C170="Mediana Complejidad",M170,0)</f>
        <v>0</v>
      </c>
      <c r="U170" s="18">
        <v>0.27</v>
      </c>
      <c r="V170" s="17">
        <f t="shared" si="43"/>
        <v>0</v>
      </c>
      <c r="W170" s="18">
        <f t="shared" si="44"/>
        <v>0</v>
      </c>
      <c r="X170" s="17">
        <f>IF(C170="Baja Complejidad",M170,0)</f>
        <v>0</v>
      </c>
      <c r="Y170" s="18">
        <v>0.12</v>
      </c>
      <c r="Z170" s="17">
        <f t="shared" si="45"/>
        <v>0</v>
      </c>
      <c r="AA170" s="18">
        <f t="shared" si="46"/>
        <v>0</v>
      </c>
      <c r="AB170" s="18">
        <v>0.1</v>
      </c>
    </row>
    <row r="171" spans="1:28">
      <c r="A171">
        <v>2026</v>
      </c>
      <c r="B171" t="s">
        <v>145</v>
      </c>
      <c r="C171" t="s">
        <v>146</v>
      </c>
      <c r="D171" t="s">
        <v>147</v>
      </c>
      <c r="E171">
        <v>2440</v>
      </c>
      <c r="G171" t="s">
        <v>148</v>
      </c>
      <c r="H171" t="s">
        <v>148</v>
      </c>
      <c r="I171" t="s">
        <v>100</v>
      </c>
      <c r="J171" t="s">
        <v>12</v>
      </c>
      <c r="K171">
        <v>1</v>
      </c>
      <c r="L171">
        <v>89500</v>
      </c>
      <c r="M171" s="17">
        <f t="shared" si="47"/>
        <v>89500</v>
      </c>
      <c r="O171" s="17">
        <f t="shared" si="40"/>
        <v>116350</v>
      </c>
      <c r="P171" s="17">
        <f>IF(C171="Alta Complejidad",M171,0)</f>
        <v>89500</v>
      </c>
      <c r="Q171" s="18">
        <v>0.12</v>
      </c>
      <c r="R171" s="17">
        <f t="shared" si="41"/>
        <v>100240</v>
      </c>
      <c r="S171" s="19">
        <f t="shared" si="42"/>
        <v>0.10714285714285714</v>
      </c>
      <c r="T171" s="17">
        <f>IF(C171="Mediana Complejidad",M171,0)</f>
        <v>0</v>
      </c>
      <c r="U171" s="18">
        <v>0.17</v>
      </c>
      <c r="V171" s="17">
        <f t="shared" si="43"/>
        <v>0</v>
      </c>
      <c r="W171" s="18">
        <f t="shared" si="44"/>
        <v>0</v>
      </c>
      <c r="X171" s="17">
        <f>IF(C171="Baja Complejidad",M171,0)</f>
        <v>0</v>
      </c>
      <c r="Y171" s="18">
        <v>0.15</v>
      </c>
      <c r="Z171" s="17">
        <f t="shared" si="45"/>
        <v>0</v>
      </c>
      <c r="AA171" s="18">
        <f t="shared" si="46"/>
        <v>0</v>
      </c>
      <c r="AB171" s="18">
        <v>0.1</v>
      </c>
    </row>
    <row r="172" spans="1:28">
      <c r="A172">
        <v>2026</v>
      </c>
      <c r="B172" t="s">
        <v>145</v>
      </c>
      <c r="C172" t="s">
        <v>146</v>
      </c>
      <c r="D172" t="s">
        <v>147</v>
      </c>
      <c r="E172">
        <v>2438</v>
      </c>
      <c r="G172" t="s">
        <v>148</v>
      </c>
      <c r="H172" t="s">
        <v>148</v>
      </c>
      <c r="I172" t="s">
        <v>100</v>
      </c>
      <c r="J172" t="s">
        <v>12</v>
      </c>
      <c r="K172">
        <v>1</v>
      </c>
      <c r="L172">
        <v>67900</v>
      </c>
      <c r="M172" s="17">
        <f t="shared" si="47"/>
        <v>67900</v>
      </c>
      <c r="O172" s="17">
        <f t="shared" si="40"/>
        <v>88270</v>
      </c>
      <c r="P172" s="17">
        <f>IF(C172="Alta Complejidad",M172,0)</f>
        <v>67900</v>
      </c>
      <c r="Q172" s="18">
        <v>0.25</v>
      </c>
      <c r="R172" s="17">
        <f t="shared" si="41"/>
        <v>84875</v>
      </c>
      <c r="S172" s="19">
        <f t="shared" si="42"/>
        <v>0.2</v>
      </c>
      <c r="T172" s="17">
        <f>IF(C172="Mediana Complejidad",M172,0)</f>
        <v>0</v>
      </c>
      <c r="U172" s="18">
        <v>0.22</v>
      </c>
      <c r="V172" s="17">
        <f t="shared" si="43"/>
        <v>0</v>
      </c>
      <c r="W172" s="18">
        <f t="shared" si="44"/>
        <v>0</v>
      </c>
      <c r="X172" s="17">
        <f>IF(C172="Baja Complejidad",M172,0)</f>
        <v>0</v>
      </c>
      <c r="Y172" s="18">
        <v>0.18</v>
      </c>
      <c r="Z172" s="17">
        <f t="shared" si="45"/>
        <v>0</v>
      </c>
      <c r="AA172" s="18">
        <f t="shared" si="46"/>
        <v>0</v>
      </c>
      <c r="AB172" s="18">
        <v>0.1</v>
      </c>
    </row>
    <row r="173" spans="1:28">
      <c r="A173">
        <v>2026</v>
      </c>
      <c r="B173" t="s">
        <v>145</v>
      </c>
      <c r="C173" t="s">
        <v>146</v>
      </c>
      <c r="D173" t="s">
        <v>147</v>
      </c>
      <c r="E173">
        <v>2434</v>
      </c>
      <c r="G173" t="s">
        <v>148</v>
      </c>
      <c r="H173" t="s">
        <v>148</v>
      </c>
      <c r="I173" t="s">
        <v>100</v>
      </c>
      <c r="J173" t="s">
        <v>12</v>
      </c>
      <c r="K173">
        <v>1</v>
      </c>
      <c r="L173">
        <v>50300</v>
      </c>
      <c r="M173" s="17">
        <f t="shared" si="47"/>
        <v>50300</v>
      </c>
      <c r="O173" s="17">
        <f t="shared" si="40"/>
        <v>65390</v>
      </c>
      <c r="P173" s="17">
        <f>IF(C173="Alta Complejidad",M173,0)</f>
        <v>50300</v>
      </c>
      <c r="Q173" s="18">
        <v>0.1</v>
      </c>
      <c r="R173" s="17">
        <f t="shared" si="41"/>
        <v>55330</v>
      </c>
      <c r="S173" s="19">
        <f t="shared" si="42"/>
        <v>9.0909090909090912E-2</v>
      </c>
      <c r="T173" s="17">
        <f>IF(C173="Mediana Complejidad",M173,0)</f>
        <v>0</v>
      </c>
      <c r="U173" s="18">
        <v>0.12</v>
      </c>
      <c r="V173" s="17">
        <f t="shared" si="43"/>
        <v>0</v>
      </c>
      <c r="W173" s="18">
        <f t="shared" si="44"/>
        <v>0</v>
      </c>
      <c r="X173" s="17">
        <f>IF(C173="Baja Complejidad",M173,0)</f>
        <v>0</v>
      </c>
      <c r="Y173" s="18">
        <v>0.28999999999999998</v>
      </c>
      <c r="Z173" s="17">
        <f t="shared" si="45"/>
        <v>0</v>
      </c>
      <c r="AA173" s="18">
        <f t="shared" si="46"/>
        <v>0</v>
      </c>
      <c r="AB173" s="18">
        <v>0.1</v>
      </c>
    </row>
    <row r="174" spans="1:28">
      <c r="A174">
        <v>2026</v>
      </c>
      <c r="B174" t="s">
        <v>145</v>
      </c>
      <c r="C174" t="s">
        <v>146</v>
      </c>
      <c r="D174" t="s">
        <v>147</v>
      </c>
      <c r="E174">
        <v>2436</v>
      </c>
      <c r="G174" t="s">
        <v>148</v>
      </c>
      <c r="H174" t="s">
        <v>148</v>
      </c>
      <c r="I174" t="s">
        <v>100</v>
      </c>
      <c r="J174" t="s">
        <v>12</v>
      </c>
      <c r="K174">
        <v>1</v>
      </c>
      <c r="L174">
        <v>53300</v>
      </c>
      <c r="M174" s="17">
        <f t="shared" si="47"/>
        <v>53300</v>
      </c>
      <c r="O174" s="17">
        <f t="shared" si="40"/>
        <v>69290</v>
      </c>
      <c r="P174" s="17">
        <f>IF(C174="Alta Complejidad",M174,0)</f>
        <v>53300</v>
      </c>
      <c r="Q174" s="18">
        <v>0.35</v>
      </c>
      <c r="R174" s="17">
        <f t="shared" si="41"/>
        <v>71955</v>
      </c>
      <c r="S174" s="19">
        <f t="shared" si="42"/>
        <v>0.25925925925925924</v>
      </c>
      <c r="T174" s="17">
        <f>IF(C174="Mediana Complejidad",M174,0)</f>
        <v>0</v>
      </c>
      <c r="U174" s="18">
        <v>0.15</v>
      </c>
      <c r="V174" s="17">
        <f t="shared" si="43"/>
        <v>0</v>
      </c>
      <c r="W174" s="18">
        <f t="shared" si="44"/>
        <v>0</v>
      </c>
      <c r="X174" s="17">
        <f>IF(C174="Baja Complejidad",M174,0)</f>
        <v>0</v>
      </c>
      <c r="Y174" s="18">
        <v>0.34</v>
      </c>
      <c r="Z174" s="17">
        <f t="shared" si="45"/>
        <v>0</v>
      </c>
      <c r="AA174" s="18">
        <f t="shared" si="46"/>
        <v>0</v>
      </c>
      <c r="AB174" s="18">
        <v>0.1</v>
      </c>
    </row>
    <row r="175" spans="1:28" ht="15">
      <c r="A175" s="11" t="s">
        <v>117</v>
      </c>
      <c r="B175" s="11" t="s">
        <v>118</v>
      </c>
      <c r="C175" s="11" t="s">
        <v>119</v>
      </c>
      <c r="D175" s="11" t="s">
        <v>120</v>
      </c>
      <c r="E175" s="11" t="s">
        <v>121</v>
      </c>
      <c r="F175" s="11" t="s">
        <v>122</v>
      </c>
      <c r="G175" s="11" t="s">
        <v>123</v>
      </c>
      <c r="H175" s="11" t="s">
        <v>124</v>
      </c>
      <c r="I175" s="11" t="s">
        <v>125</v>
      </c>
      <c r="J175" s="11" t="s">
        <v>126</v>
      </c>
      <c r="K175" s="11" t="s">
        <v>127</v>
      </c>
      <c r="L175" s="11" t="s">
        <v>128</v>
      </c>
      <c r="M175" s="12" t="s">
        <v>129</v>
      </c>
      <c r="N175" s="11" t="s">
        <v>130</v>
      </c>
      <c r="O175" s="11" t="s">
        <v>131</v>
      </c>
      <c r="P175" s="11" t="s">
        <v>132</v>
      </c>
      <c r="Q175" s="13" t="s">
        <v>133</v>
      </c>
      <c r="R175" s="14" t="s">
        <v>134</v>
      </c>
      <c r="S175" s="15" t="s">
        <v>135</v>
      </c>
      <c r="T175" s="16" t="s">
        <v>136</v>
      </c>
      <c r="U175" s="16" t="s">
        <v>137</v>
      </c>
      <c r="V175" s="16" t="s">
        <v>138</v>
      </c>
      <c r="W175" s="13" t="s">
        <v>139</v>
      </c>
      <c r="X175" s="16" t="s">
        <v>140</v>
      </c>
      <c r="Y175" s="16" t="s">
        <v>141</v>
      </c>
      <c r="Z175" s="16" t="s">
        <v>142</v>
      </c>
      <c r="AA175" s="13" t="s">
        <v>143</v>
      </c>
      <c r="AB175" s="14" t="s">
        <v>144</v>
      </c>
    </row>
    <row r="176" spans="1:28">
      <c r="A176">
        <v>2026</v>
      </c>
      <c r="B176" t="s">
        <v>145</v>
      </c>
      <c r="C176" t="s">
        <v>146</v>
      </c>
      <c r="D176" t="s">
        <v>147</v>
      </c>
      <c r="E176">
        <v>360001</v>
      </c>
      <c r="G176" t="s">
        <v>148</v>
      </c>
      <c r="H176" t="s">
        <v>148</v>
      </c>
      <c r="I176" t="s">
        <v>9</v>
      </c>
      <c r="J176" t="s">
        <v>12</v>
      </c>
      <c r="K176">
        <v>1</v>
      </c>
      <c r="L176">
        <v>893800</v>
      </c>
      <c r="M176" s="17">
        <f>L176/K176</f>
        <v>893800</v>
      </c>
      <c r="O176" s="17">
        <f t="shared" ref="O176:O203" si="48">M176+(M176*30%)</f>
        <v>1161940</v>
      </c>
      <c r="P176" s="17">
        <f>IF(C176="Alta Complejidad",M176,0)</f>
        <v>893800</v>
      </c>
      <c r="Q176" s="18">
        <v>0.15</v>
      </c>
      <c r="R176" s="17">
        <f t="shared" ref="R176:R203" si="49">P176+(P176*Q176)</f>
        <v>1027870</v>
      </c>
      <c r="S176" s="19">
        <f t="shared" ref="S176:S203" si="50">IFERROR(((R176-P176)/R176),0)</f>
        <v>0.13043478260869565</v>
      </c>
      <c r="T176" s="17">
        <f>IF(C176="Mediana Complejidad",M176,0)</f>
        <v>0</v>
      </c>
      <c r="U176" s="18">
        <v>0.3</v>
      </c>
      <c r="V176" s="17">
        <f t="shared" ref="V176:V203" si="51">(T176)+(T176*U176)</f>
        <v>0</v>
      </c>
      <c r="W176" s="18">
        <f t="shared" ref="W176:W203" si="52">IFERROR(((V176-T176)/V176),0)</f>
        <v>0</v>
      </c>
      <c r="X176" s="17">
        <f>IF(C176="Baja Complejidad",M176,0)</f>
        <v>0</v>
      </c>
      <c r="Y176" s="18">
        <v>0.3</v>
      </c>
      <c r="Z176" s="17">
        <f t="shared" ref="Z176:Z203" si="53">(X176)+(X176*Y176)</f>
        <v>0</v>
      </c>
      <c r="AA176" s="18">
        <f t="shared" ref="AA176:AA203" si="54">IFERROR(((Z176-X176)/Z176),0)</f>
        <v>0</v>
      </c>
      <c r="AB176" s="18">
        <v>0.1</v>
      </c>
    </row>
    <row r="177" spans="1:28">
      <c r="A177">
        <v>2026</v>
      </c>
      <c r="B177" t="s">
        <v>145</v>
      </c>
      <c r="C177" t="s">
        <v>146</v>
      </c>
      <c r="D177" t="s">
        <v>147</v>
      </c>
      <c r="E177">
        <v>709900</v>
      </c>
      <c r="G177" t="s">
        <v>148</v>
      </c>
      <c r="H177" t="s">
        <v>148</v>
      </c>
      <c r="I177" t="s">
        <v>19</v>
      </c>
      <c r="J177" t="s">
        <v>22</v>
      </c>
      <c r="K177">
        <v>10</v>
      </c>
      <c r="L177">
        <v>13500</v>
      </c>
      <c r="M177" s="17">
        <f t="shared" ref="M177:M203" si="55">L177/K177</f>
        <v>1350</v>
      </c>
      <c r="O177" s="17">
        <f t="shared" si="48"/>
        <v>1755</v>
      </c>
      <c r="P177" s="17">
        <f>IF(C177="Alta Complejidad",M177,0)</f>
        <v>1350</v>
      </c>
      <c r="Q177" s="18">
        <v>0.18</v>
      </c>
      <c r="R177" s="17">
        <f t="shared" si="49"/>
        <v>1593</v>
      </c>
      <c r="S177" s="19">
        <f t="shared" si="50"/>
        <v>0.15254237288135594</v>
      </c>
      <c r="T177" s="17">
        <f>IF(C177="Mediana Complejidad",M177,0)</f>
        <v>0</v>
      </c>
      <c r="U177" s="18">
        <v>0.28000000000000003</v>
      </c>
      <c r="V177" s="17">
        <f t="shared" si="51"/>
        <v>0</v>
      </c>
      <c r="W177" s="18">
        <f t="shared" si="52"/>
        <v>0</v>
      </c>
      <c r="X177" s="17">
        <f>IF(C177="Baja Complejidad",M177,0)</f>
        <v>0</v>
      </c>
      <c r="Y177" s="18">
        <v>0.28000000000000003</v>
      </c>
      <c r="Z177" s="17">
        <f t="shared" si="53"/>
        <v>0</v>
      </c>
      <c r="AA177" s="18">
        <f t="shared" si="54"/>
        <v>0</v>
      </c>
      <c r="AB177" s="18">
        <v>0.1</v>
      </c>
    </row>
    <row r="178" spans="1:28">
      <c r="A178">
        <v>2026</v>
      </c>
      <c r="B178" t="s">
        <v>145</v>
      </c>
      <c r="C178" t="s">
        <v>146</v>
      </c>
      <c r="D178" t="s">
        <v>147</v>
      </c>
      <c r="E178">
        <v>709902</v>
      </c>
      <c r="G178" t="s">
        <v>148</v>
      </c>
      <c r="H178" t="s">
        <v>148</v>
      </c>
      <c r="I178" t="s">
        <v>19</v>
      </c>
      <c r="J178" t="s">
        <v>22</v>
      </c>
      <c r="K178">
        <v>10</v>
      </c>
      <c r="L178">
        <v>28800</v>
      </c>
      <c r="M178" s="17">
        <f t="shared" si="55"/>
        <v>2880</v>
      </c>
      <c r="O178" s="17">
        <f t="shared" si="48"/>
        <v>3744</v>
      </c>
      <c r="P178" s="17">
        <f>IF(C178="Alta Complejidad",M178,0)</f>
        <v>2880</v>
      </c>
      <c r="Q178" s="18">
        <v>0.28999999999999998</v>
      </c>
      <c r="R178" s="17">
        <f t="shared" si="49"/>
        <v>3715.2</v>
      </c>
      <c r="S178" s="19">
        <f t="shared" si="50"/>
        <v>0.22480620155038755</v>
      </c>
      <c r="T178" s="17">
        <f>IF(C178="Mediana Complejidad",M178,0)</f>
        <v>0</v>
      </c>
      <c r="U178" s="18">
        <v>0.27</v>
      </c>
      <c r="V178" s="17">
        <f t="shared" si="51"/>
        <v>0</v>
      </c>
      <c r="W178" s="18">
        <f t="shared" si="52"/>
        <v>0</v>
      </c>
      <c r="X178" s="17">
        <f>IF(C178="Baja Complejidad",M178,0)</f>
        <v>0</v>
      </c>
      <c r="Y178" s="18">
        <v>0.27</v>
      </c>
      <c r="Z178" s="17">
        <f t="shared" si="53"/>
        <v>0</v>
      </c>
      <c r="AA178" s="18">
        <f t="shared" si="54"/>
        <v>0</v>
      </c>
      <c r="AB178" s="18">
        <v>0.1</v>
      </c>
    </row>
    <row r="179" spans="1:28">
      <c r="A179">
        <v>2026</v>
      </c>
      <c r="B179" t="s">
        <v>145</v>
      </c>
      <c r="C179" t="s">
        <v>146</v>
      </c>
      <c r="D179" t="s">
        <v>147</v>
      </c>
      <c r="E179">
        <v>709903</v>
      </c>
      <c r="G179" t="s">
        <v>148</v>
      </c>
      <c r="H179" t="s">
        <v>148</v>
      </c>
      <c r="I179" t="s">
        <v>19</v>
      </c>
      <c r="J179" t="s">
        <v>22</v>
      </c>
      <c r="K179">
        <v>10</v>
      </c>
      <c r="L179">
        <v>63400</v>
      </c>
      <c r="M179" s="17">
        <f t="shared" si="55"/>
        <v>6340</v>
      </c>
      <c r="O179" s="17">
        <f t="shared" si="48"/>
        <v>8242</v>
      </c>
      <c r="P179" s="17">
        <f>IF(C179="Alta Complejidad",M179,0)</f>
        <v>6340</v>
      </c>
      <c r="Q179" s="18">
        <v>0.34</v>
      </c>
      <c r="R179" s="17">
        <f t="shared" si="49"/>
        <v>8495.6</v>
      </c>
      <c r="S179" s="19">
        <f t="shared" si="50"/>
        <v>0.2537313432835821</v>
      </c>
      <c r="T179" s="17">
        <f>IF(C179="Mediana Complejidad",M179,0)</f>
        <v>0</v>
      </c>
      <c r="U179" s="18">
        <v>0.17</v>
      </c>
      <c r="V179" s="17">
        <f t="shared" si="51"/>
        <v>0</v>
      </c>
      <c r="W179" s="18">
        <f t="shared" si="52"/>
        <v>0</v>
      </c>
      <c r="X179" s="17">
        <f>IF(C179="Baja Complejidad",M179,0)</f>
        <v>0</v>
      </c>
      <c r="Y179" s="18">
        <v>0.17</v>
      </c>
      <c r="Z179" s="17">
        <f t="shared" si="53"/>
        <v>0</v>
      </c>
      <c r="AA179" s="18">
        <f t="shared" si="54"/>
        <v>0</v>
      </c>
      <c r="AB179" s="18">
        <v>0.1</v>
      </c>
    </row>
    <row r="180" spans="1:28">
      <c r="A180">
        <v>2026</v>
      </c>
      <c r="B180" t="s">
        <v>145</v>
      </c>
      <c r="C180" t="s">
        <v>146</v>
      </c>
      <c r="D180" t="s">
        <v>147</v>
      </c>
      <c r="E180">
        <v>603421</v>
      </c>
      <c r="G180" t="s">
        <v>148</v>
      </c>
      <c r="H180" t="s">
        <v>148</v>
      </c>
      <c r="I180" t="s">
        <v>30</v>
      </c>
      <c r="J180" t="s">
        <v>22</v>
      </c>
      <c r="K180">
        <v>10</v>
      </c>
      <c r="L180">
        <v>24200</v>
      </c>
      <c r="M180" s="17">
        <f t="shared" si="55"/>
        <v>2420</v>
      </c>
      <c r="O180" s="17">
        <f t="shared" si="48"/>
        <v>3146</v>
      </c>
      <c r="P180" s="17">
        <f>IF(C180="Alta Complejidad",M180,0)</f>
        <v>2420</v>
      </c>
      <c r="Q180" s="18">
        <v>0.25</v>
      </c>
      <c r="R180" s="17">
        <f t="shared" si="49"/>
        <v>3025</v>
      </c>
      <c r="S180" s="19">
        <f t="shared" si="50"/>
        <v>0.2</v>
      </c>
      <c r="T180" s="17">
        <f>IF(C180="Mediana Complejidad",M180,0)</f>
        <v>0</v>
      </c>
      <c r="U180" s="18">
        <v>0.22</v>
      </c>
      <c r="V180" s="17">
        <f t="shared" si="51"/>
        <v>0</v>
      </c>
      <c r="W180" s="18">
        <f t="shared" si="52"/>
        <v>0</v>
      </c>
      <c r="X180" s="17">
        <f>IF(C180="Baja Complejidad",M180,0)</f>
        <v>0</v>
      </c>
      <c r="Y180" s="18">
        <v>0.22</v>
      </c>
      <c r="Z180" s="17">
        <f t="shared" si="53"/>
        <v>0</v>
      </c>
      <c r="AA180" s="18">
        <f t="shared" si="54"/>
        <v>0</v>
      </c>
      <c r="AB180" s="18">
        <v>0.1</v>
      </c>
    </row>
    <row r="181" spans="1:28">
      <c r="A181">
        <v>2026</v>
      </c>
      <c r="B181" t="s">
        <v>145</v>
      </c>
      <c r="C181" t="s">
        <v>146</v>
      </c>
      <c r="D181" t="s">
        <v>147</v>
      </c>
      <c r="E181">
        <v>603422</v>
      </c>
      <c r="G181" t="s">
        <v>148</v>
      </c>
      <c r="H181" t="s">
        <v>148</v>
      </c>
      <c r="I181" t="s">
        <v>30</v>
      </c>
      <c r="J181" t="s">
        <v>22</v>
      </c>
      <c r="K181">
        <v>10</v>
      </c>
      <c r="L181">
        <v>36700</v>
      </c>
      <c r="M181" s="17">
        <f t="shared" si="55"/>
        <v>3670</v>
      </c>
      <c r="O181" s="17">
        <f t="shared" si="48"/>
        <v>4771</v>
      </c>
      <c r="P181" s="17">
        <f>IF(C181="Alta Complejidad",M181,0)</f>
        <v>3670</v>
      </c>
      <c r="Q181" s="18">
        <v>0.35</v>
      </c>
      <c r="R181" s="17">
        <f t="shared" si="49"/>
        <v>4954.5</v>
      </c>
      <c r="S181" s="19">
        <f t="shared" si="50"/>
        <v>0.25925925925925924</v>
      </c>
      <c r="T181" s="17">
        <f>IF(C181="Mediana Complejidad",M181,0)</f>
        <v>0</v>
      </c>
      <c r="U181" s="18">
        <v>0.12</v>
      </c>
      <c r="V181" s="17">
        <f t="shared" si="51"/>
        <v>0</v>
      </c>
      <c r="W181" s="18">
        <f t="shared" si="52"/>
        <v>0</v>
      </c>
      <c r="X181" s="17">
        <f>IF(C181="Baja Complejidad",M181,0)</f>
        <v>0</v>
      </c>
      <c r="Y181" s="18">
        <v>0.12</v>
      </c>
      <c r="Z181" s="17">
        <f t="shared" si="53"/>
        <v>0</v>
      </c>
      <c r="AA181" s="18">
        <f t="shared" si="54"/>
        <v>0</v>
      </c>
      <c r="AB181" s="18">
        <v>0.1</v>
      </c>
    </row>
    <row r="182" spans="1:28">
      <c r="A182">
        <v>2026</v>
      </c>
      <c r="B182" t="s">
        <v>145</v>
      </c>
      <c r="C182" t="s">
        <v>146</v>
      </c>
      <c r="D182" t="s">
        <v>147</v>
      </c>
      <c r="E182">
        <v>603423</v>
      </c>
      <c r="G182" t="s">
        <v>148</v>
      </c>
      <c r="H182" t="s">
        <v>148</v>
      </c>
      <c r="I182" t="s">
        <v>30</v>
      </c>
      <c r="J182" t="s">
        <v>22</v>
      </c>
      <c r="K182">
        <v>10</v>
      </c>
      <c r="L182">
        <v>91800</v>
      </c>
      <c r="M182" s="17">
        <f t="shared" si="55"/>
        <v>9180</v>
      </c>
      <c r="O182" s="17">
        <f t="shared" si="48"/>
        <v>11934</v>
      </c>
      <c r="P182" s="17">
        <f>IF(C182="Alta Complejidad",M182,0)</f>
        <v>9180</v>
      </c>
      <c r="Q182" s="18">
        <v>0.12</v>
      </c>
      <c r="R182" s="17">
        <f t="shared" si="49"/>
        <v>10281.6</v>
      </c>
      <c r="S182" s="19">
        <f t="shared" si="50"/>
        <v>0.10714285714285718</v>
      </c>
      <c r="T182" s="17">
        <f>IF(C182="Mediana Complejidad",M182,0)</f>
        <v>0</v>
      </c>
      <c r="U182" s="18">
        <v>0.15</v>
      </c>
      <c r="V182" s="17">
        <f t="shared" si="51"/>
        <v>0</v>
      </c>
      <c r="W182" s="18">
        <f t="shared" si="52"/>
        <v>0</v>
      </c>
      <c r="X182" s="17">
        <f>IF(C182="Baja Complejidad",M182,0)</f>
        <v>0</v>
      </c>
      <c r="Y182" s="18">
        <v>0.15</v>
      </c>
      <c r="Z182" s="17">
        <f t="shared" si="53"/>
        <v>0</v>
      </c>
      <c r="AA182" s="18">
        <f t="shared" si="54"/>
        <v>0</v>
      </c>
      <c r="AB182" s="18">
        <v>0.1</v>
      </c>
    </row>
    <row r="183" spans="1:28">
      <c r="A183">
        <v>2026</v>
      </c>
      <c r="B183" t="s">
        <v>145</v>
      </c>
      <c r="C183" t="s">
        <v>146</v>
      </c>
      <c r="D183" t="s">
        <v>147</v>
      </c>
      <c r="E183">
        <v>294199</v>
      </c>
      <c r="G183" t="s">
        <v>148</v>
      </c>
      <c r="H183" t="s">
        <v>148</v>
      </c>
      <c r="I183" t="s">
        <v>44</v>
      </c>
      <c r="J183" t="s">
        <v>29</v>
      </c>
      <c r="K183">
        <v>5</v>
      </c>
      <c r="L183">
        <v>17300</v>
      </c>
      <c r="M183" s="17">
        <f t="shared" si="55"/>
        <v>3460</v>
      </c>
      <c r="O183" s="17">
        <f t="shared" si="48"/>
        <v>4498</v>
      </c>
      <c r="P183" s="17">
        <f>IF(C183="Alta Complejidad",M183,0)</f>
        <v>3460</v>
      </c>
      <c r="Q183" s="18">
        <v>0.25</v>
      </c>
      <c r="R183" s="17">
        <f t="shared" si="49"/>
        <v>4325</v>
      </c>
      <c r="S183" s="19">
        <f t="shared" si="50"/>
        <v>0.2</v>
      </c>
      <c r="T183" s="17">
        <f>IF(C183="Mediana Complejidad",M183,0)</f>
        <v>0</v>
      </c>
      <c r="U183" s="18">
        <v>0.18</v>
      </c>
      <c r="V183" s="17">
        <f t="shared" si="51"/>
        <v>0</v>
      </c>
      <c r="W183" s="18">
        <f t="shared" si="52"/>
        <v>0</v>
      </c>
      <c r="X183" s="17">
        <f>IF(C183="Baja Complejidad",M183,0)</f>
        <v>0</v>
      </c>
      <c r="Y183" s="18">
        <v>0.18</v>
      </c>
      <c r="Z183" s="17">
        <f t="shared" si="53"/>
        <v>0</v>
      </c>
      <c r="AA183" s="18">
        <f t="shared" si="54"/>
        <v>0</v>
      </c>
      <c r="AB183" s="18">
        <v>0.1</v>
      </c>
    </row>
    <row r="184" spans="1:28">
      <c r="A184">
        <v>2026</v>
      </c>
      <c r="B184" t="s">
        <v>145</v>
      </c>
      <c r="C184" t="s">
        <v>146</v>
      </c>
      <c r="D184" t="s">
        <v>147</v>
      </c>
      <c r="E184">
        <v>294299</v>
      </c>
      <c r="G184" t="s">
        <v>148</v>
      </c>
      <c r="H184" t="s">
        <v>148</v>
      </c>
      <c r="I184" t="s">
        <v>44</v>
      </c>
      <c r="J184" t="s">
        <v>29</v>
      </c>
      <c r="K184">
        <v>5</v>
      </c>
      <c r="L184">
        <v>29000</v>
      </c>
      <c r="M184" s="17">
        <f t="shared" si="55"/>
        <v>5800</v>
      </c>
      <c r="O184" s="17">
        <f t="shared" si="48"/>
        <v>7540</v>
      </c>
      <c r="P184" s="17">
        <f>IF(C184="Alta Complejidad",M184,0)</f>
        <v>5800</v>
      </c>
      <c r="Q184" s="18">
        <v>0.1</v>
      </c>
      <c r="R184" s="17">
        <f t="shared" si="49"/>
        <v>6380</v>
      </c>
      <c r="S184" s="19">
        <f t="shared" si="50"/>
        <v>9.0909090909090912E-2</v>
      </c>
      <c r="T184" s="17">
        <f>IF(C184="Mediana Complejidad",M184,0)</f>
        <v>0</v>
      </c>
      <c r="U184" s="18">
        <v>0.28999999999999998</v>
      </c>
      <c r="V184" s="17">
        <f t="shared" si="51"/>
        <v>0</v>
      </c>
      <c r="W184" s="18">
        <f t="shared" si="52"/>
        <v>0</v>
      </c>
      <c r="X184" s="17">
        <f>IF(C184="Baja Complejidad",M184,0)</f>
        <v>0</v>
      </c>
      <c r="Y184" s="18">
        <v>0.28999999999999998</v>
      </c>
      <c r="Z184" s="17">
        <f t="shared" si="53"/>
        <v>0</v>
      </c>
      <c r="AA184" s="18">
        <f t="shared" si="54"/>
        <v>0</v>
      </c>
      <c r="AB184" s="18">
        <v>0.1</v>
      </c>
    </row>
    <row r="185" spans="1:28">
      <c r="A185">
        <v>2026</v>
      </c>
      <c r="B185" t="s">
        <v>145</v>
      </c>
      <c r="C185" t="s">
        <v>146</v>
      </c>
      <c r="D185" t="s">
        <v>147</v>
      </c>
      <c r="E185">
        <v>294399</v>
      </c>
      <c r="G185" t="s">
        <v>148</v>
      </c>
      <c r="H185" t="s">
        <v>148</v>
      </c>
      <c r="I185" t="s">
        <v>44</v>
      </c>
      <c r="J185" t="s">
        <v>29</v>
      </c>
      <c r="K185">
        <v>5</v>
      </c>
      <c r="L185">
        <v>36700</v>
      </c>
      <c r="M185" s="17">
        <f t="shared" si="55"/>
        <v>7340</v>
      </c>
      <c r="O185" s="17">
        <f t="shared" si="48"/>
        <v>9542</v>
      </c>
      <c r="P185" s="17">
        <f>IF(C185="Alta Complejidad",M185,0)</f>
        <v>7340</v>
      </c>
      <c r="Q185" s="18">
        <v>0.35</v>
      </c>
      <c r="R185" s="17">
        <f t="shared" si="49"/>
        <v>9909</v>
      </c>
      <c r="S185" s="19">
        <f t="shared" si="50"/>
        <v>0.25925925925925924</v>
      </c>
      <c r="T185" s="17">
        <f>IF(C185="Mediana Complejidad",M185,0)</f>
        <v>0</v>
      </c>
      <c r="U185" s="18">
        <v>0.34</v>
      </c>
      <c r="V185" s="17">
        <f t="shared" si="51"/>
        <v>0</v>
      </c>
      <c r="W185" s="18">
        <f t="shared" si="52"/>
        <v>0</v>
      </c>
      <c r="X185" s="17">
        <f>IF(C185="Baja Complejidad",M185,0)</f>
        <v>0</v>
      </c>
      <c r="Y185" s="18">
        <v>0.34</v>
      </c>
      <c r="Z185" s="17">
        <f t="shared" si="53"/>
        <v>0</v>
      </c>
      <c r="AA185" s="18">
        <f t="shared" si="54"/>
        <v>0</v>
      </c>
      <c r="AB185" s="18">
        <v>0.1</v>
      </c>
    </row>
    <row r="186" spans="1:28">
      <c r="A186">
        <v>2026</v>
      </c>
      <c r="B186" t="s">
        <v>145</v>
      </c>
      <c r="C186" t="s">
        <v>146</v>
      </c>
      <c r="D186" t="s">
        <v>147</v>
      </c>
      <c r="E186">
        <v>294499</v>
      </c>
      <c r="G186" t="s">
        <v>148</v>
      </c>
      <c r="H186" t="s">
        <v>148</v>
      </c>
      <c r="I186" t="s">
        <v>44</v>
      </c>
      <c r="J186" t="s">
        <v>29</v>
      </c>
      <c r="K186">
        <v>5</v>
      </c>
      <c r="L186">
        <v>75900</v>
      </c>
      <c r="M186" s="17">
        <f t="shared" si="55"/>
        <v>15180</v>
      </c>
      <c r="O186" s="17">
        <f t="shared" si="48"/>
        <v>19734</v>
      </c>
      <c r="P186" s="17">
        <f>IF(C186="Alta Complejidad",M186,0)</f>
        <v>15180</v>
      </c>
      <c r="Q186" s="18">
        <v>0.33</v>
      </c>
      <c r="R186" s="17">
        <f t="shared" si="49"/>
        <v>20189.400000000001</v>
      </c>
      <c r="S186" s="19">
        <f t="shared" si="50"/>
        <v>0.24812030075187974</v>
      </c>
      <c r="T186" s="17">
        <f>IF(C186="Mediana Complejidad",M186,0)</f>
        <v>0</v>
      </c>
      <c r="U186" s="18">
        <v>0.25</v>
      </c>
      <c r="V186" s="17">
        <f t="shared" si="51"/>
        <v>0</v>
      </c>
      <c r="W186" s="18">
        <f t="shared" si="52"/>
        <v>0</v>
      </c>
      <c r="X186" s="17">
        <f>IF(C186="Baja Complejidad",M186,0)</f>
        <v>0</v>
      </c>
      <c r="Y186" s="18">
        <v>0.25</v>
      </c>
      <c r="Z186" s="17">
        <f t="shared" si="53"/>
        <v>0</v>
      </c>
      <c r="AA186" s="18">
        <f t="shared" si="54"/>
        <v>0</v>
      </c>
      <c r="AB186" s="18">
        <v>0.1</v>
      </c>
    </row>
    <row r="187" spans="1:28">
      <c r="A187">
        <v>2026</v>
      </c>
      <c r="B187" t="s">
        <v>145</v>
      </c>
      <c r="C187" t="s">
        <v>146</v>
      </c>
      <c r="D187" t="s">
        <v>147</v>
      </c>
      <c r="E187">
        <v>284190</v>
      </c>
      <c r="G187" t="s">
        <v>148</v>
      </c>
      <c r="H187" t="s">
        <v>148</v>
      </c>
      <c r="I187" t="s">
        <v>55</v>
      </c>
      <c r="J187" t="s">
        <v>29</v>
      </c>
      <c r="K187">
        <v>5</v>
      </c>
      <c r="L187">
        <v>16900</v>
      </c>
      <c r="M187" s="17">
        <f t="shared" si="55"/>
        <v>3380</v>
      </c>
      <c r="O187" s="17">
        <f t="shared" si="48"/>
        <v>4394</v>
      </c>
      <c r="P187" s="17">
        <f>IF(C187="Alta Complejidad",M187,0)</f>
        <v>3380</v>
      </c>
      <c r="Q187" s="18">
        <v>0.31</v>
      </c>
      <c r="R187" s="17">
        <f t="shared" si="49"/>
        <v>4427.8</v>
      </c>
      <c r="S187" s="19">
        <f t="shared" si="50"/>
        <v>0.23664122137404583</v>
      </c>
      <c r="T187" s="17">
        <f>IF(C187="Mediana Complejidad",M187,0)</f>
        <v>0</v>
      </c>
      <c r="U187" s="18">
        <v>0.09</v>
      </c>
      <c r="V187" s="17">
        <f t="shared" si="51"/>
        <v>0</v>
      </c>
      <c r="W187" s="18">
        <f t="shared" si="52"/>
        <v>0</v>
      </c>
      <c r="X187" s="17">
        <f>IF(C187="Baja Complejidad",M187,0)</f>
        <v>0</v>
      </c>
      <c r="Y187" s="18">
        <v>0.35</v>
      </c>
      <c r="Z187" s="17">
        <f t="shared" si="53"/>
        <v>0</v>
      </c>
      <c r="AA187" s="18">
        <f t="shared" si="54"/>
        <v>0</v>
      </c>
      <c r="AB187" s="18">
        <v>0.1</v>
      </c>
    </row>
    <row r="188" spans="1:28">
      <c r="A188">
        <v>2026</v>
      </c>
      <c r="B188" t="s">
        <v>145</v>
      </c>
      <c r="C188" t="s">
        <v>146</v>
      </c>
      <c r="D188" t="s">
        <v>147</v>
      </c>
      <c r="E188">
        <v>284390</v>
      </c>
      <c r="G188" t="s">
        <v>148</v>
      </c>
      <c r="H188" t="s">
        <v>148</v>
      </c>
      <c r="I188" t="s">
        <v>55</v>
      </c>
      <c r="J188" t="s">
        <v>29</v>
      </c>
      <c r="K188">
        <v>5</v>
      </c>
      <c r="L188">
        <v>21900</v>
      </c>
      <c r="M188" s="17">
        <f t="shared" si="55"/>
        <v>4380</v>
      </c>
      <c r="O188" s="17">
        <f t="shared" si="48"/>
        <v>5694</v>
      </c>
      <c r="P188" s="17">
        <f>IF(C188="Alta Complejidad",M188,0)</f>
        <v>4380</v>
      </c>
      <c r="Q188" s="18">
        <v>0.3</v>
      </c>
      <c r="R188" s="17">
        <f t="shared" si="49"/>
        <v>5694</v>
      </c>
      <c r="S188" s="19">
        <f t="shared" si="50"/>
        <v>0.23076923076923078</v>
      </c>
      <c r="T188" s="17">
        <f>IF(C188="Mediana Complejidad",M188,0)</f>
        <v>0</v>
      </c>
      <c r="U188" s="18">
        <v>0.08</v>
      </c>
      <c r="V188" s="17">
        <f t="shared" si="51"/>
        <v>0</v>
      </c>
      <c r="W188" s="18">
        <f t="shared" si="52"/>
        <v>0</v>
      </c>
      <c r="X188" s="17">
        <f>IF(C188="Baja Complejidad",M188,0)</f>
        <v>0</v>
      </c>
      <c r="Y188" s="18">
        <v>0.12</v>
      </c>
      <c r="Z188" s="17">
        <f t="shared" si="53"/>
        <v>0</v>
      </c>
      <c r="AA188" s="18">
        <f t="shared" si="54"/>
        <v>0</v>
      </c>
      <c r="AB188" s="18">
        <v>0.1</v>
      </c>
    </row>
    <row r="189" spans="1:28">
      <c r="A189">
        <v>2026</v>
      </c>
      <c r="B189" t="s">
        <v>145</v>
      </c>
      <c r="C189" t="s">
        <v>146</v>
      </c>
      <c r="D189" t="s">
        <v>147</v>
      </c>
      <c r="E189">
        <v>287100</v>
      </c>
      <c r="G189" t="s">
        <v>148</v>
      </c>
      <c r="H189" t="s">
        <v>148</v>
      </c>
      <c r="I189" t="s">
        <v>60</v>
      </c>
      <c r="J189" t="s">
        <v>29</v>
      </c>
      <c r="K189">
        <v>5</v>
      </c>
      <c r="L189">
        <v>38600</v>
      </c>
      <c r="M189" s="17">
        <f t="shared" si="55"/>
        <v>7720</v>
      </c>
      <c r="O189" s="17">
        <f t="shared" si="48"/>
        <v>10036</v>
      </c>
      <c r="P189" s="17">
        <f>IF(C189="Alta Complejidad",M189,0)</f>
        <v>7720</v>
      </c>
      <c r="Q189" s="18">
        <v>0.28000000000000003</v>
      </c>
      <c r="R189" s="17">
        <f t="shared" si="49"/>
        <v>9881.6</v>
      </c>
      <c r="S189" s="19">
        <f t="shared" si="50"/>
        <v>0.21875000000000003</v>
      </c>
      <c r="T189" s="17">
        <f>IF(C189="Mediana Complejidad",M189,0)</f>
        <v>0</v>
      </c>
      <c r="U189" s="18">
        <v>0.06</v>
      </c>
      <c r="V189" s="17">
        <f t="shared" si="51"/>
        <v>0</v>
      </c>
      <c r="W189" s="18">
        <f t="shared" si="52"/>
        <v>0</v>
      </c>
      <c r="X189" s="17">
        <f>IF(C189="Baja Complejidad",M189,0)</f>
        <v>0</v>
      </c>
      <c r="Y189" s="18">
        <v>0.25</v>
      </c>
      <c r="Z189" s="17">
        <f t="shared" si="53"/>
        <v>0</v>
      </c>
      <c r="AA189" s="18">
        <f t="shared" si="54"/>
        <v>0</v>
      </c>
      <c r="AB189" s="18">
        <v>0.1</v>
      </c>
    </row>
    <row r="190" spans="1:28">
      <c r="A190">
        <v>2026</v>
      </c>
      <c r="B190" t="s">
        <v>145</v>
      </c>
      <c r="C190" t="s">
        <v>146</v>
      </c>
      <c r="D190" t="s">
        <v>147</v>
      </c>
      <c r="E190">
        <v>287200</v>
      </c>
      <c r="G190" t="s">
        <v>148</v>
      </c>
      <c r="H190" t="s">
        <v>148</v>
      </c>
      <c r="I190" t="s">
        <v>60</v>
      </c>
      <c r="J190" t="s">
        <v>29</v>
      </c>
      <c r="K190">
        <v>5</v>
      </c>
      <c r="L190">
        <v>107200</v>
      </c>
      <c r="M190" s="17">
        <f t="shared" si="55"/>
        <v>21440</v>
      </c>
      <c r="O190" s="17">
        <f t="shared" si="48"/>
        <v>27872</v>
      </c>
      <c r="P190" s="17">
        <f>IF(C190="Alta Complejidad",M190,0)</f>
        <v>21440</v>
      </c>
      <c r="Q190" s="18">
        <v>0.27</v>
      </c>
      <c r="R190" s="17">
        <f t="shared" si="49"/>
        <v>27228.799999999999</v>
      </c>
      <c r="S190" s="19">
        <f t="shared" si="50"/>
        <v>0.21259842519685038</v>
      </c>
      <c r="T190" s="17">
        <f>IF(C190="Mediana Complejidad",M190,0)</f>
        <v>0</v>
      </c>
      <c r="U190" s="18">
        <v>0.35</v>
      </c>
      <c r="V190" s="17">
        <f t="shared" si="51"/>
        <v>0</v>
      </c>
      <c r="W190" s="18">
        <f t="shared" si="52"/>
        <v>0</v>
      </c>
      <c r="X190" s="17">
        <f>IF(C190="Baja Complejidad",M190,0)</f>
        <v>0</v>
      </c>
      <c r="Y190" s="18">
        <v>0.1</v>
      </c>
      <c r="Z190" s="17">
        <f t="shared" si="53"/>
        <v>0</v>
      </c>
      <c r="AA190" s="18">
        <f t="shared" si="54"/>
        <v>0</v>
      </c>
      <c r="AB190" s="18">
        <v>0.1</v>
      </c>
    </row>
    <row r="191" spans="1:28">
      <c r="A191">
        <v>2026</v>
      </c>
      <c r="B191" t="s">
        <v>145</v>
      </c>
      <c r="C191" t="s">
        <v>146</v>
      </c>
      <c r="D191" t="s">
        <v>147</v>
      </c>
      <c r="E191">
        <v>287300</v>
      </c>
      <c r="G191" t="s">
        <v>148</v>
      </c>
      <c r="H191" t="s">
        <v>148</v>
      </c>
      <c r="I191" t="s">
        <v>60</v>
      </c>
      <c r="J191" t="s">
        <v>29</v>
      </c>
      <c r="K191">
        <v>5</v>
      </c>
      <c r="L191">
        <v>114900</v>
      </c>
      <c r="M191" s="17">
        <f t="shared" si="55"/>
        <v>22980</v>
      </c>
      <c r="O191" s="17">
        <f t="shared" si="48"/>
        <v>29874</v>
      </c>
      <c r="P191" s="17">
        <f>IF(C191="Alta Complejidad",M191,0)</f>
        <v>22980</v>
      </c>
      <c r="Q191" s="18">
        <v>0.17</v>
      </c>
      <c r="R191" s="17">
        <f t="shared" si="49"/>
        <v>26886.6</v>
      </c>
      <c r="S191" s="19">
        <f t="shared" si="50"/>
        <v>0.14529914529914525</v>
      </c>
      <c r="T191" s="17">
        <f>IF(C191="Mediana Complejidad",M191,0)</f>
        <v>0</v>
      </c>
      <c r="U191" s="18">
        <v>0.12</v>
      </c>
      <c r="V191" s="17">
        <f t="shared" si="51"/>
        <v>0</v>
      </c>
      <c r="W191" s="18">
        <f t="shared" si="52"/>
        <v>0</v>
      </c>
      <c r="X191" s="17">
        <f>IF(C191="Baja Complejidad",M191,0)</f>
        <v>0</v>
      </c>
      <c r="Y191" s="18">
        <v>0.35</v>
      </c>
      <c r="Z191" s="17">
        <f t="shared" si="53"/>
        <v>0</v>
      </c>
      <c r="AA191" s="18">
        <f t="shared" si="54"/>
        <v>0</v>
      </c>
      <c r="AB191" s="18">
        <v>0.1</v>
      </c>
    </row>
    <row r="192" spans="1:28">
      <c r="A192">
        <v>2026</v>
      </c>
      <c r="B192" t="s">
        <v>145</v>
      </c>
      <c r="C192" t="s">
        <v>146</v>
      </c>
      <c r="D192" t="s">
        <v>147</v>
      </c>
      <c r="E192">
        <v>287400</v>
      </c>
      <c r="G192" t="s">
        <v>148</v>
      </c>
      <c r="H192" t="s">
        <v>148</v>
      </c>
      <c r="I192" t="s">
        <v>60</v>
      </c>
      <c r="J192" t="s">
        <v>29</v>
      </c>
      <c r="K192">
        <v>5</v>
      </c>
      <c r="L192">
        <v>129400</v>
      </c>
      <c r="M192" s="17">
        <f t="shared" si="55"/>
        <v>25880</v>
      </c>
      <c r="O192" s="17">
        <f t="shared" si="48"/>
        <v>33644</v>
      </c>
      <c r="P192" s="17">
        <f>IF(C192="Alta Complejidad",M192,0)</f>
        <v>25880</v>
      </c>
      <c r="Q192" s="18">
        <v>0.22</v>
      </c>
      <c r="R192" s="17">
        <f t="shared" si="49"/>
        <v>31573.599999999999</v>
      </c>
      <c r="S192" s="19">
        <f t="shared" si="50"/>
        <v>0.18032786885245897</v>
      </c>
      <c r="T192" s="17">
        <f>IF(C192="Mediana Complejidad",M192,0)</f>
        <v>0</v>
      </c>
      <c r="U192" s="18">
        <v>0.25</v>
      </c>
      <c r="V192" s="17">
        <f t="shared" si="51"/>
        <v>0</v>
      </c>
      <c r="W192" s="18">
        <f t="shared" si="52"/>
        <v>0</v>
      </c>
      <c r="X192" s="17">
        <f>IF(C192="Baja Complejidad",M192,0)</f>
        <v>0</v>
      </c>
      <c r="Y192" s="18">
        <v>0.33</v>
      </c>
      <c r="Z192" s="17">
        <f t="shared" si="53"/>
        <v>0</v>
      </c>
      <c r="AA192" s="18">
        <f t="shared" si="54"/>
        <v>0</v>
      </c>
      <c r="AB192" s="18">
        <v>0.1</v>
      </c>
    </row>
    <row r="193" spans="1:28">
      <c r="A193">
        <v>2026</v>
      </c>
      <c r="B193" t="s">
        <v>145</v>
      </c>
      <c r="C193" t="s">
        <v>146</v>
      </c>
      <c r="D193" t="s">
        <v>147</v>
      </c>
      <c r="E193">
        <v>294899</v>
      </c>
      <c r="G193" t="s">
        <v>148</v>
      </c>
      <c r="H193" t="s">
        <v>148</v>
      </c>
      <c r="I193" t="s">
        <v>72</v>
      </c>
      <c r="J193" t="s">
        <v>29</v>
      </c>
      <c r="K193">
        <v>5</v>
      </c>
      <c r="L193">
        <v>49000</v>
      </c>
      <c r="M193" s="17">
        <f t="shared" si="55"/>
        <v>9800</v>
      </c>
      <c r="O193" s="17">
        <f t="shared" si="48"/>
        <v>12740</v>
      </c>
      <c r="P193" s="17">
        <f>IF(C193="Alta Complejidad",M193,0)</f>
        <v>9800</v>
      </c>
      <c r="Q193" s="18">
        <v>0.12</v>
      </c>
      <c r="R193" s="17">
        <f t="shared" si="49"/>
        <v>10976</v>
      </c>
      <c r="S193" s="19">
        <f t="shared" si="50"/>
        <v>0.10714285714285714</v>
      </c>
      <c r="T193" s="17">
        <f>IF(C193="Mediana Complejidad",M193,0)</f>
        <v>0</v>
      </c>
      <c r="U193" s="18">
        <v>0.1</v>
      </c>
      <c r="V193" s="17">
        <f t="shared" si="51"/>
        <v>0</v>
      </c>
      <c r="W193" s="18">
        <f t="shared" si="52"/>
        <v>0</v>
      </c>
      <c r="X193" s="17">
        <f>IF(C193="Baja Complejidad",M193,0)</f>
        <v>0</v>
      </c>
      <c r="Y193" s="18">
        <v>0.31</v>
      </c>
      <c r="Z193" s="17">
        <f t="shared" si="53"/>
        <v>0</v>
      </c>
      <c r="AA193" s="18">
        <f t="shared" si="54"/>
        <v>0</v>
      </c>
      <c r="AB193" s="18">
        <v>0.1</v>
      </c>
    </row>
    <row r="194" spans="1:28">
      <c r="A194">
        <v>2026</v>
      </c>
      <c r="B194" t="s">
        <v>145</v>
      </c>
      <c r="C194" t="s">
        <v>146</v>
      </c>
      <c r="D194" t="s">
        <v>147</v>
      </c>
      <c r="E194">
        <v>394590</v>
      </c>
      <c r="G194" t="s">
        <v>148</v>
      </c>
      <c r="H194" t="s">
        <v>148</v>
      </c>
      <c r="I194" t="s">
        <v>75</v>
      </c>
      <c r="J194" t="s">
        <v>53</v>
      </c>
      <c r="K194">
        <v>2</v>
      </c>
      <c r="L194">
        <v>386300</v>
      </c>
      <c r="M194" s="17">
        <f t="shared" si="55"/>
        <v>193150</v>
      </c>
      <c r="O194" s="17">
        <f t="shared" si="48"/>
        <v>251095</v>
      </c>
      <c r="P194" s="17">
        <f>IF(C194="Alta Complejidad",M194,0)</f>
        <v>193150</v>
      </c>
      <c r="Q194" s="18">
        <v>0.15</v>
      </c>
      <c r="R194" s="17">
        <f t="shared" si="49"/>
        <v>222122.5</v>
      </c>
      <c r="S194" s="19">
        <f t="shared" si="50"/>
        <v>0.13043478260869565</v>
      </c>
      <c r="T194" s="17">
        <f>IF(C194="Mediana Complejidad",M194,0)</f>
        <v>0</v>
      </c>
      <c r="U194" s="18">
        <v>0.35</v>
      </c>
      <c r="V194" s="17">
        <f t="shared" si="51"/>
        <v>0</v>
      </c>
      <c r="W194" s="18">
        <f t="shared" si="52"/>
        <v>0</v>
      </c>
      <c r="X194" s="17">
        <f>IF(C194="Baja Complejidad",M194,0)</f>
        <v>0</v>
      </c>
      <c r="Y194" s="18">
        <v>0.3</v>
      </c>
      <c r="Z194" s="17">
        <f t="shared" si="53"/>
        <v>0</v>
      </c>
      <c r="AA194" s="18">
        <f t="shared" si="54"/>
        <v>0</v>
      </c>
      <c r="AB194" s="18">
        <v>0.1</v>
      </c>
    </row>
    <row r="195" spans="1:28">
      <c r="A195">
        <v>2026</v>
      </c>
      <c r="B195" t="s">
        <v>145</v>
      </c>
      <c r="C195" t="s">
        <v>146</v>
      </c>
      <c r="D195" t="s">
        <v>147</v>
      </c>
      <c r="E195">
        <v>610200</v>
      </c>
      <c r="G195" t="s">
        <v>148</v>
      </c>
      <c r="H195" t="s">
        <v>148</v>
      </c>
      <c r="I195" t="s">
        <v>78</v>
      </c>
      <c r="J195" t="s">
        <v>22</v>
      </c>
      <c r="K195">
        <v>10</v>
      </c>
      <c r="L195">
        <v>38000</v>
      </c>
      <c r="M195" s="17">
        <f t="shared" si="55"/>
        <v>3800</v>
      </c>
      <c r="O195" s="17">
        <f t="shared" si="48"/>
        <v>4940</v>
      </c>
      <c r="P195" s="17">
        <f>IF(C195="Alta Complejidad",M195,0)</f>
        <v>3800</v>
      </c>
      <c r="Q195" s="18">
        <v>0.18</v>
      </c>
      <c r="R195" s="17">
        <f t="shared" si="49"/>
        <v>4484</v>
      </c>
      <c r="S195" s="19">
        <f t="shared" si="50"/>
        <v>0.15254237288135594</v>
      </c>
      <c r="T195" s="17">
        <f>IF(C195="Mediana Complejidad",M195,0)</f>
        <v>0</v>
      </c>
      <c r="U195" s="18">
        <v>0.33</v>
      </c>
      <c r="V195" s="17">
        <f t="shared" si="51"/>
        <v>0</v>
      </c>
      <c r="W195" s="18">
        <f t="shared" si="52"/>
        <v>0</v>
      </c>
      <c r="X195" s="17">
        <f>IF(C195="Baja Complejidad",M195,0)</f>
        <v>0</v>
      </c>
      <c r="Y195" s="18">
        <v>0.28000000000000003</v>
      </c>
      <c r="Z195" s="17">
        <f t="shared" si="53"/>
        <v>0</v>
      </c>
      <c r="AA195" s="18">
        <f t="shared" si="54"/>
        <v>0</v>
      </c>
      <c r="AB195" s="18">
        <v>0.1</v>
      </c>
    </row>
    <row r="196" spans="1:28">
      <c r="A196">
        <v>2026</v>
      </c>
      <c r="B196" t="s">
        <v>145</v>
      </c>
      <c r="C196" t="s">
        <v>146</v>
      </c>
      <c r="D196" t="s">
        <v>147</v>
      </c>
      <c r="E196">
        <v>610300</v>
      </c>
      <c r="G196" t="s">
        <v>148</v>
      </c>
      <c r="H196" t="s">
        <v>148</v>
      </c>
      <c r="I196" t="s">
        <v>78</v>
      </c>
      <c r="J196" t="s">
        <v>22</v>
      </c>
      <c r="K196">
        <v>10</v>
      </c>
      <c r="L196">
        <v>39800</v>
      </c>
      <c r="M196" s="17">
        <f t="shared" si="55"/>
        <v>3980</v>
      </c>
      <c r="O196" s="17">
        <f t="shared" si="48"/>
        <v>5174</v>
      </c>
      <c r="P196" s="17">
        <f>IF(C196="Alta Complejidad",M196,0)</f>
        <v>3980</v>
      </c>
      <c r="Q196" s="18">
        <v>0.28999999999999998</v>
      </c>
      <c r="R196" s="17">
        <f t="shared" si="49"/>
        <v>5134.2</v>
      </c>
      <c r="S196" s="19">
        <f t="shared" si="50"/>
        <v>0.22480620155038758</v>
      </c>
      <c r="T196" s="17">
        <f>IF(C196="Mediana Complejidad",M196,0)</f>
        <v>0</v>
      </c>
      <c r="U196" s="18">
        <v>0.31</v>
      </c>
      <c r="V196" s="17">
        <f t="shared" si="51"/>
        <v>0</v>
      </c>
      <c r="W196" s="18">
        <f t="shared" si="52"/>
        <v>0</v>
      </c>
      <c r="X196" s="17">
        <f>IF(C196="Baja Complejidad",M196,0)</f>
        <v>0</v>
      </c>
      <c r="Y196" s="18">
        <v>0.27</v>
      </c>
      <c r="Z196" s="17">
        <f t="shared" si="53"/>
        <v>0</v>
      </c>
      <c r="AA196" s="18">
        <f t="shared" si="54"/>
        <v>0</v>
      </c>
      <c r="AB196" s="18">
        <v>0.1</v>
      </c>
    </row>
    <row r="197" spans="1:28">
      <c r="A197">
        <v>2026</v>
      </c>
      <c r="B197" t="s">
        <v>145</v>
      </c>
      <c r="C197" t="s">
        <v>146</v>
      </c>
      <c r="D197" t="s">
        <v>147</v>
      </c>
      <c r="E197">
        <v>610400</v>
      </c>
      <c r="G197" t="s">
        <v>148</v>
      </c>
      <c r="H197" t="s">
        <v>148</v>
      </c>
      <c r="I197" t="s">
        <v>78</v>
      </c>
      <c r="J197" t="s">
        <v>22</v>
      </c>
      <c r="K197">
        <v>10</v>
      </c>
      <c r="L197">
        <v>42200</v>
      </c>
      <c r="M197" s="17">
        <f t="shared" si="55"/>
        <v>4220</v>
      </c>
      <c r="O197" s="17">
        <f t="shared" si="48"/>
        <v>5486</v>
      </c>
      <c r="P197" s="17">
        <f>IF(C197="Alta Complejidad",M197,0)</f>
        <v>4220</v>
      </c>
      <c r="Q197" s="18">
        <v>0.34</v>
      </c>
      <c r="R197" s="17">
        <f t="shared" si="49"/>
        <v>5654.8</v>
      </c>
      <c r="S197" s="19">
        <f t="shared" si="50"/>
        <v>0.2537313432835821</v>
      </c>
      <c r="T197" s="17">
        <f>IF(C197="Mediana Complejidad",M197,0)</f>
        <v>0</v>
      </c>
      <c r="U197" s="18">
        <v>0.3</v>
      </c>
      <c r="V197" s="17">
        <f t="shared" si="51"/>
        <v>0</v>
      </c>
      <c r="W197" s="18">
        <f t="shared" si="52"/>
        <v>0</v>
      </c>
      <c r="X197" s="17">
        <f>IF(C197="Baja Complejidad",M197,0)</f>
        <v>0</v>
      </c>
      <c r="Y197" s="18">
        <v>0.17</v>
      </c>
      <c r="Z197" s="17">
        <f t="shared" si="53"/>
        <v>0</v>
      </c>
      <c r="AA197" s="18">
        <f t="shared" si="54"/>
        <v>0</v>
      </c>
      <c r="AB197" s="18">
        <v>0.1</v>
      </c>
    </row>
    <row r="198" spans="1:28">
      <c r="A198">
        <v>2026</v>
      </c>
      <c r="B198" t="s">
        <v>145</v>
      </c>
      <c r="C198" t="s">
        <v>146</v>
      </c>
      <c r="D198" t="s">
        <v>147</v>
      </c>
      <c r="E198">
        <v>610500</v>
      </c>
      <c r="G198" t="s">
        <v>148</v>
      </c>
      <c r="H198" t="s">
        <v>148</v>
      </c>
      <c r="I198" t="s">
        <v>78</v>
      </c>
      <c r="J198" t="s">
        <v>22</v>
      </c>
      <c r="K198">
        <v>10</v>
      </c>
      <c r="L198">
        <v>51600</v>
      </c>
      <c r="M198" s="17">
        <f t="shared" si="55"/>
        <v>5160</v>
      </c>
      <c r="O198" s="17">
        <f t="shared" si="48"/>
        <v>6708</v>
      </c>
      <c r="P198" s="17">
        <f>IF(C198="Alta Complejidad",M198,0)</f>
        <v>5160</v>
      </c>
      <c r="Q198" s="18">
        <v>0.25</v>
      </c>
      <c r="R198" s="17">
        <f t="shared" si="49"/>
        <v>6450</v>
      </c>
      <c r="S198" s="19">
        <f t="shared" si="50"/>
        <v>0.2</v>
      </c>
      <c r="T198" s="17">
        <f>IF(C198="Mediana Complejidad",M198,0)</f>
        <v>0</v>
      </c>
      <c r="U198" s="18">
        <v>0.28000000000000003</v>
      </c>
      <c r="V198" s="17">
        <f t="shared" si="51"/>
        <v>0</v>
      </c>
      <c r="W198" s="18">
        <f t="shared" si="52"/>
        <v>0</v>
      </c>
      <c r="X198" s="17">
        <f>IF(C198="Baja Complejidad",M198,0)</f>
        <v>0</v>
      </c>
      <c r="Y198" s="18">
        <v>0.22</v>
      </c>
      <c r="Z198" s="17">
        <f t="shared" si="53"/>
        <v>0</v>
      </c>
      <c r="AA198" s="18">
        <f t="shared" si="54"/>
        <v>0</v>
      </c>
      <c r="AB198" s="18">
        <v>0.1</v>
      </c>
    </row>
    <row r="199" spans="1:28">
      <c r="A199">
        <v>2026</v>
      </c>
      <c r="B199" t="s">
        <v>145</v>
      </c>
      <c r="C199" t="s">
        <v>146</v>
      </c>
      <c r="D199" t="s">
        <v>147</v>
      </c>
      <c r="E199">
        <v>3505</v>
      </c>
      <c r="G199" t="s">
        <v>148</v>
      </c>
      <c r="H199" t="s">
        <v>148</v>
      </c>
      <c r="I199" t="s">
        <v>95</v>
      </c>
      <c r="J199" t="s">
        <v>12</v>
      </c>
      <c r="K199">
        <v>1</v>
      </c>
      <c r="L199">
        <v>43500</v>
      </c>
      <c r="M199" s="17">
        <f t="shared" si="55"/>
        <v>43500</v>
      </c>
      <c r="O199" s="17">
        <f t="shared" si="48"/>
        <v>56550</v>
      </c>
      <c r="P199" s="17">
        <f>IF(C199="Alta Complejidad",M199,0)</f>
        <v>43500</v>
      </c>
      <c r="Q199" s="18">
        <v>0.35</v>
      </c>
      <c r="R199" s="17">
        <f t="shared" si="49"/>
        <v>58725</v>
      </c>
      <c r="S199" s="19">
        <f t="shared" si="50"/>
        <v>0.25925925925925924</v>
      </c>
      <c r="T199" s="17">
        <f>IF(C199="Mediana Complejidad",M199,0)</f>
        <v>0</v>
      </c>
      <c r="U199" s="18">
        <v>0.27</v>
      </c>
      <c r="V199" s="17">
        <f t="shared" si="51"/>
        <v>0</v>
      </c>
      <c r="W199" s="18">
        <f t="shared" si="52"/>
        <v>0</v>
      </c>
      <c r="X199" s="17">
        <f>IF(C199="Baja Complejidad",M199,0)</f>
        <v>0</v>
      </c>
      <c r="Y199" s="18">
        <v>0.12</v>
      </c>
      <c r="Z199" s="17">
        <f t="shared" si="53"/>
        <v>0</v>
      </c>
      <c r="AA199" s="18">
        <f t="shared" si="54"/>
        <v>0</v>
      </c>
      <c r="AB199" s="18">
        <v>0.1</v>
      </c>
    </row>
    <row r="200" spans="1:28">
      <c r="A200">
        <v>2026</v>
      </c>
      <c r="B200" t="s">
        <v>145</v>
      </c>
      <c r="C200" t="s">
        <v>146</v>
      </c>
      <c r="D200" t="s">
        <v>147</v>
      </c>
      <c r="E200">
        <v>2440</v>
      </c>
      <c r="G200" t="s">
        <v>148</v>
      </c>
      <c r="H200" t="s">
        <v>148</v>
      </c>
      <c r="I200" t="s">
        <v>100</v>
      </c>
      <c r="J200" t="s">
        <v>12</v>
      </c>
      <c r="K200">
        <v>1</v>
      </c>
      <c r="L200">
        <v>89500</v>
      </c>
      <c r="M200" s="17">
        <f t="shared" si="55"/>
        <v>89500</v>
      </c>
      <c r="O200" s="17">
        <f t="shared" si="48"/>
        <v>116350</v>
      </c>
      <c r="P200" s="17">
        <f>IF(C200="Alta Complejidad",M200,0)</f>
        <v>89500</v>
      </c>
      <c r="Q200" s="18">
        <v>0.12</v>
      </c>
      <c r="R200" s="17">
        <f t="shared" si="49"/>
        <v>100240</v>
      </c>
      <c r="S200" s="19">
        <f t="shared" si="50"/>
        <v>0.10714285714285714</v>
      </c>
      <c r="T200" s="17">
        <f>IF(C200="Mediana Complejidad",M200,0)</f>
        <v>0</v>
      </c>
      <c r="U200" s="18">
        <v>0.17</v>
      </c>
      <c r="V200" s="17">
        <f t="shared" si="51"/>
        <v>0</v>
      </c>
      <c r="W200" s="18">
        <f t="shared" si="52"/>
        <v>0</v>
      </c>
      <c r="X200" s="17">
        <f>IF(C200="Baja Complejidad",M200,0)</f>
        <v>0</v>
      </c>
      <c r="Y200" s="18">
        <v>0.15</v>
      </c>
      <c r="Z200" s="17">
        <f t="shared" si="53"/>
        <v>0</v>
      </c>
      <c r="AA200" s="18">
        <f t="shared" si="54"/>
        <v>0</v>
      </c>
      <c r="AB200" s="18">
        <v>0.1</v>
      </c>
    </row>
    <row r="201" spans="1:28">
      <c r="A201">
        <v>2026</v>
      </c>
      <c r="B201" t="s">
        <v>145</v>
      </c>
      <c r="C201" t="s">
        <v>146</v>
      </c>
      <c r="D201" t="s">
        <v>147</v>
      </c>
      <c r="E201">
        <v>2438</v>
      </c>
      <c r="G201" t="s">
        <v>148</v>
      </c>
      <c r="H201" t="s">
        <v>148</v>
      </c>
      <c r="I201" t="s">
        <v>100</v>
      </c>
      <c r="J201" t="s">
        <v>12</v>
      </c>
      <c r="K201">
        <v>1</v>
      </c>
      <c r="L201">
        <v>67900</v>
      </c>
      <c r="M201" s="17">
        <f t="shared" si="55"/>
        <v>67900</v>
      </c>
      <c r="O201" s="17">
        <f t="shared" si="48"/>
        <v>88270</v>
      </c>
      <c r="P201" s="17">
        <f>IF(C201="Alta Complejidad",M201,0)</f>
        <v>67900</v>
      </c>
      <c r="Q201" s="18">
        <v>0.25</v>
      </c>
      <c r="R201" s="17">
        <f t="shared" si="49"/>
        <v>84875</v>
      </c>
      <c r="S201" s="19">
        <f t="shared" si="50"/>
        <v>0.2</v>
      </c>
      <c r="T201" s="17">
        <f>IF(C201="Mediana Complejidad",M201,0)</f>
        <v>0</v>
      </c>
      <c r="U201" s="18">
        <v>0.22</v>
      </c>
      <c r="V201" s="17">
        <f t="shared" si="51"/>
        <v>0</v>
      </c>
      <c r="W201" s="18">
        <f t="shared" si="52"/>
        <v>0</v>
      </c>
      <c r="X201" s="17">
        <f>IF(C201="Baja Complejidad",M201,0)</f>
        <v>0</v>
      </c>
      <c r="Y201" s="18">
        <v>0.18</v>
      </c>
      <c r="Z201" s="17">
        <f t="shared" si="53"/>
        <v>0</v>
      </c>
      <c r="AA201" s="18">
        <f t="shared" si="54"/>
        <v>0</v>
      </c>
      <c r="AB201" s="18">
        <v>0.1</v>
      </c>
    </row>
    <row r="202" spans="1:28">
      <c r="A202">
        <v>2026</v>
      </c>
      <c r="B202" t="s">
        <v>145</v>
      </c>
      <c r="C202" t="s">
        <v>146</v>
      </c>
      <c r="D202" t="s">
        <v>147</v>
      </c>
      <c r="E202">
        <v>2434</v>
      </c>
      <c r="G202" t="s">
        <v>148</v>
      </c>
      <c r="H202" t="s">
        <v>148</v>
      </c>
      <c r="I202" t="s">
        <v>100</v>
      </c>
      <c r="J202" t="s">
        <v>12</v>
      </c>
      <c r="K202">
        <v>1</v>
      </c>
      <c r="L202">
        <v>50300</v>
      </c>
      <c r="M202" s="17">
        <f t="shared" si="55"/>
        <v>50300</v>
      </c>
      <c r="O202" s="17">
        <f t="shared" si="48"/>
        <v>65390</v>
      </c>
      <c r="P202" s="17">
        <f>IF(C202="Alta Complejidad",M202,0)</f>
        <v>50300</v>
      </c>
      <c r="Q202" s="18">
        <v>0.1</v>
      </c>
      <c r="R202" s="17">
        <f t="shared" si="49"/>
        <v>55330</v>
      </c>
      <c r="S202" s="19">
        <f t="shared" si="50"/>
        <v>9.0909090909090912E-2</v>
      </c>
      <c r="T202" s="17">
        <f>IF(C202="Mediana Complejidad",M202,0)</f>
        <v>0</v>
      </c>
      <c r="U202" s="18">
        <v>0.12</v>
      </c>
      <c r="V202" s="17">
        <f t="shared" si="51"/>
        <v>0</v>
      </c>
      <c r="W202" s="18">
        <f t="shared" si="52"/>
        <v>0</v>
      </c>
      <c r="X202" s="17">
        <f>IF(C202="Baja Complejidad",M202,0)</f>
        <v>0</v>
      </c>
      <c r="Y202" s="18">
        <v>0.28999999999999998</v>
      </c>
      <c r="Z202" s="17">
        <f t="shared" si="53"/>
        <v>0</v>
      </c>
      <c r="AA202" s="18">
        <f t="shared" si="54"/>
        <v>0</v>
      </c>
      <c r="AB202" s="18">
        <v>0.1</v>
      </c>
    </row>
    <row r="203" spans="1:28">
      <c r="A203">
        <v>2026</v>
      </c>
      <c r="B203" t="s">
        <v>145</v>
      </c>
      <c r="C203" t="s">
        <v>146</v>
      </c>
      <c r="D203" t="s">
        <v>147</v>
      </c>
      <c r="E203">
        <v>2436</v>
      </c>
      <c r="G203" t="s">
        <v>148</v>
      </c>
      <c r="H203" t="s">
        <v>148</v>
      </c>
      <c r="I203" t="s">
        <v>100</v>
      </c>
      <c r="J203" t="s">
        <v>12</v>
      </c>
      <c r="K203">
        <v>1</v>
      </c>
      <c r="L203">
        <v>53300</v>
      </c>
      <c r="M203" s="17">
        <f t="shared" si="55"/>
        <v>53300</v>
      </c>
      <c r="O203" s="17">
        <f t="shared" si="48"/>
        <v>69290</v>
      </c>
      <c r="P203" s="17">
        <f>IF(C203="Alta Complejidad",M203,0)</f>
        <v>53300</v>
      </c>
      <c r="Q203" s="18">
        <v>0.35</v>
      </c>
      <c r="R203" s="17">
        <f t="shared" si="49"/>
        <v>71955</v>
      </c>
      <c r="S203" s="19">
        <f t="shared" si="50"/>
        <v>0.25925925925925924</v>
      </c>
      <c r="T203" s="17">
        <f>IF(C203="Mediana Complejidad",M203,0)</f>
        <v>0</v>
      </c>
      <c r="U203" s="18">
        <v>0.15</v>
      </c>
      <c r="V203" s="17">
        <f t="shared" si="51"/>
        <v>0</v>
      </c>
      <c r="W203" s="18">
        <f t="shared" si="52"/>
        <v>0</v>
      </c>
      <c r="X203" s="17">
        <f>IF(C203="Baja Complejidad",M203,0)</f>
        <v>0</v>
      </c>
      <c r="Y203" s="18">
        <v>0.34</v>
      </c>
      <c r="Z203" s="17">
        <f t="shared" si="53"/>
        <v>0</v>
      </c>
      <c r="AA203" s="18">
        <f t="shared" si="54"/>
        <v>0</v>
      </c>
      <c r="AB203" s="18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6E65-836C-410A-98E9-3EDD5F9BF86E}">
  <dimension ref="A1:AB145"/>
  <sheetViews>
    <sheetView topLeftCell="I1" workbookViewId="0">
      <selection activeCell="Z2" sqref="Z2"/>
    </sheetView>
  </sheetViews>
  <sheetFormatPr baseColWidth="10" defaultRowHeight="14.25"/>
  <sheetData>
    <row r="1" spans="1:28" ht="15">
      <c r="A1" s="11" t="s">
        <v>117</v>
      </c>
      <c r="B1" s="11" t="s">
        <v>118</v>
      </c>
      <c r="C1" s="11" t="s">
        <v>119</v>
      </c>
      <c r="D1" s="11" t="s">
        <v>120</v>
      </c>
      <c r="E1" s="11" t="s">
        <v>121</v>
      </c>
      <c r="F1" s="11" t="s">
        <v>122</v>
      </c>
      <c r="G1" s="11" t="s">
        <v>123</v>
      </c>
      <c r="H1" s="11" t="s">
        <v>124</v>
      </c>
      <c r="I1" s="11" t="s">
        <v>125</v>
      </c>
      <c r="J1" s="11" t="s">
        <v>126</v>
      </c>
      <c r="K1" s="11" t="s">
        <v>127</v>
      </c>
      <c r="L1" s="11" t="s">
        <v>128</v>
      </c>
      <c r="M1" s="12" t="s">
        <v>129</v>
      </c>
      <c r="N1" s="11" t="s">
        <v>130</v>
      </c>
      <c r="O1" s="11" t="s">
        <v>131</v>
      </c>
      <c r="P1" s="11" t="s">
        <v>132</v>
      </c>
      <c r="Q1" s="13" t="s">
        <v>133</v>
      </c>
      <c r="R1" s="14" t="s">
        <v>134</v>
      </c>
      <c r="S1" s="15" t="s">
        <v>135</v>
      </c>
      <c r="T1" s="16" t="s">
        <v>136</v>
      </c>
      <c r="U1" s="16" t="s">
        <v>137</v>
      </c>
      <c r="V1" s="16" t="s">
        <v>138</v>
      </c>
      <c r="W1" s="13" t="s">
        <v>139</v>
      </c>
      <c r="X1" s="16" t="s">
        <v>140</v>
      </c>
      <c r="Y1" s="16" t="s">
        <v>141</v>
      </c>
      <c r="Z1" s="16" t="s">
        <v>142</v>
      </c>
      <c r="AA1" s="13" t="s">
        <v>143</v>
      </c>
      <c r="AB1" s="14" t="s">
        <v>144</v>
      </c>
    </row>
    <row r="2" spans="1:28">
      <c r="A2">
        <v>2026</v>
      </c>
      <c r="B2" t="s">
        <v>145</v>
      </c>
      <c r="C2" t="s">
        <v>149</v>
      </c>
      <c r="D2" t="s">
        <v>150</v>
      </c>
      <c r="E2">
        <v>360001</v>
      </c>
      <c r="G2" t="s">
        <v>148</v>
      </c>
      <c r="H2" t="s">
        <v>148</v>
      </c>
      <c r="I2" t="s">
        <v>9</v>
      </c>
      <c r="J2" t="s">
        <v>12</v>
      </c>
      <c r="K2">
        <v>1</v>
      </c>
      <c r="L2">
        <v>893800</v>
      </c>
      <c r="M2" s="17">
        <f>L2/K2</f>
        <v>893800</v>
      </c>
      <c r="O2" s="17">
        <f t="shared" ref="O2:O29" si="0">M2+(M2*30%)</f>
        <v>1161940</v>
      </c>
      <c r="P2" s="17">
        <v>0</v>
      </c>
      <c r="Q2" s="18">
        <v>0.3</v>
      </c>
      <c r="R2" s="17">
        <v>0</v>
      </c>
      <c r="S2" s="19">
        <v>0</v>
      </c>
      <c r="T2" s="17">
        <v>0</v>
      </c>
      <c r="U2" s="18">
        <v>0.12</v>
      </c>
      <c r="V2" s="17">
        <v>0</v>
      </c>
      <c r="W2" s="18">
        <v>0</v>
      </c>
      <c r="X2" s="17">
        <f>M2</f>
        <v>893800</v>
      </c>
      <c r="Y2" s="18">
        <v>0.33</v>
      </c>
      <c r="Z2" s="17">
        <f>X2+(X2*Y2)</f>
        <v>1188754</v>
      </c>
      <c r="AA2" s="18">
        <f t="shared" ref="AA2:AA29" si="1">IFERROR(((Z2-X2)/Z2),0)</f>
        <v>0.24812030075187969</v>
      </c>
      <c r="AB2" s="18">
        <v>0.1</v>
      </c>
    </row>
    <row r="3" spans="1:28">
      <c r="A3">
        <v>2026</v>
      </c>
      <c r="B3" t="s">
        <v>145</v>
      </c>
      <c r="C3" t="s">
        <v>149</v>
      </c>
      <c r="D3" t="s">
        <v>150</v>
      </c>
      <c r="E3">
        <v>360102</v>
      </c>
      <c r="G3" t="s">
        <v>148</v>
      </c>
      <c r="H3" t="s">
        <v>148</v>
      </c>
      <c r="I3" t="s">
        <v>19</v>
      </c>
      <c r="J3" t="s">
        <v>22</v>
      </c>
      <c r="K3">
        <v>10</v>
      </c>
      <c r="L3">
        <v>13500</v>
      </c>
      <c r="M3" s="17">
        <f t="shared" ref="M3:M29" si="2">L3/K3</f>
        <v>1350</v>
      </c>
      <c r="O3" s="17">
        <f t="shared" si="0"/>
        <v>1755</v>
      </c>
      <c r="P3" s="17">
        <v>0</v>
      </c>
      <c r="Q3" s="18">
        <v>0.28000000000000003</v>
      </c>
      <c r="R3" s="17">
        <v>0</v>
      </c>
      <c r="S3" s="19">
        <v>0</v>
      </c>
      <c r="T3" s="17">
        <v>0</v>
      </c>
      <c r="U3" s="18">
        <v>0.25</v>
      </c>
      <c r="V3" s="17">
        <v>0</v>
      </c>
      <c r="W3" s="18">
        <v>0</v>
      </c>
      <c r="X3" s="17">
        <f t="shared" ref="X3:X29" si="3">M3</f>
        <v>1350</v>
      </c>
      <c r="Y3" s="18">
        <v>0.31</v>
      </c>
      <c r="Z3" s="17">
        <f t="shared" ref="Z3:Z29" si="4">X3+(X3*Y3)</f>
        <v>1768.5</v>
      </c>
      <c r="AA3" s="18">
        <f t="shared" si="1"/>
        <v>0.23664122137404581</v>
      </c>
      <c r="AB3" s="18">
        <v>0.1</v>
      </c>
    </row>
    <row r="4" spans="1:28">
      <c r="A4">
        <v>2026</v>
      </c>
      <c r="B4" t="s">
        <v>145</v>
      </c>
      <c r="C4" t="s">
        <v>149</v>
      </c>
      <c r="D4" t="s">
        <v>150</v>
      </c>
      <c r="E4">
        <v>360104</v>
      </c>
      <c r="G4" t="s">
        <v>148</v>
      </c>
      <c r="H4" t="s">
        <v>148</v>
      </c>
      <c r="I4" t="s">
        <v>19</v>
      </c>
      <c r="J4" t="s">
        <v>22</v>
      </c>
      <c r="K4">
        <v>10</v>
      </c>
      <c r="L4">
        <v>28800</v>
      </c>
      <c r="M4" s="17">
        <f t="shared" si="2"/>
        <v>2880</v>
      </c>
      <c r="O4" s="17">
        <f t="shared" si="0"/>
        <v>3744</v>
      </c>
      <c r="P4" s="17">
        <v>0</v>
      </c>
      <c r="Q4" s="18">
        <v>0.27</v>
      </c>
      <c r="R4" s="17">
        <v>0</v>
      </c>
      <c r="S4" s="19">
        <v>0</v>
      </c>
      <c r="T4" s="17">
        <v>0</v>
      </c>
      <c r="U4" s="18">
        <v>0.1</v>
      </c>
      <c r="V4" s="17">
        <v>0</v>
      </c>
      <c r="W4" s="18">
        <v>0</v>
      </c>
      <c r="X4" s="17">
        <f t="shared" si="3"/>
        <v>2880</v>
      </c>
      <c r="Y4" s="18">
        <v>0.3</v>
      </c>
      <c r="Z4" s="17">
        <f t="shared" si="4"/>
        <v>3744</v>
      </c>
      <c r="AA4" s="18">
        <f t="shared" si="1"/>
        <v>0.23076923076923078</v>
      </c>
      <c r="AB4" s="18">
        <v>0.1</v>
      </c>
    </row>
    <row r="5" spans="1:28">
      <c r="A5">
        <v>2026</v>
      </c>
      <c r="B5" t="s">
        <v>145</v>
      </c>
      <c r="C5" t="s">
        <v>149</v>
      </c>
      <c r="D5" t="s">
        <v>150</v>
      </c>
      <c r="E5">
        <v>360100</v>
      </c>
      <c r="G5" t="s">
        <v>148</v>
      </c>
      <c r="H5" t="s">
        <v>148</v>
      </c>
      <c r="I5" t="s">
        <v>19</v>
      </c>
      <c r="J5" t="s">
        <v>22</v>
      </c>
      <c r="K5">
        <v>10</v>
      </c>
      <c r="L5">
        <v>63400</v>
      </c>
      <c r="M5" s="17">
        <f t="shared" si="2"/>
        <v>6340</v>
      </c>
      <c r="O5" s="17">
        <f t="shared" si="0"/>
        <v>8242</v>
      </c>
      <c r="P5" s="17">
        <v>0</v>
      </c>
      <c r="Q5" s="18">
        <v>0.17</v>
      </c>
      <c r="R5" s="17">
        <v>0</v>
      </c>
      <c r="S5" s="19">
        <v>0</v>
      </c>
      <c r="T5" s="17">
        <v>0</v>
      </c>
      <c r="U5" s="18">
        <v>0.35</v>
      </c>
      <c r="V5" s="17">
        <v>0</v>
      </c>
      <c r="W5" s="18">
        <v>0</v>
      </c>
      <c r="X5" s="17">
        <f t="shared" si="3"/>
        <v>6340</v>
      </c>
      <c r="Y5" s="18">
        <v>0.28000000000000003</v>
      </c>
      <c r="Z5" s="17">
        <f t="shared" si="4"/>
        <v>8115.2000000000007</v>
      </c>
      <c r="AA5" s="18">
        <f t="shared" si="1"/>
        <v>0.21875000000000008</v>
      </c>
      <c r="AB5" s="18">
        <v>0.1</v>
      </c>
    </row>
    <row r="6" spans="1:28">
      <c r="A6">
        <v>2026</v>
      </c>
      <c r="B6" t="s">
        <v>145</v>
      </c>
      <c r="C6" t="s">
        <v>149</v>
      </c>
      <c r="D6" t="s">
        <v>150</v>
      </c>
      <c r="E6">
        <v>360150</v>
      </c>
      <c r="G6" t="s">
        <v>148</v>
      </c>
      <c r="H6" t="s">
        <v>148</v>
      </c>
      <c r="I6" t="s">
        <v>30</v>
      </c>
      <c r="J6" t="s">
        <v>22</v>
      </c>
      <c r="K6">
        <v>10</v>
      </c>
      <c r="L6">
        <v>24200</v>
      </c>
      <c r="M6" s="17">
        <f t="shared" si="2"/>
        <v>2420</v>
      </c>
      <c r="O6" s="17">
        <f t="shared" si="0"/>
        <v>3146</v>
      </c>
      <c r="P6" s="17">
        <v>0</v>
      </c>
      <c r="Q6" s="18">
        <v>0.22</v>
      </c>
      <c r="R6" s="17">
        <v>0</v>
      </c>
      <c r="S6" s="19">
        <v>0</v>
      </c>
      <c r="T6" s="17">
        <v>0</v>
      </c>
      <c r="U6" s="18">
        <v>0.33</v>
      </c>
      <c r="V6" s="17">
        <v>0</v>
      </c>
      <c r="W6" s="18">
        <v>0</v>
      </c>
      <c r="X6" s="17">
        <f t="shared" si="3"/>
        <v>2420</v>
      </c>
      <c r="Y6" s="18">
        <v>0.27</v>
      </c>
      <c r="Z6" s="17">
        <f t="shared" si="4"/>
        <v>3073.4</v>
      </c>
      <c r="AA6" s="18">
        <f t="shared" si="1"/>
        <v>0.2125984251968504</v>
      </c>
      <c r="AB6" s="18">
        <v>0.1</v>
      </c>
    </row>
    <row r="7" spans="1:28">
      <c r="A7">
        <v>2026</v>
      </c>
      <c r="B7" t="s">
        <v>145</v>
      </c>
      <c r="C7" t="s">
        <v>149</v>
      </c>
      <c r="D7" t="s">
        <v>150</v>
      </c>
      <c r="E7">
        <v>360101</v>
      </c>
      <c r="G7" t="s">
        <v>148</v>
      </c>
      <c r="H7" t="s">
        <v>148</v>
      </c>
      <c r="I7" t="s">
        <v>30</v>
      </c>
      <c r="J7" t="s">
        <v>22</v>
      </c>
      <c r="K7">
        <v>10</v>
      </c>
      <c r="L7">
        <v>36700</v>
      </c>
      <c r="M7" s="17">
        <f t="shared" si="2"/>
        <v>3670</v>
      </c>
      <c r="O7" s="17">
        <f t="shared" si="0"/>
        <v>4771</v>
      </c>
      <c r="P7" s="17">
        <v>0</v>
      </c>
      <c r="Q7" s="18">
        <v>0.12</v>
      </c>
      <c r="R7" s="17">
        <v>0</v>
      </c>
      <c r="S7" s="19">
        <v>0</v>
      </c>
      <c r="T7" s="17">
        <v>0</v>
      </c>
      <c r="U7" s="18">
        <v>0.31</v>
      </c>
      <c r="V7" s="17">
        <v>0</v>
      </c>
      <c r="W7" s="18">
        <v>0</v>
      </c>
      <c r="X7" s="17">
        <f t="shared" si="3"/>
        <v>3670</v>
      </c>
      <c r="Y7" s="18">
        <v>0.17</v>
      </c>
      <c r="Z7" s="17">
        <f t="shared" si="4"/>
        <v>4293.8999999999996</v>
      </c>
      <c r="AA7" s="18">
        <f t="shared" si="1"/>
        <v>0.14529914529914523</v>
      </c>
      <c r="AB7" s="18">
        <v>0.1</v>
      </c>
    </row>
    <row r="8" spans="1:28">
      <c r="A8">
        <v>2026</v>
      </c>
      <c r="B8" t="s">
        <v>145</v>
      </c>
      <c r="C8" t="s">
        <v>149</v>
      </c>
      <c r="D8" t="s">
        <v>150</v>
      </c>
      <c r="E8">
        <v>360103</v>
      </c>
      <c r="G8" t="s">
        <v>148</v>
      </c>
      <c r="H8" t="s">
        <v>148</v>
      </c>
      <c r="I8" t="s">
        <v>30</v>
      </c>
      <c r="J8" t="s">
        <v>22</v>
      </c>
      <c r="K8">
        <v>10</v>
      </c>
      <c r="L8">
        <v>91800</v>
      </c>
      <c r="M8" s="17">
        <f t="shared" si="2"/>
        <v>9180</v>
      </c>
      <c r="O8" s="17">
        <f t="shared" si="0"/>
        <v>11934</v>
      </c>
      <c r="P8" s="17">
        <v>0</v>
      </c>
      <c r="Q8" s="18">
        <v>0.15</v>
      </c>
      <c r="R8" s="17">
        <v>0</v>
      </c>
      <c r="S8" s="19">
        <v>0</v>
      </c>
      <c r="T8" s="17">
        <v>0</v>
      </c>
      <c r="U8" s="18">
        <v>0.3</v>
      </c>
      <c r="V8" s="17">
        <v>0</v>
      </c>
      <c r="W8" s="18">
        <v>0</v>
      </c>
      <c r="X8" s="17">
        <f t="shared" si="3"/>
        <v>9180</v>
      </c>
      <c r="Y8" s="18">
        <v>0.22</v>
      </c>
      <c r="Z8" s="17">
        <f t="shared" si="4"/>
        <v>11199.6</v>
      </c>
      <c r="AA8" s="18">
        <f t="shared" si="1"/>
        <v>0.18032786885245905</v>
      </c>
      <c r="AB8" s="18">
        <v>0.1</v>
      </c>
    </row>
    <row r="9" spans="1:28">
      <c r="A9">
        <v>2026</v>
      </c>
      <c r="B9" t="s">
        <v>145</v>
      </c>
      <c r="C9" t="s">
        <v>149</v>
      </c>
      <c r="D9" t="s">
        <v>150</v>
      </c>
      <c r="E9">
        <v>709900</v>
      </c>
      <c r="G9" t="s">
        <v>148</v>
      </c>
      <c r="H9" t="s">
        <v>148</v>
      </c>
      <c r="I9" t="s">
        <v>44</v>
      </c>
      <c r="J9" t="s">
        <v>29</v>
      </c>
      <c r="K9">
        <v>5</v>
      </c>
      <c r="L9">
        <v>17300</v>
      </c>
      <c r="M9" s="17">
        <f t="shared" si="2"/>
        <v>3460</v>
      </c>
      <c r="O9" s="17">
        <f t="shared" si="0"/>
        <v>4498</v>
      </c>
      <c r="P9" s="17">
        <v>0</v>
      </c>
      <c r="Q9" s="18">
        <v>0.18</v>
      </c>
      <c r="R9" s="17">
        <v>0</v>
      </c>
      <c r="S9" s="19">
        <v>0</v>
      </c>
      <c r="T9" s="17">
        <v>0</v>
      </c>
      <c r="U9" s="18">
        <v>0.28000000000000003</v>
      </c>
      <c r="V9" s="17">
        <v>0</v>
      </c>
      <c r="W9" s="18">
        <v>0</v>
      </c>
      <c r="X9" s="17">
        <f t="shared" si="3"/>
        <v>3460</v>
      </c>
      <c r="Y9" s="18">
        <v>0.12</v>
      </c>
      <c r="Z9" s="17">
        <f t="shared" si="4"/>
        <v>3875.2</v>
      </c>
      <c r="AA9" s="18">
        <f t="shared" si="1"/>
        <v>0.1071428571428571</v>
      </c>
      <c r="AB9" s="18">
        <v>0.1</v>
      </c>
    </row>
    <row r="10" spans="1:28">
      <c r="A10">
        <v>2026</v>
      </c>
      <c r="B10" t="s">
        <v>145</v>
      </c>
      <c r="C10" t="s">
        <v>149</v>
      </c>
      <c r="D10" t="s">
        <v>150</v>
      </c>
      <c r="E10">
        <v>709902</v>
      </c>
      <c r="G10" t="s">
        <v>148</v>
      </c>
      <c r="H10" t="s">
        <v>148</v>
      </c>
      <c r="I10" t="s">
        <v>44</v>
      </c>
      <c r="J10" t="s">
        <v>29</v>
      </c>
      <c r="K10">
        <v>5</v>
      </c>
      <c r="L10">
        <v>29000</v>
      </c>
      <c r="M10" s="17">
        <f t="shared" si="2"/>
        <v>5800</v>
      </c>
      <c r="O10" s="17">
        <f t="shared" si="0"/>
        <v>7540</v>
      </c>
      <c r="P10" s="17">
        <v>0</v>
      </c>
      <c r="Q10" s="18">
        <v>0.28999999999999998</v>
      </c>
      <c r="R10" s="17">
        <v>0</v>
      </c>
      <c r="S10" s="19">
        <v>0</v>
      </c>
      <c r="T10" s="17">
        <v>0</v>
      </c>
      <c r="U10" s="18">
        <v>0.27</v>
      </c>
      <c r="V10" s="17">
        <v>0</v>
      </c>
      <c r="W10" s="18">
        <v>0</v>
      </c>
      <c r="X10" s="17">
        <f t="shared" si="3"/>
        <v>5800</v>
      </c>
      <c r="Y10" s="18">
        <v>0.15</v>
      </c>
      <c r="Z10" s="17">
        <f t="shared" si="4"/>
        <v>6670</v>
      </c>
      <c r="AA10" s="18">
        <f t="shared" si="1"/>
        <v>0.13043478260869565</v>
      </c>
      <c r="AB10" s="18">
        <v>0.1</v>
      </c>
    </row>
    <row r="11" spans="1:28">
      <c r="A11">
        <v>2026</v>
      </c>
      <c r="B11" t="s">
        <v>145</v>
      </c>
      <c r="C11" t="s">
        <v>149</v>
      </c>
      <c r="D11" t="s">
        <v>150</v>
      </c>
      <c r="E11">
        <v>709903</v>
      </c>
      <c r="G11" t="s">
        <v>148</v>
      </c>
      <c r="H11" t="s">
        <v>148</v>
      </c>
      <c r="I11" t="s">
        <v>44</v>
      </c>
      <c r="J11" t="s">
        <v>29</v>
      </c>
      <c r="K11">
        <v>5</v>
      </c>
      <c r="L11">
        <v>36700</v>
      </c>
      <c r="M11" s="17">
        <f t="shared" si="2"/>
        <v>7340</v>
      </c>
      <c r="O11" s="17">
        <f t="shared" si="0"/>
        <v>9542</v>
      </c>
      <c r="P11" s="17">
        <v>0</v>
      </c>
      <c r="Q11" s="18">
        <v>0.34</v>
      </c>
      <c r="R11" s="17">
        <v>0</v>
      </c>
      <c r="S11" s="19">
        <v>0</v>
      </c>
      <c r="T11" s="17">
        <v>0</v>
      </c>
      <c r="U11" s="18">
        <v>0.17</v>
      </c>
      <c r="V11" s="17">
        <v>0</v>
      </c>
      <c r="W11" s="18">
        <v>0</v>
      </c>
      <c r="X11" s="17">
        <f t="shared" si="3"/>
        <v>7340</v>
      </c>
      <c r="Y11" s="18">
        <v>0.18</v>
      </c>
      <c r="Z11" s="17">
        <f t="shared" si="4"/>
        <v>8661.2000000000007</v>
      </c>
      <c r="AA11" s="18">
        <f t="shared" si="1"/>
        <v>0.152542372881356</v>
      </c>
      <c r="AB11" s="18">
        <v>0.1</v>
      </c>
    </row>
    <row r="12" spans="1:28">
      <c r="A12">
        <v>2026</v>
      </c>
      <c r="B12" t="s">
        <v>145</v>
      </c>
      <c r="C12" t="s">
        <v>149</v>
      </c>
      <c r="D12" t="s">
        <v>150</v>
      </c>
      <c r="E12">
        <v>709909</v>
      </c>
      <c r="G12" t="s">
        <v>148</v>
      </c>
      <c r="H12" t="s">
        <v>148</v>
      </c>
      <c r="I12" t="s">
        <v>44</v>
      </c>
      <c r="J12" t="s">
        <v>29</v>
      </c>
      <c r="K12">
        <v>5</v>
      </c>
      <c r="L12">
        <v>75900</v>
      </c>
      <c r="M12" s="17">
        <f t="shared" si="2"/>
        <v>15180</v>
      </c>
      <c r="O12" s="17">
        <f t="shared" si="0"/>
        <v>19734</v>
      </c>
      <c r="P12" s="17">
        <v>0</v>
      </c>
      <c r="Q12" s="18">
        <v>0.25</v>
      </c>
      <c r="R12" s="17">
        <v>0</v>
      </c>
      <c r="S12" s="19">
        <v>0</v>
      </c>
      <c r="T12" s="17">
        <v>0</v>
      </c>
      <c r="U12" s="18">
        <v>0.22</v>
      </c>
      <c r="V12" s="17">
        <v>0</v>
      </c>
      <c r="W12" s="18">
        <v>0</v>
      </c>
      <c r="X12" s="17">
        <f t="shared" si="3"/>
        <v>15180</v>
      </c>
      <c r="Y12" s="18">
        <v>0.28999999999999998</v>
      </c>
      <c r="Z12" s="17">
        <f t="shared" si="4"/>
        <v>19582.2</v>
      </c>
      <c r="AA12" s="18">
        <f t="shared" si="1"/>
        <v>0.22480620155038764</v>
      </c>
      <c r="AB12" s="18">
        <v>0.1</v>
      </c>
    </row>
    <row r="13" spans="1:28">
      <c r="A13">
        <v>2026</v>
      </c>
      <c r="B13" t="s">
        <v>145</v>
      </c>
      <c r="C13" t="s">
        <v>149</v>
      </c>
      <c r="D13" t="s">
        <v>150</v>
      </c>
      <c r="E13">
        <v>709904</v>
      </c>
      <c r="G13" t="s">
        <v>148</v>
      </c>
      <c r="H13" t="s">
        <v>148</v>
      </c>
      <c r="I13" t="s">
        <v>55</v>
      </c>
      <c r="J13" t="s">
        <v>29</v>
      </c>
      <c r="K13">
        <v>5</v>
      </c>
      <c r="L13">
        <v>16900</v>
      </c>
      <c r="M13" s="17">
        <f t="shared" si="2"/>
        <v>3380</v>
      </c>
      <c r="O13" s="17">
        <f t="shared" si="0"/>
        <v>4394</v>
      </c>
      <c r="P13" s="17">
        <v>0</v>
      </c>
      <c r="Q13" s="18">
        <v>0.35</v>
      </c>
      <c r="R13" s="17">
        <v>0</v>
      </c>
      <c r="S13" s="19">
        <v>0</v>
      </c>
      <c r="T13" s="17">
        <v>0</v>
      </c>
      <c r="U13" s="18">
        <v>0.12</v>
      </c>
      <c r="V13" s="17">
        <v>0</v>
      </c>
      <c r="W13" s="18">
        <v>0</v>
      </c>
      <c r="X13" s="17">
        <f t="shared" si="3"/>
        <v>3380</v>
      </c>
      <c r="Y13" s="18">
        <v>0.34</v>
      </c>
      <c r="Z13" s="17">
        <f t="shared" si="4"/>
        <v>4529.2</v>
      </c>
      <c r="AA13" s="18">
        <f t="shared" si="1"/>
        <v>0.25373134328358204</v>
      </c>
      <c r="AB13" s="18">
        <v>0.1</v>
      </c>
    </row>
    <row r="14" spans="1:28">
      <c r="A14">
        <v>2026</v>
      </c>
      <c r="B14" t="s">
        <v>145</v>
      </c>
      <c r="C14" t="s">
        <v>149</v>
      </c>
      <c r="D14" t="s">
        <v>150</v>
      </c>
      <c r="E14">
        <v>603421</v>
      </c>
      <c r="G14" t="s">
        <v>148</v>
      </c>
      <c r="H14" t="s">
        <v>148</v>
      </c>
      <c r="I14" t="s">
        <v>55</v>
      </c>
      <c r="J14" t="s">
        <v>29</v>
      </c>
      <c r="K14">
        <v>5</v>
      </c>
      <c r="L14">
        <v>21900</v>
      </c>
      <c r="M14" s="17">
        <f t="shared" si="2"/>
        <v>4380</v>
      </c>
      <c r="O14" s="17">
        <f t="shared" si="0"/>
        <v>5694</v>
      </c>
      <c r="P14" s="17">
        <v>0</v>
      </c>
      <c r="Q14" s="18">
        <v>0.12</v>
      </c>
      <c r="R14" s="17">
        <v>0</v>
      </c>
      <c r="S14" s="19">
        <v>0</v>
      </c>
      <c r="T14" s="17">
        <v>0</v>
      </c>
      <c r="U14" s="18">
        <v>0.15</v>
      </c>
      <c r="V14" s="17">
        <v>0</v>
      </c>
      <c r="W14" s="18">
        <v>0</v>
      </c>
      <c r="X14" s="17">
        <f t="shared" si="3"/>
        <v>4380</v>
      </c>
      <c r="Y14" s="18">
        <v>0.25</v>
      </c>
      <c r="Z14" s="17">
        <f t="shared" si="4"/>
        <v>5475</v>
      </c>
      <c r="AA14" s="18">
        <f t="shared" si="1"/>
        <v>0.2</v>
      </c>
      <c r="AB14" s="18">
        <v>0.1</v>
      </c>
    </row>
    <row r="15" spans="1:28">
      <c r="A15">
        <v>2026</v>
      </c>
      <c r="B15" t="s">
        <v>145</v>
      </c>
      <c r="C15" t="s">
        <v>149</v>
      </c>
      <c r="D15" t="s">
        <v>150</v>
      </c>
      <c r="E15">
        <v>603422</v>
      </c>
      <c r="G15" t="s">
        <v>148</v>
      </c>
      <c r="H15" t="s">
        <v>148</v>
      </c>
      <c r="I15" t="s">
        <v>60</v>
      </c>
      <c r="J15" t="s">
        <v>29</v>
      </c>
      <c r="K15">
        <v>5</v>
      </c>
      <c r="L15">
        <v>38600</v>
      </c>
      <c r="M15" s="17">
        <f t="shared" si="2"/>
        <v>7720</v>
      </c>
      <c r="O15" s="17">
        <f t="shared" si="0"/>
        <v>10036</v>
      </c>
      <c r="P15" s="17">
        <v>0</v>
      </c>
      <c r="Q15" s="18">
        <v>0.25</v>
      </c>
      <c r="R15" s="17">
        <v>0</v>
      </c>
      <c r="S15" s="19">
        <v>0</v>
      </c>
      <c r="T15" s="17">
        <v>0</v>
      </c>
      <c r="U15" s="18">
        <v>0.18</v>
      </c>
      <c r="V15" s="17">
        <v>0</v>
      </c>
      <c r="W15" s="18">
        <v>0</v>
      </c>
      <c r="X15" s="17">
        <f t="shared" si="3"/>
        <v>7720</v>
      </c>
      <c r="Y15" s="18">
        <v>0.35</v>
      </c>
      <c r="Z15" s="17">
        <f t="shared" si="4"/>
        <v>10422</v>
      </c>
      <c r="AA15" s="18">
        <f t="shared" si="1"/>
        <v>0.25925925925925924</v>
      </c>
      <c r="AB15" s="18">
        <v>0.1</v>
      </c>
    </row>
    <row r="16" spans="1:28">
      <c r="A16">
        <v>2026</v>
      </c>
      <c r="B16" t="s">
        <v>145</v>
      </c>
      <c r="C16" t="s">
        <v>149</v>
      </c>
      <c r="D16" t="s">
        <v>150</v>
      </c>
      <c r="E16">
        <v>603423</v>
      </c>
      <c r="G16" t="s">
        <v>148</v>
      </c>
      <c r="H16" t="s">
        <v>148</v>
      </c>
      <c r="I16" t="s">
        <v>60</v>
      </c>
      <c r="J16" t="s">
        <v>29</v>
      </c>
      <c r="K16">
        <v>5</v>
      </c>
      <c r="L16">
        <v>107200</v>
      </c>
      <c r="M16" s="17">
        <f t="shared" si="2"/>
        <v>21440</v>
      </c>
      <c r="O16" s="17">
        <f t="shared" si="0"/>
        <v>27872</v>
      </c>
      <c r="P16" s="17">
        <v>0</v>
      </c>
      <c r="Q16" s="18">
        <v>0.1</v>
      </c>
      <c r="R16" s="17">
        <v>0</v>
      </c>
      <c r="S16" s="19">
        <v>0</v>
      </c>
      <c r="T16" s="17">
        <v>0</v>
      </c>
      <c r="U16" s="18">
        <v>0.28999999999999998</v>
      </c>
      <c r="V16" s="17">
        <v>0</v>
      </c>
      <c r="W16" s="18">
        <v>0</v>
      </c>
      <c r="X16" s="17">
        <f t="shared" si="3"/>
        <v>21440</v>
      </c>
      <c r="Y16" s="18">
        <v>0.12</v>
      </c>
      <c r="Z16" s="17">
        <f t="shared" si="4"/>
        <v>24012.799999999999</v>
      </c>
      <c r="AA16" s="18">
        <f t="shared" si="1"/>
        <v>0.10714285714285711</v>
      </c>
      <c r="AB16" s="18">
        <v>0.1</v>
      </c>
    </row>
    <row r="17" spans="1:28">
      <c r="A17">
        <v>2026</v>
      </c>
      <c r="B17" t="s">
        <v>145</v>
      </c>
      <c r="C17" t="s">
        <v>149</v>
      </c>
      <c r="D17" t="s">
        <v>150</v>
      </c>
      <c r="E17">
        <v>603420</v>
      </c>
      <c r="G17" t="s">
        <v>148</v>
      </c>
      <c r="H17" t="s">
        <v>148</v>
      </c>
      <c r="I17" t="s">
        <v>60</v>
      </c>
      <c r="J17" t="s">
        <v>29</v>
      </c>
      <c r="K17">
        <v>5</v>
      </c>
      <c r="L17">
        <v>114900</v>
      </c>
      <c r="M17" s="17">
        <f t="shared" si="2"/>
        <v>22980</v>
      </c>
      <c r="O17" s="17">
        <f t="shared" si="0"/>
        <v>29874</v>
      </c>
      <c r="P17" s="17">
        <v>0</v>
      </c>
      <c r="Q17" s="18">
        <v>0.35</v>
      </c>
      <c r="R17" s="17">
        <v>0</v>
      </c>
      <c r="S17" s="19">
        <v>0</v>
      </c>
      <c r="T17" s="17">
        <v>0</v>
      </c>
      <c r="U17" s="18">
        <v>0.34</v>
      </c>
      <c r="V17" s="17">
        <v>0</v>
      </c>
      <c r="W17" s="18">
        <v>0</v>
      </c>
      <c r="X17" s="17">
        <f t="shared" si="3"/>
        <v>22980</v>
      </c>
      <c r="Y17" s="18">
        <v>0.25</v>
      </c>
      <c r="Z17" s="17">
        <f t="shared" si="4"/>
        <v>28725</v>
      </c>
      <c r="AA17" s="18">
        <f t="shared" si="1"/>
        <v>0.2</v>
      </c>
      <c r="AB17" s="18">
        <v>0.1</v>
      </c>
    </row>
    <row r="18" spans="1:28">
      <c r="A18">
        <v>2026</v>
      </c>
      <c r="B18" t="s">
        <v>145</v>
      </c>
      <c r="C18" t="s">
        <v>149</v>
      </c>
      <c r="D18" t="s">
        <v>150</v>
      </c>
      <c r="E18">
        <v>603424</v>
      </c>
      <c r="G18" t="s">
        <v>148</v>
      </c>
      <c r="H18" t="s">
        <v>148</v>
      </c>
      <c r="I18" t="s">
        <v>60</v>
      </c>
      <c r="J18" t="s">
        <v>29</v>
      </c>
      <c r="K18">
        <v>5</v>
      </c>
      <c r="L18">
        <v>129400</v>
      </c>
      <c r="M18" s="17">
        <f t="shared" si="2"/>
        <v>25880</v>
      </c>
      <c r="O18" s="17">
        <f t="shared" si="0"/>
        <v>33644</v>
      </c>
      <c r="P18" s="17">
        <v>0</v>
      </c>
      <c r="Q18" s="18">
        <v>0.33</v>
      </c>
      <c r="R18" s="17">
        <v>0</v>
      </c>
      <c r="S18" s="19">
        <v>0</v>
      </c>
      <c r="T18" s="17">
        <v>0</v>
      </c>
      <c r="U18" s="18">
        <v>0.25</v>
      </c>
      <c r="V18" s="17">
        <v>0</v>
      </c>
      <c r="W18" s="18">
        <v>0</v>
      </c>
      <c r="X18" s="17">
        <f t="shared" si="3"/>
        <v>25880</v>
      </c>
      <c r="Y18" s="18">
        <v>0.1</v>
      </c>
      <c r="Z18" s="17">
        <f t="shared" si="4"/>
        <v>28468</v>
      </c>
      <c r="AA18" s="18">
        <f t="shared" si="1"/>
        <v>9.0909090909090912E-2</v>
      </c>
      <c r="AB18" s="18">
        <v>0.1</v>
      </c>
    </row>
    <row r="19" spans="1:28">
      <c r="A19">
        <v>2026</v>
      </c>
      <c r="B19" t="s">
        <v>145</v>
      </c>
      <c r="C19" t="s">
        <v>149</v>
      </c>
      <c r="D19" t="s">
        <v>150</v>
      </c>
      <c r="E19">
        <v>583300</v>
      </c>
      <c r="G19" t="s">
        <v>148</v>
      </c>
      <c r="H19" t="s">
        <v>148</v>
      </c>
      <c r="I19" t="s">
        <v>72</v>
      </c>
      <c r="J19" t="s">
        <v>29</v>
      </c>
      <c r="K19">
        <v>5</v>
      </c>
      <c r="L19">
        <v>49000</v>
      </c>
      <c r="M19" s="17">
        <f t="shared" si="2"/>
        <v>9800</v>
      </c>
      <c r="O19" s="17">
        <f t="shared" si="0"/>
        <v>12740</v>
      </c>
      <c r="P19" s="17">
        <v>0</v>
      </c>
      <c r="Q19" s="18">
        <v>0.31</v>
      </c>
      <c r="R19" s="17">
        <v>0</v>
      </c>
      <c r="S19" s="19">
        <v>0</v>
      </c>
      <c r="T19" s="17">
        <v>0</v>
      </c>
      <c r="U19" s="18">
        <v>0.35</v>
      </c>
      <c r="V19" s="17">
        <v>0</v>
      </c>
      <c r="W19" s="18">
        <v>0</v>
      </c>
      <c r="X19" s="17">
        <f t="shared" si="3"/>
        <v>9800</v>
      </c>
      <c r="Y19" s="18">
        <v>0.35</v>
      </c>
      <c r="Z19" s="17">
        <f t="shared" si="4"/>
        <v>13230</v>
      </c>
      <c r="AA19" s="18">
        <f t="shared" si="1"/>
        <v>0.25925925925925924</v>
      </c>
      <c r="AB19" s="18">
        <v>0.1</v>
      </c>
    </row>
    <row r="20" spans="1:28">
      <c r="A20">
        <v>2026</v>
      </c>
      <c r="B20" t="s">
        <v>145</v>
      </c>
      <c r="C20" t="s">
        <v>149</v>
      </c>
      <c r="D20" t="s">
        <v>150</v>
      </c>
      <c r="E20">
        <v>583400</v>
      </c>
      <c r="G20" t="s">
        <v>148</v>
      </c>
      <c r="H20" t="s">
        <v>148</v>
      </c>
      <c r="I20" t="s">
        <v>75</v>
      </c>
      <c r="J20" t="s">
        <v>53</v>
      </c>
      <c r="K20">
        <v>2</v>
      </c>
      <c r="L20">
        <v>386300</v>
      </c>
      <c r="M20" s="17">
        <f t="shared" si="2"/>
        <v>193150</v>
      </c>
      <c r="O20" s="17">
        <f t="shared" si="0"/>
        <v>251095</v>
      </c>
      <c r="P20" s="17">
        <v>0</v>
      </c>
      <c r="Q20" s="18">
        <v>0.3</v>
      </c>
      <c r="R20" s="17">
        <v>0</v>
      </c>
      <c r="S20" s="19">
        <v>0</v>
      </c>
      <c r="T20" s="17">
        <v>0</v>
      </c>
      <c r="U20" s="18">
        <v>0.12</v>
      </c>
      <c r="V20" s="17">
        <v>0</v>
      </c>
      <c r="W20" s="18">
        <v>0</v>
      </c>
      <c r="X20" s="17">
        <f t="shared" si="3"/>
        <v>193150</v>
      </c>
      <c r="Y20" s="18">
        <v>0.33</v>
      </c>
      <c r="Z20" s="17">
        <f t="shared" si="4"/>
        <v>256889.5</v>
      </c>
      <c r="AA20" s="18">
        <f t="shared" si="1"/>
        <v>0.24812030075187969</v>
      </c>
      <c r="AB20" s="18">
        <v>0.1</v>
      </c>
    </row>
    <row r="21" spans="1:28">
      <c r="A21">
        <v>2026</v>
      </c>
      <c r="B21" t="s">
        <v>145</v>
      </c>
      <c r="C21" t="s">
        <v>149</v>
      </c>
      <c r="D21" t="s">
        <v>150</v>
      </c>
      <c r="E21">
        <v>583500</v>
      </c>
      <c r="G21" t="s">
        <v>148</v>
      </c>
      <c r="H21" t="s">
        <v>148</v>
      </c>
      <c r="I21" t="s">
        <v>78</v>
      </c>
      <c r="J21" t="s">
        <v>22</v>
      </c>
      <c r="K21">
        <v>10</v>
      </c>
      <c r="L21">
        <v>38000</v>
      </c>
      <c r="M21" s="17">
        <f t="shared" si="2"/>
        <v>3800</v>
      </c>
      <c r="O21" s="17">
        <f t="shared" si="0"/>
        <v>4940</v>
      </c>
      <c r="P21" s="17">
        <v>0</v>
      </c>
      <c r="Q21" s="18">
        <v>0.28000000000000003</v>
      </c>
      <c r="R21" s="17">
        <v>0</v>
      </c>
      <c r="S21" s="19">
        <v>0</v>
      </c>
      <c r="T21" s="17">
        <v>0</v>
      </c>
      <c r="U21" s="18">
        <v>0.25</v>
      </c>
      <c r="V21" s="17">
        <v>0</v>
      </c>
      <c r="W21" s="18">
        <v>0</v>
      </c>
      <c r="X21" s="17">
        <f t="shared" si="3"/>
        <v>3800</v>
      </c>
      <c r="Y21" s="18">
        <v>0.31</v>
      </c>
      <c r="Z21" s="17">
        <f t="shared" si="4"/>
        <v>4978</v>
      </c>
      <c r="AA21" s="18">
        <f t="shared" si="1"/>
        <v>0.23664122137404581</v>
      </c>
      <c r="AB21" s="18">
        <v>0.1</v>
      </c>
    </row>
    <row r="22" spans="1:28">
      <c r="A22">
        <v>2026</v>
      </c>
      <c r="B22" t="s">
        <v>145</v>
      </c>
      <c r="C22" t="s">
        <v>149</v>
      </c>
      <c r="D22" t="s">
        <v>150</v>
      </c>
      <c r="E22">
        <v>595200</v>
      </c>
      <c r="G22" t="s">
        <v>148</v>
      </c>
      <c r="H22" t="s">
        <v>148</v>
      </c>
      <c r="I22" t="s">
        <v>78</v>
      </c>
      <c r="J22" t="s">
        <v>22</v>
      </c>
      <c r="K22">
        <v>10</v>
      </c>
      <c r="L22">
        <v>39800</v>
      </c>
      <c r="M22" s="17">
        <f t="shared" si="2"/>
        <v>3980</v>
      </c>
      <c r="O22" s="17">
        <f t="shared" si="0"/>
        <v>5174</v>
      </c>
      <c r="P22" s="17">
        <v>0</v>
      </c>
      <c r="Q22" s="18">
        <v>0.27</v>
      </c>
      <c r="R22" s="17">
        <v>0</v>
      </c>
      <c r="S22" s="19">
        <v>0</v>
      </c>
      <c r="T22" s="17">
        <v>0</v>
      </c>
      <c r="U22" s="18">
        <v>0.1</v>
      </c>
      <c r="V22" s="17">
        <v>0</v>
      </c>
      <c r="W22" s="18">
        <v>0</v>
      </c>
      <c r="X22" s="17">
        <f t="shared" si="3"/>
        <v>3980</v>
      </c>
      <c r="Y22" s="18">
        <v>0.3</v>
      </c>
      <c r="Z22" s="17">
        <f t="shared" si="4"/>
        <v>5174</v>
      </c>
      <c r="AA22" s="18">
        <f t="shared" si="1"/>
        <v>0.23076923076923078</v>
      </c>
      <c r="AB22" s="18">
        <v>0.1</v>
      </c>
    </row>
    <row r="23" spans="1:28">
      <c r="A23">
        <v>2026</v>
      </c>
      <c r="B23" t="s">
        <v>145</v>
      </c>
      <c r="C23" t="s">
        <v>149</v>
      </c>
      <c r="D23" t="s">
        <v>150</v>
      </c>
      <c r="E23">
        <v>595300</v>
      </c>
      <c r="G23" t="s">
        <v>148</v>
      </c>
      <c r="H23" t="s">
        <v>148</v>
      </c>
      <c r="I23" t="s">
        <v>78</v>
      </c>
      <c r="J23" t="s">
        <v>22</v>
      </c>
      <c r="K23">
        <v>10</v>
      </c>
      <c r="L23">
        <v>42200</v>
      </c>
      <c r="M23" s="17">
        <f t="shared" si="2"/>
        <v>4220</v>
      </c>
      <c r="O23" s="17">
        <f t="shared" si="0"/>
        <v>5486</v>
      </c>
      <c r="P23" s="17">
        <v>0</v>
      </c>
      <c r="Q23" s="18">
        <v>0.17</v>
      </c>
      <c r="R23" s="17">
        <v>0</v>
      </c>
      <c r="S23" s="19">
        <v>0</v>
      </c>
      <c r="T23" s="17">
        <v>0</v>
      </c>
      <c r="U23" s="18">
        <v>0.35</v>
      </c>
      <c r="V23" s="17">
        <v>0</v>
      </c>
      <c r="W23" s="18">
        <v>0</v>
      </c>
      <c r="X23" s="17">
        <f t="shared" si="3"/>
        <v>4220</v>
      </c>
      <c r="Y23" s="18">
        <v>0.28000000000000003</v>
      </c>
      <c r="Z23" s="17">
        <f t="shared" si="4"/>
        <v>5401.6</v>
      </c>
      <c r="AA23" s="18">
        <f t="shared" si="1"/>
        <v>0.21875000000000006</v>
      </c>
      <c r="AB23" s="18">
        <v>0.1</v>
      </c>
    </row>
    <row r="24" spans="1:28">
      <c r="A24">
        <v>2026</v>
      </c>
      <c r="B24" t="s">
        <v>145</v>
      </c>
      <c r="C24" t="s">
        <v>149</v>
      </c>
      <c r="D24" t="s">
        <v>150</v>
      </c>
      <c r="E24">
        <v>595400</v>
      </c>
      <c r="G24" t="s">
        <v>148</v>
      </c>
      <c r="H24" t="s">
        <v>148</v>
      </c>
      <c r="I24" t="s">
        <v>78</v>
      </c>
      <c r="J24" t="s">
        <v>22</v>
      </c>
      <c r="K24">
        <v>10</v>
      </c>
      <c r="L24">
        <v>51600</v>
      </c>
      <c r="M24" s="17">
        <f t="shared" si="2"/>
        <v>5160</v>
      </c>
      <c r="O24" s="17">
        <f t="shared" si="0"/>
        <v>6708</v>
      </c>
      <c r="P24" s="17">
        <v>0</v>
      </c>
      <c r="Q24" s="18">
        <v>0.22</v>
      </c>
      <c r="R24" s="17">
        <v>0</v>
      </c>
      <c r="S24" s="19">
        <v>0</v>
      </c>
      <c r="T24" s="17">
        <v>0</v>
      </c>
      <c r="U24" s="18">
        <v>0.33</v>
      </c>
      <c r="V24" s="17">
        <v>0</v>
      </c>
      <c r="W24" s="18">
        <v>0</v>
      </c>
      <c r="X24" s="17">
        <f t="shared" si="3"/>
        <v>5160</v>
      </c>
      <c r="Y24" s="18">
        <v>0.27</v>
      </c>
      <c r="Z24" s="17">
        <f t="shared" si="4"/>
        <v>6553.2</v>
      </c>
      <c r="AA24" s="18">
        <f t="shared" si="1"/>
        <v>0.21259842519685038</v>
      </c>
      <c r="AB24" s="18">
        <v>0.1</v>
      </c>
    </row>
    <row r="25" spans="1:28">
      <c r="A25">
        <v>2026</v>
      </c>
      <c r="B25" t="s">
        <v>145</v>
      </c>
      <c r="C25" t="s">
        <v>149</v>
      </c>
      <c r="D25" t="s">
        <v>150</v>
      </c>
      <c r="E25">
        <v>595600</v>
      </c>
      <c r="G25" t="s">
        <v>148</v>
      </c>
      <c r="H25" t="s">
        <v>148</v>
      </c>
      <c r="I25" t="s">
        <v>95</v>
      </c>
      <c r="J25" t="s">
        <v>12</v>
      </c>
      <c r="K25">
        <v>1</v>
      </c>
      <c r="L25">
        <v>43500</v>
      </c>
      <c r="M25" s="17">
        <f t="shared" si="2"/>
        <v>43500</v>
      </c>
      <c r="O25" s="17">
        <f t="shared" si="0"/>
        <v>56550</v>
      </c>
      <c r="P25" s="17">
        <v>0</v>
      </c>
      <c r="Q25" s="18">
        <v>0.12</v>
      </c>
      <c r="R25" s="17">
        <v>0</v>
      </c>
      <c r="S25" s="19">
        <v>0</v>
      </c>
      <c r="T25" s="17">
        <v>0</v>
      </c>
      <c r="U25" s="18">
        <v>0.31</v>
      </c>
      <c r="V25" s="17">
        <v>0</v>
      </c>
      <c r="W25" s="18">
        <v>0</v>
      </c>
      <c r="X25" s="17">
        <f t="shared" si="3"/>
        <v>43500</v>
      </c>
      <c r="Y25" s="18">
        <v>0.17</v>
      </c>
      <c r="Z25" s="17">
        <f t="shared" si="4"/>
        <v>50895</v>
      </c>
      <c r="AA25" s="18">
        <f t="shared" si="1"/>
        <v>0.14529914529914531</v>
      </c>
      <c r="AB25" s="18">
        <v>0.1</v>
      </c>
    </row>
    <row r="26" spans="1:28">
      <c r="A26">
        <v>2026</v>
      </c>
      <c r="B26" t="s">
        <v>145</v>
      </c>
      <c r="C26" t="s">
        <v>149</v>
      </c>
      <c r="D26" t="s">
        <v>150</v>
      </c>
      <c r="E26">
        <v>581011</v>
      </c>
      <c r="G26" t="s">
        <v>148</v>
      </c>
      <c r="H26" t="s">
        <v>148</v>
      </c>
      <c r="I26" t="s">
        <v>100</v>
      </c>
      <c r="J26" t="s">
        <v>12</v>
      </c>
      <c r="K26">
        <v>1</v>
      </c>
      <c r="L26">
        <v>89500</v>
      </c>
      <c r="M26" s="17">
        <f t="shared" si="2"/>
        <v>89500</v>
      </c>
      <c r="O26" s="17">
        <f t="shared" si="0"/>
        <v>116350</v>
      </c>
      <c r="P26" s="17">
        <v>0</v>
      </c>
      <c r="Q26" s="18">
        <v>0.15</v>
      </c>
      <c r="R26" s="17">
        <v>0</v>
      </c>
      <c r="S26" s="19">
        <v>0</v>
      </c>
      <c r="T26" s="17">
        <v>0</v>
      </c>
      <c r="U26" s="18">
        <v>0.3</v>
      </c>
      <c r="V26" s="17">
        <v>0</v>
      </c>
      <c r="W26" s="18">
        <v>0</v>
      </c>
      <c r="X26" s="17">
        <f t="shared" si="3"/>
        <v>89500</v>
      </c>
      <c r="Y26" s="18">
        <v>0.22</v>
      </c>
      <c r="Z26" s="17">
        <f t="shared" si="4"/>
        <v>109190</v>
      </c>
      <c r="AA26" s="18">
        <f t="shared" si="1"/>
        <v>0.18032786885245902</v>
      </c>
      <c r="AB26" s="18">
        <v>0.1</v>
      </c>
    </row>
    <row r="27" spans="1:28">
      <c r="A27">
        <v>2026</v>
      </c>
      <c r="B27" t="s">
        <v>145</v>
      </c>
      <c r="C27" t="s">
        <v>149</v>
      </c>
      <c r="D27" t="s">
        <v>150</v>
      </c>
      <c r="E27">
        <v>581100</v>
      </c>
      <c r="G27" t="s">
        <v>148</v>
      </c>
      <c r="H27" t="s">
        <v>148</v>
      </c>
      <c r="I27" t="s">
        <v>100</v>
      </c>
      <c r="J27" t="s">
        <v>12</v>
      </c>
      <c r="K27">
        <v>1</v>
      </c>
      <c r="L27">
        <v>67900</v>
      </c>
      <c r="M27" s="17">
        <f t="shared" si="2"/>
        <v>67900</v>
      </c>
      <c r="O27" s="17">
        <f t="shared" si="0"/>
        <v>88270</v>
      </c>
      <c r="P27" s="17">
        <v>0</v>
      </c>
      <c r="Q27" s="18">
        <v>0.18</v>
      </c>
      <c r="R27" s="17">
        <v>0</v>
      </c>
      <c r="S27" s="19">
        <v>0</v>
      </c>
      <c r="T27" s="17">
        <v>0</v>
      </c>
      <c r="U27" s="18">
        <v>0.28000000000000003</v>
      </c>
      <c r="V27" s="17">
        <v>0</v>
      </c>
      <c r="W27" s="18">
        <v>0</v>
      </c>
      <c r="X27" s="17">
        <f t="shared" si="3"/>
        <v>67900</v>
      </c>
      <c r="Y27" s="18">
        <v>0.12</v>
      </c>
      <c r="Z27" s="17">
        <f t="shared" si="4"/>
        <v>76048</v>
      </c>
      <c r="AA27" s="18">
        <f t="shared" si="1"/>
        <v>0.10714285714285714</v>
      </c>
      <c r="AB27" s="18">
        <v>0.1</v>
      </c>
    </row>
    <row r="28" spans="1:28">
      <c r="A28">
        <v>2026</v>
      </c>
      <c r="B28" t="s">
        <v>145</v>
      </c>
      <c r="C28" t="s">
        <v>149</v>
      </c>
      <c r="D28" t="s">
        <v>150</v>
      </c>
      <c r="E28">
        <v>581200</v>
      </c>
      <c r="G28" t="s">
        <v>148</v>
      </c>
      <c r="H28" t="s">
        <v>148</v>
      </c>
      <c r="I28" t="s">
        <v>100</v>
      </c>
      <c r="J28" t="s">
        <v>12</v>
      </c>
      <c r="K28">
        <v>1</v>
      </c>
      <c r="L28">
        <v>50300</v>
      </c>
      <c r="M28" s="17">
        <f t="shared" si="2"/>
        <v>50300</v>
      </c>
      <c r="O28" s="17">
        <f t="shared" si="0"/>
        <v>65390</v>
      </c>
      <c r="P28" s="17">
        <v>0</v>
      </c>
      <c r="Q28" s="18">
        <v>0.28999999999999998</v>
      </c>
      <c r="R28" s="17">
        <v>0</v>
      </c>
      <c r="S28" s="19">
        <v>0</v>
      </c>
      <c r="T28" s="17">
        <v>0</v>
      </c>
      <c r="U28" s="18">
        <v>0.27</v>
      </c>
      <c r="V28" s="17">
        <v>0</v>
      </c>
      <c r="W28" s="18">
        <v>0</v>
      </c>
      <c r="X28" s="17">
        <f t="shared" si="3"/>
        <v>50300</v>
      </c>
      <c r="Y28" s="18">
        <v>0.15</v>
      </c>
      <c r="Z28" s="17">
        <f t="shared" si="4"/>
        <v>57845</v>
      </c>
      <c r="AA28" s="18">
        <f t="shared" si="1"/>
        <v>0.13043478260869565</v>
      </c>
      <c r="AB28" s="18">
        <v>0.1</v>
      </c>
    </row>
    <row r="29" spans="1:28">
      <c r="A29">
        <v>2026</v>
      </c>
      <c r="B29" t="s">
        <v>145</v>
      </c>
      <c r="C29" t="s">
        <v>149</v>
      </c>
      <c r="D29" t="s">
        <v>150</v>
      </c>
      <c r="E29">
        <v>581300</v>
      </c>
      <c r="G29" t="s">
        <v>148</v>
      </c>
      <c r="H29" t="s">
        <v>148</v>
      </c>
      <c r="I29" t="s">
        <v>100</v>
      </c>
      <c r="J29" t="s">
        <v>12</v>
      </c>
      <c r="K29">
        <v>1</v>
      </c>
      <c r="L29">
        <v>53300</v>
      </c>
      <c r="M29" s="17">
        <f t="shared" si="2"/>
        <v>53300</v>
      </c>
      <c r="O29" s="17">
        <f t="shared" si="0"/>
        <v>69290</v>
      </c>
      <c r="P29" s="17">
        <v>0</v>
      </c>
      <c r="Q29" s="18">
        <v>0.34</v>
      </c>
      <c r="R29" s="17">
        <v>0</v>
      </c>
      <c r="S29" s="19">
        <v>0</v>
      </c>
      <c r="T29" s="17">
        <v>0</v>
      </c>
      <c r="U29" s="18">
        <v>0.17</v>
      </c>
      <c r="V29" s="17">
        <v>0</v>
      </c>
      <c r="W29" s="18">
        <v>0</v>
      </c>
      <c r="X29" s="17">
        <f t="shared" si="3"/>
        <v>53300</v>
      </c>
      <c r="Y29" s="18">
        <v>0.18</v>
      </c>
      <c r="Z29" s="17">
        <f t="shared" si="4"/>
        <v>62894</v>
      </c>
      <c r="AA29" s="18">
        <f t="shared" si="1"/>
        <v>0.15254237288135594</v>
      </c>
      <c r="AB29" s="18">
        <v>0.1</v>
      </c>
    </row>
    <row r="30" spans="1:28" ht="15">
      <c r="A30" s="11" t="s">
        <v>117</v>
      </c>
      <c r="B30" s="11" t="s">
        <v>118</v>
      </c>
      <c r="C30" s="11" t="s">
        <v>119</v>
      </c>
      <c r="D30" s="11" t="s">
        <v>120</v>
      </c>
      <c r="E30" s="11" t="s">
        <v>121</v>
      </c>
      <c r="F30" s="11" t="s">
        <v>122</v>
      </c>
      <c r="G30" s="11" t="s">
        <v>123</v>
      </c>
      <c r="H30" s="11" t="s">
        <v>124</v>
      </c>
      <c r="I30" s="11" t="s">
        <v>125</v>
      </c>
      <c r="J30" s="11" t="s">
        <v>126</v>
      </c>
      <c r="K30" s="11" t="s">
        <v>127</v>
      </c>
      <c r="L30" s="11" t="s">
        <v>128</v>
      </c>
      <c r="M30" s="12" t="s">
        <v>129</v>
      </c>
      <c r="N30" s="11" t="s">
        <v>130</v>
      </c>
      <c r="O30" s="11" t="s">
        <v>131</v>
      </c>
      <c r="P30" s="11" t="s">
        <v>132</v>
      </c>
      <c r="Q30" s="13" t="s">
        <v>133</v>
      </c>
      <c r="R30" s="14" t="s">
        <v>134</v>
      </c>
      <c r="S30" s="15" t="s">
        <v>135</v>
      </c>
      <c r="T30" s="16" t="s">
        <v>136</v>
      </c>
      <c r="U30" s="16" t="s">
        <v>137</v>
      </c>
      <c r="V30" s="16" t="s">
        <v>138</v>
      </c>
      <c r="W30" s="13" t="s">
        <v>139</v>
      </c>
      <c r="X30" s="16" t="s">
        <v>140</v>
      </c>
      <c r="Y30" s="16" t="s">
        <v>141</v>
      </c>
      <c r="Z30" s="16" t="s">
        <v>142</v>
      </c>
      <c r="AA30" s="13" t="s">
        <v>143</v>
      </c>
      <c r="AB30" s="14" t="s">
        <v>144</v>
      </c>
    </row>
    <row r="31" spans="1:28">
      <c r="A31">
        <v>2026</v>
      </c>
      <c r="B31" t="s">
        <v>145</v>
      </c>
      <c r="C31" t="s">
        <v>149</v>
      </c>
      <c r="D31" t="s">
        <v>150</v>
      </c>
      <c r="E31">
        <v>360001</v>
      </c>
      <c r="G31" t="s">
        <v>148</v>
      </c>
      <c r="H31" t="s">
        <v>148</v>
      </c>
      <c r="I31" t="s">
        <v>9</v>
      </c>
      <c r="J31" t="s">
        <v>12</v>
      </c>
      <c r="K31">
        <v>1</v>
      </c>
      <c r="L31">
        <v>893800</v>
      </c>
      <c r="M31" s="17">
        <f>L31/K31</f>
        <v>893800</v>
      </c>
      <c r="O31" s="17">
        <f t="shared" ref="O31:O58" si="5">M31+(M31*30%)</f>
        <v>1161940</v>
      </c>
      <c r="P31" s="17">
        <v>0</v>
      </c>
      <c r="Q31" s="18">
        <v>0.3</v>
      </c>
      <c r="R31" s="17">
        <v>0</v>
      </c>
      <c r="S31" s="19">
        <v>0</v>
      </c>
      <c r="T31" s="17">
        <v>0</v>
      </c>
      <c r="U31" s="18">
        <v>0.12</v>
      </c>
      <c r="V31" s="17">
        <v>0</v>
      </c>
      <c r="W31" s="18">
        <v>0</v>
      </c>
      <c r="X31" s="17">
        <f>M31</f>
        <v>893800</v>
      </c>
      <c r="Y31" s="18">
        <v>0.33</v>
      </c>
      <c r="Z31" s="17">
        <f>X31+(X31*Y31)</f>
        <v>1188754</v>
      </c>
      <c r="AA31" s="18">
        <f t="shared" ref="AA31:AA58" si="6">IFERROR(((Z31-X31)/Z31),0)</f>
        <v>0.24812030075187969</v>
      </c>
      <c r="AB31" s="18">
        <v>0.1</v>
      </c>
    </row>
    <row r="32" spans="1:28">
      <c r="A32">
        <v>2026</v>
      </c>
      <c r="B32" t="s">
        <v>145</v>
      </c>
      <c r="C32" t="s">
        <v>149</v>
      </c>
      <c r="D32" t="s">
        <v>150</v>
      </c>
      <c r="E32">
        <v>360102</v>
      </c>
      <c r="G32" t="s">
        <v>148</v>
      </c>
      <c r="H32" t="s">
        <v>148</v>
      </c>
      <c r="I32" t="s">
        <v>19</v>
      </c>
      <c r="J32" t="s">
        <v>22</v>
      </c>
      <c r="K32">
        <v>10</v>
      </c>
      <c r="L32">
        <v>13500</v>
      </c>
      <c r="M32" s="17">
        <f t="shared" ref="M32:M58" si="7">L32/K32</f>
        <v>1350</v>
      </c>
      <c r="O32" s="17">
        <f t="shared" si="5"/>
        <v>1755</v>
      </c>
      <c r="P32" s="17">
        <v>0</v>
      </c>
      <c r="Q32" s="18">
        <v>0.28000000000000003</v>
      </c>
      <c r="R32" s="17">
        <v>0</v>
      </c>
      <c r="S32" s="19">
        <v>0</v>
      </c>
      <c r="T32" s="17">
        <v>0</v>
      </c>
      <c r="U32" s="18">
        <v>0.25</v>
      </c>
      <c r="V32" s="17">
        <v>0</v>
      </c>
      <c r="W32" s="18">
        <v>0</v>
      </c>
      <c r="X32" s="17">
        <f t="shared" ref="X32:X58" si="8">M32</f>
        <v>1350</v>
      </c>
      <c r="Y32" s="18">
        <v>0.31</v>
      </c>
      <c r="Z32" s="17">
        <f t="shared" ref="Z32:Z58" si="9">X32+(X32*Y32)</f>
        <v>1768.5</v>
      </c>
      <c r="AA32" s="18">
        <f t="shared" si="6"/>
        <v>0.23664122137404581</v>
      </c>
      <c r="AB32" s="18">
        <v>0.1</v>
      </c>
    </row>
    <row r="33" spans="1:28">
      <c r="A33">
        <v>2026</v>
      </c>
      <c r="B33" t="s">
        <v>145</v>
      </c>
      <c r="C33" t="s">
        <v>149</v>
      </c>
      <c r="D33" t="s">
        <v>150</v>
      </c>
      <c r="E33">
        <v>360104</v>
      </c>
      <c r="G33" t="s">
        <v>148</v>
      </c>
      <c r="H33" t="s">
        <v>148</v>
      </c>
      <c r="I33" t="s">
        <v>19</v>
      </c>
      <c r="J33" t="s">
        <v>22</v>
      </c>
      <c r="K33">
        <v>10</v>
      </c>
      <c r="L33">
        <v>28800</v>
      </c>
      <c r="M33" s="17">
        <f t="shared" si="7"/>
        <v>2880</v>
      </c>
      <c r="O33" s="17">
        <f t="shared" si="5"/>
        <v>3744</v>
      </c>
      <c r="P33" s="17">
        <v>0</v>
      </c>
      <c r="Q33" s="18">
        <v>0.27</v>
      </c>
      <c r="R33" s="17">
        <v>0</v>
      </c>
      <c r="S33" s="19">
        <v>0</v>
      </c>
      <c r="T33" s="17">
        <v>0</v>
      </c>
      <c r="U33" s="18">
        <v>0.1</v>
      </c>
      <c r="V33" s="17">
        <v>0</v>
      </c>
      <c r="W33" s="18">
        <v>0</v>
      </c>
      <c r="X33" s="17">
        <f t="shared" si="8"/>
        <v>2880</v>
      </c>
      <c r="Y33" s="18">
        <v>0.3</v>
      </c>
      <c r="Z33" s="17">
        <f t="shared" si="9"/>
        <v>3744</v>
      </c>
      <c r="AA33" s="18">
        <f t="shared" si="6"/>
        <v>0.23076923076923078</v>
      </c>
      <c r="AB33" s="18">
        <v>0.1</v>
      </c>
    </row>
    <row r="34" spans="1:28">
      <c r="A34">
        <v>2026</v>
      </c>
      <c r="B34" t="s">
        <v>145</v>
      </c>
      <c r="C34" t="s">
        <v>149</v>
      </c>
      <c r="D34" t="s">
        <v>150</v>
      </c>
      <c r="E34">
        <v>360100</v>
      </c>
      <c r="G34" t="s">
        <v>148</v>
      </c>
      <c r="H34" t="s">
        <v>148</v>
      </c>
      <c r="I34" t="s">
        <v>19</v>
      </c>
      <c r="J34" t="s">
        <v>22</v>
      </c>
      <c r="K34">
        <v>10</v>
      </c>
      <c r="L34">
        <v>63400</v>
      </c>
      <c r="M34" s="17">
        <f t="shared" si="7"/>
        <v>6340</v>
      </c>
      <c r="O34" s="17">
        <f t="shared" si="5"/>
        <v>8242</v>
      </c>
      <c r="P34" s="17">
        <v>0</v>
      </c>
      <c r="Q34" s="18">
        <v>0.17</v>
      </c>
      <c r="R34" s="17">
        <v>0</v>
      </c>
      <c r="S34" s="19">
        <v>0</v>
      </c>
      <c r="T34" s="17">
        <v>0</v>
      </c>
      <c r="U34" s="18">
        <v>0.35</v>
      </c>
      <c r="V34" s="17">
        <v>0</v>
      </c>
      <c r="W34" s="18">
        <v>0</v>
      </c>
      <c r="X34" s="17">
        <f t="shared" si="8"/>
        <v>6340</v>
      </c>
      <c r="Y34" s="18">
        <v>0.28000000000000003</v>
      </c>
      <c r="Z34" s="17">
        <f t="shared" si="9"/>
        <v>8115.2000000000007</v>
      </c>
      <c r="AA34" s="18">
        <f t="shared" si="6"/>
        <v>0.21875000000000008</v>
      </c>
      <c r="AB34" s="18">
        <v>0.1</v>
      </c>
    </row>
    <row r="35" spans="1:28">
      <c r="A35">
        <v>2026</v>
      </c>
      <c r="B35" t="s">
        <v>145</v>
      </c>
      <c r="C35" t="s">
        <v>149</v>
      </c>
      <c r="D35" t="s">
        <v>150</v>
      </c>
      <c r="E35">
        <v>360150</v>
      </c>
      <c r="G35" t="s">
        <v>148</v>
      </c>
      <c r="H35" t="s">
        <v>148</v>
      </c>
      <c r="I35" t="s">
        <v>30</v>
      </c>
      <c r="J35" t="s">
        <v>22</v>
      </c>
      <c r="K35">
        <v>10</v>
      </c>
      <c r="L35">
        <v>24200</v>
      </c>
      <c r="M35" s="17">
        <f t="shared" si="7"/>
        <v>2420</v>
      </c>
      <c r="O35" s="17">
        <f t="shared" si="5"/>
        <v>3146</v>
      </c>
      <c r="P35" s="17">
        <v>0</v>
      </c>
      <c r="Q35" s="18">
        <v>0.22</v>
      </c>
      <c r="R35" s="17">
        <v>0</v>
      </c>
      <c r="S35" s="19">
        <v>0</v>
      </c>
      <c r="T35" s="17">
        <v>0</v>
      </c>
      <c r="U35" s="18">
        <v>0.33</v>
      </c>
      <c r="V35" s="17">
        <v>0</v>
      </c>
      <c r="W35" s="18">
        <v>0</v>
      </c>
      <c r="X35" s="17">
        <f t="shared" si="8"/>
        <v>2420</v>
      </c>
      <c r="Y35" s="18">
        <v>0.27</v>
      </c>
      <c r="Z35" s="17">
        <f t="shared" si="9"/>
        <v>3073.4</v>
      </c>
      <c r="AA35" s="18">
        <f t="shared" si="6"/>
        <v>0.2125984251968504</v>
      </c>
      <c r="AB35" s="18">
        <v>0.1</v>
      </c>
    </row>
    <row r="36" spans="1:28">
      <c r="A36">
        <v>2026</v>
      </c>
      <c r="B36" t="s">
        <v>145</v>
      </c>
      <c r="C36" t="s">
        <v>149</v>
      </c>
      <c r="D36" t="s">
        <v>150</v>
      </c>
      <c r="E36">
        <v>360101</v>
      </c>
      <c r="G36" t="s">
        <v>148</v>
      </c>
      <c r="H36" t="s">
        <v>148</v>
      </c>
      <c r="I36" t="s">
        <v>30</v>
      </c>
      <c r="J36" t="s">
        <v>22</v>
      </c>
      <c r="K36">
        <v>10</v>
      </c>
      <c r="L36">
        <v>36700</v>
      </c>
      <c r="M36" s="17">
        <f t="shared" si="7"/>
        <v>3670</v>
      </c>
      <c r="O36" s="17">
        <f t="shared" si="5"/>
        <v>4771</v>
      </c>
      <c r="P36" s="17">
        <v>0</v>
      </c>
      <c r="Q36" s="18">
        <v>0.12</v>
      </c>
      <c r="R36" s="17">
        <v>0</v>
      </c>
      <c r="S36" s="19">
        <v>0</v>
      </c>
      <c r="T36" s="17">
        <v>0</v>
      </c>
      <c r="U36" s="18">
        <v>0.31</v>
      </c>
      <c r="V36" s="17">
        <v>0</v>
      </c>
      <c r="W36" s="18">
        <v>0</v>
      </c>
      <c r="X36" s="17">
        <f t="shared" si="8"/>
        <v>3670</v>
      </c>
      <c r="Y36" s="18">
        <v>0.17</v>
      </c>
      <c r="Z36" s="17">
        <f t="shared" si="9"/>
        <v>4293.8999999999996</v>
      </c>
      <c r="AA36" s="18">
        <f t="shared" si="6"/>
        <v>0.14529914529914523</v>
      </c>
      <c r="AB36" s="18">
        <v>0.1</v>
      </c>
    </row>
    <row r="37" spans="1:28">
      <c r="A37">
        <v>2026</v>
      </c>
      <c r="B37" t="s">
        <v>145</v>
      </c>
      <c r="C37" t="s">
        <v>149</v>
      </c>
      <c r="D37" t="s">
        <v>150</v>
      </c>
      <c r="E37">
        <v>360103</v>
      </c>
      <c r="G37" t="s">
        <v>148</v>
      </c>
      <c r="H37" t="s">
        <v>148</v>
      </c>
      <c r="I37" t="s">
        <v>30</v>
      </c>
      <c r="J37" t="s">
        <v>22</v>
      </c>
      <c r="K37">
        <v>10</v>
      </c>
      <c r="L37">
        <v>91800</v>
      </c>
      <c r="M37" s="17">
        <f t="shared" si="7"/>
        <v>9180</v>
      </c>
      <c r="O37" s="17">
        <f t="shared" si="5"/>
        <v>11934</v>
      </c>
      <c r="P37" s="17">
        <v>0</v>
      </c>
      <c r="Q37" s="18">
        <v>0.15</v>
      </c>
      <c r="R37" s="17">
        <v>0</v>
      </c>
      <c r="S37" s="19">
        <v>0</v>
      </c>
      <c r="T37" s="17">
        <v>0</v>
      </c>
      <c r="U37" s="18">
        <v>0.3</v>
      </c>
      <c r="V37" s="17">
        <v>0</v>
      </c>
      <c r="W37" s="18">
        <v>0</v>
      </c>
      <c r="X37" s="17">
        <f t="shared" si="8"/>
        <v>9180</v>
      </c>
      <c r="Y37" s="18">
        <v>0.22</v>
      </c>
      <c r="Z37" s="17">
        <f t="shared" si="9"/>
        <v>11199.6</v>
      </c>
      <c r="AA37" s="18">
        <f t="shared" si="6"/>
        <v>0.18032786885245905</v>
      </c>
      <c r="AB37" s="18">
        <v>0.1</v>
      </c>
    </row>
    <row r="38" spans="1:28">
      <c r="A38">
        <v>2026</v>
      </c>
      <c r="B38" t="s">
        <v>145</v>
      </c>
      <c r="C38" t="s">
        <v>149</v>
      </c>
      <c r="D38" t="s">
        <v>150</v>
      </c>
      <c r="E38">
        <v>709900</v>
      </c>
      <c r="G38" t="s">
        <v>148</v>
      </c>
      <c r="H38" t="s">
        <v>148</v>
      </c>
      <c r="I38" t="s">
        <v>44</v>
      </c>
      <c r="J38" t="s">
        <v>29</v>
      </c>
      <c r="K38">
        <v>5</v>
      </c>
      <c r="L38">
        <v>17300</v>
      </c>
      <c r="M38" s="17">
        <f t="shared" si="7"/>
        <v>3460</v>
      </c>
      <c r="O38" s="17">
        <f t="shared" si="5"/>
        <v>4498</v>
      </c>
      <c r="P38" s="17">
        <v>0</v>
      </c>
      <c r="Q38" s="18">
        <v>0.18</v>
      </c>
      <c r="R38" s="17">
        <v>0</v>
      </c>
      <c r="S38" s="19">
        <v>0</v>
      </c>
      <c r="T38" s="17">
        <v>0</v>
      </c>
      <c r="U38" s="18">
        <v>0.28000000000000003</v>
      </c>
      <c r="V38" s="17">
        <v>0</v>
      </c>
      <c r="W38" s="18">
        <v>0</v>
      </c>
      <c r="X38" s="17">
        <f t="shared" si="8"/>
        <v>3460</v>
      </c>
      <c r="Y38" s="18">
        <v>0.12</v>
      </c>
      <c r="Z38" s="17">
        <f t="shared" si="9"/>
        <v>3875.2</v>
      </c>
      <c r="AA38" s="18">
        <f t="shared" si="6"/>
        <v>0.1071428571428571</v>
      </c>
      <c r="AB38" s="18">
        <v>0.1</v>
      </c>
    </row>
    <row r="39" spans="1:28">
      <c r="A39">
        <v>2026</v>
      </c>
      <c r="B39" t="s">
        <v>145</v>
      </c>
      <c r="C39" t="s">
        <v>149</v>
      </c>
      <c r="D39" t="s">
        <v>150</v>
      </c>
      <c r="E39">
        <v>709902</v>
      </c>
      <c r="G39" t="s">
        <v>148</v>
      </c>
      <c r="H39" t="s">
        <v>148</v>
      </c>
      <c r="I39" t="s">
        <v>44</v>
      </c>
      <c r="J39" t="s">
        <v>29</v>
      </c>
      <c r="K39">
        <v>5</v>
      </c>
      <c r="L39">
        <v>29000</v>
      </c>
      <c r="M39" s="17">
        <f t="shared" si="7"/>
        <v>5800</v>
      </c>
      <c r="O39" s="17">
        <f t="shared" si="5"/>
        <v>7540</v>
      </c>
      <c r="P39" s="17">
        <v>0</v>
      </c>
      <c r="Q39" s="18">
        <v>0.28999999999999998</v>
      </c>
      <c r="R39" s="17">
        <v>0</v>
      </c>
      <c r="S39" s="19">
        <v>0</v>
      </c>
      <c r="T39" s="17">
        <v>0</v>
      </c>
      <c r="U39" s="18">
        <v>0.27</v>
      </c>
      <c r="V39" s="17">
        <v>0</v>
      </c>
      <c r="W39" s="18">
        <v>0</v>
      </c>
      <c r="X39" s="17">
        <f t="shared" si="8"/>
        <v>5800</v>
      </c>
      <c r="Y39" s="18">
        <v>0.15</v>
      </c>
      <c r="Z39" s="17">
        <f t="shared" si="9"/>
        <v>6670</v>
      </c>
      <c r="AA39" s="18">
        <f t="shared" si="6"/>
        <v>0.13043478260869565</v>
      </c>
      <c r="AB39" s="18">
        <v>0.1</v>
      </c>
    </row>
    <row r="40" spans="1:28">
      <c r="A40">
        <v>2026</v>
      </c>
      <c r="B40" t="s">
        <v>145</v>
      </c>
      <c r="C40" t="s">
        <v>149</v>
      </c>
      <c r="D40" t="s">
        <v>150</v>
      </c>
      <c r="E40">
        <v>709903</v>
      </c>
      <c r="G40" t="s">
        <v>148</v>
      </c>
      <c r="H40" t="s">
        <v>148</v>
      </c>
      <c r="I40" t="s">
        <v>44</v>
      </c>
      <c r="J40" t="s">
        <v>29</v>
      </c>
      <c r="K40">
        <v>5</v>
      </c>
      <c r="L40">
        <v>36700</v>
      </c>
      <c r="M40" s="17">
        <f t="shared" si="7"/>
        <v>7340</v>
      </c>
      <c r="O40" s="17">
        <f t="shared" si="5"/>
        <v>9542</v>
      </c>
      <c r="P40" s="17">
        <v>0</v>
      </c>
      <c r="Q40" s="18">
        <v>0.34</v>
      </c>
      <c r="R40" s="17">
        <v>0</v>
      </c>
      <c r="S40" s="19">
        <v>0</v>
      </c>
      <c r="T40" s="17">
        <v>0</v>
      </c>
      <c r="U40" s="18">
        <v>0.17</v>
      </c>
      <c r="V40" s="17">
        <v>0</v>
      </c>
      <c r="W40" s="18">
        <v>0</v>
      </c>
      <c r="X40" s="17">
        <f t="shared" si="8"/>
        <v>7340</v>
      </c>
      <c r="Y40" s="18">
        <v>0.18</v>
      </c>
      <c r="Z40" s="17">
        <f t="shared" si="9"/>
        <v>8661.2000000000007</v>
      </c>
      <c r="AA40" s="18">
        <f t="shared" si="6"/>
        <v>0.152542372881356</v>
      </c>
      <c r="AB40" s="18">
        <v>0.1</v>
      </c>
    </row>
    <row r="41" spans="1:28">
      <c r="A41">
        <v>2026</v>
      </c>
      <c r="B41" t="s">
        <v>145</v>
      </c>
      <c r="C41" t="s">
        <v>149</v>
      </c>
      <c r="D41" t="s">
        <v>150</v>
      </c>
      <c r="E41">
        <v>709909</v>
      </c>
      <c r="G41" t="s">
        <v>148</v>
      </c>
      <c r="H41" t="s">
        <v>148</v>
      </c>
      <c r="I41" t="s">
        <v>44</v>
      </c>
      <c r="J41" t="s">
        <v>29</v>
      </c>
      <c r="K41">
        <v>5</v>
      </c>
      <c r="L41">
        <v>75900</v>
      </c>
      <c r="M41" s="17">
        <f t="shared" si="7"/>
        <v>15180</v>
      </c>
      <c r="O41" s="17">
        <f t="shared" si="5"/>
        <v>19734</v>
      </c>
      <c r="P41" s="17">
        <v>0</v>
      </c>
      <c r="Q41" s="18">
        <v>0.25</v>
      </c>
      <c r="R41" s="17">
        <v>0</v>
      </c>
      <c r="S41" s="19">
        <v>0</v>
      </c>
      <c r="T41" s="17">
        <v>0</v>
      </c>
      <c r="U41" s="18">
        <v>0.22</v>
      </c>
      <c r="V41" s="17">
        <v>0</v>
      </c>
      <c r="W41" s="18">
        <v>0</v>
      </c>
      <c r="X41" s="17">
        <f t="shared" si="8"/>
        <v>15180</v>
      </c>
      <c r="Y41" s="18">
        <v>0.28999999999999998</v>
      </c>
      <c r="Z41" s="17">
        <f t="shared" si="9"/>
        <v>19582.2</v>
      </c>
      <c r="AA41" s="18">
        <f t="shared" si="6"/>
        <v>0.22480620155038764</v>
      </c>
      <c r="AB41" s="18">
        <v>0.1</v>
      </c>
    </row>
    <row r="42" spans="1:28">
      <c r="A42">
        <v>2026</v>
      </c>
      <c r="B42" t="s">
        <v>145</v>
      </c>
      <c r="C42" t="s">
        <v>149</v>
      </c>
      <c r="D42" t="s">
        <v>150</v>
      </c>
      <c r="E42">
        <v>709904</v>
      </c>
      <c r="G42" t="s">
        <v>148</v>
      </c>
      <c r="H42" t="s">
        <v>148</v>
      </c>
      <c r="I42" t="s">
        <v>55</v>
      </c>
      <c r="J42" t="s">
        <v>29</v>
      </c>
      <c r="K42">
        <v>5</v>
      </c>
      <c r="L42">
        <v>16900</v>
      </c>
      <c r="M42" s="17">
        <f t="shared" si="7"/>
        <v>3380</v>
      </c>
      <c r="O42" s="17">
        <f t="shared" si="5"/>
        <v>4394</v>
      </c>
      <c r="P42" s="17">
        <v>0</v>
      </c>
      <c r="Q42" s="18">
        <v>0.35</v>
      </c>
      <c r="R42" s="17">
        <v>0</v>
      </c>
      <c r="S42" s="19">
        <v>0</v>
      </c>
      <c r="T42" s="17">
        <v>0</v>
      </c>
      <c r="U42" s="18">
        <v>0.12</v>
      </c>
      <c r="V42" s="17">
        <v>0</v>
      </c>
      <c r="W42" s="18">
        <v>0</v>
      </c>
      <c r="X42" s="17">
        <f t="shared" si="8"/>
        <v>3380</v>
      </c>
      <c r="Y42" s="18">
        <v>0.34</v>
      </c>
      <c r="Z42" s="17">
        <f t="shared" si="9"/>
        <v>4529.2</v>
      </c>
      <c r="AA42" s="18">
        <f t="shared" si="6"/>
        <v>0.25373134328358204</v>
      </c>
      <c r="AB42" s="18">
        <v>0.1</v>
      </c>
    </row>
    <row r="43" spans="1:28">
      <c r="A43">
        <v>2026</v>
      </c>
      <c r="B43" t="s">
        <v>145</v>
      </c>
      <c r="C43" t="s">
        <v>149</v>
      </c>
      <c r="D43" t="s">
        <v>150</v>
      </c>
      <c r="E43">
        <v>603421</v>
      </c>
      <c r="G43" t="s">
        <v>148</v>
      </c>
      <c r="H43" t="s">
        <v>148</v>
      </c>
      <c r="I43" t="s">
        <v>55</v>
      </c>
      <c r="J43" t="s">
        <v>29</v>
      </c>
      <c r="K43">
        <v>5</v>
      </c>
      <c r="L43">
        <v>21900</v>
      </c>
      <c r="M43" s="17">
        <f t="shared" si="7"/>
        <v>4380</v>
      </c>
      <c r="O43" s="17">
        <f t="shared" si="5"/>
        <v>5694</v>
      </c>
      <c r="P43" s="17">
        <v>0</v>
      </c>
      <c r="Q43" s="18">
        <v>0.12</v>
      </c>
      <c r="R43" s="17">
        <v>0</v>
      </c>
      <c r="S43" s="19">
        <v>0</v>
      </c>
      <c r="T43" s="17">
        <v>0</v>
      </c>
      <c r="U43" s="18">
        <v>0.15</v>
      </c>
      <c r="V43" s="17">
        <v>0</v>
      </c>
      <c r="W43" s="18">
        <v>0</v>
      </c>
      <c r="X43" s="17">
        <f t="shared" si="8"/>
        <v>4380</v>
      </c>
      <c r="Y43" s="18">
        <v>0.25</v>
      </c>
      <c r="Z43" s="17">
        <f t="shared" si="9"/>
        <v>5475</v>
      </c>
      <c r="AA43" s="18">
        <f t="shared" si="6"/>
        <v>0.2</v>
      </c>
      <c r="AB43" s="18">
        <v>0.1</v>
      </c>
    </row>
    <row r="44" spans="1:28">
      <c r="A44">
        <v>2026</v>
      </c>
      <c r="B44" t="s">
        <v>145</v>
      </c>
      <c r="C44" t="s">
        <v>149</v>
      </c>
      <c r="D44" t="s">
        <v>150</v>
      </c>
      <c r="E44">
        <v>603422</v>
      </c>
      <c r="G44" t="s">
        <v>148</v>
      </c>
      <c r="H44" t="s">
        <v>148</v>
      </c>
      <c r="I44" t="s">
        <v>60</v>
      </c>
      <c r="J44" t="s">
        <v>29</v>
      </c>
      <c r="K44">
        <v>5</v>
      </c>
      <c r="L44">
        <v>38600</v>
      </c>
      <c r="M44" s="17">
        <f t="shared" si="7"/>
        <v>7720</v>
      </c>
      <c r="O44" s="17">
        <f t="shared" si="5"/>
        <v>10036</v>
      </c>
      <c r="P44" s="17">
        <v>0</v>
      </c>
      <c r="Q44" s="18">
        <v>0.25</v>
      </c>
      <c r="R44" s="17">
        <v>0</v>
      </c>
      <c r="S44" s="19">
        <v>0</v>
      </c>
      <c r="T44" s="17">
        <v>0</v>
      </c>
      <c r="U44" s="18">
        <v>0.18</v>
      </c>
      <c r="V44" s="17">
        <v>0</v>
      </c>
      <c r="W44" s="18">
        <v>0</v>
      </c>
      <c r="X44" s="17">
        <f t="shared" si="8"/>
        <v>7720</v>
      </c>
      <c r="Y44" s="18">
        <v>0.35</v>
      </c>
      <c r="Z44" s="17">
        <f t="shared" si="9"/>
        <v>10422</v>
      </c>
      <c r="AA44" s="18">
        <f t="shared" si="6"/>
        <v>0.25925925925925924</v>
      </c>
      <c r="AB44" s="18">
        <v>0.1</v>
      </c>
    </row>
    <row r="45" spans="1:28">
      <c r="A45">
        <v>2026</v>
      </c>
      <c r="B45" t="s">
        <v>145</v>
      </c>
      <c r="C45" t="s">
        <v>149</v>
      </c>
      <c r="D45" t="s">
        <v>150</v>
      </c>
      <c r="E45">
        <v>603423</v>
      </c>
      <c r="G45" t="s">
        <v>148</v>
      </c>
      <c r="H45" t="s">
        <v>148</v>
      </c>
      <c r="I45" t="s">
        <v>60</v>
      </c>
      <c r="J45" t="s">
        <v>29</v>
      </c>
      <c r="K45">
        <v>5</v>
      </c>
      <c r="L45">
        <v>107200</v>
      </c>
      <c r="M45" s="17">
        <f t="shared" si="7"/>
        <v>21440</v>
      </c>
      <c r="O45" s="17">
        <f t="shared" si="5"/>
        <v>27872</v>
      </c>
      <c r="P45" s="17">
        <v>0</v>
      </c>
      <c r="Q45" s="18">
        <v>0.1</v>
      </c>
      <c r="R45" s="17">
        <v>0</v>
      </c>
      <c r="S45" s="19">
        <v>0</v>
      </c>
      <c r="T45" s="17">
        <v>0</v>
      </c>
      <c r="U45" s="18">
        <v>0.28999999999999998</v>
      </c>
      <c r="V45" s="17">
        <v>0</v>
      </c>
      <c r="W45" s="18">
        <v>0</v>
      </c>
      <c r="X45" s="17">
        <f t="shared" si="8"/>
        <v>21440</v>
      </c>
      <c r="Y45" s="18">
        <v>0.12</v>
      </c>
      <c r="Z45" s="17">
        <f t="shared" si="9"/>
        <v>24012.799999999999</v>
      </c>
      <c r="AA45" s="18">
        <f t="shared" si="6"/>
        <v>0.10714285714285711</v>
      </c>
      <c r="AB45" s="18">
        <v>0.1</v>
      </c>
    </row>
    <row r="46" spans="1:28">
      <c r="A46">
        <v>2026</v>
      </c>
      <c r="B46" t="s">
        <v>145</v>
      </c>
      <c r="C46" t="s">
        <v>149</v>
      </c>
      <c r="D46" t="s">
        <v>150</v>
      </c>
      <c r="E46">
        <v>603420</v>
      </c>
      <c r="G46" t="s">
        <v>148</v>
      </c>
      <c r="H46" t="s">
        <v>148</v>
      </c>
      <c r="I46" t="s">
        <v>60</v>
      </c>
      <c r="J46" t="s">
        <v>29</v>
      </c>
      <c r="K46">
        <v>5</v>
      </c>
      <c r="L46">
        <v>114900</v>
      </c>
      <c r="M46" s="17">
        <f t="shared" si="7"/>
        <v>22980</v>
      </c>
      <c r="O46" s="17">
        <f t="shared" si="5"/>
        <v>29874</v>
      </c>
      <c r="P46" s="17">
        <v>0</v>
      </c>
      <c r="Q46" s="18">
        <v>0.35</v>
      </c>
      <c r="R46" s="17">
        <v>0</v>
      </c>
      <c r="S46" s="19">
        <v>0</v>
      </c>
      <c r="T46" s="17">
        <v>0</v>
      </c>
      <c r="U46" s="18">
        <v>0.34</v>
      </c>
      <c r="V46" s="17">
        <v>0</v>
      </c>
      <c r="W46" s="18">
        <v>0</v>
      </c>
      <c r="X46" s="17">
        <f t="shared" si="8"/>
        <v>22980</v>
      </c>
      <c r="Y46" s="18">
        <v>0.25</v>
      </c>
      <c r="Z46" s="17">
        <f t="shared" si="9"/>
        <v>28725</v>
      </c>
      <c r="AA46" s="18">
        <f t="shared" si="6"/>
        <v>0.2</v>
      </c>
      <c r="AB46" s="18">
        <v>0.1</v>
      </c>
    </row>
    <row r="47" spans="1:28">
      <c r="A47">
        <v>2026</v>
      </c>
      <c r="B47" t="s">
        <v>145</v>
      </c>
      <c r="C47" t="s">
        <v>149</v>
      </c>
      <c r="D47" t="s">
        <v>150</v>
      </c>
      <c r="E47">
        <v>603424</v>
      </c>
      <c r="G47" t="s">
        <v>148</v>
      </c>
      <c r="H47" t="s">
        <v>148</v>
      </c>
      <c r="I47" t="s">
        <v>60</v>
      </c>
      <c r="J47" t="s">
        <v>29</v>
      </c>
      <c r="K47">
        <v>5</v>
      </c>
      <c r="L47">
        <v>129400</v>
      </c>
      <c r="M47" s="17">
        <f t="shared" si="7"/>
        <v>25880</v>
      </c>
      <c r="O47" s="17">
        <f t="shared" si="5"/>
        <v>33644</v>
      </c>
      <c r="P47" s="17">
        <v>0</v>
      </c>
      <c r="Q47" s="18">
        <v>0.33</v>
      </c>
      <c r="R47" s="17">
        <v>0</v>
      </c>
      <c r="S47" s="19">
        <v>0</v>
      </c>
      <c r="T47" s="17">
        <v>0</v>
      </c>
      <c r="U47" s="18">
        <v>0.25</v>
      </c>
      <c r="V47" s="17">
        <v>0</v>
      </c>
      <c r="W47" s="18">
        <v>0</v>
      </c>
      <c r="X47" s="17">
        <f t="shared" si="8"/>
        <v>25880</v>
      </c>
      <c r="Y47" s="18">
        <v>0.1</v>
      </c>
      <c r="Z47" s="17">
        <f t="shared" si="9"/>
        <v>28468</v>
      </c>
      <c r="AA47" s="18">
        <f t="shared" si="6"/>
        <v>9.0909090909090912E-2</v>
      </c>
      <c r="AB47" s="18">
        <v>0.1</v>
      </c>
    </row>
    <row r="48" spans="1:28">
      <c r="A48">
        <v>2026</v>
      </c>
      <c r="B48" t="s">
        <v>145</v>
      </c>
      <c r="C48" t="s">
        <v>149</v>
      </c>
      <c r="D48" t="s">
        <v>150</v>
      </c>
      <c r="E48">
        <v>583300</v>
      </c>
      <c r="G48" t="s">
        <v>148</v>
      </c>
      <c r="H48" t="s">
        <v>148</v>
      </c>
      <c r="I48" t="s">
        <v>72</v>
      </c>
      <c r="J48" t="s">
        <v>29</v>
      </c>
      <c r="K48">
        <v>5</v>
      </c>
      <c r="L48">
        <v>49000</v>
      </c>
      <c r="M48" s="17">
        <f t="shared" si="7"/>
        <v>9800</v>
      </c>
      <c r="O48" s="17">
        <f t="shared" si="5"/>
        <v>12740</v>
      </c>
      <c r="P48" s="17">
        <v>0</v>
      </c>
      <c r="Q48" s="18">
        <v>0.31</v>
      </c>
      <c r="R48" s="17">
        <v>0</v>
      </c>
      <c r="S48" s="19">
        <v>0</v>
      </c>
      <c r="T48" s="17">
        <v>0</v>
      </c>
      <c r="U48" s="18">
        <v>0.35</v>
      </c>
      <c r="V48" s="17">
        <v>0</v>
      </c>
      <c r="W48" s="18">
        <v>0</v>
      </c>
      <c r="X48" s="17">
        <f t="shared" si="8"/>
        <v>9800</v>
      </c>
      <c r="Y48" s="18">
        <v>0.35</v>
      </c>
      <c r="Z48" s="17">
        <f t="shared" si="9"/>
        <v>13230</v>
      </c>
      <c r="AA48" s="18">
        <f t="shared" si="6"/>
        <v>0.25925925925925924</v>
      </c>
      <c r="AB48" s="18">
        <v>0.1</v>
      </c>
    </row>
    <row r="49" spans="1:28">
      <c r="A49">
        <v>2026</v>
      </c>
      <c r="B49" t="s">
        <v>145</v>
      </c>
      <c r="C49" t="s">
        <v>149</v>
      </c>
      <c r="D49" t="s">
        <v>150</v>
      </c>
      <c r="E49">
        <v>583400</v>
      </c>
      <c r="G49" t="s">
        <v>148</v>
      </c>
      <c r="H49" t="s">
        <v>148</v>
      </c>
      <c r="I49" t="s">
        <v>75</v>
      </c>
      <c r="J49" t="s">
        <v>53</v>
      </c>
      <c r="K49">
        <v>2</v>
      </c>
      <c r="L49">
        <v>386300</v>
      </c>
      <c r="M49" s="17">
        <f t="shared" si="7"/>
        <v>193150</v>
      </c>
      <c r="O49" s="17">
        <f t="shared" si="5"/>
        <v>251095</v>
      </c>
      <c r="P49" s="17">
        <v>0</v>
      </c>
      <c r="Q49" s="18">
        <v>0.3</v>
      </c>
      <c r="R49" s="17">
        <v>0</v>
      </c>
      <c r="S49" s="19">
        <v>0</v>
      </c>
      <c r="T49" s="17">
        <v>0</v>
      </c>
      <c r="U49" s="18">
        <v>0.12</v>
      </c>
      <c r="V49" s="17">
        <v>0</v>
      </c>
      <c r="W49" s="18">
        <v>0</v>
      </c>
      <c r="X49" s="17">
        <f t="shared" si="8"/>
        <v>193150</v>
      </c>
      <c r="Y49" s="18">
        <v>0.33</v>
      </c>
      <c r="Z49" s="17">
        <f t="shared" si="9"/>
        <v>256889.5</v>
      </c>
      <c r="AA49" s="18">
        <f t="shared" si="6"/>
        <v>0.24812030075187969</v>
      </c>
      <c r="AB49" s="18">
        <v>0.1</v>
      </c>
    </row>
    <row r="50" spans="1:28">
      <c r="A50">
        <v>2026</v>
      </c>
      <c r="B50" t="s">
        <v>145</v>
      </c>
      <c r="C50" t="s">
        <v>149</v>
      </c>
      <c r="D50" t="s">
        <v>150</v>
      </c>
      <c r="E50">
        <v>583500</v>
      </c>
      <c r="G50" t="s">
        <v>148</v>
      </c>
      <c r="H50" t="s">
        <v>148</v>
      </c>
      <c r="I50" t="s">
        <v>78</v>
      </c>
      <c r="J50" t="s">
        <v>22</v>
      </c>
      <c r="K50">
        <v>10</v>
      </c>
      <c r="L50">
        <v>38000</v>
      </c>
      <c r="M50" s="17">
        <f t="shared" si="7"/>
        <v>3800</v>
      </c>
      <c r="O50" s="17">
        <f t="shared" si="5"/>
        <v>4940</v>
      </c>
      <c r="P50" s="17">
        <v>0</v>
      </c>
      <c r="Q50" s="18">
        <v>0.28000000000000003</v>
      </c>
      <c r="R50" s="17">
        <v>0</v>
      </c>
      <c r="S50" s="19">
        <v>0</v>
      </c>
      <c r="T50" s="17">
        <v>0</v>
      </c>
      <c r="U50" s="18">
        <v>0.25</v>
      </c>
      <c r="V50" s="17">
        <v>0</v>
      </c>
      <c r="W50" s="18">
        <v>0</v>
      </c>
      <c r="X50" s="17">
        <f t="shared" si="8"/>
        <v>3800</v>
      </c>
      <c r="Y50" s="18">
        <v>0.31</v>
      </c>
      <c r="Z50" s="17">
        <f t="shared" si="9"/>
        <v>4978</v>
      </c>
      <c r="AA50" s="18">
        <f t="shared" si="6"/>
        <v>0.23664122137404581</v>
      </c>
      <c r="AB50" s="18">
        <v>0.1</v>
      </c>
    </row>
    <row r="51" spans="1:28">
      <c r="A51">
        <v>2026</v>
      </c>
      <c r="B51" t="s">
        <v>145</v>
      </c>
      <c r="C51" t="s">
        <v>149</v>
      </c>
      <c r="D51" t="s">
        <v>150</v>
      </c>
      <c r="E51">
        <v>595200</v>
      </c>
      <c r="G51" t="s">
        <v>148</v>
      </c>
      <c r="H51" t="s">
        <v>148</v>
      </c>
      <c r="I51" t="s">
        <v>78</v>
      </c>
      <c r="J51" t="s">
        <v>22</v>
      </c>
      <c r="K51">
        <v>10</v>
      </c>
      <c r="L51">
        <v>39800</v>
      </c>
      <c r="M51" s="17">
        <f t="shared" si="7"/>
        <v>3980</v>
      </c>
      <c r="O51" s="17">
        <f t="shared" si="5"/>
        <v>5174</v>
      </c>
      <c r="P51" s="17">
        <v>0</v>
      </c>
      <c r="Q51" s="18">
        <v>0.27</v>
      </c>
      <c r="R51" s="17">
        <v>0</v>
      </c>
      <c r="S51" s="19">
        <v>0</v>
      </c>
      <c r="T51" s="17">
        <v>0</v>
      </c>
      <c r="U51" s="18">
        <v>0.1</v>
      </c>
      <c r="V51" s="17">
        <v>0</v>
      </c>
      <c r="W51" s="18">
        <v>0</v>
      </c>
      <c r="X51" s="17">
        <f t="shared" si="8"/>
        <v>3980</v>
      </c>
      <c r="Y51" s="18">
        <v>0.3</v>
      </c>
      <c r="Z51" s="17">
        <f t="shared" si="9"/>
        <v>5174</v>
      </c>
      <c r="AA51" s="18">
        <f t="shared" si="6"/>
        <v>0.23076923076923078</v>
      </c>
      <c r="AB51" s="18">
        <v>0.1</v>
      </c>
    </row>
    <row r="52" spans="1:28">
      <c r="A52">
        <v>2026</v>
      </c>
      <c r="B52" t="s">
        <v>145</v>
      </c>
      <c r="C52" t="s">
        <v>149</v>
      </c>
      <c r="D52" t="s">
        <v>150</v>
      </c>
      <c r="E52">
        <v>595300</v>
      </c>
      <c r="G52" t="s">
        <v>148</v>
      </c>
      <c r="H52" t="s">
        <v>148</v>
      </c>
      <c r="I52" t="s">
        <v>78</v>
      </c>
      <c r="J52" t="s">
        <v>22</v>
      </c>
      <c r="K52">
        <v>10</v>
      </c>
      <c r="L52">
        <v>42200</v>
      </c>
      <c r="M52" s="17">
        <f t="shared" si="7"/>
        <v>4220</v>
      </c>
      <c r="O52" s="17">
        <f t="shared" si="5"/>
        <v>5486</v>
      </c>
      <c r="P52" s="17">
        <v>0</v>
      </c>
      <c r="Q52" s="18">
        <v>0.17</v>
      </c>
      <c r="R52" s="17">
        <v>0</v>
      </c>
      <c r="S52" s="19">
        <v>0</v>
      </c>
      <c r="T52" s="17">
        <v>0</v>
      </c>
      <c r="U52" s="18">
        <v>0.35</v>
      </c>
      <c r="V52" s="17">
        <v>0</v>
      </c>
      <c r="W52" s="18">
        <v>0</v>
      </c>
      <c r="X52" s="17">
        <f t="shared" si="8"/>
        <v>4220</v>
      </c>
      <c r="Y52" s="18">
        <v>0.28000000000000003</v>
      </c>
      <c r="Z52" s="17">
        <f t="shared" si="9"/>
        <v>5401.6</v>
      </c>
      <c r="AA52" s="18">
        <f t="shared" si="6"/>
        <v>0.21875000000000006</v>
      </c>
      <c r="AB52" s="18">
        <v>0.1</v>
      </c>
    </row>
    <row r="53" spans="1:28">
      <c r="A53">
        <v>2026</v>
      </c>
      <c r="B53" t="s">
        <v>145</v>
      </c>
      <c r="C53" t="s">
        <v>149</v>
      </c>
      <c r="D53" t="s">
        <v>150</v>
      </c>
      <c r="E53">
        <v>595400</v>
      </c>
      <c r="G53" t="s">
        <v>148</v>
      </c>
      <c r="H53" t="s">
        <v>148</v>
      </c>
      <c r="I53" t="s">
        <v>78</v>
      </c>
      <c r="J53" t="s">
        <v>22</v>
      </c>
      <c r="K53">
        <v>10</v>
      </c>
      <c r="L53">
        <v>51600</v>
      </c>
      <c r="M53" s="17">
        <f t="shared" si="7"/>
        <v>5160</v>
      </c>
      <c r="O53" s="17">
        <f t="shared" si="5"/>
        <v>6708</v>
      </c>
      <c r="P53" s="17">
        <v>0</v>
      </c>
      <c r="Q53" s="18">
        <v>0.22</v>
      </c>
      <c r="R53" s="17">
        <v>0</v>
      </c>
      <c r="S53" s="19">
        <v>0</v>
      </c>
      <c r="T53" s="17">
        <v>0</v>
      </c>
      <c r="U53" s="18">
        <v>0.33</v>
      </c>
      <c r="V53" s="17">
        <v>0</v>
      </c>
      <c r="W53" s="18">
        <v>0</v>
      </c>
      <c r="X53" s="17">
        <f t="shared" si="8"/>
        <v>5160</v>
      </c>
      <c r="Y53" s="18">
        <v>0.27</v>
      </c>
      <c r="Z53" s="17">
        <f t="shared" si="9"/>
        <v>6553.2</v>
      </c>
      <c r="AA53" s="18">
        <f t="shared" si="6"/>
        <v>0.21259842519685038</v>
      </c>
      <c r="AB53" s="18">
        <v>0.1</v>
      </c>
    </row>
    <row r="54" spans="1:28">
      <c r="A54">
        <v>2026</v>
      </c>
      <c r="B54" t="s">
        <v>145</v>
      </c>
      <c r="C54" t="s">
        <v>149</v>
      </c>
      <c r="D54" t="s">
        <v>150</v>
      </c>
      <c r="E54">
        <v>595600</v>
      </c>
      <c r="G54" t="s">
        <v>148</v>
      </c>
      <c r="H54" t="s">
        <v>148</v>
      </c>
      <c r="I54" t="s">
        <v>95</v>
      </c>
      <c r="J54" t="s">
        <v>12</v>
      </c>
      <c r="K54">
        <v>1</v>
      </c>
      <c r="L54">
        <v>43500</v>
      </c>
      <c r="M54" s="17">
        <f t="shared" si="7"/>
        <v>43500</v>
      </c>
      <c r="O54" s="17">
        <f t="shared" si="5"/>
        <v>56550</v>
      </c>
      <c r="P54" s="17">
        <v>0</v>
      </c>
      <c r="Q54" s="18">
        <v>0.12</v>
      </c>
      <c r="R54" s="17">
        <v>0</v>
      </c>
      <c r="S54" s="19">
        <v>0</v>
      </c>
      <c r="T54" s="17">
        <v>0</v>
      </c>
      <c r="U54" s="18">
        <v>0.31</v>
      </c>
      <c r="V54" s="17">
        <v>0</v>
      </c>
      <c r="W54" s="18">
        <v>0</v>
      </c>
      <c r="X54" s="17">
        <f t="shared" si="8"/>
        <v>43500</v>
      </c>
      <c r="Y54" s="18">
        <v>0.17</v>
      </c>
      <c r="Z54" s="17">
        <f t="shared" si="9"/>
        <v>50895</v>
      </c>
      <c r="AA54" s="18">
        <f t="shared" si="6"/>
        <v>0.14529914529914531</v>
      </c>
      <c r="AB54" s="18">
        <v>0.1</v>
      </c>
    </row>
    <row r="55" spans="1:28">
      <c r="A55">
        <v>2026</v>
      </c>
      <c r="B55" t="s">
        <v>145</v>
      </c>
      <c r="C55" t="s">
        <v>149</v>
      </c>
      <c r="D55" t="s">
        <v>150</v>
      </c>
      <c r="E55">
        <v>581011</v>
      </c>
      <c r="G55" t="s">
        <v>148</v>
      </c>
      <c r="H55" t="s">
        <v>148</v>
      </c>
      <c r="I55" t="s">
        <v>100</v>
      </c>
      <c r="J55" t="s">
        <v>12</v>
      </c>
      <c r="K55">
        <v>1</v>
      </c>
      <c r="L55">
        <v>89500</v>
      </c>
      <c r="M55" s="17">
        <f t="shared" si="7"/>
        <v>89500</v>
      </c>
      <c r="O55" s="17">
        <f t="shared" si="5"/>
        <v>116350</v>
      </c>
      <c r="P55" s="17">
        <v>0</v>
      </c>
      <c r="Q55" s="18">
        <v>0.15</v>
      </c>
      <c r="R55" s="17">
        <v>0</v>
      </c>
      <c r="S55" s="19">
        <v>0</v>
      </c>
      <c r="T55" s="17">
        <v>0</v>
      </c>
      <c r="U55" s="18">
        <v>0.3</v>
      </c>
      <c r="V55" s="17">
        <v>0</v>
      </c>
      <c r="W55" s="18">
        <v>0</v>
      </c>
      <c r="X55" s="17">
        <f t="shared" si="8"/>
        <v>89500</v>
      </c>
      <c r="Y55" s="18">
        <v>0.22</v>
      </c>
      <c r="Z55" s="17">
        <f t="shared" si="9"/>
        <v>109190</v>
      </c>
      <c r="AA55" s="18">
        <f t="shared" si="6"/>
        <v>0.18032786885245902</v>
      </c>
      <c r="AB55" s="18">
        <v>0.1</v>
      </c>
    </row>
    <row r="56" spans="1:28">
      <c r="A56">
        <v>2026</v>
      </c>
      <c r="B56" t="s">
        <v>145</v>
      </c>
      <c r="C56" t="s">
        <v>149</v>
      </c>
      <c r="D56" t="s">
        <v>150</v>
      </c>
      <c r="E56">
        <v>581100</v>
      </c>
      <c r="G56" t="s">
        <v>148</v>
      </c>
      <c r="H56" t="s">
        <v>148</v>
      </c>
      <c r="I56" t="s">
        <v>100</v>
      </c>
      <c r="J56" t="s">
        <v>12</v>
      </c>
      <c r="K56">
        <v>1</v>
      </c>
      <c r="L56">
        <v>67900</v>
      </c>
      <c r="M56" s="17">
        <f t="shared" si="7"/>
        <v>67900</v>
      </c>
      <c r="O56" s="17">
        <f t="shared" si="5"/>
        <v>88270</v>
      </c>
      <c r="P56" s="17">
        <v>0</v>
      </c>
      <c r="Q56" s="18">
        <v>0.18</v>
      </c>
      <c r="R56" s="17">
        <v>0</v>
      </c>
      <c r="S56" s="19">
        <v>0</v>
      </c>
      <c r="T56" s="17">
        <v>0</v>
      </c>
      <c r="U56" s="18">
        <v>0.28000000000000003</v>
      </c>
      <c r="V56" s="17">
        <v>0</v>
      </c>
      <c r="W56" s="18">
        <v>0</v>
      </c>
      <c r="X56" s="17">
        <f t="shared" si="8"/>
        <v>67900</v>
      </c>
      <c r="Y56" s="18">
        <v>0.12</v>
      </c>
      <c r="Z56" s="17">
        <f t="shared" si="9"/>
        <v>76048</v>
      </c>
      <c r="AA56" s="18">
        <f t="shared" si="6"/>
        <v>0.10714285714285714</v>
      </c>
      <c r="AB56" s="18">
        <v>0.1</v>
      </c>
    </row>
    <row r="57" spans="1:28">
      <c r="A57">
        <v>2026</v>
      </c>
      <c r="B57" t="s">
        <v>145</v>
      </c>
      <c r="C57" t="s">
        <v>149</v>
      </c>
      <c r="D57" t="s">
        <v>150</v>
      </c>
      <c r="E57">
        <v>581200</v>
      </c>
      <c r="G57" t="s">
        <v>148</v>
      </c>
      <c r="H57" t="s">
        <v>148</v>
      </c>
      <c r="I57" t="s">
        <v>100</v>
      </c>
      <c r="J57" t="s">
        <v>12</v>
      </c>
      <c r="K57">
        <v>1</v>
      </c>
      <c r="L57">
        <v>50300</v>
      </c>
      <c r="M57" s="17">
        <f t="shared" si="7"/>
        <v>50300</v>
      </c>
      <c r="O57" s="17">
        <f t="shared" si="5"/>
        <v>65390</v>
      </c>
      <c r="P57" s="17">
        <v>0</v>
      </c>
      <c r="Q57" s="18">
        <v>0.28999999999999998</v>
      </c>
      <c r="R57" s="17">
        <v>0</v>
      </c>
      <c r="S57" s="19">
        <v>0</v>
      </c>
      <c r="T57" s="17">
        <v>0</v>
      </c>
      <c r="U57" s="18">
        <v>0.27</v>
      </c>
      <c r="V57" s="17">
        <v>0</v>
      </c>
      <c r="W57" s="18">
        <v>0</v>
      </c>
      <c r="X57" s="17">
        <f t="shared" si="8"/>
        <v>50300</v>
      </c>
      <c r="Y57" s="18">
        <v>0.15</v>
      </c>
      <c r="Z57" s="17">
        <f t="shared" si="9"/>
        <v>57845</v>
      </c>
      <c r="AA57" s="18">
        <f t="shared" si="6"/>
        <v>0.13043478260869565</v>
      </c>
      <c r="AB57" s="18">
        <v>0.1</v>
      </c>
    </row>
    <row r="58" spans="1:28">
      <c r="A58">
        <v>2026</v>
      </c>
      <c r="B58" t="s">
        <v>145</v>
      </c>
      <c r="C58" t="s">
        <v>149</v>
      </c>
      <c r="D58" t="s">
        <v>150</v>
      </c>
      <c r="E58">
        <v>581300</v>
      </c>
      <c r="G58" t="s">
        <v>148</v>
      </c>
      <c r="H58" t="s">
        <v>148</v>
      </c>
      <c r="I58" t="s">
        <v>100</v>
      </c>
      <c r="J58" t="s">
        <v>12</v>
      </c>
      <c r="K58">
        <v>1</v>
      </c>
      <c r="L58">
        <v>53300</v>
      </c>
      <c r="M58" s="17">
        <f t="shared" si="7"/>
        <v>53300</v>
      </c>
      <c r="O58" s="17">
        <f t="shared" si="5"/>
        <v>69290</v>
      </c>
      <c r="P58" s="17">
        <v>0</v>
      </c>
      <c r="Q58" s="18">
        <v>0.34</v>
      </c>
      <c r="R58" s="17">
        <v>0</v>
      </c>
      <c r="S58" s="19">
        <v>0</v>
      </c>
      <c r="T58" s="17">
        <v>0</v>
      </c>
      <c r="U58" s="18">
        <v>0.17</v>
      </c>
      <c r="V58" s="17">
        <v>0</v>
      </c>
      <c r="W58" s="18">
        <v>0</v>
      </c>
      <c r="X58" s="17">
        <f t="shared" si="8"/>
        <v>53300</v>
      </c>
      <c r="Y58" s="18">
        <v>0.18</v>
      </c>
      <c r="Z58" s="17">
        <f t="shared" si="9"/>
        <v>62894</v>
      </c>
      <c r="AA58" s="18">
        <f t="shared" si="6"/>
        <v>0.15254237288135594</v>
      </c>
      <c r="AB58" s="18">
        <v>0.1</v>
      </c>
    </row>
    <row r="59" spans="1:28" ht="15">
      <c r="A59" s="11" t="s">
        <v>117</v>
      </c>
      <c r="B59" s="11" t="s">
        <v>118</v>
      </c>
      <c r="C59" s="11" t="s">
        <v>119</v>
      </c>
      <c r="D59" s="11" t="s">
        <v>120</v>
      </c>
      <c r="E59" s="11" t="s">
        <v>121</v>
      </c>
      <c r="F59" s="11" t="s">
        <v>122</v>
      </c>
      <c r="G59" s="11" t="s">
        <v>123</v>
      </c>
      <c r="H59" s="11" t="s">
        <v>124</v>
      </c>
      <c r="I59" s="11" t="s">
        <v>125</v>
      </c>
      <c r="J59" s="11" t="s">
        <v>126</v>
      </c>
      <c r="K59" s="11" t="s">
        <v>127</v>
      </c>
      <c r="L59" s="11" t="s">
        <v>128</v>
      </c>
      <c r="M59" s="12" t="s">
        <v>129</v>
      </c>
      <c r="N59" s="11" t="s">
        <v>130</v>
      </c>
      <c r="O59" s="11" t="s">
        <v>131</v>
      </c>
      <c r="P59" s="11" t="s">
        <v>132</v>
      </c>
      <c r="Q59" s="13" t="s">
        <v>133</v>
      </c>
      <c r="R59" s="14" t="s">
        <v>134</v>
      </c>
      <c r="S59" s="15" t="s">
        <v>135</v>
      </c>
      <c r="T59" s="16" t="s">
        <v>136</v>
      </c>
      <c r="U59" s="16" t="s">
        <v>137</v>
      </c>
      <c r="V59" s="16" t="s">
        <v>138</v>
      </c>
      <c r="W59" s="13" t="s">
        <v>139</v>
      </c>
      <c r="X59" s="16" t="s">
        <v>140</v>
      </c>
      <c r="Y59" s="16" t="s">
        <v>141</v>
      </c>
      <c r="Z59" s="16" t="s">
        <v>142</v>
      </c>
      <c r="AA59" s="13" t="s">
        <v>143</v>
      </c>
      <c r="AB59" s="14" t="s">
        <v>144</v>
      </c>
    </row>
    <row r="60" spans="1:28">
      <c r="A60">
        <v>2026</v>
      </c>
      <c r="B60" t="s">
        <v>145</v>
      </c>
      <c r="C60" t="s">
        <v>149</v>
      </c>
      <c r="D60" t="s">
        <v>150</v>
      </c>
      <c r="E60">
        <v>360001</v>
      </c>
      <c r="G60" t="s">
        <v>148</v>
      </c>
      <c r="H60" t="s">
        <v>148</v>
      </c>
      <c r="I60" t="s">
        <v>9</v>
      </c>
      <c r="J60" t="s">
        <v>12</v>
      </c>
      <c r="K60">
        <v>1</v>
      </c>
      <c r="L60">
        <v>893800</v>
      </c>
      <c r="M60" s="17">
        <f>L60/K60</f>
        <v>893800</v>
      </c>
      <c r="O60" s="17">
        <f t="shared" ref="O60:O87" si="10">M60+(M60*30%)</f>
        <v>1161940</v>
      </c>
      <c r="P60" s="17">
        <v>0</v>
      </c>
      <c r="Q60" s="18">
        <v>0.3</v>
      </c>
      <c r="R60" s="17">
        <v>0</v>
      </c>
      <c r="S60" s="19">
        <v>0</v>
      </c>
      <c r="T60" s="17">
        <v>0</v>
      </c>
      <c r="U60" s="18">
        <v>0.12</v>
      </c>
      <c r="V60" s="17">
        <v>0</v>
      </c>
      <c r="W60" s="18">
        <v>0</v>
      </c>
      <c r="X60" s="17">
        <f>M60</f>
        <v>893800</v>
      </c>
      <c r="Y60" s="18">
        <v>0.33</v>
      </c>
      <c r="Z60" s="17">
        <f>X60+(X60*Y60)</f>
        <v>1188754</v>
      </c>
      <c r="AA60" s="18">
        <f t="shared" ref="AA60:AA87" si="11">IFERROR(((Z60-X60)/Z60),0)</f>
        <v>0.24812030075187969</v>
      </c>
      <c r="AB60" s="18">
        <v>0.1</v>
      </c>
    </row>
    <row r="61" spans="1:28">
      <c r="A61">
        <v>2026</v>
      </c>
      <c r="B61" t="s">
        <v>145</v>
      </c>
      <c r="C61" t="s">
        <v>149</v>
      </c>
      <c r="D61" t="s">
        <v>150</v>
      </c>
      <c r="E61">
        <v>360102</v>
      </c>
      <c r="G61" t="s">
        <v>148</v>
      </c>
      <c r="H61" t="s">
        <v>148</v>
      </c>
      <c r="I61" t="s">
        <v>19</v>
      </c>
      <c r="J61" t="s">
        <v>22</v>
      </c>
      <c r="K61">
        <v>10</v>
      </c>
      <c r="L61">
        <v>13500</v>
      </c>
      <c r="M61" s="17">
        <f t="shared" ref="M61:M87" si="12">L61/K61</f>
        <v>1350</v>
      </c>
      <c r="O61" s="17">
        <f t="shared" si="10"/>
        <v>1755</v>
      </c>
      <c r="P61" s="17">
        <v>0</v>
      </c>
      <c r="Q61" s="18">
        <v>0.28000000000000003</v>
      </c>
      <c r="R61" s="17">
        <v>0</v>
      </c>
      <c r="S61" s="19">
        <v>0</v>
      </c>
      <c r="T61" s="17">
        <v>0</v>
      </c>
      <c r="U61" s="18">
        <v>0.25</v>
      </c>
      <c r="V61" s="17">
        <v>0</v>
      </c>
      <c r="W61" s="18">
        <v>0</v>
      </c>
      <c r="X61" s="17">
        <f t="shared" ref="X61:X87" si="13">M61</f>
        <v>1350</v>
      </c>
      <c r="Y61" s="18">
        <v>0.31</v>
      </c>
      <c r="Z61" s="17">
        <f t="shared" ref="Z61:Z87" si="14">X61+(X61*Y61)</f>
        <v>1768.5</v>
      </c>
      <c r="AA61" s="18">
        <f t="shared" si="11"/>
        <v>0.23664122137404581</v>
      </c>
      <c r="AB61" s="18">
        <v>0.1</v>
      </c>
    </row>
    <row r="62" spans="1:28">
      <c r="A62">
        <v>2026</v>
      </c>
      <c r="B62" t="s">
        <v>145</v>
      </c>
      <c r="C62" t="s">
        <v>149</v>
      </c>
      <c r="D62" t="s">
        <v>150</v>
      </c>
      <c r="E62">
        <v>360104</v>
      </c>
      <c r="G62" t="s">
        <v>148</v>
      </c>
      <c r="H62" t="s">
        <v>148</v>
      </c>
      <c r="I62" t="s">
        <v>19</v>
      </c>
      <c r="J62" t="s">
        <v>22</v>
      </c>
      <c r="K62">
        <v>10</v>
      </c>
      <c r="L62">
        <v>28800</v>
      </c>
      <c r="M62" s="17">
        <f t="shared" si="12"/>
        <v>2880</v>
      </c>
      <c r="O62" s="17">
        <f t="shared" si="10"/>
        <v>3744</v>
      </c>
      <c r="P62" s="17">
        <v>0</v>
      </c>
      <c r="Q62" s="18">
        <v>0.27</v>
      </c>
      <c r="R62" s="17">
        <v>0</v>
      </c>
      <c r="S62" s="19">
        <v>0</v>
      </c>
      <c r="T62" s="17">
        <v>0</v>
      </c>
      <c r="U62" s="18">
        <v>0.1</v>
      </c>
      <c r="V62" s="17">
        <v>0</v>
      </c>
      <c r="W62" s="18">
        <v>0</v>
      </c>
      <c r="X62" s="17">
        <f t="shared" si="13"/>
        <v>2880</v>
      </c>
      <c r="Y62" s="18">
        <v>0.3</v>
      </c>
      <c r="Z62" s="17">
        <f t="shared" si="14"/>
        <v>3744</v>
      </c>
      <c r="AA62" s="18">
        <f t="shared" si="11"/>
        <v>0.23076923076923078</v>
      </c>
      <c r="AB62" s="18">
        <v>0.1</v>
      </c>
    </row>
    <row r="63" spans="1:28">
      <c r="A63">
        <v>2026</v>
      </c>
      <c r="B63" t="s">
        <v>145</v>
      </c>
      <c r="C63" t="s">
        <v>149</v>
      </c>
      <c r="D63" t="s">
        <v>150</v>
      </c>
      <c r="E63">
        <v>360100</v>
      </c>
      <c r="G63" t="s">
        <v>148</v>
      </c>
      <c r="H63" t="s">
        <v>148</v>
      </c>
      <c r="I63" t="s">
        <v>19</v>
      </c>
      <c r="J63" t="s">
        <v>22</v>
      </c>
      <c r="K63">
        <v>10</v>
      </c>
      <c r="L63">
        <v>63400</v>
      </c>
      <c r="M63" s="17">
        <f t="shared" si="12"/>
        <v>6340</v>
      </c>
      <c r="O63" s="17">
        <f t="shared" si="10"/>
        <v>8242</v>
      </c>
      <c r="P63" s="17">
        <v>0</v>
      </c>
      <c r="Q63" s="18">
        <v>0.17</v>
      </c>
      <c r="R63" s="17">
        <v>0</v>
      </c>
      <c r="S63" s="19">
        <v>0</v>
      </c>
      <c r="T63" s="17">
        <v>0</v>
      </c>
      <c r="U63" s="18">
        <v>0.35</v>
      </c>
      <c r="V63" s="17">
        <v>0</v>
      </c>
      <c r="W63" s="18">
        <v>0</v>
      </c>
      <c r="X63" s="17">
        <f t="shared" si="13"/>
        <v>6340</v>
      </c>
      <c r="Y63" s="18">
        <v>0.28000000000000003</v>
      </c>
      <c r="Z63" s="17">
        <f t="shared" si="14"/>
        <v>8115.2000000000007</v>
      </c>
      <c r="AA63" s="18">
        <f t="shared" si="11"/>
        <v>0.21875000000000008</v>
      </c>
      <c r="AB63" s="18">
        <v>0.1</v>
      </c>
    </row>
    <row r="64" spans="1:28">
      <c r="A64">
        <v>2026</v>
      </c>
      <c r="B64" t="s">
        <v>145</v>
      </c>
      <c r="C64" t="s">
        <v>149</v>
      </c>
      <c r="D64" t="s">
        <v>150</v>
      </c>
      <c r="E64">
        <v>360150</v>
      </c>
      <c r="G64" t="s">
        <v>148</v>
      </c>
      <c r="H64" t="s">
        <v>148</v>
      </c>
      <c r="I64" t="s">
        <v>30</v>
      </c>
      <c r="J64" t="s">
        <v>22</v>
      </c>
      <c r="K64">
        <v>10</v>
      </c>
      <c r="L64">
        <v>24200</v>
      </c>
      <c r="M64" s="17">
        <f t="shared" si="12"/>
        <v>2420</v>
      </c>
      <c r="O64" s="17">
        <f t="shared" si="10"/>
        <v>3146</v>
      </c>
      <c r="P64" s="17">
        <v>0</v>
      </c>
      <c r="Q64" s="18">
        <v>0.22</v>
      </c>
      <c r="R64" s="17">
        <v>0</v>
      </c>
      <c r="S64" s="19">
        <v>0</v>
      </c>
      <c r="T64" s="17">
        <v>0</v>
      </c>
      <c r="U64" s="18">
        <v>0.33</v>
      </c>
      <c r="V64" s="17">
        <v>0</v>
      </c>
      <c r="W64" s="18">
        <v>0</v>
      </c>
      <c r="X64" s="17">
        <f t="shared" si="13"/>
        <v>2420</v>
      </c>
      <c r="Y64" s="18">
        <v>0.27</v>
      </c>
      <c r="Z64" s="17">
        <f t="shared" si="14"/>
        <v>3073.4</v>
      </c>
      <c r="AA64" s="18">
        <f t="shared" si="11"/>
        <v>0.2125984251968504</v>
      </c>
      <c r="AB64" s="18">
        <v>0.1</v>
      </c>
    </row>
    <row r="65" spans="1:28">
      <c r="A65">
        <v>2026</v>
      </c>
      <c r="B65" t="s">
        <v>145</v>
      </c>
      <c r="C65" t="s">
        <v>149</v>
      </c>
      <c r="D65" t="s">
        <v>150</v>
      </c>
      <c r="E65">
        <v>360101</v>
      </c>
      <c r="G65" t="s">
        <v>148</v>
      </c>
      <c r="H65" t="s">
        <v>148</v>
      </c>
      <c r="I65" t="s">
        <v>30</v>
      </c>
      <c r="J65" t="s">
        <v>22</v>
      </c>
      <c r="K65">
        <v>10</v>
      </c>
      <c r="L65">
        <v>36700</v>
      </c>
      <c r="M65" s="17">
        <f t="shared" si="12"/>
        <v>3670</v>
      </c>
      <c r="O65" s="17">
        <f t="shared" si="10"/>
        <v>4771</v>
      </c>
      <c r="P65" s="17">
        <v>0</v>
      </c>
      <c r="Q65" s="18">
        <v>0.12</v>
      </c>
      <c r="R65" s="17">
        <v>0</v>
      </c>
      <c r="S65" s="19">
        <v>0</v>
      </c>
      <c r="T65" s="17">
        <v>0</v>
      </c>
      <c r="U65" s="18">
        <v>0.31</v>
      </c>
      <c r="V65" s="17">
        <v>0</v>
      </c>
      <c r="W65" s="18">
        <v>0</v>
      </c>
      <c r="X65" s="17">
        <f t="shared" si="13"/>
        <v>3670</v>
      </c>
      <c r="Y65" s="18">
        <v>0.17</v>
      </c>
      <c r="Z65" s="17">
        <f t="shared" si="14"/>
        <v>4293.8999999999996</v>
      </c>
      <c r="AA65" s="18">
        <f t="shared" si="11"/>
        <v>0.14529914529914523</v>
      </c>
      <c r="AB65" s="18">
        <v>0.1</v>
      </c>
    </row>
    <row r="66" spans="1:28">
      <c r="A66">
        <v>2026</v>
      </c>
      <c r="B66" t="s">
        <v>145</v>
      </c>
      <c r="C66" t="s">
        <v>149</v>
      </c>
      <c r="D66" t="s">
        <v>150</v>
      </c>
      <c r="E66">
        <v>360103</v>
      </c>
      <c r="G66" t="s">
        <v>148</v>
      </c>
      <c r="H66" t="s">
        <v>148</v>
      </c>
      <c r="I66" t="s">
        <v>30</v>
      </c>
      <c r="J66" t="s">
        <v>22</v>
      </c>
      <c r="K66">
        <v>10</v>
      </c>
      <c r="L66">
        <v>91800</v>
      </c>
      <c r="M66" s="17">
        <f t="shared" si="12"/>
        <v>9180</v>
      </c>
      <c r="O66" s="17">
        <f t="shared" si="10"/>
        <v>11934</v>
      </c>
      <c r="P66" s="17">
        <v>0</v>
      </c>
      <c r="Q66" s="18">
        <v>0.15</v>
      </c>
      <c r="R66" s="17">
        <v>0</v>
      </c>
      <c r="S66" s="19">
        <v>0</v>
      </c>
      <c r="T66" s="17">
        <v>0</v>
      </c>
      <c r="U66" s="18">
        <v>0.3</v>
      </c>
      <c r="V66" s="17">
        <v>0</v>
      </c>
      <c r="W66" s="18">
        <v>0</v>
      </c>
      <c r="X66" s="17">
        <f t="shared" si="13"/>
        <v>9180</v>
      </c>
      <c r="Y66" s="18">
        <v>0.22</v>
      </c>
      <c r="Z66" s="17">
        <f t="shared" si="14"/>
        <v>11199.6</v>
      </c>
      <c r="AA66" s="18">
        <f t="shared" si="11"/>
        <v>0.18032786885245905</v>
      </c>
      <c r="AB66" s="18">
        <v>0.1</v>
      </c>
    </row>
    <row r="67" spans="1:28">
      <c r="A67">
        <v>2026</v>
      </c>
      <c r="B67" t="s">
        <v>145</v>
      </c>
      <c r="C67" t="s">
        <v>149</v>
      </c>
      <c r="D67" t="s">
        <v>150</v>
      </c>
      <c r="E67">
        <v>709900</v>
      </c>
      <c r="G67" t="s">
        <v>148</v>
      </c>
      <c r="H67" t="s">
        <v>148</v>
      </c>
      <c r="I67" t="s">
        <v>44</v>
      </c>
      <c r="J67" t="s">
        <v>29</v>
      </c>
      <c r="K67">
        <v>5</v>
      </c>
      <c r="L67">
        <v>17300</v>
      </c>
      <c r="M67" s="17">
        <f t="shared" si="12"/>
        <v>3460</v>
      </c>
      <c r="O67" s="17">
        <f t="shared" si="10"/>
        <v>4498</v>
      </c>
      <c r="P67" s="17">
        <v>0</v>
      </c>
      <c r="Q67" s="18">
        <v>0.18</v>
      </c>
      <c r="R67" s="17">
        <v>0</v>
      </c>
      <c r="S67" s="19">
        <v>0</v>
      </c>
      <c r="T67" s="17">
        <v>0</v>
      </c>
      <c r="U67" s="18">
        <v>0.28000000000000003</v>
      </c>
      <c r="V67" s="17">
        <v>0</v>
      </c>
      <c r="W67" s="18">
        <v>0</v>
      </c>
      <c r="X67" s="17">
        <f t="shared" si="13"/>
        <v>3460</v>
      </c>
      <c r="Y67" s="18">
        <v>0.12</v>
      </c>
      <c r="Z67" s="17">
        <f t="shared" si="14"/>
        <v>3875.2</v>
      </c>
      <c r="AA67" s="18">
        <f t="shared" si="11"/>
        <v>0.1071428571428571</v>
      </c>
      <c r="AB67" s="18">
        <v>0.1</v>
      </c>
    </row>
    <row r="68" spans="1:28">
      <c r="A68">
        <v>2026</v>
      </c>
      <c r="B68" t="s">
        <v>145</v>
      </c>
      <c r="C68" t="s">
        <v>149</v>
      </c>
      <c r="D68" t="s">
        <v>150</v>
      </c>
      <c r="E68">
        <v>709902</v>
      </c>
      <c r="G68" t="s">
        <v>148</v>
      </c>
      <c r="H68" t="s">
        <v>148</v>
      </c>
      <c r="I68" t="s">
        <v>44</v>
      </c>
      <c r="J68" t="s">
        <v>29</v>
      </c>
      <c r="K68">
        <v>5</v>
      </c>
      <c r="L68">
        <v>29000</v>
      </c>
      <c r="M68" s="17">
        <f t="shared" si="12"/>
        <v>5800</v>
      </c>
      <c r="O68" s="17">
        <f t="shared" si="10"/>
        <v>7540</v>
      </c>
      <c r="P68" s="17">
        <v>0</v>
      </c>
      <c r="Q68" s="18">
        <v>0.28999999999999998</v>
      </c>
      <c r="R68" s="17">
        <v>0</v>
      </c>
      <c r="S68" s="19">
        <v>0</v>
      </c>
      <c r="T68" s="17">
        <v>0</v>
      </c>
      <c r="U68" s="18">
        <v>0.27</v>
      </c>
      <c r="V68" s="17">
        <v>0</v>
      </c>
      <c r="W68" s="18">
        <v>0</v>
      </c>
      <c r="X68" s="17">
        <f t="shared" si="13"/>
        <v>5800</v>
      </c>
      <c r="Y68" s="18">
        <v>0.15</v>
      </c>
      <c r="Z68" s="17">
        <f t="shared" si="14"/>
        <v>6670</v>
      </c>
      <c r="AA68" s="18">
        <f t="shared" si="11"/>
        <v>0.13043478260869565</v>
      </c>
      <c r="AB68" s="18">
        <v>0.1</v>
      </c>
    </row>
    <row r="69" spans="1:28">
      <c r="A69">
        <v>2026</v>
      </c>
      <c r="B69" t="s">
        <v>145</v>
      </c>
      <c r="C69" t="s">
        <v>149</v>
      </c>
      <c r="D69" t="s">
        <v>150</v>
      </c>
      <c r="E69">
        <v>709903</v>
      </c>
      <c r="G69" t="s">
        <v>148</v>
      </c>
      <c r="H69" t="s">
        <v>148</v>
      </c>
      <c r="I69" t="s">
        <v>44</v>
      </c>
      <c r="J69" t="s">
        <v>29</v>
      </c>
      <c r="K69">
        <v>5</v>
      </c>
      <c r="L69">
        <v>36700</v>
      </c>
      <c r="M69" s="17">
        <f t="shared" si="12"/>
        <v>7340</v>
      </c>
      <c r="O69" s="17">
        <f t="shared" si="10"/>
        <v>9542</v>
      </c>
      <c r="P69" s="17">
        <v>0</v>
      </c>
      <c r="Q69" s="18">
        <v>0.34</v>
      </c>
      <c r="R69" s="17">
        <v>0</v>
      </c>
      <c r="S69" s="19">
        <v>0</v>
      </c>
      <c r="T69" s="17">
        <v>0</v>
      </c>
      <c r="U69" s="18">
        <v>0.17</v>
      </c>
      <c r="V69" s="17">
        <v>0</v>
      </c>
      <c r="W69" s="18">
        <v>0</v>
      </c>
      <c r="X69" s="17">
        <f t="shared" si="13"/>
        <v>7340</v>
      </c>
      <c r="Y69" s="18">
        <v>0.18</v>
      </c>
      <c r="Z69" s="17">
        <f t="shared" si="14"/>
        <v>8661.2000000000007</v>
      </c>
      <c r="AA69" s="18">
        <f t="shared" si="11"/>
        <v>0.152542372881356</v>
      </c>
      <c r="AB69" s="18">
        <v>0.1</v>
      </c>
    </row>
    <row r="70" spans="1:28">
      <c r="A70">
        <v>2026</v>
      </c>
      <c r="B70" t="s">
        <v>145</v>
      </c>
      <c r="C70" t="s">
        <v>149</v>
      </c>
      <c r="D70" t="s">
        <v>150</v>
      </c>
      <c r="E70">
        <v>709909</v>
      </c>
      <c r="G70" t="s">
        <v>148</v>
      </c>
      <c r="H70" t="s">
        <v>148</v>
      </c>
      <c r="I70" t="s">
        <v>44</v>
      </c>
      <c r="J70" t="s">
        <v>29</v>
      </c>
      <c r="K70">
        <v>5</v>
      </c>
      <c r="L70">
        <v>75900</v>
      </c>
      <c r="M70" s="17">
        <f t="shared" si="12"/>
        <v>15180</v>
      </c>
      <c r="O70" s="17">
        <f t="shared" si="10"/>
        <v>19734</v>
      </c>
      <c r="P70" s="17">
        <v>0</v>
      </c>
      <c r="Q70" s="18">
        <v>0.25</v>
      </c>
      <c r="R70" s="17">
        <v>0</v>
      </c>
      <c r="S70" s="19">
        <v>0</v>
      </c>
      <c r="T70" s="17">
        <v>0</v>
      </c>
      <c r="U70" s="18">
        <v>0.22</v>
      </c>
      <c r="V70" s="17">
        <v>0</v>
      </c>
      <c r="W70" s="18">
        <v>0</v>
      </c>
      <c r="X70" s="17">
        <f t="shared" si="13"/>
        <v>15180</v>
      </c>
      <c r="Y70" s="18">
        <v>0.28999999999999998</v>
      </c>
      <c r="Z70" s="17">
        <f t="shared" si="14"/>
        <v>19582.2</v>
      </c>
      <c r="AA70" s="18">
        <f t="shared" si="11"/>
        <v>0.22480620155038764</v>
      </c>
      <c r="AB70" s="18">
        <v>0.1</v>
      </c>
    </row>
    <row r="71" spans="1:28">
      <c r="A71">
        <v>2026</v>
      </c>
      <c r="B71" t="s">
        <v>145</v>
      </c>
      <c r="C71" t="s">
        <v>149</v>
      </c>
      <c r="D71" t="s">
        <v>150</v>
      </c>
      <c r="E71">
        <v>709904</v>
      </c>
      <c r="G71" t="s">
        <v>148</v>
      </c>
      <c r="H71" t="s">
        <v>148</v>
      </c>
      <c r="I71" t="s">
        <v>55</v>
      </c>
      <c r="J71" t="s">
        <v>29</v>
      </c>
      <c r="K71">
        <v>5</v>
      </c>
      <c r="L71">
        <v>16900</v>
      </c>
      <c r="M71" s="17">
        <f t="shared" si="12"/>
        <v>3380</v>
      </c>
      <c r="O71" s="17">
        <f t="shared" si="10"/>
        <v>4394</v>
      </c>
      <c r="P71" s="17">
        <v>0</v>
      </c>
      <c r="Q71" s="18">
        <v>0.35</v>
      </c>
      <c r="R71" s="17">
        <v>0</v>
      </c>
      <c r="S71" s="19">
        <v>0</v>
      </c>
      <c r="T71" s="17">
        <v>0</v>
      </c>
      <c r="U71" s="18">
        <v>0.12</v>
      </c>
      <c r="V71" s="17">
        <v>0</v>
      </c>
      <c r="W71" s="18">
        <v>0</v>
      </c>
      <c r="X71" s="17">
        <f t="shared" si="13"/>
        <v>3380</v>
      </c>
      <c r="Y71" s="18">
        <v>0.34</v>
      </c>
      <c r="Z71" s="17">
        <f t="shared" si="14"/>
        <v>4529.2</v>
      </c>
      <c r="AA71" s="18">
        <f t="shared" si="11"/>
        <v>0.25373134328358204</v>
      </c>
      <c r="AB71" s="18">
        <v>0.1</v>
      </c>
    </row>
    <row r="72" spans="1:28">
      <c r="A72">
        <v>2026</v>
      </c>
      <c r="B72" t="s">
        <v>145</v>
      </c>
      <c r="C72" t="s">
        <v>149</v>
      </c>
      <c r="D72" t="s">
        <v>150</v>
      </c>
      <c r="E72">
        <v>603421</v>
      </c>
      <c r="G72" t="s">
        <v>148</v>
      </c>
      <c r="H72" t="s">
        <v>148</v>
      </c>
      <c r="I72" t="s">
        <v>55</v>
      </c>
      <c r="J72" t="s">
        <v>29</v>
      </c>
      <c r="K72">
        <v>5</v>
      </c>
      <c r="L72">
        <v>21900</v>
      </c>
      <c r="M72" s="17">
        <f t="shared" si="12"/>
        <v>4380</v>
      </c>
      <c r="O72" s="17">
        <f t="shared" si="10"/>
        <v>5694</v>
      </c>
      <c r="P72" s="17">
        <v>0</v>
      </c>
      <c r="Q72" s="18">
        <v>0.12</v>
      </c>
      <c r="R72" s="17">
        <v>0</v>
      </c>
      <c r="S72" s="19">
        <v>0</v>
      </c>
      <c r="T72" s="17">
        <v>0</v>
      </c>
      <c r="U72" s="18">
        <v>0.15</v>
      </c>
      <c r="V72" s="17">
        <v>0</v>
      </c>
      <c r="W72" s="18">
        <v>0</v>
      </c>
      <c r="X72" s="17">
        <f t="shared" si="13"/>
        <v>4380</v>
      </c>
      <c r="Y72" s="18">
        <v>0.25</v>
      </c>
      <c r="Z72" s="17">
        <f t="shared" si="14"/>
        <v>5475</v>
      </c>
      <c r="AA72" s="18">
        <f t="shared" si="11"/>
        <v>0.2</v>
      </c>
      <c r="AB72" s="18">
        <v>0.1</v>
      </c>
    </row>
    <row r="73" spans="1:28">
      <c r="A73">
        <v>2026</v>
      </c>
      <c r="B73" t="s">
        <v>145</v>
      </c>
      <c r="C73" t="s">
        <v>149</v>
      </c>
      <c r="D73" t="s">
        <v>150</v>
      </c>
      <c r="E73">
        <v>603422</v>
      </c>
      <c r="G73" t="s">
        <v>148</v>
      </c>
      <c r="H73" t="s">
        <v>148</v>
      </c>
      <c r="I73" t="s">
        <v>60</v>
      </c>
      <c r="J73" t="s">
        <v>29</v>
      </c>
      <c r="K73">
        <v>5</v>
      </c>
      <c r="L73">
        <v>38600</v>
      </c>
      <c r="M73" s="17">
        <f t="shared" si="12"/>
        <v>7720</v>
      </c>
      <c r="O73" s="17">
        <f t="shared" si="10"/>
        <v>10036</v>
      </c>
      <c r="P73" s="17">
        <v>0</v>
      </c>
      <c r="Q73" s="18">
        <v>0.25</v>
      </c>
      <c r="R73" s="17">
        <v>0</v>
      </c>
      <c r="S73" s="19">
        <v>0</v>
      </c>
      <c r="T73" s="17">
        <v>0</v>
      </c>
      <c r="U73" s="18">
        <v>0.18</v>
      </c>
      <c r="V73" s="17">
        <v>0</v>
      </c>
      <c r="W73" s="18">
        <v>0</v>
      </c>
      <c r="X73" s="17">
        <f t="shared" si="13"/>
        <v>7720</v>
      </c>
      <c r="Y73" s="18">
        <v>0.35</v>
      </c>
      <c r="Z73" s="17">
        <f t="shared" si="14"/>
        <v>10422</v>
      </c>
      <c r="AA73" s="18">
        <f t="shared" si="11"/>
        <v>0.25925925925925924</v>
      </c>
      <c r="AB73" s="18">
        <v>0.1</v>
      </c>
    </row>
    <row r="74" spans="1:28">
      <c r="A74">
        <v>2026</v>
      </c>
      <c r="B74" t="s">
        <v>145</v>
      </c>
      <c r="C74" t="s">
        <v>149</v>
      </c>
      <c r="D74" t="s">
        <v>150</v>
      </c>
      <c r="E74">
        <v>603423</v>
      </c>
      <c r="G74" t="s">
        <v>148</v>
      </c>
      <c r="H74" t="s">
        <v>148</v>
      </c>
      <c r="I74" t="s">
        <v>60</v>
      </c>
      <c r="J74" t="s">
        <v>29</v>
      </c>
      <c r="K74">
        <v>5</v>
      </c>
      <c r="L74">
        <v>107200</v>
      </c>
      <c r="M74" s="17">
        <f t="shared" si="12"/>
        <v>21440</v>
      </c>
      <c r="O74" s="17">
        <f t="shared" si="10"/>
        <v>27872</v>
      </c>
      <c r="P74" s="17">
        <v>0</v>
      </c>
      <c r="Q74" s="18">
        <v>0.1</v>
      </c>
      <c r="R74" s="17">
        <v>0</v>
      </c>
      <c r="S74" s="19">
        <v>0</v>
      </c>
      <c r="T74" s="17">
        <v>0</v>
      </c>
      <c r="U74" s="18">
        <v>0.28999999999999998</v>
      </c>
      <c r="V74" s="17">
        <v>0</v>
      </c>
      <c r="W74" s="18">
        <v>0</v>
      </c>
      <c r="X74" s="17">
        <f t="shared" si="13"/>
        <v>21440</v>
      </c>
      <c r="Y74" s="18">
        <v>0.12</v>
      </c>
      <c r="Z74" s="17">
        <f t="shared" si="14"/>
        <v>24012.799999999999</v>
      </c>
      <c r="AA74" s="18">
        <f t="shared" si="11"/>
        <v>0.10714285714285711</v>
      </c>
      <c r="AB74" s="18">
        <v>0.1</v>
      </c>
    </row>
    <row r="75" spans="1:28">
      <c r="A75">
        <v>2026</v>
      </c>
      <c r="B75" t="s">
        <v>145</v>
      </c>
      <c r="C75" t="s">
        <v>149</v>
      </c>
      <c r="D75" t="s">
        <v>150</v>
      </c>
      <c r="E75">
        <v>603420</v>
      </c>
      <c r="G75" t="s">
        <v>148</v>
      </c>
      <c r="H75" t="s">
        <v>148</v>
      </c>
      <c r="I75" t="s">
        <v>60</v>
      </c>
      <c r="J75" t="s">
        <v>29</v>
      </c>
      <c r="K75">
        <v>5</v>
      </c>
      <c r="L75">
        <v>114900</v>
      </c>
      <c r="M75" s="17">
        <f t="shared" si="12"/>
        <v>22980</v>
      </c>
      <c r="O75" s="17">
        <f t="shared" si="10"/>
        <v>29874</v>
      </c>
      <c r="P75" s="17">
        <v>0</v>
      </c>
      <c r="Q75" s="18">
        <v>0.35</v>
      </c>
      <c r="R75" s="17">
        <v>0</v>
      </c>
      <c r="S75" s="19">
        <v>0</v>
      </c>
      <c r="T75" s="17">
        <v>0</v>
      </c>
      <c r="U75" s="18">
        <v>0.34</v>
      </c>
      <c r="V75" s="17">
        <v>0</v>
      </c>
      <c r="W75" s="18">
        <v>0</v>
      </c>
      <c r="X75" s="17">
        <f t="shared" si="13"/>
        <v>22980</v>
      </c>
      <c r="Y75" s="18">
        <v>0.25</v>
      </c>
      <c r="Z75" s="17">
        <f t="shared" si="14"/>
        <v>28725</v>
      </c>
      <c r="AA75" s="18">
        <f t="shared" si="11"/>
        <v>0.2</v>
      </c>
      <c r="AB75" s="18">
        <v>0.1</v>
      </c>
    </row>
    <row r="76" spans="1:28">
      <c r="A76">
        <v>2026</v>
      </c>
      <c r="B76" t="s">
        <v>145</v>
      </c>
      <c r="C76" t="s">
        <v>149</v>
      </c>
      <c r="D76" t="s">
        <v>150</v>
      </c>
      <c r="E76">
        <v>603424</v>
      </c>
      <c r="G76" t="s">
        <v>148</v>
      </c>
      <c r="H76" t="s">
        <v>148</v>
      </c>
      <c r="I76" t="s">
        <v>60</v>
      </c>
      <c r="J76" t="s">
        <v>29</v>
      </c>
      <c r="K76">
        <v>5</v>
      </c>
      <c r="L76">
        <v>129400</v>
      </c>
      <c r="M76" s="17">
        <f t="shared" si="12"/>
        <v>25880</v>
      </c>
      <c r="O76" s="17">
        <f t="shared" si="10"/>
        <v>33644</v>
      </c>
      <c r="P76" s="17">
        <v>0</v>
      </c>
      <c r="Q76" s="18">
        <v>0.33</v>
      </c>
      <c r="R76" s="17">
        <v>0</v>
      </c>
      <c r="S76" s="19">
        <v>0</v>
      </c>
      <c r="T76" s="17">
        <v>0</v>
      </c>
      <c r="U76" s="18">
        <v>0.25</v>
      </c>
      <c r="V76" s="17">
        <v>0</v>
      </c>
      <c r="W76" s="18">
        <v>0</v>
      </c>
      <c r="X76" s="17">
        <f t="shared" si="13"/>
        <v>25880</v>
      </c>
      <c r="Y76" s="18">
        <v>0.1</v>
      </c>
      <c r="Z76" s="17">
        <f t="shared" si="14"/>
        <v>28468</v>
      </c>
      <c r="AA76" s="18">
        <f t="shared" si="11"/>
        <v>9.0909090909090912E-2</v>
      </c>
      <c r="AB76" s="18">
        <v>0.1</v>
      </c>
    </row>
    <row r="77" spans="1:28">
      <c r="A77">
        <v>2026</v>
      </c>
      <c r="B77" t="s">
        <v>145</v>
      </c>
      <c r="C77" t="s">
        <v>149</v>
      </c>
      <c r="D77" t="s">
        <v>150</v>
      </c>
      <c r="E77">
        <v>583300</v>
      </c>
      <c r="G77" t="s">
        <v>148</v>
      </c>
      <c r="H77" t="s">
        <v>148</v>
      </c>
      <c r="I77" t="s">
        <v>72</v>
      </c>
      <c r="J77" t="s">
        <v>29</v>
      </c>
      <c r="K77">
        <v>5</v>
      </c>
      <c r="L77">
        <v>49000</v>
      </c>
      <c r="M77" s="17">
        <f t="shared" si="12"/>
        <v>9800</v>
      </c>
      <c r="O77" s="17">
        <f t="shared" si="10"/>
        <v>12740</v>
      </c>
      <c r="P77" s="17">
        <v>0</v>
      </c>
      <c r="Q77" s="18">
        <v>0.31</v>
      </c>
      <c r="R77" s="17">
        <v>0</v>
      </c>
      <c r="S77" s="19">
        <v>0</v>
      </c>
      <c r="T77" s="17">
        <v>0</v>
      </c>
      <c r="U77" s="18">
        <v>0.35</v>
      </c>
      <c r="V77" s="17">
        <v>0</v>
      </c>
      <c r="W77" s="18">
        <v>0</v>
      </c>
      <c r="X77" s="17">
        <f t="shared" si="13"/>
        <v>9800</v>
      </c>
      <c r="Y77" s="18">
        <v>0.35</v>
      </c>
      <c r="Z77" s="17">
        <f t="shared" si="14"/>
        <v>13230</v>
      </c>
      <c r="AA77" s="18">
        <f t="shared" si="11"/>
        <v>0.25925925925925924</v>
      </c>
      <c r="AB77" s="18">
        <v>0.1</v>
      </c>
    </row>
    <row r="78" spans="1:28">
      <c r="A78">
        <v>2026</v>
      </c>
      <c r="B78" t="s">
        <v>145</v>
      </c>
      <c r="C78" t="s">
        <v>149</v>
      </c>
      <c r="D78" t="s">
        <v>150</v>
      </c>
      <c r="E78">
        <v>583400</v>
      </c>
      <c r="G78" t="s">
        <v>148</v>
      </c>
      <c r="H78" t="s">
        <v>148</v>
      </c>
      <c r="I78" t="s">
        <v>75</v>
      </c>
      <c r="J78" t="s">
        <v>53</v>
      </c>
      <c r="K78">
        <v>2</v>
      </c>
      <c r="L78">
        <v>386300</v>
      </c>
      <c r="M78" s="17">
        <f t="shared" si="12"/>
        <v>193150</v>
      </c>
      <c r="O78" s="17">
        <f t="shared" si="10"/>
        <v>251095</v>
      </c>
      <c r="P78" s="17">
        <v>0</v>
      </c>
      <c r="Q78" s="18">
        <v>0.3</v>
      </c>
      <c r="R78" s="17">
        <v>0</v>
      </c>
      <c r="S78" s="19">
        <v>0</v>
      </c>
      <c r="T78" s="17">
        <v>0</v>
      </c>
      <c r="U78" s="18">
        <v>0.12</v>
      </c>
      <c r="V78" s="17">
        <v>0</v>
      </c>
      <c r="W78" s="18">
        <v>0</v>
      </c>
      <c r="X78" s="17">
        <f t="shared" si="13"/>
        <v>193150</v>
      </c>
      <c r="Y78" s="18">
        <v>0.33</v>
      </c>
      <c r="Z78" s="17">
        <f t="shared" si="14"/>
        <v>256889.5</v>
      </c>
      <c r="AA78" s="18">
        <f t="shared" si="11"/>
        <v>0.24812030075187969</v>
      </c>
      <c r="AB78" s="18">
        <v>0.1</v>
      </c>
    </row>
    <row r="79" spans="1:28">
      <c r="A79">
        <v>2026</v>
      </c>
      <c r="B79" t="s">
        <v>145</v>
      </c>
      <c r="C79" t="s">
        <v>149</v>
      </c>
      <c r="D79" t="s">
        <v>150</v>
      </c>
      <c r="E79">
        <v>583500</v>
      </c>
      <c r="G79" t="s">
        <v>148</v>
      </c>
      <c r="H79" t="s">
        <v>148</v>
      </c>
      <c r="I79" t="s">
        <v>78</v>
      </c>
      <c r="J79" t="s">
        <v>22</v>
      </c>
      <c r="K79">
        <v>10</v>
      </c>
      <c r="L79">
        <v>38000</v>
      </c>
      <c r="M79" s="17">
        <f t="shared" si="12"/>
        <v>3800</v>
      </c>
      <c r="O79" s="17">
        <f t="shared" si="10"/>
        <v>4940</v>
      </c>
      <c r="P79" s="17">
        <v>0</v>
      </c>
      <c r="Q79" s="18">
        <v>0.28000000000000003</v>
      </c>
      <c r="R79" s="17">
        <v>0</v>
      </c>
      <c r="S79" s="19">
        <v>0</v>
      </c>
      <c r="T79" s="17">
        <v>0</v>
      </c>
      <c r="U79" s="18">
        <v>0.25</v>
      </c>
      <c r="V79" s="17">
        <v>0</v>
      </c>
      <c r="W79" s="18">
        <v>0</v>
      </c>
      <c r="X79" s="17">
        <f t="shared" si="13"/>
        <v>3800</v>
      </c>
      <c r="Y79" s="18">
        <v>0.31</v>
      </c>
      <c r="Z79" s="17">
        <f t="shared" si="14"/>
        <v>4978</v>
      </c>
      <c r="AA79" s="18">
        <f t="shared" si="11"/>
        <v>0.23664122137404581</v>
      </c>
      <c r="AB79" s="18">
        <v>0.1</v>
      </c>
    </row>
    <row r="80" spans="1:28">
      <c r="A80">
        <v>2026</v>
      </c>
      <c r="B80" t="s">
        <v>145</v>
      </c>
      <c r="C80" t="s">
        <v>149</v>
      </c>
      <c r="D80" t="s">
        <v>150</v>
      </c>
      <c r="E80">
        <v>595200</v>
      </c>
      <c r="G80" t="s">
        <v>148</v>
      </c>
      <c r="H80" t="s">
        <v>148</v>
      </c>
      <c r="I80" t="s">
        <v>78</v>
      </c>
      <c r="J80" t="s">
        <v>22</v>
      </c>
      <c r="K80">
        <v>10</v>
      </c>
      <c r="L80">
        <v>39800</v>
      </c>
      <c r="M80" s="17">
        <f t="shared" si="12"/>
        <v>3980</v>
      </c>
      <c r="O80" s="17">
        <f t="shared" si="10"/>
        <v>5174</v>
      </c>
      <c r="P80" s="17">
        <v>0</v>
      </c>
      <c r="Q80" s="18">
        <v>0.27</v>
      </c>
      <c r="R80" s="17">
        <v>0</v>
      </c>
      <c r="S80" s="19">
        <v>0</v>
      </c>
      <c r="T80" s="17">
        <v>0</v>
      </c>
      <c r="U80" s="18">
        <v>0.1</v>
      </c>
      <c r="V80" s="17">
        <v>0</v>
      </c>
      <c r="W80" s="18">
        <v>0</v>
      </c>
      <c r="X80" s="17">
        <f t="shared" si="13"/>
        <v>3980</v>
      </c>
      <c r="Y80" s="18">
        <v>0.3</v>
      </c>
      <c r="Z80" s="17">
        <f t="shared" si="14"/>
        <v>5174</v>
      </c>
      <c r="AA80" s="18">
        <f t="shared" si="11"/>
        <v>0.23076923076923078</v>
      </c>
      <c r="AB80" s="18">
        <v>0.1</v>
      </c>
    </row>
    <row r="81" spans="1:28">
      <c r="A81">
        <v>2026</v>
      </c>
      <c r="B81" t="s">
        <v>145</v>
      </c>
      <c r="C81" t="s">
        <v>149</v>
      </c>
      <c r="D81" t="s">
        <v>150</v>
      </c>
      <c r="E81">
        <v>595300</v>
      </c>
      <c r="G81" t="s">
        <v>148</v>
      </c>
      <c r="H81" t="s">
        <v>148</v>
      </c>
      <c r="I81" t="s">
        <v>78</v>
      </c>
      <c r="J81" t="s">
        <v>22</v>
      </c>
      <c r="K81">
        <v>10</v>
      </c>
      <c r="L81">
        <v>42200</v>
      </c>
      <c r="M81" s="17">
        <f t="shared" si="12"/>
        <v>4220</v>
      </c>
      <c r="O81" s="17">
        <f t="shared" si="10"/>
        <v>5486</v>
      </c>
      <c r="P81" s="17">
        <v>0</v>
      </c>
      <c r="Q81" s="18">
        <v>0.17</v>
      </c>
      <c r="R81" s="17">
        <v>0</v>
      </c>
      <c r="S81" s="19">
        <v>0</v>
      </c>
      <c r="T81" s="17">
        <v>0</v>
      </c>
      <c r="U81" s="18">
        <v>0.35</v>
      </c>
      <c r="V81" s="17">
        <v>0</v>
      </c>
      <c r="W81" s="18">
        <v>0</v>
      </c>
      <c r="X81" s="17">
        <f t="shared" si="13"/>
        <v>4220</v>
      </c>
      <c r="Y81" s="18">
        <v>0.28000000000000003</v>
      </c>
      <c r="Z81" s="17">
        <f t="shared" si="14"/>
        <v>5401.6</v>
      </c>
      <c r="AA81" s="18">
        <f t="shared" si="11"/>
        <v>0.21875000000000006</v>
      </c>
      <c r="AB81" s="18">
        <v>0.1</v>
      </c>
    </row>
    <row r="82" spans="1:28">
      <c r="A82">
        <v>2026</v>
      </c>
      <c r="B82" t="s">
        <v>145</v>
      </c>
      <c r="C82" t="s">
        <v>149</v>
      </c>
      <c r="D82" t="s">
        <v>150</v>
      </c>
      <c r="E82">
        <v>595400</v>
      </c>
      <c r="G82" t="s">
        <v>148</v>
      </c>
      <c r="H82" t="s">
        <v>148</v>
      </c>
      <c r="I82" t="s">
        <v>78</v>
      </c>
      <c r="J82" t="s">
        <v>22</v>
      </c>
      <c r="K82">
        <v>10</v>
      </c>
      <c r="L82">
        <v>51600</v>
      </c>
      <c r="M82" s="17">
        <f t="shared" si="12"/>
        <v>5160</v>
      </c>
      <c r="O82" s="17">
        <f t="shared" si="10"/>
        <v>6708</v>
      </c>
      <c r="P82" s="17">
        <v>0</v>
      </c>
      <c r="Q82" s="18">
        <v>0.22</v>
      </c>
      <c r="R82" s="17">
        <v>0</v>
      </c>
      <c r="S82" s="19">
        <v>0</v>
      </c>
      <c r="T82" s="17">
        <v>0</v>
      </c>
      <c r="U82" s="18">
        <v>0.33</v>
      </c>
      <c r="V82" s="17">
        <v>0</v>
      </c>
      <c r="W82" s="18">
        <v>0</v>
      </c>
      <c r="X82" s="17">
        <f t="shared" si="13"/>
        <v>5160</v>
      </c>
      <c r="Y82" s="18">
        <v>0.27</v>
      </c>
      <c r="Z82" s="17">
        <f t="shared" si="14"/>
        <v>6553.2</v>
      </c>
      <c r="AA82" s="18">
        <f t="shared" si="11"/>
        <v>0.21259842519685038</v>
      </c>
      <c r="AB82" s="18">
        <v>0.1</v>
      </c>
    </row>
    <row r="83" spans="1:28">
      <c r="A83">
        <v>2026</v>
      </c>
      <c r="B83" t="s">
        <v>145</v>
      </c>
      <c r="C83" t="s">
        <v>149</v>
      </c>
      <c r="D83" t="s">
        <v>150</v>
      </c>
      <c r="E83">
        <v>595600</v>
      </c>
      <c r="G83" t="s">
        <v>148</v>
      </c>
      <c r="H83" t="s">
        <v>148</v>
      </c>
      <c r="I83" t="s">
        <v>95</v>
      </c>
      <c r="J83" t="s">
        <v>12</v>
      </c>
      <c r="K83">
        <v>1</v>
      </c>
      <c r="L83">
        <v>43500</v>
      </c>
      <c r="M83" s="17">
        <f t="shared" si="12"/>
        <v>43500</v>
      </c>
      <c r="O83" s="17">
        <f t="shared" si="10"/>
        <v>56550</v>
      </c>
      <c r="P83" s="17">
        <v>0</v>
      </c>
      <c r="Q83" s="18">
        <v>0.12</v>
      </c>
      <c r="R83" s="17">
        <v>0</v>
      </c>
      <c r="S83" s="19">
        <v>0</v>
      </c>
      <c r="T83" s="17">
        <v>0</v>
      </c>
      <c r="U83" s="18">
        <v>0.31</v>
      </c>
      <c r="V83" s="17">
        <v>0</v>
      </c>
      <c r="W83" s="18">
        <v>0</v>
      </c>
      <c r="X83" s="17">
        <f t="shared" si="13"/>
        <v>43500</v>
      </c>
      <c r="Y83" s="18">
        <v>0.17</v>
      </c>
      <c r="Z83" s="17">
        <f t="shared" si="14"/>
        <v>50895</v>
      </c>
      <c r="AA83" s="18">
        <f t="shared" si="11"/>
        <v>0.14529914529914531</v>
      </c>
      <c r="AB83" s="18">
        <v>0.1</v>
      </c>
    </row>
    <row r="84" spans="1:28">
      <c r="A84">
        <v>2026</v>
      </c>
      <c r="B84" t="s">
        <v>145</v>
      </c>
      <c r="C84" t="s">
        <v>149</v>
      </c>
      <c r="D84" t="s">
        <v>150</v>
      </c>
      <c r="E84">
        <v>581011</v>
      </c>
      <c r="G84" t="s">
        <v>148</v>
      </c>
      <c r="H84" t="s">
        <v>148</v>
      </c>
      <c r="I84" t="s">
        <v>100</v>
      </c>
      <c r="J84" t="s">
        <v>12</v>
      </c>
      <c r="K84">
        <v>1</v>
      </c>
      <c r="L84">
        <v>89500</v>
      </c>
      <c r="M84" s="17">
        <f t="shared" si="12"/>
        <v>89500</v>
      </c>
      <c r="O84" s="17">
        <f t="shared" si="10"/>
        <v>116350</v>
      </c>
      <c r="P84" s="17">
        <v>0</v>
      </c>
      <c r="Q84" s="18">
        <v>0.15</v>
      </c>
      <c r="R84" s="17">
        <v>0</v>
      </c>
      <c r="S84" s="19">
        <v>0</v>
      </c>
      <c r="T84" s="17">
        <v>0</v>
      </c>
      <c r="U84" s="18">
        <v>0.3</v>
      </c>
      <c r="V84" s="17">
        <v>0</v>
      </c>
      <c r="W84" s="18">
        <v>0</v>
      </c>
      <c r="X84" s="17">
        <f t="shared" si="13"/>
        <v>89500</v>
      </c>
      <c r="Y84" s="18">
        <v>0.22</v>
      </c>
      <c r="Z84" s="17">
        <f t="shared" si="14"/>
        <v>109190</v>
      </c>
      <c r="AA84" s="18">
        <f t="shared" si="11"/>
        <v>0.18032786885245902</v>
      </c>
      <c r="AB84" s="18">
        <v>0.1</v>
      </c>
    </row>
    <row r="85" spans="1:28">
      <c r="A85">
        <v>2026</v>
      </c>
      <c r="B85" t="s">
        <v>145</v>
      </c>
      <c r="C85" t="s">
        <v>149</v>
      </c>
      <c r="D85" t="s">
        <v>150</v>
      </c>
      <c r="E85">
        <v>581100</v>
      </c>
      <c r="G85" t="s">
        <v>148</v>
      </c>
      <c r="H85" t="s">
        <v>148</v>
      </c>
      <c r="I85" t="s">
        <v>100</v>
      </c>
      <c r="J85" t="s">
        <v>12</v>
      </c>
      <c r="K85">
        <v>1</v>
      </c>
      <c r="L85">
        <v>67900</v>
      </c>
      <c r="M85" s="17">
        <f t="shared" si="12"/>
        <v>67900</v>
      </c>
      <c r="O85" s="17">
        <f t="shared" si="10"/>
        <v>88270</v>
      </c>
      <c r="P85" s="17">
        <v>0</v>
      </c>
      <c r="Q85" s="18">
        <v>0.18</v>
      </c>
      <c r="R85" s="17">
        <v>0</v>
      </c>
      <c r="S85" s="19">
        <v>0</v>
      </c>
      <c r="T85" s="17">
        <v>0</v>
      </c>
      <c r="U85" s="18">
        <v>0.28000000000000003</v>
      </c>
      <c r="V85" s="17">
        <v>0</v>
      </c>
      <c r="W85" s="18">
        <v>0</v>
      </c>
      <c r="X85" s="17">
        <f t="shared" si="13"/>
        <v>67900</v>
      </c>
      <c r="Y85" s="18">
        <v>0.12</v>
      </c>
      <c r="Z85" s="17">
        <f t="shared" si="14"/>
        <v>76048</v>
      </c>
      <c r="AA85" s="18">
        <f t="shared" si="11"/>
        <v>0.10714285714285714</v>
      </c>
      <c r="AB85" s="18">
        <v>0.1</v>
      </c>
    </row>
    <row r="86" spans="1:28">
      <c r="A86">
        <v>2026</v>
      </c>
      <c r="B86" t="s">
        <v>145</v>
      </c>
      <c r="C86" t="s">
        <v>149</v>
      </c>
      <c r="D86" t="s">
        <v>150</v>
      </c>
      <c r="E86">
        <v>581200</v>
      </c>
      <c r="G86" t="s">
        <v>148</v>
      </c>
      <c r="H86" t="s">
        <v>148</v>
      </c>
      <c r="I86" t="s">
        <v>100</v>
      </c>
      <c r="J86" t="s">
        <v>12</v>
      </c>
      <c r="K86">
        <v>1</v>
      </c>
      <c r="L86">
        <v>50300</v>
      </c>
      <c r="M86" s="17">
        <f t="shared" si="12"/>
        <v>50300</v>
      </c>
      <c r="O86" s="17">
        <f t="shared" si="10"/>
        <v>65390</v>
      </c>
      <c r="P86" s="17">
        <v>0</v>
      </c>
      <c r="Q86" s="18">
        <v>0.28999999999999998</v>
      </c>
      <c r="R86" s="17">
        <v>0</v>
      </c>
      <c r="S86" s="19">
        <v>0</v>
      </c>
      <c r="T86" s="17">
        <v>0</v>
      </c>
      <c r="U86" s="18">
        <v>0.27</v>
      </c>
      <c r="V86" s="17">
        <v>0</v>
      </c>
      <c r="W86" s="18">
        <v>0</v>
      </c>
      <c r="X86" s="17">
        <f t="shared" si="13"/>
        <v>50300</v>
      </c>
      <c r="Y86" s="18">
        <v>0.15</v>
      </c>
      <c r="Z86" s="17">
        <f t="shared" si="14"/>
        <v>57845</v>
      </c>
      <c r="AA86" s="18">
        <f t="shared" si="11"/>
        <v>0.13043478260869565</v>
      </c>
      <c r="AB86" s="18">
        <v>0.1</v>
      </c>
    </row>
    <row r="87" spans="1:28">
      <c r="A87">
        <v>2026</v>
      </c>
      <c r="B87" t="s">
        <v>145</v>
      </c>
      <c r="C87" t="s">
        <v>149</v>
      </c>
      <c r="D87" t="s">
        <v>150</v>
      </c>
      <c r="E87">
        <v>581300</v>
      </c>
      <c r="G87" t="s">
        <v>148</v>
      </c>
      <c r="H87" t="s">
        <v>148</v>
      </c>
      <c r="I87" t="s">
        <v>100</v>
      </c>
      <c r="J87" t="s">
        <v>12</v>
      </c>
      <c r="K87">
        <v>1</v>
      </c>
      <c r="L87">
        <v>53300</v>
      </c>
      <c r="M87" s="17">
        <f t="shared" si="12"/>
        <v>53300</v>
      </c>
      <c r="O87" s="17">
        <f t="shared" si="10"/>
        <v>69290</v>
      </c>
      <c r="P87" s="17">
        <v>0</v>
      </c>
      <c r="Q87" s="18">
        <v>0.34</v>
      </c>
      <c r="R87" s="17">
        <v>0</v>
      </c>
      <c r="S87" s="19">
        <v>0</v>
      </c>
      <c r="T87" s="17">
        <v>0</v>
      </c>
      <c r="U87" s="18">
        <v>0.17</v>
      </c>
      <c r="V87" s="17">
        <v>0</v>
      </c>
      <c r="W87" s="18">
        <v>0</v>
      </c>
      <c r="X87" s="17">
        <f t="shared" si="13"/>
        <v>53300</v>
      </c>
      <c r="Y87" s="18">
        <v>0.18</v>
      </c>
      <c r="Z87" s="17">
        <f t="shared" si="14"/>
        <v>62894</v>
      </c>
      <c r="AA87" s="18">
        <f t="shared" si="11"/>
        <v>0.15254237288135594</v>
      </c>
      <c r="AB87" s="18">
        <v>0.1</v>
      </c>
    </row>
    <row r="88" spans="1:28" ht="15">
      <c r="A88" s="11" t="s">
        <v>117</v>
      </c>
      <c r="B88" s="11" t="s">
        <v>118</v>
      </c>
      <c r="C88" s="11" t="s">
        <v>119</v>
      </c>
      <c r="D88" s="11" t="s">
        <v>120</v>
      </c>
      <c r="E88" s="11" t="s">
        <v>121</v>
      </c>
      <c r="F88" s="11" t="s">
        <v>122</v>
      </c>
      <c r="G88" s="11" t="s">
        <v>123</v>
      </c>
      <c r="H88" s="11" t="s">
        <v>124</v>
      </c>
      <c r="I88" s="11" t="s">
        <v>125</v>
      </c>
      <c r="J88" s="11" t="s">
        <v>126</v>
      </c>
      <c r="K88" s="11" t="s">
        <v>127</v>
      </c>
      <c r="L88" s="11" t="s">
        <v>128</v>
      </c>
      <c r="M88" s="12" t="s">
        <v>129</v>
      </c>
      <c r="N88" s="11" t="s">
        <v>130</v>
      </c>
      <c r="O88" s="11" t="s">
        <v>131</v>
      </c>
      <c r="P88" s="11" t="s">
        <v>132</v>
      </c>
      <c r="Q88" s="13" t="s">
        <v>133</v>
      </c>
      <c r="R88" s="14" t="s">
        <v>134</v>
      </c>
      <c r="S88" s="15" t="s">
        <v>135</v>
      </c>
      <c r="T88" s="16" t="s">
        <v>136</v>
      </c>
      <c r="U88" s="16" t="s">
        <v>137</v>
      </c>
      <c r="V88" s="16" t="s">
        <v>138</v>
      </c>
      <c r="W88" s="13" t="s">
        <v>139</v>
      </c>
      <c r="X88" s="16" t="s">
        <v>140</v>
      </c>
      <c r="Y88" s="16" t="s">
        <v>141</v>
      </c>
      <c r="Z88" s="16" t="s">
        <v>142</v>
      </c>
      <c r="AA88" s="13" t="s">
        <v>143</v>
      </c>
      <c r="AB88" s="14" t="s">
        <v>144</v>
      </c>
    </row>
    <row r="89" spans="1:28">
      <c r="A89">
        <v>2026</v>
      </c>
      <c r="B89" t="s">
        <v>145</v>
      </c>
      <c r="C89" t="s">
        <v>149</v>
      </c>
      <c r="D89" t="s">
        <v>150</v>
      </c>
      <c r="E89">
        <v>360001</v>
      </c>
      <c r="G89" t="s">
        <v>148</v>
      </c>
      <c r="H89" t="s">
        <v>148</v>
      </c>
      <c r="I89" t="s">
        <v>9</v>
      </c>
      <c r="J89" t="s">
        <v>12</v>
      </c>
      <c r="K89">
        <v>1</v>
      </c>
      <c r="L89">
        <v>893800</v>
      </c>
      <c r="M89" s="17">
        <f>L89/K89</f>
        <v>893800</v>
      </c>
      <c r="O89" s="17">
        <f t="shared" ref="O89:O116" si="15">M89+(M89*30%)</f>
        <v>1161940</v>
      </c>
      <c r="P89" s="17">
        <v>0</v>
      </c>
      <c r="Q89" s="18">
        <v>0.3</v>
      </c>
      <c r="R89" s="17">
        <v>0</v>
      </c>
      <c r="S89" s="19">
        <v>0</v>
      </c>
      <c r="T89" s="17">
        <v>0</v>
      </c>
      <c r="U89" s="18">
        <v>0.12</v>
      </c>
      <c r="V89" s="17">
        <v>0</v>
      </c>
      <c r="W89" s="18">
        <v>0</v>
      </c>
      <c r="X89" s="17">
        <f>M89</f>
        <v>893800</v>
      </c>
      <c r="Y89" s="18">
        <v>0.33</v>
      </c>
      <c r="Z89" s="17">
        <f>X89+(X89*Y89)</f>
        <v>1188754</v>
      </c>
      <c r="AA89" s="18">
        <f t="shared" ref="AA89:AA116" si="16">IFERROR(((Z89-X89)/Z89),0)</f>
        <v>0.24812030075187969</v>
      </c>
      <c r="AB89" s="18">
        <v>0.1</v>
      </c>
    </row>
    <row r="90" spans="1:28">
      <c r="A90">
        <v>2026</v>
      </c>
      <c r="B90" t="s">
        <v>145</v>
      </c>
      <c r="C90" t="s">
        <v>149</v>
      </c>
      <c r="D90" t="s">
        <v>150</v>
      </c>
      <c r="E90">
        <v>360102</v>
      </c>
      <c r="G90" t="s">
        <v>148</v>
      </c>
      <c r="H90" t="s">
        <v>148</v>
      </c>
      <c r="I90" t="s">
        <v>19</v>
      </c>
      <c r="J90" t="s">
        <v>22</v>
      </c>
      <c r="K90">
        <v>10</v>
      </c>
      <c r="L90">
        <v>13500</v>
      </c>
      <c r="M90" s="17">
        <f t="shared" ref="M90:M116" si="17">L90/K90</f>
        <v>1350</v>
      </c>
      <c r="O90" s="17">
        <f t="shared" si="15"/>
        <v>1755</v>
      </c>
      <c r="P90" s="17">
        <v>0</v>
      </c>
      <c r="Q90" s="18">
        <v>0.28000000000000003</v>
      </c>
      <c r="R90" s="17">
        <v>0</v>
      </c>
      <c r="S90" s="19">
        <v>0</v>
      </c>
      <c r="T90" s="17">
        <v>0</v>
      </c>
      <c r="U90" s="18">
        <v>0.25</v>
      </c>
      <c r="V90" s="17">
        <v>0</v>
      </c>
      <c r="W90" s="18">
        <v>0</v>
      </c>
      <c r="X90" s="17">
        <f t="shared" ref="X90:X116" si="18">M90</f>
        <v>1350</v>
      </c>
      <c r="Y90" s="18">
        <v>0.31</v>
      </c>
      <c r="Z90" s="17">
        <f t="shared" ref="Z90:Z116" si="19">X90+(X90*Y90)</f>
        <v>1768.5</v>
      </c>
      <c r="AA90" s="18">
        <f t="shared" si="16"/>
        <v>0.23664122137404581</v>
      </c>
      <c r="AB90" s="18">
        <v>0.1</v>
      </c>
    </row>
    <row r="91" spans="1:28">
      <c r="A91">
        <v>2026</v>
      </c>
      <c r="B91" t="s">
        <v>145</v>
      </c>
      <c r="C91" t="s">
        <v>149</v>
      </c>
      <c r="D91" t="s">
        <v>150</v>
      </c>
      <c r="E91">
        <v>360104</v>
      </c>
      <c r="G91" t="s">
        <v>148</v>
      </c>
      <c r="H91" t="s">
        <v>148</v>
      </c>
      <c r="I91" t="s">
        <v>19</v>
      </c>
      <c r="J91" t="s">
        <v>22</v>
      </c>
      <c r="K91">
        <v>10</v>
      </c>
      <c r="L91">
        <v>28800</v>
      </c>
      <c r="M91" s="17">
        <f t="shared" si="17"/>
        <v>2880</v>
      </c>
      <c r="O91" s="17">
        <f t="shared" si="15"/>
        <v>3744</v>
      </c>
      <c r="P91" s="17">
        <v>0</v>
      </c>
      <c r="Q91" s="18">
        <v>0.27</v>
      </c>
      <c r="R91" s="17">
        <v>0</v>
      </c>
      <c r="S91" s="19">
        <v>0</v>
      </c>
      <c r="T91" s="17">
        <v>0</v>
      </c>
      <c r="U91" s="18">
        <v>0.1</v>
      </c>
      <c r="V91" s="17">
        <v>0</v>
      </c>
      <c r="W91" s="18">
        <v>0</v>
      </c>
      <c r="X91" s="17">
        <f t="shared" si="18"/>
        <v>2880</v>
      </c>
      <c r="Y91" s="18">
        <v>0.3</v>
      </c>
      <c r="Z91" s="17">
        <f t="shared" si="19"/>
        <v>3744</v>
      </c>
      <c r="AA91" s="18">
        <f t="shared" si="16"/>
        <v>0.23076923076923078</v>
      </c>
      <c r="AB91" s="18">
        <v>0.1</v>
      </c>
    </row>
    <row r="92" spans="1:28">
      <c r="A92">
        <v>2026</v>
      </c>
      <c r="B92" t="s">
        <v>145</v>
      </c>
      <c r="C92" t="s">
        <v>149</v>
      </c>
      <c r="D92" t="s">
        <v>150</v>
      </c>
      <c r="E92">
        <v>360100</v>
      </c>
      <c r="G92" t="s">
        <v>148</v>
      </c>
      <c r="H92" t="s">
        <v>148</v>
      </c>
      <c r="I92" t="s">
        <v>19</v>
      </c>
      <c r="J92" t="s">
        <v>22</v>
      </c>
      <c r="K92">
        <v>10</v>
      </c>
      <c r="L92">
        <v>63400</v>
      </c>
      <c r="M92" s="17">
        <f t="shared" si="17"/>
        <v>6340</v>
      </c>
      <c r="O92" s="17">
        <f t="shared" si="15"/>
        <v>8242</v>
      </c>
      <c r="P92" s="17">
        <v>0</v>
      </c>
      <c r="Q92" s="18">
        <v>0.17</v>
      </c>
      <c r="R92" s="17">
        <v>0</v>
      </c>
      <c r="S92" s="19">
        <v>0</v>
      </c>
      <c r="T92" s="17">
        <v>0</v>
      </c>
      <c r="U92" s="18">
        <v>0.35</v>
      </c>
      <c r="V92" s="17">
        <v>0</v>
      </c>
      <c r="W92" s="18">
        <v>0</v>
      </c>
      <c r="X92" s="17">
        <f t="shared" si="18"/>
        <v>6340</v>
      </c>
      <c r="Y92" s="18">
        <v>0.28000000000000003</v>
      </c>
      <c r="Z92" s="17">
        <f t="shared" si="19"/>
        <v>8115.2000000000007</v>
      </c>
      <c r="AA92" s="18">
        <f t="shared" si="16"/>
        <v>0.21875000000000008</v>
      </c>
      <c r="AB92" s="18">
        <v>0.1</v>
      </c>
    </row>
    <row r="93" spans="1:28">
      <c r="A93">
        <v>2026</v>
      </c>
      <c r="B93" t="s">
        <v>145</v>
      </c>
      <c r="C93" t="s">
        <v>149</v>
      </c>
      <c r="D93" t="s">
        <v>150</v>
      </c>
      <c r="E93">
        <v>360150</v>
      </c>
      <c r="G93" t="s">
        <v>148</v>
      </c>
      <c r="H93" t="s">
        <v>148</v>
      </c>
      <c r="I93" t="s">
        <v>30</v>
      </c>
      <c r="J93" t="s">
        <v>22</v>
      </c>
      <c r="K93">
        <v>10</v>
      </c>
      <c r="L93">
        <v>24200</v>
      </c>
      <c r="M93" s="17">
        <f t="shared" si="17"/>
        <v>2420</v>
      </c>
      <c r="O93" s="17">
        <f t="shared" si="15"/>
        <v>3146</v>
      </c>
      <c r="P93" s="17">
        <v>0</v>
      </c>
      <c r="Q93" s="18">
        <v>0.22</v>
      </c>
      <c r="R93" s="17">
        <v>0</v>
      </c>
      <c r="S93" s="19">
        <v>0</v>
      </c>
      <c r="T93" s="17">
        <v>0</v>
      </c>
      <c r="U93" s="18">
        <v>0.33</v>
      </c>
      <c r="V93" s="17">
        <v>0</v>
      </c>
      <c r="W93" s="18">
        <v>0</v>
      </c>
      <c r="X93" s="17">
        <f t="shared" si="18"/>
        <v>2420</v>
      </c>
      <c r="Y93" s="18">
        <v>0.27</v>
      </c>
      <c r="Z93" s="17">
        <f t="shared" si="19"/>
        <v>3073.4</v>
      </c>
      <c r="AA93" s="18">
        <f t="shared" si="16"/>
        <v>0.2125984251968504</v>
      </c>
      <c r="AB93" s="18">
        <v>0.1</v>
      </c>
    </row>
    <row r="94" spans="1:28">
      <c r="A94">
        <v>2026</v>
      </c>
      <c r="B94" t="s">
        <v>145</v>
      </c>
      <c r="C94" t="s">
        <v>149</v>
      </c>
      <c r="D94" t="s">
        <v>150</v>
      </c>
      <c r="E94">
        <v>360101</v>
      </c>
      <c r="G94" t="s">
        <v>148</v>
      </c>
      <c r="H94" t="s">
        <v>148</v>
      </c>
      <c r="I94" t="s">
        <v>30</v>
      </c>
      <c r="J94" t="s">
        <v>22</v>
      </c>
      <c r="K94">
        <v>10</v>
      </c>
      <c r="L94">
        <v>36700</v>
      </c>
      <c r="M94" s="17">
        <f t="shared" si="17"/>
        <v>3670</v>
      </c>
      <c r="O94" s="17">
        <f t="shared" si="15"/>
        <v>4771</v>
      </c>
      <c r="P94" s="17">
        <v>0</v>
      </c>
      <c r="Q94" s="18">
        <v>0.12</v>
      </c>
      <c r="R94" s="17">
        <v>0</v>
      </c>
      <c r="S94" s="19">
        <v>0</v>
      </c>
      <c r="T94" s="17">
        <v>0</v>
      </c>
      <c r="U94" s="18">
        <v>0.31</v>
      </c>
      <c r="V94" s="17">
        <v>0</v>
      </c>
      <c r="W94" s="18">
        <v>0</v>
      </c>
      <c r="X94" s="17">
        <f t="shared" si="18"/>
        <v>3670</v>
      </c>
      <c r="Y94" s="18">
        <v>0.17</v>
      </c>
      <c r="Z94" s="17">
        <f t="shared" si="19"/>
        <v>4293.8999999999996</v>
      </c>
      <c r="AA94" s="18">
        <f t="shared" si="16"/>
        <v>0.14529914529914523</v>
      </c>
      <c r="AB94" s="18">
        <v>0.1</v>
      </c>
    </row>
    <row r="95" spans="1:28">
      <c r="A95">
        <v>2026</v>
      </c>
      <c r="B95" t="s">
        <v>145</v>
      </c>
      <c r="C95" t="s">
        <v>149</v>
      </c>
      <c r="D95" t="s">
        <v>150</v>
      </c>
      <c r="E95">
        <v>360103</v>
      </c>
      <c r="G95" t="s">
        <v>148</v>
      </c>
      <c r="H95" t="s">
        <v>148</v>
      </c>
      <c r="I95" t="s">
        <v>30</v>
      </c>
      <c r="J95" t="s">
        <v>22</v>
      </c>
      <c r="K95">
        <v>10</v>
      </c>
      <c r="L95">
        <v>91800</v>
      </c>
      <c r="M95" s="17">
        <f t="shared" si="17"/>
        <v>9180</v>
      </c>
      <c r="O95" s="17">
        <f t="shared" si="15"/>
        <v>11934</v>
      </c>
      <c r="P95" s="17">
        <v>0</v>
      </c>
      <c r="Q95" s="18">
        <v>0.15</v>
      </c>
      <c r="R95" s="17">
        <v>0</v>
      </c>
      <c r="S95" s="19">
        <v>0</v>
      </c>
      <c r="T95" s="17">
        <v>0</v>
      </c>
      <c r="U95" s="18">
        <v>0.3</v>
      </c>
      <c r="V95" s="17">
        <v>0</v>
      </c>
      <c r="W95" s="18">
        <v>0</v>
      </c>
      <c r="X95" s="17">
        <f t="shared" si="18"/>
        <v>9180</v>
      </c>
      <c r="Y95" s="18">
        <v>0.22</v>
      </c>
      <c r="Z95" s="17">
        <f t="shared" si="19"/>
        <v>11199.6</v>
      </c>
      <c r="AA95" s="18">
        <f t="shared" si="16"/>
        <v>0.18032786885245905</v>
      </c>
      <c r="AB95" s="18">
        <v>0.1</v>
      </c>
    </row>
    <row r="96" spans="1:28">
      <c r="A96">
        <v>2026</v>
      </c>
      <c r="B96" t="s">
        <v>145</v>
      </c>
      <c r="C96" t="s">
        <v>149</v>
      </c>
      <c r="D96" t="s">
        <v>150</v>
      </c>
      <c r="E96">
        <v>709900</v>
      </c>
      <c r="G96" t="s">
        <v>148</v>
      </c>
      <c r="H96" t="s">
        <v>148</v>
      </c>
      <c r="I96" t="s">
        <v>44</v>
      </c>
      <c r="J96" t="s">
        <v>29</v>
      </c>
      <c r="K96">
        <v>5</v>
      </c>
      <c r="L96">
        <v>17300</v>
      </c>
      <c r="M96" s="17">
        <f t="shared" si="17"/>
        <v>3460</v>
      </c>
      <c r="O96" s="17">
        <f t="shared" si="15"/>
        <v>4498</v>
      </c>
      <c r="P96" s="17">
        <v>0</v>
      </c>
      <c r="Q96" s="18">
        <v>0.18</v>
      </c>
      <c r="R96" s="17">
        <v>0</v>
      </c>
      <c r="S96" s="19">
        <v>0</v>
      </c>
      <c r="T96" s="17">
        <v>0</v>
      </c>
      <c r="U96" s="18">
        <v>0.28000000000000003</v>
      </c>
      <c r="V96" s="17">
        <v>0</v>
      </c>
      <c r="W96" s="18">
        <v>0</v>
      </c>
      <c r="X96" s="17">
        <f t="shared" si="18"/>
        <v>3460</v>
      </c>
      <c r="Y96" s="18">
        <v>0.12</v>
      </c>
      <c r="Z96" s="17">
        <f t="shared" si="19"/>
        <v>3875.2</v>
      </c>
      <c r="AA96" s="18">
        <f t="shared" si="16"/>
        <v>0.1071428571428571</v>
      </c>
      <c r="AB96" s="18">
        <v>0.1</v>
      </c>
    </row>
    <row r="97" spans="1:28">
      <c r="A97">
        <v>2026</v>
      </c>
      <c r="B97" t="s">
        <v>145</v>
      </c>
      <c r="C97" t="s">
        <v>149</v>
      </c>
      <c r="D97" t="s">
        <v>150</v>
      </c>
      <c r="E97">
        <v>709902</v>
      </c>
      <c r="G97" t="s">
        <v>148</v>
      </c>
      <c r="H97" t="s">
        <v>148</v>
      </c>
      <c r="I97" t="s">
        <v>44</v>
      </c>
      <c r="J97" t="s">
        <v>29</v>
      </c>
      <c r="K97">
        <v>5</v>
      </c>
      <c r="L97">
        <v>29000</v>
      </c>
      <c r="M97" s="17">
        <f t="shared" si="17"/>
        <v>5800</v>
      </c>
      <c r="O97" s="17">
        <f t="shared" si="15"/>
        <v>7540</v>
      </c>
      <c r="P97" s="17">
        <v>0</v>
      </c>
      <c r="Q97" s="18">
        <v>0.28999999999999998</v>
      </c>
      <c r="R97" s="17">
        <v>0</v>
      </c>
      <c r="S97" s="19">
        <v>0</v>
      </c>
      <c r="T97" s="17">
        <v>0</v>
      </c>
      <c r="U97" s="18">
        <v>0.27</v>
      </c>
      <c r="V97" s="17">
        <v>0</v>
      </c>
      <c r="W97" s="18">
        <v>0</v>
      </c>
      <c r="X97" s="17">
        <f t="shared" si="18"/>
        <v>5800</v>
      </c>
      <c r="Y97" s="18">
        <v>0.15</v>
      </c>
      <c r="Z97" s="17">
        <f t="shared" si="19"/>
        <v>6670</v>
      </c>
      <c r="AA97" s="18">
        <f t="shared" si="16"/>
        <v>0.13043478260869565</v>
      </c>
      <c r="AB97" s="18">
        <v>0.1</v>
      </c>
    </row>
    <row r="98" spans="1:28">
      <c r="A98">
        <v>2026</v>
      </c>
      <c r="B98" t="s">
        <v>145</v>
      </c>
      <c r="C98" t="s">
        <v>149</v>
      </c>
      <c r="D98" t="s">
        <v>150</v>
      </c>
      <c r="E98">
        <v>709903</v>
      </c>
      <c r="G98" t="s">
        <v>148</v>
      </c>
      <c r="H98" t="s">
        <v>148</v>
      </c>
      <c r="I98" t="s">
        <v>44</v>
      </c>
      <c r="J98" t="s">
        <v>29</v>
      </c>
      <c r="K98">
        <v>5</v>
      </c>
      <c r="L98">
        <v>36700</v>
      </c>
      <c r="M98" s="17">
        <f t="shared" si="17"/>
        <v>7340</v>
      </c>
      <c r="O98" s="17">
        <f t="shared" si="15"/>
        <v>9542</v>
      </c>
      <c r="P98" s="17">
        <v>0</v>
      </c>
      <c r="Q98" s="18">
        <v>0.34</v>
      </c>
      <c r="R98" s="17">
        <v>0</v>
      </c>
      <c r="S98" s="19">
        <v>0</v>
      </c>
      <c r="T98" s="17">
        <v>0</v>
      </c>
      <c r="U98" s="18">
        <v>0.17</v>
      </c>
      <c r="V98" s="17">
        <v>0</v>
      </c>
      <c r="W98" s="18">
        <v>0</v>
      </c>
      <c r="X98" s="17">
        <f t="shared" si="18"/>
        <v>7340</v>
      </c>
      <c r="Y98" s="18">
        <v>0.18</v>
      </c>
      <c r="Z98" s="17">
        <f t="shared" si="19"/>
        <v>8661.2000000000007</v>
      </c>
      <c r="AA98" s="18">
        <f t="shared" si="16"/>
        <v>0.152542372881356</v>
      </c>
      <c r="AB98" s="18">
        <v>0.1</v>
      </c>
    </row>
    <row r="99" spans="1:28">
      <c r="A99">
        <v>2026</v>
      </c>
      <c r="B99" t="s">
        <v>145</v>
      </c>
      <c r="C99" t="s">
        <v>149</v>
      </c>
      <c r="D99" t="s">
        <v>150</v>
      </c>
      <c r="E99">
        <v>709909</v>
      </c>
      <c r="G99" t="s">
        <v>148</v>
      </c>
      <c r="H99" t="s">
        <v>148</v>
      </c>
      <c r="I99" t="s">
        <v>44</v>
      </c>
      <c r="J99" t="s">
        <v>29</v>
      </c>
      <c r="K99">
        <v>5</v>
      </c>
      <c r="L99">
        <v>75900</v>
      </c>
      <c r="M99" s="17">
        <f t="shared" si="17"/>
        <v>15180</v>
      </c>
      <c r="O99" s="17">
        <f t="shared" si="15"/>
        <v>19734</v>
      </c>
      <c r="P99" s="17">
        <v>0</v>
      </c>
      <c r="Q99" s="18">
        <v>0.25</v>
      </c>
      <c r="R99" s="17">
        <v>0</v>
      </c>
      <c r="S99" s="19">
        <v>0</v>
      </c>
      <c r="T99" s="17">
        <v>0</v>
      </c>
      <c r="U99" s="18">
        <v>0.22</v>
      </c>
      <c r="V99" s="17">
        <v>0</v>
      </c>
      <c r="W99" s="18">
        <v>0</v>
      </c>
      <c r="X99" s="17">
        <f t="shared" si="18"/>
        <v>15180</v>
      </c>
      <c r="Y99" s="18">
        <v>0.28999999999999998</v>
      </c>
      <c r="Z99" s="17">
        <f t="shared" si="19"/>
        <v>19582.2</v>
      </c>
      <c r="AA99" s="18">
        <f t="shared" si="16"/>
        <v>0.22480620155038764</v>
      </c>
      <c r="AB99" s="18">
        <v>0.1</v>
      </c>
    </row>
    <row r="100" spans="1:28">
      <c r="A100">
        <v>2026</v>
      </c>
      <c r="B100" t="s">
        <v>145</v>
      </c>
      <c r="C100" t="s">
        <v>149</v>
      </c>
      <c r="D100" t="s">
        <v>150</v>
      </c>
      <c r="E100">
        <v>709904</v>
      </c>
      <c r="G100" t="s">
        <v>148</v>
      </c>
      <c r="H100" t="s">
        <v>148</v>
      </c>
      <c r="I100" t="s">
        <v>55</v>
      </c>
      <c r="J100" t="s">
        <v>29</v>
      </c>
      <c r="K100">
        <v>5</v>
      </c>
      <c r="L100">
        <v>16900</v>
      </c>
      <c r="M100" s="17">
        <f t="shared" si="17"/>
        <v>3380</v>
      </c>
      <c r="O100" s="17">
        <f t="shared" si="15"/>
        <v>4394</v>
      </c>
      <c r="P100" s="17">
        <v>0</v>
      </c>
      <c r="Q100" s="18">
        <v>0.35</v>
      </c>
      <c r="R100" s="17">
        <v>0</v>
      </c>
      <c r="S100" s="19">
        <v>0</v>
      </c>
      <c r="T100" s="17">
        <v>0</v>
      </c>
      <c r="U100" s="18">
        <v>0.12</v>
      </c>
      <c r="V100" s="17">
        <v>0</v>
      </c>
      <c r="W100" s="18">
        <v>0</v>
      </c>
      <c r="X100" s="17">
        <f t="shared" si="18"/>
        <v>3380</v>
      </c>
      <c r="Y100" s="18">
        <v>0.34</v>
      </c>
      <c r="Z100" s="17">
        <f t="shared" si="19"/>
        <v>4529.2</v>
      </c>
      <c r="AA100" s="18">
        <f t="shared" si="16"/>
        <v>0.25373134328358204</v>
      </c>
      <c r="AB100" s="18">
        <v>0.1</v>
      </c>
    </row>
    <row r="101" spans="1:28">
      <c r="A101">
        <v>2026</v>
      </c>
      <c r="B101" t="s">
        <v>145</v>
      </c>
      <c r="C101" t="s">
        <v>149</v>
      </c>
      <c r="D101" t="s">
        <v>150</v>
      </c>
      <c r="E101">
        <v>603421</v>
      </c>
      <c r="G101" t="s">
        <v>148</v>
      </c>
      <c r="H101" t="s">
        <v>148</v>
      </c>
      <c r="I101" t="s">
        <v>55</v>
      </c>
      <c r="J101" t="s">
        <v>29</v>
      </c>
      <c r="K101">
        <v>5</v>
      </c>
      <c r="L101">
        <v>21900</v>
      </c>
      <c r="M101" s="17">
        <f t="shared" si="17"/>
        <v>4380</v>
      </c>
      <c r="O101" s="17">
        <f t="shared" si="15"/>
        <v>5694</v>
      </c>
      <c r="P101" s="17">
        <v>0</v>
      </c>
      <c r="Q101" s="18">
        <v>0.12</v>
      </c>
      <c r="R101" s="17">
        <v>0</v>
      </c>
      <c r="S101" s="19">
        <v>0</v>
      </c>
      <c r="T101" s="17">
        <v>0</v>
      </c>
      <c r="U101" s="18">
        <v>0.15</v>
      </c>
      <c r="V101" s="17">
        <v>0</v>
      </c>
      <c r="W101" s="18">
        <v>0</v>
      </c>
      <c r="X101" s="17">
        <f t="shared" si="18"/>
        <v>4380</v>
      </c>
      <c r="Y101" s="18">
        <v>0.25</v>
      </c>
      <c r="Z101" s="17">
        <f t="shared" si="19"/>
        <v>5475</v>
      </c>
      <c r="AA101" s="18">
        <f t="shared" si="16"/>
        <v>0.2</v>
      </c>
      <c r="AB101" s="18">
        <v>0.1</v>
      </c>
    </row>
    <row r="102" spans="1:28">
      <c r="A102">
        <v>2026</v>
      </c>
      <c r="B102" t="s">
        <v>145</v>
      </c>
      <c r="C102" t="s">
        <v>149</v>
      </c>
      <c r="D102" t="s">
        <v>150</v>
      </c>
      <c r="E102">
        <v>603422</v>
      </c>
      <c r="G102" t="s">
        <v>148</v>
      </c>
      <c r="H102" t="s">
        <v>148</v>
      </c>
      <c r="I102" t="s">
        <v>60</v>
      </c>
      <c r="J102" t="s">
        <v>29</v>
      </c>
      <c r="K102">
        <v>5</v>
      </c>
      <c r="L102">
        <v>38600</v>
      </c>
      <c r="M102" s="17">
        <f t="shared" si="17"/>
        <v>7720</v>
      </c>
      <c r="O102" s="17">
        <f t="shared" si="15"/>
        <v>10036</v>
      </c>
      <c r="P102" s="17">
        <v>0</v>
      </c>
      <c r="Q102" s="18">
        <v>0.25</v>
      </c>
      <c r="R102" s="17">
        <v>0</v>
      </c>
      <c r="S102" s="19">
        <v>0</v>
      </c>
      <c r="T102" s="17">
        <v>0</v>
      </c>
      <c r="U102" s="18">
        <v>0.18</v>
      </c>
      <c r="V102" s="17">
        <v>0</v>
      </c>
      <c r="W102" s="18">
        <v>0</v>
      </c>
      <c r="X102" s="17">
        <f t="shared" si="18"/>
        <v>7720</v>
      </c>
      <c r="Y102" s="18">
        <v>0.35</v>
      </c>
      <c r="Z102" s="17">
        <f t="shared" si="19"/>
        <v>10422</v>
      </c>
      <c r="AA102" s="18">
        <f t="shared" si="16"/>
        <v>0.25925925925925924</v>
      </c>
      <c r="AB102" s="18">
        <v>0.1</v>
      </c>
    </row>
    <row r="103" spans="1:28">
      <c r="A103">
        <v>2026</v>
      </c>
      <c r="B103" t="s">
        <v>145</v>
      </c>
      <c r="C103" t="s">
        <v>149</v>
      </c>
      <c r="D103" t="s">
        <v>150</v>
      </c>
      <c r="E103">
        <v>603423</v>
      </c>
      <c r="G103" t="s">
        <v>148</v>
      </c>
      <c r="H103" t="s">
        <v>148</v>
      </c>
      <c r="I103" t="s">
        <v>60</v>
      </c>
      <c r="J103" t="s">
        <v>29</v>
      </c>
      <c r="K103">
        <v>5</v>
      </c>
      <c r="L103">
        <v>107200</v>
      </c>
      <c r="M103" s="17">
        <f t="shared" si="17"/>
        <v>21440</v>
      </c>
      <c r="O103" s="17">
        <f t="shared" si="15"/>
        <v>27872</v>
      </c>
      <c r="P103" s="17">
        <v>0</v>
      </c>
      <c r="Q103" s="18">
        <v>0.1</v>
      </c>
      <c r="R103" s="17">
        <v>0</v>
      </c>
      <c r="S103" s="19">
        <v>0</v>
      </c>
      <c r="T103" s="17">
        <v>0</v>
      </c>
      <c r="U103" s="18">
        <v>0.28999999999999998</v>
      </c>
      <c r="V103" s="17">
        <v>0</v>
      </c>
      <c r="W103" s="18">
        <v>0</v>
      </c>
      <c r="X103" s="17">
        <f t="shared" si="18"/>
        <v>21440</v>
      </c>
      <c r="Y103" s="18">
        <v>0.12</v>
      </c>
      <c r="Z103" s="17">
        <f t="shared" si="19"/>
        <v>24012.799999999999</v>
      </c>
      <c r="AA103" s="18">
        <f t="shared" si="16"/>
        <v>0.10714285714285711</v>
      </c>
      <c r="AB103" s="18">
        <v>0.1</v>
      </c>
    </row>
    <row r="104" spans="1:28">
      <c r="A104">
        <v>2026</v>
      </c>
      <c r="B104" t="s">
        <v>145</v>
      </c>
      <c r="C104" t="s">
        <v>149</v>
      </c>
      <c r="D104" t="s">
        <v>150</v>
      </c>
      <c r="E104">
        <v>603420</v>
      </c>
      <c r="G104" t="s">
        <v>148</v>
      </c>
      <c r="H104" t="s">
        <v>148</v>
      </c>
      <c r="I104" t="s">
        <v>60</v>
      </c>
      <c r="J104" t="s">
        <v>29</v>
      </c>
      <c r="K104">
        <v>5</v>
      </c>
      <c r="L104">
        <v>114900</v>
      </c>
      <c r="M104" s="17">
        <f t="shared" si="17"/>
        <v>22980</v>
      </c>
      <c r="O104" s="17">
        <f t="shared" si="15"/>
        <v>29874</v>
      </c>
      <c r="P104" s="17">
        <v>0</v>
      </c>
      <c r="Q104" s="18">
        <v>0.35</v>
      </c>
      <c r="R104" s="17">
        <v>0</v>
      </c>
      <c r="S104" s="19">
        <v>0</v>
      </c>
      <c r="T104" s="17">
        <v>0</v>
      </c>
      <c r="U104" s="18">
        <v>0.34</v>
      </c>
      <c r="V104" s="17">
        <v>0</v>
      </c>
      <c r="W104" s="18">
        <v>0</v>
      </c>
      <c r="X104" s="17">
        <f t="shared" si="18"/>
        <v>22980</v>
      </c>
      <c r="Y104" s="18">
        <v>0.25</v>
      </c>
      <c r="Z104" s="17">
        <f t="shared" si="19"/>
        <v>28725</v>
      </c>
      <c r="AA104" s="18">
        <f t="shared" si="16"/>
        <v>0.2</v>
      </c>
      <c r="AB104" s="18">
        <v>0.1</v>
      </c>
    </row>
    <row r="105" spans="1:28">
      <c r="A105">
        <v>2026</v>
      </c>
      <c r="B105" t="s">
        <v>145</v>
      </c>
      <c r="C105" t="s">
        <v>149</v>
      </c>
      <c r="D105" t="s">
        <v>150</v>
      </c>
      <c r="E105">
        <v>603424</v>
      </c>
      <c r="G105" t="s">
        <v>148</v>
      </c>
      <c r="H105" t="s">
        <v>148</v>
      </c>
      <c r="I105" t="s">
        <v>60</v>
      </c>
      <c r="J105" t="s">
        <v>29</v>
      </c>
      <c r="K105">
        <v>5</v>
      </c>
      <c r="L105">
        <v>129400</v>
      </c>
      <c r="M105" s="17">
        <f t="shared" si="17"/>
        <v>25880</v>
      </c>
      <c r="O105" s="17">
        <f t="shared" si="15"/>
        <v>33644</v>
      </c>
      <c r="P105" s="17">
        <v>0</v>
      </c>
      <c r="Q105" s="18">
        <v>0.33</v>
      </c>
      <c r="R105" s="17">
        <v>0</v>
      </c>
      <c r="S105" s="19">
        <v>0</v>
      </c>
      <c r="T105" s="17">
        <v>0</v>
      </c>
      <c r="U105" s="18">
        <v>0.25</v>
      </c>
      <c r="V105" s="17">
        <v>0</v>
      </c>
      <c r="W105" s="18">
        <v>0</v>
      </c>
      <c r="X105" s="17">
        <f t="shared" si="18"/>
        <v>25880</v>
      </c>
      <c r="Y105" s="18">
        <v>0.1</v>
      </c>
      <c r="Z105" s="17">
        <f t="shared" si="19"/>
        <v>28468</v>
      </c>
      <c r="AA105" s="18">
        <f t="shared" si="16"/>
        <v>9.0909090909090912E-2</v>
      </c>
      <c r="AB105" s="18">
        <v>0.1</v>
      </c>
    </row>
    <row r="106" spans="1:28">
      <c r="A106">
        <v>2026</v>
      </c>
      <c r="B106" t="s">
        <v>145</v>
      </c>
      <c r="C106" t="s">
        <v>149</v>
      </c>
      <c r="D106" t="s">
        <v>150</v>
      </c>
      <c r="E106">
        <v>583300</v>
      </c>
      <c r="G106" t="s">
        <v>148</v>
      </c>
      <c r="H106" t="s">
        <v>148</v>
      </c>
      <c r="I106" t="s">
        <v>72</v>
      </c>
      <c r="J106" t="s">
        <v>29</v>
      </c>
      <c r="K106">
        <v>5</v>
      </c>
      <c r="L106">
        <v>49000</v>
      </c>
      <c r="M106" s="17">
        <f t="shared" si="17"/>
        <v>9800</v>
      </c>
      <c r="O106" s="17">
        <f t="shared" si="15"/>
        <v>12740</v>
      </c>
      <c r="P106" s="17">
        <v>0</v>
      </c>
      <c r="Q106" s="18">
        <v>0.31</v>
      </c>
      <c r="R106" s="17">
        <v>0</v>
      </c>
      <c r="S106" s="19">
        <v>0</v>
      </c>
      <c r="T106" s="17">
        <v>0</v>
      </c>
      <c r="U106" s="18">
        <v>0.35</v>
      </c>
      <c r="V106" s="17">
        <v>0</v>
      </c>
      <c r="W106" s="18">
        <v>0</v>
      </c>
      <c r="X106" s="17">
        <f t="shared" si="18"/>
        <v>9800</v>
      </c>
      <c r="Y106" s="18">
        <v>0.35</v>
      </c>
      <c r="Z106" s="17">
        <f t="shared" si="19"/>
        <v>13230</v>
      </c>
      <c r="AA106" s="18">
        <f t="shared" si="16"/>
        <v>0.25925925925925924</v>
      </c>
      <c r="AB106" s="18">
        <v>0.1</v>
      </c>
    </row>
    <row r="107" spans="1:28">
      <c r="A107">
        <v>2026</v>
      </c>
      <c r="B107" t="s">
        <v>145</v>
      </c>
      <c r="C107" t="s">
        <v>149</v>
      </c>
      <c r="D107" t="s">
        <v>150</v>
      </c>
      <c r="E107">
        <v>583400</v>
      </c>
      <c r="G107" t="s">
        <v>148</v>
      </c>
      <c r="H107" t="s">
        <v>148</v>
      </c>
      <c r="I107" t="s">
        <v>75</v>
      </c>
      <c r="J107" t="s">
        <v>53</v>
      </c>
      <c r="K107">
        <v>2</v>
      </c>
      <c r="L107">
        <v>386300</v>
      </c>
      <c r="M107" s="17">
        <f t="shared" si="17"/>
        <v>193150</v>
      </c>
      <c r="O107" s="17">
        <f t="shared" si="15"/>
        <v>251095</v>
      </c>
      <c r="P107" s="17">
        <v>0</v>
      </c>
      <c r="Q107" s="18">
        <v>0.3</v>
      </c>
      <c r="R107" s="17">
        <v>0</v>
      </c>
      <c r="S107" s="19">
        <v>0</v>
      </c>
      <c r="T107" s="17">
        <v>0</v>
      </c>
      <c r="U107" s="18">
        <v>0.12</v>
      </c>
      <c r="V107" s="17">
        <v>0</v>
      </c>
      <c r="W107" s="18">
        <v>0</v>
      </c>
      <c r="X107" s="17">
        <f t="shared" si="18"/>
        <v>193150</v>
      </c>
      <c r="Y107" s="18">
        <v>0.33</v>
      </c>
      <c r="Z107" s="17">
        <f t="shared" si="19"/>
        <v>256889.5</v>
      </c>
      <c r="AA107" s="18">
        <f t="shared" si="16"/>
        <v>0.24812030075187969</v>
      </c>
      <c r="AB107" s="18">
        <v>0.1</v>
      </c>
    </row>
    <row r="108" spans="1:28">
      <c r="A108">
        <v>2026</v>
      </c>
      <c r="B108" t="s">
        <v>145</v>
      </c>
      <c r="C108" t="s">
        <v>149</v>
      </c>
      <c r="D108" t="s">
        <v>150</v>
      </c>
      <c r="E108">
        <v>583500</v>
      </c>
      <c r="G108" t="s">
        <v>148</v>
      </c>
      <c r="H108" t="s">
        <v>148</v>
      </c>
      <c r="I108" t="s">
        <v>78</v>
      </c>
      <c r="J108" t="s">
        <v>22</v>
      </c>
      <c r="K108">
        <v>10</v>
      </c>
      <c r="L108">
        <v>38000</v>
      </c>
      <c r="M108" s="17">
        <f t="shared" si="17"/>
        <v>3800</v>
      </c>
      <c r="O108" s="17">
        <f t="shared" si="15"/>
        <v>4940</v>
      </c>
      <c r="P108" s="17">
        <v>0</v>
      </c>
      <c r="Q108" s="18">
        <v>0.28000000000000003</v>
      </c>
      <c r="R108" s="17">
        <v>0</v>
      </c>
      <c r="S108" s="19">
        <v>0</v>
      </c>
      <c r="T108" s="17">
        <v>0</v>
      </c>
      <c r="U108" s="18">
        <v>0.25</v>
      </c>
      <c r="V108" s="17">
        <v>0</v>
      </c>
      <c r="W108" s="18">
        <v>0</v>
      </c>
      <c r="X108" s="17">
        <f t="shared" si="18"/>
        <v>3800</v>
      </c>
      <c r="Y108" s="18">
        <v>0.31</v>
      </c>
      <c r="Z108" s="17">
        <f t="shared" si="19"/>
        <v>4978</v>
      </c>
      <c r="AA108" s="18">
        <f t="shared" si="16"/>
        <v>0.23664122137404581</v>
      </c>
      <c r="AB108" s="18">
        <v>0.1</v>
      </c>
    </row>
    <row r="109" spans="1:28">
      <c r="A109">
        <v>2026</v>
      </c>
      <c r="B109" t="s">
        <v>145</v>
      </c>
      <c r="C109" t="s">
        <v>149</v>
      </c>
      <c r="D109" t="s">
        <v>150</v>
      </c>
      <c r="E109">
        <v>595200</v>
      </c>
      <c r="G109" t="s">
        <v>148</v>
      </c>
      <c r="H109" t="s">
        <v>148</v>
      </c>
      <c r="I109" t="s">
        <v>78</v>
      </c>
      <c r="J109" t="s">
        <v>22</v>
      </c>
      <c r="K109">
        <v>10</v>
      </c>
      <c r="L109">
        <v>39800</v>
      </c>
      <c r="M109" s="17">
        <f t="shared" si="17"/>
        <v>3980</v>
      </c>
      <c r="O109" s="17">
        <f t="shared" si="15"/>
        <v>5174</v>
      </c>
      <c r="P109" s="17">
        <v>0</v>
      </c>
      <c r="Q109" s="18">
        <v>0.27</v>
      </c>
      <c r="R109" s="17">
        <v>0</v>
      </c>
      <c r="S109" s="19">
        <v>0</v>
      </c>
      <c r="T109" s="17">
        <v>0</v>
      </c>
      <c r="U109" s="18">
        <v>0.1</v>
      </c>
      <c r="V109" s="17">
        <v>0</v>
      </c>
      <c r="W109" s="18">
        <v>0</v>
      </c>
      <c r="X109" s="17">
        <f t="shared" si="18"/>
        <v>3980</v>
      </c>
      <c r="Y109" s="18">
        <v>0.3</v>
      </c>
      <c r="Z109" s="17">
        <f t="shared" si="19"/>
        <v>5174</v>
      </c>
      <c r="AA109" s="18">
        <f t="shared" si="16"/>
        <v>0.23076923076923078</v>
      </c>
      <c r="AB109" s="18">
        <v>0.1</v>
      </c>
    </row>
    <row r="110" spans="1:28">
      <c r="A110">
        <v>2026</v>
      </c>
      <c r="B110" t="s">
        <v>145</v>
      </c>
      <c r="C110" t="s">
        <v>149</v>
      </c>
      <c r="D110" t="s">
        <v>150</v>
      </c>
      <c r="E110">
        <v>595300</v>
      </c>
      <c r="G110" t="s">
        <v>148</v>
      </c>
      <c r="H110" t="s">
        <v>148</v>
      </c>
      <c r="I110" t="s">
        <v>78</v>
      </c>
      <c r="J110" t="s">
        <v>22</v>
      </c>
      <c r="K110">
        <v>10</v>
      </c>
      <c r="L110">
        <v>42200</v>
      </c>
      <c r="M110" s="17">
        <f t="shared" si="17"/>
        <v>4220</v>
      </c>
      <c r="O110" s="17">
        <f t="shared" si="15"/>
        <v>5486</v>
      </c>
      <c r="P110" s="17">
        <v>0</v>
      </c>
      <c r="Q110" s="18">
        <v>0.17</v>
      </c>
      <c r="R110" s="17">
        <v>0</v>
      </c>
      <c r="S110" s="19">
        <v>0</v>
      </c>
      <c r="T110" s="17">
        <v>0</v>
      </c>
      <c r="U110" s="18">
        <v>0.35</v>
      </c>
      <c r="V110" s="17">
        <v>0</v>
      </c>
      <c r="W110" s="18">
        <v>0</v>
      </c>
      <c r="X110" s="17">
        <f t="shared" si="18"/>
        <v>4220</v>
      </c>
      <c r="Y110" s="18">
        <v>0.28000000000000003</v>
      </c>
      <c r="Z110" s="17">
        <f t="shared" si="19"/>
        <v>5401.6</v>
      </c>
      <c r="AA110" s="18">
        <f t="shared" si="16"/>
        <v>0.21875000000000006</v>
      </c>
      <c r="AB110" s="18">
        <v>0.1</v>
      </c>
    </row>
    <row r="111" spans="1:28">
      <c r="A111">
        <v>2026</v>
      </c>
      <c r="B111" t="s">
        <v>145</v>
      </c>
      <c r="C111" t="s">
        <v>149</v>
      </c>
      <c r="D111" t="s">
        <v>150</v>
      </c>
      <c r="E111">
        <v>595400</v>
      </c>
      <c r="G111" t="s">
        <v>148</v>
      </c>
      <c r="H111" t="s">
        <v>148</v>
      </c>
      <c r="I111" t="s">
        <v>78</v>
      </c>
      <c r="J111" t="s">
        <v>22</v>
      </c>
      <c r="K111">
        <v>10</v>
      </c>
      <c r="L111">
        <v>51600</v>
      </c>
      <c r="M111" s="17">
        <f t="shared" si="17"/>
        <v>5160</v>
      </c>
      <c r="O111" s="17">
        <f t="shared" si="15"/>
        <v>6708</v>
      </c>
      <c r="P111" s="17">
        <v>0</v>
      </c>
      <c r="Q111" s="18">
        <v>0.22</v>
      </c>
      <c r="R111" s="17">
        <v>0</v>
      </c>
      <c r="S111" s="19">
        <v>0</v>
      </c>
      <c r="T111" s="17">
        <v>0</v>
      </c>
      <c r="U111" s="18">
        <v>0.33</v>
      </c>
      <c r="V111" s="17">
        <v>0</v>
      </c>
      <c r="W111" s="18">
        <v>0</v>
      </c>
      <c r="X111" s="17">
        <f t="shared" si="18"/>
        <v>5160</v>
      </c>
      <c r="Y111" s="18">
        <v>0.27</v>
      </c>
      <c r="Z111" s="17">
        <f t="shared" si="19"/>
        <v>6553.2</v>
      </c>
      <c r="AA111" s="18">
        <f t="shared" si="16"/>
        <v>0.21259842519685038</v>
      </c>
      <c r="AB111" s="18">
        <v>0.1</v>
      </c>
    </row>
    <row r="112" spans="1:28">
      <c r="A112">
        <v>2026</v>
      </c>
      <c r="B112" t="s">
        <v>145</v>
      </c>
      <c r="C112" t="s">
        <v>149</v>
      </c>
      <c r="D112" t="s">
        <v>150</v>
      </c>
      <c r="E112">
        <v>595600</v>
      </c>
      <c r="G112" t="s">
        <v>148</v>
      </c>
      <c r="H112" t="s">
        <v>148</v>
      </c>
      <c r="I112" t="s">
        <v>95</v>
      </c>
      <c r="J112" t="s">
        <v>12</v>
      </c>
      <c r="K112">
        <v>1</v>
      </c>
      <c r="L112">
        <v>43500</v>
      </c>
      <c r="M112" s="17">
        <f t="shared" si="17"/>
        <v>43500</v>
      </c>
      <c r="O112" s="17">
        <f t="shared" si="15"/>
        <v>56550</v>
      </c>
      <c r="P112" s="17">
        <v>0</v>
      </c>
      <c r="Q112" s="18">
        <v>0.12</v>
      </c>
      <c r="R112" s="17">
        <v>0</v>
      </c>
      <c r="S112" s="19">
        <v>0</v>
      </c>
      <c r="T112" s="17">
        <v>0</v>
      </c>
      <c r="U112" s="18">
        <v>0.31</v>
      </c>
      <c r="V112" s="17">
        <v>0</v>
      </c>
      <c r="W112" s="18">
        <v>0</v>
      </c>
      <c r="X112" s="17">
        <f t="shared" si="18"/>
        <v>43500</v>
      </c>
      <c r="Y112" s="18">
        <v>0.17</v>
      </c>
      <c r="Z112" s="17">
        <f t="shared" si="19"/>
        <v>50895</v>
      </c>
      <c r="AA112" s="18">
        <f t="shared" si="16"/>
        <v>0.14529914529914531</v>
      </c>
      <c r="AB112" s="18">
        <v>0.1</v>
      </c>
    </row>
    <row r="113" spans="1:28">
      <c r="A113">
        <v>2026</v>
      </c>
      <c r="B113" t="s">
        <v>145</v>
      </c>
      <c r="C113" t="s">
        <v>149</v>
      </c>
      <c r="D113" t="s">
        <v>150</v>
      </c>
      <c r="E113">
        <v>581011</v>
      </c>
      <c r="G113" t="s">
        <v>148</v>
      </c>
      <c r="H113" t="s">
        <v>148</v>
      </c>
      <c r="I113" t="s">
        <v>100</v>
      </c>
      <c r="J113" t="s">
        <v>12</v>
      </c>
      <c r="K113">
        <v>1</v>
      </c>
      <c r="L113">
        <v>89500</v>
      </c>
      <c r="M113" s="17">
        <f t="shared" si="17"/>
        <v>89500</v>
      </c>
      <c r="O113" s="17">
        <f t="shared" si="15"/>
        <v>116350</v>
      </c>
      <c r="P113" s="17">
        <v>0</v>
      </c>
      <c r="Q113" s="18">
        <v>0.15</v>
      </c>
      <c r="R113" s="17">
        <v>0</v>
      </c>
      <c r="S113" s="19">
        <v>0</v>
      </c>
      <c r="T113" s="17">
        <v>0</v>
      </c>
      <c r="U113" s="18">
        <v>0.3</v>
      </c>
      <c r="V113" s="17">
        <v>0</v>
      </c>
      <c r="W113" s="18">
        <v>0</v>
      </c>
      <c r="X113" s="17">
        <f t="shared" si="18"/>
        <v>89500</v>
      </c>
      <c r="Y113" s="18">
        <v>0.22</v>
      </c>
      <c r="Z113" s="17">
        <f t="shared" si="19"/>
        <v>109190</v>
      </c>
      <c r="AA113" s="18">
        <f t="shared" si="16"/>
        <v>0.18032786885245902</v>
      </c>
      <c r="AB113" s="18">
        <v>0.1</v>
      </c>
    </row>
    <row r="114" spans="1:28">
      <c r="A114">
        <v>2026</v>
      </c>
      <c r="B114" t="s">
        <v>145</v>
      </c>
      <c r="C114" t="s">
        <v>149</v>
      </c>
      <c r="D114" t="s">
        <v>150</v>
      </c>
      <c r="E114">
        <v>581100</v>
      </c>
      <c r="G114" t="s">
        <v>148</v>
      </c>
      <c r="H114" t="s">
        <v>148</v>
      </c>
      <c r="I114" t="s">
        <v>100</v>
      </c>
      <c r="J114" t="s">
        <v>12</v>
      </c>
      <c r="K114">
        <v>1</v>
      </c>
      <c r="L114">
        <v>67900</v>
      </c>
      <c r="M114" s="17">
        <f t="shared" si="17"/>
        <v>67900</v>
      </c>
      <c r="O114" s="17">
        <f t="shared" si="15"/>
        <v>88270</v>
      </c>
      <c r="P114" s="17">
        <v>0</v>
      </c>
      <c r="Q114" s="18">
        <v>0.18</v>
      </c>
      <c r="R114" s="17">
        <v>0</v>
      </c>
      <c r="S114" s="19">
        <v>0</v>
      </c>
      <c r="T114" s="17">
        <v>0</v>
      </c>
      <c r="U114" s="18">
        <v>0.28000000000000003</v>
      </c>
      <c r="V114" s="17">
        <v>0</v>
      </c>
      <c r="W114" s="18">
        <v>0</v>
      </c>
      <c r="X114" s="17">
        <f t="shared" si="18"/>
        <v>67900</v>
      </c>
      <c r="Y114" s="18">
        <v>0.12</v>
      </c>
      <c r="Z114" s="17">
        <f t="shared" si="19"/>
        <v>76048</v>
      </c>
      <c r="AA114" s="18">
        <f t="shared" si="16"/>
        <v>0.10714285714285714</v>
      </c>
      <c r="AB114" s="18">
        <v>0.1</v>
      </c>
    </row>
    <row r="115" spans="1:28">
      <c r="A115">
        <v>2026</v>
      </c>
      <c r="B115" t="s">
        <v>145</v>
      </c>
      <c r="C115" t="s">
        <v>149</v>
      </c>
      <c r="D115" t="s">
        <v>150</v>
      </c>
      <c r="E115">
        <v>581200</v>
      </c>
      <c r="G115" t="s">
        <v>148</v>
      </c>
      <c r="H115" t="s">
        <v>148</v>
      </c>
      <c r="I115" t="s">
        <v>100</v>
      </c>
      <c r="J115" t="s">
        <v>12</v>
      </c>
      <c r="K115">
        <v>1</v>
      </c>
      <c r="L115">
        <v>50300</v>
      </c>
      <c r="M115" s="17">
        <f t="shared" si="17"/>
        <v>50300</v>
      </c>
      <c r="O115" s="17">
        <f t="shared" si="15"/>
        <v>65390</v>
      </c>
      <c r="P115" s="17">
        <v>0</v>
      </c>
      <c r="Q115" s="18">
        <v>0.28999999999999998</v>
      </c>
      <c r="R115" s="17">
        <v>0</v>
      </c>
      <c r="S115" s="19">
        <v>0</v>
      </c>
      <c r="T115" s="17">
        <v>0</v>
      </c>
      <c r="U115" s="18">
        <v>0.27</v>
      </c>
      <c r="V115" s="17">
        <v>0</v>
      </c>
      <c r="W115" s="18">
        <v>0</v>
      </c>
      <c r="X115" s="17">
        <f t="shared" si="18"/>
        <v>50300</v>
      </c>
      <c r="Y115" s="18">
        <v>0.15</v>
      </c>
      <c r="Z115" s="17">
        <f t="shared" si="19"/>
        <v>57845</v>
      </c>
      <c r="AA115" s="18">
        <f t="shared" si="16"/>
        <v>0.13043478260869565</v>
      </c>
      <c r="AB115" s="18">
        <v>0.1</v>
      </c>
    </row>
    <row r="116" spans="1:28">
      <c r="A116">
        <v>2026</v>
      </c>
      <c r="B116" t="s">
        <v>145</v>
      </c>
      <c r="C116" t="s">
        <v>149</v>
      </c>
      <c r="D116" t="s">
        <v>150</v>
      </c>
      <c r="E116">
        <v>581300</v>
      </c>
      <c r="G116" t="s">
        <v>148</v>
      </c>
      <c r="H116" t="s">
        <v>148</v>
      </c>
      <c r="I116" t="s">
        <v>100</v>
      </c>
      <c r="J116" t="s">
        <v>12</v>
      </c>
      <c r="K116">
        <v>1</v>
      </c>
      <c r="L116">
        <v>53300</v>
      </c>
      <c r="M116" s="17">
        <f t="shared" si="17"/>
        <v>53300</v>
      </c>
      <c r="O116" s="17">
        <f t="shared" si="15"/>
        <v>69290</v>
      </c>
      <c r="P116" s="17">
        <v>0</v>
      </c>
      <c r="Q116" s="18">
        <v>0.34</v>
      </c>
      <c r="R116" s="17">
        <v>0</v>
      </c>
      <c r="S116" s="19">
        <v>0</v>
      </c>
      <c r="T116" s="17">
        <v>0</v>
      </c>
      <c r="U116" s="18">
        <v>0.17</v>
      </c>
      <c r="V116" s="17">
        <v>0</v>
      </c>
      <c r="W116" s="18">
        <v>0</v>
      </c>
      <c r="X116" s="17">
        <f t="shared" si="18"/>
        <v>53300</v>
      </c>
      <c r="Y116" s="18">
        <v>0.18</v>
      </c>
      <c r="Z116" s="17">
        <f t="shared" si="19"/>
        <v>62894</v>
      </c>
      <c r="AA116" s="18">
        <f t="shared" si="16"/>
        <v>0.15254237288135594</v>
      </c>
      <c r="AB116" s="18">
        <v>0.1</v>
      </c>
    </row>
    <row r="117" spans="1:28" ht="15">
      <c r="A117" s="11" t="s">
        <v>117</v>
      </c>
      <c r="B117" s="11" t="s">
        <v>118</v>
      </c>
      <c r="C117" s="11" t="s">
        <v>119</v>
      </c>
      <c r="D117" s="11" t="s">
        <v>120</v>
      </c>
      <c r="E117" s="11" t="s">
        <v>121</v>
      </c>
      <c r="F117" s="11" t="s">
        <v>122</v>
      </c>
      <c r="G117" s="11" t="s">
        <v>123</v>
      </c>
      <c r="H117" s="11" t="s">
        <v>124</v>
      </c>
      <c r="I117" s="11" t="s">
        <v>125</v>
      </c>
      <c r="J117" s="11" t="s">
        <v>126</v>
      </c>
      <c r="K117" s="11" t="s">
        <v>127</v>
      </c>
      <c r="L117" s="11" t="s">
        <v>128</v>
      </c>
      <c r="M117" s="12" t="s">
        <v>129</v>
      </c>
      <c r="N117" s="11" t="s">
        <v>130</v>
      </c>
      <c r="O117" s="11" t="s">
        <v>131</v>
      </c>
      <c r="P117" s="11" t="s">
        <v>132</v>
      </c>
      <c r="Q117" s="13" t="s">
        <v>133</v>
      </c>
      <c r="R117" s="14" t="s">
        <v>134</v>
      </c>
      <c r="S117" s="15" t="s">
        <v>135</v>
      </c>
      <c r="T117" s="16" t="s">
        <v>136</v>
      </c>
      <c r="U117" s="16" t="s">
        <v>137</v>
      </c>
      <c r="V117" s="16" t="s">
        <v>138</v>
      </c>
      <c r="W117" s="13" t="s">
        <v>139</v>
      </c>
      <c r="X117" s="16" t="s">
        <v>140</v>
      </c>
      <c r="Y117" s="16" t="s">
        <v>141</v>
      </c>
      <c r="Z117" s="16" t="s">
        <v>142</v>
      </c>
      <c r="AA117" s="13" t="s">
        <v>143</v>
      </c>
      <c r="AB117" s="14" t="s">
        <v>144</v>
      </c>
    </row>
    <row r="118" spans="1:28">
      <c r="A118">
        <v>2026</v>
      </c>
      <c r="B118" t="s">
        <v>145</v>
      </c>
      <c r="C118" t="s">
        <v>149</v>
      </c>
      <c r="D118" t="s">
        <v>150</v>
      </c>
      <c r="E118">
        <v>360001</v>
      </c>
      <c r="G118" t="s">
        <v>148</v>
      </c>
      <c r="H118" t="s">
        <v>148</v>
      </c>
      <c r="I118" t="s">
        <v>9</v>
      </c>
      <c r="J118" t="s">
        <v>12</v>
      </c>
      <c r="K118">
        <v>1</v>
      </c>
      <c r="L118">
        <v>893800</v>
      </c>
      <c r="M118" s="17">
        <f>L118/K118</f>
        <v>893800</v>
      </c>
      <c r="O118" s="17">
        <f t="shared" ref="O118:O145" si="20">M118+(M118*30%)</f>
        <v>1161940</v>
      </c>
      <c r="P118" s="17">
        <v>0</v>
      </c>
      <c r="Q118" s="18">
        <v>0.3</v>
      </c>
      <c r="R118" s="17">
        <v>0</v>
      </c>
      <c r="S118" s="19">
        <v>0</v>
      </c>
      <c r="T118" s="17">
        <v>0</v>
      </c>
      <c r="U118" s="18">
        <v>0.12</v>
      </c>
      <c r="V118" s="17">
        <v>0</v>
      </c>
      <c r="W118" s="18">
        <v>0</v>
      </c>
      <c r="X118" s="17">
        <f>M118</f>
        <v>893800</v>
      </c>
      <c r="Y118" s="18">
        <v>0.33</v>
      </c>
      <c r="Z118" s="17">
        <f>X118+(X118*Y118)</f>
        <v>1188754</v>
      </c>
      <c r="AA118" s="18">
        <f t="shared" ref="AA118:AA145" si="21">IFERROR(((Z118-X118)/Z118),0)</f>
        <v>0.24812030075187969</v>
      </c>
      <c r="AB118" s="18">
        <v>0.1</v>
      </c>
    </row>
    <row r="119" spans="1:28">
      <c r="A119">
        <v>2026</v>
      </c>
      <c r="B119" t="s">
        <v>145</v>
      </c>
      <c r="C119" t="s">
        <v>149</v>
      </c>
      <c r="D119" t="s">
        <v>150</v>
      </c>
      <c r="E119">
        <v>360102</v>
      </c>
      <c r="G119" t="s">
        <v>148</v>
      </c>
      <c r="H119" t="s">
        <v>148</v>
      </c>
      <c r="I119" t="s">
        <v>19</v>
      </c>
      <c r="J119" t="s">
        <v>22</v>
      </c>
      <c r="K119">
        <v>10</v>
      </c>
      <c r="L119">
        <v>13500</v>
      </c>
      <c r="M119" s="17">
        <f t="shared" ref="M119:M145" si="22">L119/K119</f>
        <v>1350</v>
      </c>
      <c r="O119" s="17">
        <f t="shared" si="20"/>
        <v>1755</v>
      </c>
      <c r="P119" s="17">
        <v>0</v>
      </c>
      <c r="Q119" s="18">
        <v>0.28000000000000003</v>
      </c>
      <c r="R119" s="17">
        <v>0</v>
      </c>
      <c r="S119" s="19">
        <v>0</v>
      </c>
      <c r="T119" s="17">
        <v>0</v>
      </c>
      <c r="U119" s="18">
        <v>0.25</v>
      </c>
      <c r="V119" s="17">
        <v>0</v>
      </c>
      <c r="W119" s="18">
        <v>0</v>
      </c>
      <c r="X119" s="17">
        <f t="shared" ref="X119:X145" si="23">M119</f>
        <v>1350</v>
      </c>
      <c r="Y119" s="18">
        <v>0.31</v>
      </c>
      <c r="Z119" s="17">
        <f t="shared" ref="Z119:Z145" si="24">X119+(X119*Y119)</f>
        <v>1768.5</v>
      </c>
      <c r="AA119" s="18">
        <f t="shared" si="21"/>
        <v>0.23664122137404581</v>
      </c>
      <c r="AB119" s="18">
        <v>0.1</v>
      </c>
    </row>
    <row r="120" spans="1:28">
      <c r="A120">
        <v>2026</v>
      </c>
      <c r="B120" t="s">
        <v>145</v>
      </c>
      <c r="C120" t="s">
        <v>149</v>
      </c>
      <c r="D120" t="s">
        <v>150</v>
      </c>
      <c r="E120">
        <v>360104</v>
      </c>
      <c r="G120" t="s">
        <v>148</v>
      </c>
      <c r="H120" t="s">
        <v>148</v>
      </c>
      <c r="I120" t="s">
        <v>19</v>
      </c>
      <c r="J120" t="s">
        <v>22</v>
      </c>
      <c r="K120">
        <v>10</v>
      </c>
      <c r="L120">
        <v>28800</v>
      </c>
      <c r="M120" s="17">
        <f t="shared" si="22"/>
        <v>2880</v>
      </c>
      <c r="O120" s="17">
        <f t="shared" si="20"/>
        <v>3744</v>
      </c>
      <c r="P120" s="17">
        <v>0</v>
      </c>
      <c r="Q120" s="18">
        <v>0.27</v>
      </c>
      <c r="R120" s="17">
        <v>0</v>
      </c>
      <c r="S120" s="19">
        <v>0</v>
      </c>
      <c r="T120" s="17">
        <v>0</v>
      </c>
      <c r="U120" s="18">
        <v>0.1</v>
      </c>
      <c r="V120" s="17">
        <v>0</v>
      </c>
      <c r="W120" s="18">
        <v>0</v>
      </c>
      <c r="X120" s="17">
        <f t="shared" si="23"/>
        <v>2880</v>
      </c>
      <c r="Y120" s="18">
        <v>0.3</v>
      </c>
      <c r="Z120" s="17">
        <f t="shared" si="24"/>
        <v>3744</v>
      </c>
      <c r="AA120" s="18">
        <f t="shared" si="21"/>
        <v>0.23076923076923078</v>
      </c>
      <c r="AB120" s="18">
        <v>0.1</v>
      </c>
    </row>
    <row r="121" spans="1:28">
      <c r="A121">
        <v>2026</v>
      </c>
      <c r="B121" t="s">
        <v>145</v>
      </c>
      <c r="C121" t="s">
        <v>149</v>
      </c>
      <c r="D121" t="s">
        <v>150</v>
      </c>
      <c r="E121">
        <v>360100</v>
      </c>
      <c r="G121" t="s">
        <v>148</v>
      </c>
      <c r="H121" t="s">
        <v>148</v>
      </c>
      <c r="I121" t="s">
        <v>19</v>
      </c>
      <c r="J121" t="s">
        <v>22</v>
      </c>
      <c r="K121">
        <v>10</v>
      </c>
      <c r="L121">
        <v>63400</v>
      </c>
      <c r="M121" s="17">
        <f t="shared" si="22"/>
        <v>6340</v>
      </c>
      <c r="O121" s="17">
        <f t="shared" si="20"/>
        <v>8242</v>
      </c>
      <c r="P121" s="17">
        <v>0</v>
      </c>
      <c r="Q121" s="18">
        <v>0.17</v>
      </c>
      <c r="R121" s="17">
        <v>0</v>
      </c>
      <c r="S121" s="19">
        <v>0</v>
      </c>
      <c r="T121" s="17">
        <v>0</v>
      </c>
      <c r="U121" s="18">
        <v>0.35</v>
      </c>
      <c r="V121" s="17">
        <v>0</v>
      </c>
      <c r="W121" s="18">
        <v>0</v>
      </c>
      <c r="X121" s="17">
        <f t="shared" si="23"/>
        <v>6340</v>
      </c>
      <c r="Y121" s="18">
        <v>0.28000000000000003</v>
      </c>
      <c r="Z121" s="17">
        <f t="shared" si="24"/>
        <v>8115.2000000000007</v>
      </c>
      <c r="AA121" s="18">
        <f t="shared" si="21"/>
        <v>0.21875000000000008</v>
      </c>
      <c r="AB121" s="18">
        <v>0.1</v>
      </c>
    </row>
    <row r="122" spans="1:28">
      <c r="A122">
        <v>2026</v>
      </c>
      <c r="B122" t="s">
        <v>145</v>
      </c>
      <c r="C122" t="s">
        <v>149</v>
      </c>
      <c r="D122" t="s">
        <v>150</v>
      </c>
      <c r="E122">
        <v>360150</v>
      </c>
      <c r="G122" t="s">
        <v>148</v>
      </c>
      <c r="H122" t="s">
        <v>148</v>
      </c>
      <c r="I122" t="s">
        <v>30</v>
      </c>
      <c r="J122" t="s">
        <v>22</v>
      </c>
      <c r="K122">
        <v>10</v>
      </c>
      <c r="L122">
        <v>24200</v>
      </c>
      <c r="M122" s="17">
        <f t="shared" si="22"/>
        <v>2420</v>
      </c>
      <c r="O122" s="17">
        <f t="shared" si="20"/>
        <v>3146</v>
      </c>
      <c r="P122" s="17">
        <v>0</v>
      </c>
      <c r="Q122" s="18">
        <v>0.22</v>
      </c>
      <c r="R122" s="17">
        <v>0</v>
      </c>
      <c r="S122" s="19">
        <v>0</v>
      </c>
      <c r="T122" s="17">
        <v>0</v>
      </c>
      <c r="U122" s="18">
        <v>0.33</v>
      </c>
      <c r="V122" s="17">
        <v>0</v>
      </c>
      <c r="W122" s="18">
        <v>0</v>
      </c>
      <c r="X122" s="17">
        <f t="shared" si="23"/>
        <v>2420</v>
      </c>
      <c r="Y122" s="18">
        <v>0.27</v>
      </c>
      <c r="Z122" s="17">
        <f t="shared" si="24"/>
        <v>3073.4</v>
      </c>
      <c r="AA122" s="18">
        <f t="shared" si="21"/>
        <v>0.2125984251968504</v>
      </c>
      <c r="AB122" s="18">
        <v>0.1</v>
      </c>
    </row>
    <row r="123" spans="1:28">
      <c r="A123">
        <v>2026</v>
      </c>
      <c r="B123" t="s">
        <v>145</v>
      </c>
      <c r="C123" t="s">
        <v>149</v>
      </c>
      <c r="D123" t="s">
        <v>150</v>
      </c>
      <c r="E123">
        <v>360101</v>
      </c>
      <c r="G123" t="s">
        <v>148</v>
      </c>
      <c r="H123" t="s">
        <v>148</v>
      </c>
      <c r="I123" t="s">
        <v>30</v>
      </c>
      <c r="J123" t="s">
        <v>22</v>
      </c>
      <c r="K123">
        <v>10</v>
      </c>
      <c r="L123">
        <v>36700</v>
      </c>
      <c r="M123" s="17">
        <f t="shared" si="22"/>
        <v>3670</v>
      </c>
      <c r="O123" s="17">
        <f t="shared" si="20"/>
        <v>4771</v>
      </c>
      <c r="P123" s="17">
        <v>0</v>
      </c>
      <c r="Q123" s="18">
        <v>0.12</v>
      </c>
      <c r="R123" s="17">
        <v>0</v>
      </c>
      <c r="S123" s="19">
        <v>0</v>
      </c>
      <c r="T123" s="17">
        <v>0</v>
      </c>
      <c r="U123" s="18">
        <v>0.31</v>
      </c>
      <c r="V123" s="17">
        <v>0</v>
      </c>
      <c r="W123" s="18">
        <v>0</v>
      </c>
      <c r="X123" s="17">
        <f t="shared" si="23"/>
        <v>3670</v>
      </c>
      <c r="Y123" s="18">
        <v>0.17</v>
      </c>
      <c r="Z123" s="17">
        <f t="shared" si="24"/>
        <v>4293.8999999999996</v>
      </c>
      <c r="AA123" s="18">
        <f t="shared" si="21"/>
        <v>0.14529914529914523</v>
      </c>
      <c r="AB123" s="18">
        <v>0.1</v>
      </c>
    </row>
    <row r="124" spans="1:28">
      <c r="A124">
        <v>2026</v>
      </c>
      <c r="B124" t="s">
        <v>145</v>
      </c>
      <c r="C124" t="s">
        <v>149</v>
      </c>
      <c r="D124" t="s">
        <v>150</v>
      </c>
      <c r="E124">
        <v>360103</v>
      </c>
      <c r="G124" t="s">
        <v>148</v>
      </c>
      <c r="H124" t="s">
        <v>148</v>
      </c>
      <c r="I124" t="s">
        <v>30</v>
      </c>
      <c r="J124" t="s">
        <v>22</v>
      </c>
      <c r="K124">
        <v>10</v>
      </c>
      <c r="L124">
        <v>91800</v>
      </c>
      <c r="M124" s="17">
        <f t="shared" si="22"/>
        <v>9180</v>
      </c>
      <c r="O124" s="17">
        <f t="shared" si="20"/>
        <v>11934</v>
      </c>
      <c r="P124" s="17">
        <v>0</v>
      </c>
      <c r="Q124" s="18">
        <v>0.15</v>
      </c>
      <c r="R124" s="17">
        <v>0</v>
      </c>
      <c r="S124" s="19">
        <v>0</v>
      </c>
      <c r="T124" s="17">
        <v>0</v>
      </c>
      <c r="U124" s="18">
        <v>0.3</v>
      </c>
      <c r="V124" s="17">
        <v>0</v>
      </c>
      <c r="W124" s="18">
        <v>0</v>
      </c>
      <c r="X124" s="17">
        <f t="shared" si="23"/>
        <v>9180</v>
      </c>
      <c r="Y124" s="18">
        <v>0.22</v>
      </c>
      <c r="Z124" s="17">
        <f t="shared" si="24"/>
        <v>11199.6</v>
      </c>
      <c r="AA124" s="18">
        <f t="shared" si="21"/>
        <v>0.18032786885245905</v>
      </c>
      <c r="AB124" s="18">
        <v>0.1</v>
      </c>
    </row>
    <row r="125" spans="1:28">
      <c r="A125">
        <v>2026</v>
      </c>
      <c r="B125" t="s">
        <v>145</v>
      </c>
      <c r="C125" t="s">
        <v>149</v>
      </c>
      <c r="D125" t="s">
        <v>150</v>
      </c>
      <c r="E125">
        <v>709900</v>
      </c>
      <c r="G125" t="s">
        <v>148</v>
      </c>
      <c r="H125" t="s">
        <v>148</v>
      </c>
      <c r="I125" t="s">
        <v>44</v>
      </c>
      <c r="J125" t="s">
        <v>29</v>
      </c>
      <c r="K125">
        <v>5</v>
      </c>
      <c r="L125">
        <v>17300</v>
      </c>
      <c r="M125" s="17">
        <f t="shared" si="22"/>
        <v>3460</v>
      </c>
      <c r="O125" s="17">
        <f t="shared" si="20"/>
        <v>4498</v>
      </c>
      <c r="P125" s="17">
        <v>0</v>
      </c>
      <c r="Q125" s="18">
        <v>0.18</v>
      </c>
      <c r="R125" s="17">
        <v>0</v>
      </c>
      <c r="S125" s="19">
        <v>0</v>
      </c>
      <c r="T125" s="17">
        <v>0</v>
      </c>
      <c r="U125" s="18">
        <v>0.28000000000000003</v>
      </c>
      <c r="V125" s="17">
        <v>0</v>
      </c>
      <c r="W125" s="18">
        <v>0</v>
      </c>
      <c r="X125" s="17">
        <f t="shared" si="23"/>
        <v>3460</v>
      </c>
      <c r="Y125" s="18">
        <v>0.12</v>
      </c>
      <c r="Z125" s="17">
        <f t="shared" si="24"/>
        <v>3875.2</v>
      </c>
      <c r="AA125" s="18">
        <f t="shared" si="21"/>
        <v>0.1071428571428571</v>
      </c>
      <c r="AB125" s="18">
        <v>0.1</v>
      </c>
    </row>
    <row r="126" spans="1:28">
      <c r="A126">
        <v>2026</v>
      </c>
      <c r="B126" t="s">
        <v>145</v>
      </c>
      <c r="C126" t="s">
        <v>149</v>
      </c>
      <c r="D126" t="s">
        <v>150</v>
      </c>
      <c r="E126">
        <v>709902</v>
      </c>
      <c r="G126" t="s">
        <v>148</v>
      </c>
      <c r="H126" t="s">
        <v>148</v>
      </c>
      <c r="I126" t="s">
        <v>44</v>
      </c>
      <c r="J126" t="s">
        <v>29</v>
      </c>
      <c r="K126">
        <v>5</v>
      </c>
      <c r="L126">
        <v>29000</v>
      </c>
      <c r="M126" s="17">
        <f t="shared" si="22"/>
        <v>5800</v>
      </c>
      <c r="O126" s="17">
        <f t="shared" si="20"/>
        <v>7540</v>
      </c>
      <c r="P126" s="17">
        <v>0</v>
      </c>
      <c r="Q126" s="18">
        <v>0.28999999999999998</v>
      </c>
      <c r="R126" s="17">
        <v>0</v>
      </c>
      <c r="S126" s="19">
        <v>0</v>
      </c>
      <c r="T126" s="17">
        <v>0</v>
      </c>
      <c r="U126" s="18">
        <v>0.27</v>
      </c>
      <c r="V126" s="17">
        <v>0</v>
      </c>
      <c r="W126" s="18">
        <v>0</v>
      </c>
      <c r="X126" s="17">
        <f t="shared" si="23"/>
        <v>5800</v>
      </c>
      <c r="Y126" s="18">
        <v>0.15</v>
      </c>
      <c r="Z126" s="17">
        <f t="shared" si="24"/>
        <v>6670</v>
      </c>
      <c r="AA126" s="18">
        <f t="shared" si="21"/>
        <v>0.13043478260869565</v>
      </c>
      <c r="AB126" s="18">
        <v>0.1</v>
      </c>
    </row>
    <row r="127" spans="1:28">
      <c r="A127">
        <v>2026</v>
      </c>
      <c r="B127" t="s">
        <v>145</v>
      </c>
      <c r="C127" t="s">
        <v>149</v>
      </c>
      <c r="D127" t="s">
        <v>150</v>
      </c>
      <c r="E127">
        <v>709903</v>
      </c>
      <c r="G127" t="s">
        <v>148</v>
      </c>
      <c r="H127" t="s">
        <v>148</v>
      </c>
      <c r="I127" t="s">
        <v>44</v>
      </c>
      <c r="J127" t="s">
        <v>29</v>
      </c>
      <c r="K127">
        <v>5</v>
      </c>
      <c r="L127">
        <v>36700</v>
      </c>
      <c r="M127" s="17">
        <f t="shared" si="22"/>
        <v>7340</v>
      </c>
      <c r="O127" s="17">
        <f t="shared" si="20"/>
        <v>9542</v>
      </c>
      <c r="P127" s="17">
        <v>0</v>
      </c>
      <c r="Q127" s="18">
        <v>0.34</v>
      </c>
      <c r="R127" s="17">
        <v>0</v>
      </c>
      <c r="S127" s="19">
        <v>0</v>
      </c>
      <c r="T127" s="17">
        <v>0</v>
      </c>
      <c r="U127" s="18">
        <v>0.17</v>
      </c>
      <c r="V127" s="17">
        <v>0</v>
      </c>
      <c r="W127" s="18">
        <v>0</v>
      </c>
      <c r="X127" s="17">
        <f t="shared" si="23"/>
        <v>7340</v>
      </c>
      <c r="Y127" s="18">
        <v>0.18</v>
      </c>
      <c r="Z127" s="17">
        <f t="shared" si="24"/>
        <v>8661.2000000000007</v>
      </c>
      <c r="AA127" s="18">
        <f t="shared" si="21"/>
        <v>0.152542372881356</v>
      </c>
      <c r="AB127" s="18">
        <v>0.1</v>
      </c>
    </row>
    <row r="128" spans="1:28">
      <c r="A128">
        <v>2026</v>
      </c>
      <c r="B128" t="s">
        <v>145</v>
      </c>
      <c r="C128" t="s">
        <v>149</v>
      </c>
      <c r="D128" t="s">
        <v>150</v>
      </c>
      <c r="E128">
        <v>709909</v>
      </c>
      <c r="G128" t="s">
        <v>148</v>
      </c>
      <c r="H128" t="s">
        <v>148</v>
      </c>
      <c r="I128" t="s">
        <v>44</v>
      </c>
      <c r="J128" t="s">
        <v>29</v>
      </c>
      <c r="K128">
        <v>5</v>
      </c>
      <c r="L128">
        <v>75900</v>
      </c>
      <c r="M128" s="17">
        <f t="shared" si="22"/>
        <v>15180</v>
      </c>
      <c r="O128" s="17">
        <f t="shared" si="20"/>
        <v>19734</v>
      </c>
      <c r="P128" s="17">
        <v>0</v>
      </c>
      <c r="Q128" s="18">
        <v>0.25</v>
      </c>
      <c r="R128" s="17">
        <v>0</v>
      </c>
      <c r="S128" s="19">
        <v>0</v>
      </c>
      <c r="T128" s="17">
        <v>0</v>
      </c>
      <c r="U128" s="18">
        <v>0.22</v>
      </c>
      <c r="V128" s="17">
        <v>0</v>
      </c>
      <c r="W128" s="18">
        <v>0</v>
      </c>
      <c r="X128" s="17">
        <f t="shared" si="23"/>
        <v>15180</v>
      </c>
      <c r="Y128" s="18">
        <v>0.28999999999999998</v>
      </c>
      <c r="Z128" s="17">
        <f t="shared" si="24"/>
        <v>19582.2</v>
      </c>
      <c r="AA128" s="18">
        <f t="shared" si="21"/>
        <v>0.22480620155038764</v>
      </c>
      <c r="AB128" s="18">
        <v>0.1</v>
      </c>
    </row>
    <row r="129" spans="1:28">
      <c r="A129">
        <v>2026</v>
      </c>
      <c r="B129" t="s">
        <v>145</v>
      </c>
      <c r="C129" t="s">
        <v>149</v>
      </c>
      <c r="D129" t="s">
        <v>150</v>
      </c>
      <c r="E129">
        <v>709904</v>
      </c>
      <c r="G129" t="s">
        <v>148</v>
      </c>
      <c r="H129" t="s">
        <v>148</v>
      </c>
      <c r="I129" t="s">
        <v>55</v>
      </c>
      <c r="J129" t="s">
        <v>29</v>
      </c>
      <c r="K129">
        <v>5</v>
      </c>
      <c r="L129">
        <v>16900</v>
      </c>
      <c r="M129" s="17">
        <f t="shared" si="22"/>
        <v>3380</v>
      </c>
      <c r="O129" s="17">
        <f t="shared" si="20"/>
        <v>4394</v>
      </c>
      <c r="P129" s="17">
        <v>0</v>
      </c>
      <c r="Q129" s="18">
        <v>0.35</v>
      </c>
      <c r="R129" s="17">
        <v>0</v>
      </c>
      <c r="S129" s="19">
        <v>0</v>
      </c>
      <c r="T129" s="17">
        <v>0</v>
      </c>
      <c r="U129" s="18">
        <v>0.12</v>
      </c>
      <c r="V129" s="17">
        <v>0</v>
      </c>
      <c r="W129" s="18">
        <v>0</v>
      </c>
      <c r="X129" s="17">
        <f t="shared" si="23"/>
        <v>3380</v>
      </c>
      <c r="Y129" s="18">
        <v>0.34</v>
      </c>
      <c r="Z129" s="17">
        <f t="shared" si="24"/>
        <v>4529.2</v>
      </c>
      <c r="AA129" s="18">
        <f t="shared" si="21"/>
        <v>0.25373134328358204</v>
      </c>
      <c r="AB129" s="18">
        <v>0.1</v>
      </c>
    </row>
    <row r="130" spans="1:28">
      <c r="A130">
        <v>2026</v>
      </c>
      <c r="B130" t="s">
        <v>145</v>
      </c>
      <c r="C130" t="s">
        <v>149</v>
      </c>
      <c r="D130" t="s">
        <v>150</v>
      </c>
      <c r="E130">
        <v>603421</v>
      </c>
      <c r="G130" t="s">
        <v>148</v>
      </c>
      <c r="H130" t="s">
        <v>148</v>
      </c>
      <c r="I130" t="s">
        <v>55</v>
      </c>
      <c r="J130" t="s">
        <v>29</v>
      </c>
      <c r="K130">
        <v>5</v>
      </c>
      <c r="L130">
        <v>21900</v>
      </c>
      <c r="M130" s="17">
        <f t="shared" si="22"/>
        <v>4380</v>
      </c>
      <c r="O130" s="17">
        <f t="shared" si="20"/>
        <v>5694</v>
      </c>
      <c r="P130" s="17">
        <v>0</v>
      </c>
      <c r="Q130" s="18">
        <v>0.12</v>
      </c>
      <c r="R130" s="17">
        <v>0</v>
      </c>
      <c r="S130" s="19">
        <v>0</v>
      </c>
      <c r="T130" s="17">
        <v>0</v>
      </c>
      <c r="U130" s="18">
        <v>0.15</v>
      </c>
      <c r="V130" s="17">
        <v>0</v>
      </c>
      <c r="W130" s="18">
        <v>0</v>
      </c>
      <c r="X130" s="17">
        <f t="shared" si="23"/>
        <v>4380</v>
      </c>
      <c r="Y130" s="18">
        <v>0.25</v>
      </c>
      <c r="Z130" s="17">
        <f t="shared" si="24"/>
        <v>5475</v>
      </c>
      <c r="AA130" s="18">
        <f t="shared" si="21"/>
        <v>0.2</v>
      </c>
      <c r="AB130" s="18">
        <v>0.1</v>
      </c>
    </row>
    <row r="131" spans="1:28">
      <c r="A131">
        <v>2026</v>
      </c>
      <c r="B131" t="s">
        <v>145</v>
      </c>
      <c r="C131" t="s">
        <v>149</v>
      </c>
      <c r="D131" t="s">
        <v>150</v>
      </c>
      <c r="E131">
        <v>603422</v>
      </c>
      <c r="G131" t="s">
        <v>148</v>
      </c>
      <c r="H131" t="s">
        <v>148</v>
      </c>
      <c r="I131" t="s">
        <v>60</v>
      </c>
      <c r="J131" t="s">
        <v>29</v>
      </c>
      <c r="K131">
        <v>5</v>
      </c>
      <c r="L131">
        <v>38600</v>
      </c>
      <c r="M131" s="17">
        <f t="shared" si="22"/>
        <v>7720</v>
      </c>
      <c r="O131" s="17">
        <f t="shared" si="20"/>
        <v>10036</v>
      </c>
      <c r="P131" s="17">
        <v>0</v>
      </c>
      <c r="Q131" s="18">
        <v>0.25</v>
      </c>
      <c r="R131" s="17">
        <v>0</v>
      </c>
      <c r="S131" s="19">
        <v>0</v>
      </c>
      <c r="T131" s="17">
        <v>0</v>
      </c>
      <c r="U131" s="18">
        <v>0.18</v>
      </c>
      <c r="V131" s="17">
        <v>0</v>
      </c>
      <c r="W131" s="18">
        <v>0</v>
      </c>
      <c r="X131" s="17">
        <f t="shared" si="23"/>
        <v>7720</v>
      </c>
      <c r="Y131" s="18">
        <v>0.35</v>
      </c>
      <c r="Z131" s="17">
        <f t="shared" si="24"/>
        <v>10422</v>
      </c>
      <c r="AA131" s="18">
        <f t="shared" si="21"/>
        <v>0.25925925925925924</v>
      </c>
      <c r="AB131" s="18">
        <v>0.1</v>
      </c>
    </row>
    <row r="132" spans="1:28">
      <c r="A132">
        <v>2026</v>
      </c>
      <c r="B132" t="s">
        <v>145</v>
      </c>
      <c r="C132" t="s">
        <v>149</v>
      </c>
      <c r="D132" t="s">
        <v>150</v>
      </c>
      <c r="E132">
        <v>603423</v>
      </c>
      <c r="G132" t="s">
        <v>148</v>
      </c>
      <c r="H132" t="s">
        <v>148</v>
      </c>
      <c r="I132" t="s">
        <v>60</v>
      </c>
      <c r="J132" t="s">
        <v>29</v>
      </c>
      <c r="K132">
        <v>5</v>
      </c>
      <c r="L132">
        <v>107200</v>
      </c>
      <c r="M132" s="17">
        <f t="shared" si="22"/>
        <v>21440</v>
      </c>
      <c r="O132" s="17">
        <f t="shared" si="20"/>
        <v>27872</v>
      </c>
      <c r="P132" s="17">
        <v>0</v>
      </c>
      <c r="Q132" s="18">
        <v>0.1</v>
      </c>
      <c r="R132" s="17">
        <v>0</v>
      </c>
      <c r="S132" s="19">
        <v>0</v>
      </c>
      <c r="T132" s="17">
        <v>0</v>
      </c>
      <c r="U132" s="18">
        <v>0.28999999999999998</v>
      </c>
      <c r="V132" s="17">
        <v>0</v>
      </c>
      <c r="W132" s="18">
        <v>0</v>
      </c>
      <c r="X132" s="17">
        <f t="shared" si="23"/>
        <v>21440</v>
      </c>
      <c r="Y132" s="18">
        <v>0.12</v>
      </c>
      <c r="Z132" s="17">
        <f t="shared" si="24"/>
        <v>24012.799999999999</v>
      </c>
      <c r="AA132" s="18">
        <f t="shared" si="21"/>
        <v>0.10714285714285711</v>
      </c>
      <c r="AB132" s="18">
        <v>0.1</v>
      </c>
    </row>
    <row r="133" spans="1:28">
      <c r="A133">
        <v>2026</v>
      </c>
      <c r="B133" t="s">
        <v>145</v>
      </c>
      <c r="C133" t="s">
        <v>149</v>
      </c>
      <c r="D133" t="s">
        <v>150</v>
      </c>
      <c r="E133">
        <v>603420</v>
      </c>
      <c r="G133" t="s">
        <v>148</v>
      </c>
      <c r="H133" t="s">
        <v>148</v>
      </c>
      <c r="I133" t="s">
        <v>60</v>
      </c>
      <c r="J133" t="s">
        <v>29</v>
      </c>
      <c r="K133">
        <v>5</v>
      </c>
      <c r="L133">
        <v>114900</v>
      </c>
      <c r="M133" s="17">
        <f t="shared" si="22"/>
        <v>22980</v>
      </c>
      <c r="O133" s="17">
        <f t="shared" si="20"/>
        <v>29874</v>
      </c>
      <c r="P133" s="17">
        <v>0</v>
      </c>
      <c r="Q133" s="18">
        <v>0.35</v>
      </c>
      <c r="R133" s="17">
        <v>0</v>
      </c>
      <c r="S133" s="19">
        <v>0</v>
      </c>
      <c r="T133" s="17">
        <v>0</v>
      </c>
      <c r="U133" s="18">
        <v>0.34</v>
      </c>
      <c r="V133" s="17">
        <v>0</v>
      </c>
      <c r="W133" s="18">
        <v>0</v>
      </c>
      <c r="X133" s="17">
        <f t="shared" si="23"/>
        <v>22980</v>
      </c>
      <c r="Y133" s="18">
        <v>0.25</v>
      </c>
      <c r="Z133" s="17">
        <f t="shared" si="24"/>
        <v>28725</v>
      </c>
      <c r="AA133" s="18">
        <f t="shared" si="21"/>
        <v>0.2</v>
      </c>
      <c r="AB133" s="18">
        <v>0.1</v>
      </c>
    </row>
    <row r="134" spans="1:28">
      <c r="A134">
        <v>2026</v>
      </c>
      <c r="B134" t="s">
        <v>145</v>
      </c>
      <c r="C134" t="s">
        <v>149</v>
      </c>
      <c r="D134" t="s">
        <v>150</v>
      </c>
      <c r="E134">
        <v>603424</v>
      </c>
      <c r="G134" t="s">
        <v>148</v>
      </c>
      <c r="H134" t="s">
        <v>148</v>
      </c>
      <c r="I134" t="s">
        <v>60</v>
      </c>
      <c r="J134" t="s">
        <v>29</v>
      </c>
      <c r="K134">
        <v>5</v>
      </c>
      <c r="L134">
        <v>129400</v>
      </c>
      <c r="M134" s="17">
        <f t="shared" si="22"/>
        <v>25880</v>
      </c>
      <c r="O134" s="17">
        <f t="shared" si="20"/>
        <v>33644</v>
      </c>
      <c r="P134" s="17">
        <v>0</v>
      </c>
      <c r="Q134" s="18">
        <v>0.33</v>
      </c>
      <c r="R134" s="17">
        <v>0</v>
      </c>
      <c r="S134" s="19">
        <v>0</v>
      </c>
      <c r="T134" s="17">
        <v>0</v>
      </c>
      <c r="U134" s="18">
        <v>0.25</v>
      </c>
      <c r="V134" s="17">
        <v>0</v>
      </c>
      <c r="W134" s="18">
        <v>0</v>
      </c>
      <c r="X134" s="17">
        <f t="shared" si="23"/>
        <v>25880</v>
      </c>
      <c r="Y134" s="18">
        <v>0.1</v>
      </c>
      <c r="Z134" s="17">
        <f t="shared" si="24"/>
        <v>28468</v>
      </c>
      <c r="AA134" s="18">
        <f t="shared" si="21"/>
        <v>9.0909090909090912E-2</v>
      </c>
      <c r="AB134" s="18">
        <v>0.1</v>
      </c>
    </row>
    <row r="135" spans="1:28">
      <c r="A135">
        <v>2026</v>
      </c>
      <c r="B135" t="s">
        <v>145</v>
      </c>
      <c r="C135" t="s">
        <v>149</v>
      </c>
      <c r="D135" t="s">
        <v>150</v>
      </c>
      <c r="E135">
        <v>583300</v>
      </c>
      <c r="G135" t="s">
        <v>148</v>
      </c>
      <c r="H135" t="s">
        <v>148</v>
      </c>
      <c r="I135" t="s">
        <v>72</v>
      </c>
      <c r="J135" t="s">
        <v>29</v>
      </c>
      <c r="K135">
        <v>5</v>
      </c>
      <c r="L135">
        <v>49000</v>
      </c>
      <c r="M135" s="17">
        <f t="shared" si="22"/>
        <v>9800</v>
      </c>
      <c r="O135" s="17">
        <f t="shared" si="20"/>
        <v>12740</v>
      </c>
      <c r="P135" s="17">
        <v>0</v>
      </c>
      <c r="Q135" s="18">
        <v>0.31</v>
      </c>
      <c r="R135" s="17">
        <v>0</v>
      </c>
      <c r="S135" s="19">
        <v>0</v>
      </c>
      <c r="T135" s="17">
        <v>0</v>
      </c>
      <c r="U135" s="18">
        <v>0.35</v>
      </c>
      <c r="V135" s="17">
        <v>0</v>
      </c>
      <c r="W135" s="18">
        <v>0</v>
      </c>
      <c r="X135" s="17">
        <f t="shared" si="23"/>
        <v>9800</v>
      </c>
      <c r="Y135" s="18">
        <v>0.35</v>
      </c>
      <c r="Z135" s="17">
        <f t="shared" si="24"/>
        <v>13230</v>
      </c>
      <c r="AA135" s="18">
        <f t="shared" si="21"/>
        <v>0.25925925925925924</v>
      </c>
      <c r="AB135" s="18">
        <v>0.1</v>
      </c>
    </row>
    <row r="136" spans="1:28">
      <c r="A136">
        <v>2026</v>
      </c>
      <c r="B136" t="s">
        <v>145</v>
      </c>
      <c r="C136" t="s">
        <v>149</v>
      </c>
      <c r="D136" t="s">
        <v>150</v>
      </c>
      <c r="E136">
        <v>583400</v>
      </c>
      <c r="G136" t="s">
        <v>148</v>
      </c>
      <c r="H136" t="s">
        <v>148</v>
      </c>
      <c r="I136" t="s">
        <v>75</v>
      </c>
      <c r="J136" t="s">
        <v>53</v>
      </c>
      <c r="K136">
        <v>2</v>
      </c>
      <c r="L136">
        <v>386300</v>
      </c>
      <c r="M136" s="17">
        <f t="shared" si="22"/>
        <v>193150</v>
      </c>
      <c r="O136" s="17">
        <f t="shared" si="20"/>
        <v>251095</v>
      </c>
      <c r="P136" s="17">
        <v>0</v>
      </c>
      <c r="Q136" s="18">
        <v>0.3</v>
      </c>
      <c r="R136" s="17">
        <v>0</v>
      </c>
      <c r="S136" s="19">
        <v>0</v>
      </c>
      <c r="T136" s="17">
        <v>0</v>
      </c>
      <c r="U136" s="18">
        <v>0.12</v>
      </c>
      <c r="V136" s="17">
        <v>0</v>
      </c>
      <c r="W136" s="18">
        <v>0</v>
      </c>
      <c r="X136" s="17">
        <f t="shared" si="23"/>
        <v>193150</v>
      </c>
      <c r="Y136" s="18">
        <v>0.33</v>
      </c>
      <c r="Z136" s="17">
        <f t="shared" si="24"/>
        <v>256889.5</v>
      </c>
      <c r="AA136" s="18">
        <f t="shared" si="21"/>
        <v>0.24812030075187969</v>
      </c>
      <c r="AB136" s="18">
        <v>0.1</v>
      </c>
    </row>
    <row r="137" spans="1:28">
      <c r="A137">
        <v>2026</v>
      </c>
      <c r="B137" t="s">
        <v>145</v>
      </c>
      <c r="C137" t="s">
        <v>149</v>
      </c>
      <c r="D137" t="s">
        <v>150</v>
      </c>
      <c r="E137">
        <v>583500</v>
      </c>
      <c r="G137" t="s">
        <v>148</v>
      </c>
      <c r="H137" t="s">
        <v>148</v>
      </c>
      <c r="I137" t="s">
        <v>78</v>
      </c>
      <c r="J137" t="s">
        <v>22</v>
      </c>
      <c r="K137">
        <v>10</v>
      </c>
      <c r="L137">
        <v>38000</v>
      </c>
      <c r="M137" s="17">
        <f t="shared" si="22"/>
        <v>3800</v>
      </c>
      <c r="O137" s="17">
        <f t="shared" si="20"/>
        <v>4940</v>
      </c>
      <c r="P137" s="17">
        <v>0</v>
      </c>
      <c r="Q137" s="18">
        <v>0.28000000000000003</v>
      </c>
      <c r="R137" s="17">
        <v>0</v>
      </c>
      <c r="S137" s="19">
        <v>0</v>
      </c>
      <c r="T137" s="17">
        <v>0</v>
      </c>
      <c r="U137" s="18">
        <v>0.25</v>
      </c>
      <c r="V137" s="17">
        <v>0</v>
      </c>
      <c r="W137" s="18">
        <v>0</v>
      </c>
      <c r="X137" s="17">
        <f t="shared" si="23"/>
        <v>3800</v>
      </c>
      <c r="Y137" s="18">
        <v>0.31</v>
      </c>
      <c r="Z137" s="17">
        <f t="shared" si="24"/>
        <v>4978</v>
      </c>
      <c r="AA137" s="18">
        <f t="shared" si="21"/>
        <v>0.23664122137404581</v>
      </c>
      <c r="AB137" s="18">
        <v>0.1</v>
      </c>
    </row>
    <row r="138" spans="1:28">
      <c r="A138">
        <v>2026</v>
      </c>
      <c r="B138" t="s">
        <v>145</v>
      </c>
      <c r="C138" t="s">
        <v>149</v>
      </c>
      <c r="D138" t="s">
        <v>150</v>
      </c>
      <c r="E138">
        <v>595200</v>
      </c>
      <c r="G138" t="s">
        <v>148</v>
      </c>
      <c r="H138" t="s">
        <v>148</v>
      </c>
      <c r="I138" t="s">
        <v>78</v>
      </c>
      <c r="J138" t="s">
        <v>22</v>
      </c>
      <c r="K138">
        <v>10</v>
      </c>
      <c r="L138">
        <v>39800</v>
      </c>
      <c r="M138" s="17">
        <f t="shared" si="22"/>
        <v>3980</v>
      </c>
      <c r="O138" s="17">
        <f t="shared" si="20"/>
        <v>5174</v>
      </c>
      <c r="P138" s="17">
        <v>0</v>
      </c>
      <c r="Q138" s="18">
        <v>0.27</v>
      </c>
      <c r="R138" s="17">
        <v>0</v>
      </c>
      <c r="S138" s="19">
        <v>0</v>
      </c>
      <c r="T138" s="17">
        <v>0</v>
      </c>
      <c r="U138" s="18">
        <v>0.1</v>
      </c>
      <c r="V138" s="17">
        <v>0</v>
      </c>
      <c r="W138" s="18">
        <v>0</v>
      </c>
      <c r="X138" s="17">
        <f t="shared" si="23"/>
        <v>3980</v>
      </c>
      <c r="Y138" s="18">
        <v>0.3</v>
      </c>
      <c r="Z138" s="17">
        <f t="shared" si="24"/>
        <v>5174</v>
      </c>
      <c r="AA138" s="18">
        <f t="shared" si="21"/>
        <v>0.23076923076923078</v>
      </c>
      <c r="AB138" s="18">
        <v>0.1</v>
      </c>
    </row>
    <row r="139" spans="1:28">
      <c r="A139">
        <v>2026</v>
      </c>
      <c r="B139" t="s">
        <v>145</v>
      </c>
      <c r="C139" t="s">
        <v>149</v>
      </c>
      <c r="D139" t="s">
        <v>150</v>
      </c>
      <c r="E139">
        <v>595300</v>
      </c>
      <c r="G139" t="s">
        <v>148</v>
      </c>
      <c r="H139" t="s">
        <v>148</v>
      </c>
      <c r="I139" t="s">
        <v>78</v>
      </c>
      <c r="J139" t="s">
        <v>22</v>
      </c>
      <c r="K139">
        <v>10</v>
      </c>
      <c r="L139">
        <v>42200</v>
      </c>
      <c r="M139" s="17">
        <f t="shared" si="22"/>
        <v>4220</v>
      </c>
      <c r="O139" s="17">
        <f t="shared" si="20"/>
        <v>5486</v>
      </c>
      <c r="P139" s="17">
        <v>0</v>
      </c>
      <c r="Q139" s="18">
        <v>0.17</v>
      </c>
      <c r="R139" s="17">
        <v>0</v>
      </c>
      <c r="S139" s="19">
        <v>0</v>
      </c>
      <c r="T139" s="17">
        <v>0</v>
      </c>
      <c r="U139" s="18">
        <v>0.35</v>
      </c>
      <c r="V139" s="17">
        <v>0</v>
      </c>
      <c r="W139" s="18">
        <v>0</v>
      </c>
      <c r="X139" s="17">
        <f t="shared" si="23"/>
        <v>4220</v>
      </c>
      <c r="Y139" s="18">
        <v>0.28000000000000003</v>
      </c>
      <c r="Z139" s="17">
        <f t="shared" si="24"/>
        <v>5401.6</v>
      </c>
      <c r="AA139" s="18">
        <f t="shared" si="21"/>
        <v>0.21875000000000006</v>
      </c>
      <c r="AB139" s="18">
        <v>0.1</v>
      </c>
    </row>
    <row r="140" spans="1:28">
      <c r="A140">
        <v>2026</v>
      </c>
      <c r="B140" t="s">
        <v>145</v>
      </c>
      <c r="C140" t="s">
        <v>149</v>
      </c>
      <c r="D140" t="s">
        <v>150</v>
      </c>
      <c r="E140">
        <v>595400</v>
      </c>
      <c r="G140" t="s">
        <v>148</v>
      </c>
      <c r="H140" t="s">
        <v>148</v>
      </c>
      <c r="I140" t="s">
        <v>78</v>
      </c>
      <c r="J140" t="s">
        <v>22</v>
      </c>
      <c r="K140">
        <v>10</v>
      </c>
      <c r="L140">
        <v>51600</v>
      </c>
      <c r="M140" s="17">
        <f t="shared" si="22"/>
        <v>5160</v>
      </c>
      <c r="O140" s="17">
        <f t="shared" si="20"/>
        <v>6708</v>
      </c>
      <c r="P140" s="17">
        <v>0</v>
      </c>
      <c r="Q140" s="18">
        <v>0.22</v>
      </c>
      <c r="R140" s="17">
        <v>0</v>
      </c>
      <c r="S140" s="19">
        <v>0</v>
      </c>
      <c r="T140" s="17">
        <v>0</v>
      </c>
      <c r="U140" s="18">
        <v>0.33</v>
      </c>
      <c r="V140" s="17">
        <v>0</v>
      </c>
      <c r="W140" s="18">
        <v>0</v>
      </c>
      <c r="X140" s="17">
        <f t="shared" si="23"/>
        <v>5160</v>
      </c>
      <c r="Y140" s="18">
        <v>0.27</v>
      </c>
      <c r="Z140" s="17">
        <f t="shared" si="24"/>
        <v>6553.2</v>
      </c>
      <c r="AA140" s="18">
        <f t="shared" si="21"/>
        <v>0.21259842519685038</v>
      </c>
      <c r="AB140" s="18">
        <v>0.1</v>
      </c>
    </row>
    <row r="141" spans="1:28">
      <c r="A141">
        <v>2026</v>
      </c>
      <c r="B141" t="s">
        <v>145</v>
      </c>
      <c r="C141" t="s">
        <v>149</v>
      </c>
      <c r="D141" t="s">
        <v>150</v>
      </c>
      <c r="E141">
        <v>595600</v>
      </c>
      <c r="G141" t="s">
        <v>148</v>
      </c>
      <c r="H141" t="s">
        <v>148</v>
      </c>
      <c r="I141" t="s">
        <v>95</v>
      </c>
      <c r="J141" t="s">
        <v>12</v>
      </c>
      <c r="K141">
        <v>1</v>
      </c>
      <c r="L141">
        <v>43500</v>
      </c>
      <c r="M141" s="17">
        <f t="shared" si="22"/>
        <v>43500</v>
      </c>
      <c r="O141" s="17">
        <f t="shared" si="20"/>
        <v>56550</v>
      </c>
      <c r="P141" s="17">
        <v>0</v>
      </c>
      <c r="Q141" s="18">
        <v>0.12</v>
      </c>
      <c r="R141" s="17">
        <v>0</v>
      </c>
      <c r="S141" s="19">
        <v>0</v>
      </c>
      <c r="T141" s="17">
        <v>0</v>
      </c>
      <c r="U141" s="18">
        <v>0.31</v>
      </c>
      <c r="V141" s="17">
        <v>0</v>
      </c>
      <c r="W141" s="18">
        <v>0</v>
      </c>
      <c r="X141" s="17">
        <f t="shared" si="23"/>
        <v>43500</v>
      </c>
      <c r="Y141" s="18">
        <v>0.17</v>
      </c>
      <c r="Z141" s="17">
        <f t="shared" si="24"/>
        <v>50895</v>
      </c>
      <c r="AA141" s="18">
        <f t="shared" si="21"/>
        <v>0.14529914529914531</v>
      </c>
      <c r="AB141" s="18">
        <v>0.1</v>
      </c>
    </row>
    <row r="142" spans="1:28">
      <c r="A142">
        <v>2026</v>
      </c>
      <c r="B142" t="s">
        <v>145</v>
      </c>
      <c r="C142" t="s">
        <v>149</v>
      </c>
      <c r="D142" t="s">
        <v>150</v>
      </c>
      <c r="E142">
        <v>581011</v>
      </c>
      <c r="G142" t="s">
        <v>148</v>
      </c>
      <c r="H142" t="s">
        <v>148</v>
      </c>
      <c r="I142" t="s">
        <v>100</v>
      </c>
      <c r="J142" t="s">
        <v>12</v>
      </c>
      <c r="K142">
        <v>1</v>
      </c>
      <c r="L142">
        <v>89500</v>
      </c>
      <c r="M142" s="17">
        <f t="shared" si="22"/>
        <v>89500</v>
      </c>
      <c r="O142" s="17">
        <f t="shared" si="20"/>
        <v>116350</v>
      </c>
      <c r="P142" s="17">
        <v>0</v>
      </c>
      <c r="Q142" s="18">
        <v>0.15</v>
      </c>
      <c r="R142" s="17">
        <v>0</v>
      </c>
      <c r="S142" s="19">
        <v>0</v>
      </c>
      <c r="T142" s="17">
        <v>0</v>
      </c>
      <c r="U142" s="18">
        <v>0.3</v>
      </c>
      <c r="V142" s="17">
        <v>0</v>
      </c>
      <c r="W142" s="18">
        <v>0</v>
      </c>
      <c r="X142" s="17">
        <f t="shared" si="23"/>
        <v>89500</v>
      </c>
      <c r="Y142" s="18">
        <v>0.22</v>
      </c>
      <c r="Z142" s="17">
        <f t="shared" si="24"/>
        <v>109190</v>
      </c>
      <c r="AA142" s="18">
        <f t="shared" si="21"/>
        <v>0.18032786885245902</v>
      </c>
      <c r="AB142" s="18">
        <v>0.1</v>
      </c>
    </row>
    <row r="143" spans="1:28">
      <c r="A143">
        <v>2026</v>
      </c>
      <c r="B143" t="s">
        <v>145</v>
      </c>
      <c r="C143" t="s">
        <v>149</v>
      </c>
      <c r="D143" t="s">
        <v>150</v>
      </c>
      <c r="E143">
        <v>581100</v>
      </c>
      <c r="G143" t="s">
        <v>148</v>
      </c>
      <c r="H143" t="s">
        <v>148</v>
      </c>
      <c r="I143" t="s">
        <v>100</v>
      </c>
      <c r="J143" t="s">
        <v>12</v>
      </c>
      <c r="K143">
        <v>1</v>
      </c>
      <c r="L143">
        <v>67900</v>
      </c>
      <c r="M143" s="17">
        <f t="shared" si="22"/>
        <v>67900</v>
      </c>
      <c r="O143" s="17">
        <f t="shared" si="20"/>
        <v>88270</v>
      </c>
      <c r="P143" s="17">
        <v>0</v>
      </c>
      <c r="Q143" s="18">
        <v>0.18</v>
      </c>
      <c r="R143" s="17">
        <v>0</v>
      </c>
      <c r="S143" s="19">
        <v>0</v>
      </c>
      <c r="T143" s="17">
        <v>0</v>
      </c>
      <c r="U143" s="18">
        <v>0.28000000000000003</v>
      </c>
      <c r="V143" s="17">
        <v>0</v>
      </c>
      <c r="W143" s="18">
        <v>0</v>
      </c>
      <c r="X143" s="17">
        <f t="shared" si="23"/>
        <v>67900</v>
      </c>
      <c r="Y143" s="18">
        <v>0.12</v>
      </c>
      <c r="Z143" s="17">
        <f t="shared" si="24"/>
        <v>76048</v>
      </c>
      <c r="AA143" s="18">
        <f t="shared" si="21"/>
        <v>0.10714285714285714</v>
      </c>
      <c r="AB143" s="18">
        <v>0.1</v>
      </c>
    </row>
    <row r="144" spans="1:28">
      <c r="A144">
        <v>2026</v>
      </c>
      <c r="B144" t="s">
        <v>145</v>
      </c>
      <c r="C144" t="s">
        <v>149</v>
      </c>
      <c r="D144" t="s">
        <v>150</v>
      </c>
      <c r="E144">
        <v>581200</v>
      </c>
      <c r="G144" t="s">
        <v>148</v>
      </c>
      <c r="H144" t="s">
        <v>148</v>
      </c>
      <c r="I144" t="s">
        <v>100</v>
      </c>
      <c r="J144" t="s">
        <v>12</v>
      </c>
      <c r="K144">
        <v>1</v>
      </c>
      <c r="L144">
        <v>50300</v>
      </c>
      <c r="M144" s="17">
        <f t="shared" si="22"/>
        <v>50300</v>
      </c>
      <c r="O144" s="17">
        <f t="shared" si="20"/>
        <v>65390</v>
      </c>
      <c r="P144" s="17">
        <v>0</v>
      </c>
      <c r="Q144" s="18">
        <v>0.28999999999999998</v>
      </c>
      <c r="R144" s="17">
        <v>0</v>
      </c>
      <c r="S144" s="19">
        <v>0</v>
      </c>
      <c r="T144" s="17">
        <v>0</v>
      </c>
      <c r="U144" s="18">
        <v>0.27</v>
      </c>
      <c r="V144" s="17">
        <v>0</v>
      </c>
      <c r="W144" s="18">
        <v>0</v>
      </c>
      <c r="X144" s="17">
        <f t="shared" si="23"/>
        <v>50300</v>
      </c>
      <c r="Y144" s="18">
        <v>0.15</v>
      </c>
      <c r="Z144" s="17">
        <f t="shared" si="24"/>
        <v>57845</v>
      </c>
      <c r="AA144" s="18">
        <f t="shared" si="21"/>
        <v>0.13043478260869565</v>
      </c>
      <c r="AB144" s="18">
        <v>0.1</v>
      </c>
    </row>
    <row r="145" spans="1:28">
      <c r="A145">
        <v>2026</v>
      </c>
      <c r="B145" t="s">
        <v>145</v>
      </c>
      <c r="C145" t="s">
        <v>149</v>
      </c>
      <c r="D145" t="s">
        <v>150</v>
      </c>
      <c r="E145">
        <v>581300</v>
      </c>
      <c r="G145" t="s">
        <v>148</v>
      </c>
      <c r="H145" t="s">
        <v>148</v>
      </c>
      <c r="I145" t="s">
        <v>100</v>
      </c>
      <c r="J145" t="s">
        <v>12</v>
      </c>
      <c r="K145">
        <v>1</v>
      </c>
      <c r="L145">
        <v>53300</v>
      </c>
      <c r="M145" s="17">
        <f t="shared" si="22"/>
        <v>53300</v>
      </c>
      <c r="O145" s="17">
        <f t="shared" si="20"/>
        <v>69290</v>
      </c>
      <c r="P145" s="17">
        <v>0</v>
      </c>
      <c r="Q145" s="18">
        <v>0.34</v>
      </c>
      <c r="R145" s="17">
        <v>0</v>
      </c>
      <c r="S145" s="19">
        <v>0</v>
      </c>
      <c r="T145" s="17">
        <v>0</v>
      </c>
      <c r="U145" s="18">
        <v>0.17</v>
      </c>
      <c r="V145" s="17">
        <v>0</v>
      </c>
      <c r="W145" s="18">
        <v>0</v>
      </c>
      <c r="X145" s="17">
        <f t="shared" si="23"/>
        <v>53300</v>
      </c>
      <c r="Y145" s="18">
        <v>0.18</v>
      </c>
      <c r="Z145" s="17">
        <f t="shared" si="24"/>
        <v>62894</v>
      </c>
      <c r="AA145" s="18">
        <f t="shared" si="21"/>
        <v>0.15254237288135594</v>
      </c>
      <c r="AB145" s="18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7BF31-CE24-489B-8A41-776161FD506D}">
  <dimension ref="A1:AB232"/>
  <sheetViews>
    <sheetView tabSelected="1" workbookViewId="0">
      <selection activeCell="J28" sqref="J28"/>
    </sheetView>
  </sheetViews>
  <sheetFormatPr baseColWidth="10" defaultRowHeight="14.25"/>
  <sheetData>
    <row r="1" spans="1:28" ht="15">
      <c r="A1" s="11" t="s">
        <v>117</v>
      </c>
      <c r="B1" s="11" t="s">
        <v>118</v>
      </c>
      <c r="C1" s="11" t="s">
        <v>119</v>
      </c>
      <c r="D1" s="11" t="s">
        <v>120</v>
      </c>
      <c r="E1" s="11" t="s">
        <v>121</v>
      </c>
      <c r="F1" s="11" t="s">
        <v>122</v>
      </c>
      <c r="G1" s="11" t="s">
        <v>123</v>
      </c>
      <c r="H1" s="11" t="s">
        <v>124</v>
      </c>
      <c r="I1" s="11" t="s">
        <v>125</v>
      </c>
      <c r="J1" s="11" t="s">
        <v>126</v>
      </c>
      <c r="K1" s="11" t="s">
        <v>127</v>
      </c>
      <c r="L1" s="11" t="s">
        <v>128</v>
      </c>
      <c r="M1" s="12" t="s">
        <v>129</v>
      </c>
      <c r="N1" s="11" t="s">
        <v>130</v>
      </c>
      <c r="O1" s="11" t="s">
        <v>131</v>
      </c>
      <c r="P1" s="11" t="s">
        <v>132</v>
      </c>
      <c r="Q1" s="13" t="s">
        <v>133</v>
      </c>
      <c r="R1" s="14" t="s">
        <v>134</v>
      </c>
      <c r="S1" s="15" t="s">
        <v>135</v>
      </c>
      <c r="T1" s="16" t="s">
        <v>136</v>
      </c>
      <c r="U1" s="16" t="s">
        <v>137</v>
      </c>
      <c r="V1" s="16" t="s">
        <v>138</v>
      </c>
      <c r="W1" s="13" t="s">
        <v>139</v>
      </c>
      <c r="X1" s="16" t="s">
        <v>140</v>
      </c>
      <c r="Y1" s="16" t="s">
        <v>141</v>
      </c>
      <c r="Z1" s="16" t="s">
        <v>142</v>
      </c>
      <c r="AA1" s="13" t="s">
        <v>143</v>
      </c>
      <c r="AB1" s="14" t="s">
        <v>144</v>
      </c>
    </row>
    <row r="2" spans="1:28">
      <c r="A2">
        <v>2026</v>
      </c>
      <c r="B2" t="s">
        <v>145</v>
      </c>
      <c r="C2" t="s">
        <v>151</v>
      </c>
      <c r="D2" t="s">
        <v>152</v>
      </c>
      <c r="E2">
        <v>360001</v>
      </c>
      <c r="G2" t="s">
        <v>148</v>
      </c>
      <c r="H2" t="s">
        <v>148</v>
      </c>
      <c r="I2" t="s">
        <v>9</v>
      </c>
      <c r="J2" t="s">
        <v>12</v>
      </c>
      <c r="K2">
        <v>1</v>
      </c>
      <c r="L2">
        <v>893800</v>
      </c>
      <c r="M2" s="17">
        <f>L2/K2</f>
        <v>893800</v>
      </c>
      <c r="O2" s="17">
        <f t="shared" ref="O2:O29" si="0">M2+(M2*30%)</f>
        <v>1161940</v>
      </c>
      <c r="P2" s="17">
        <v>0</v>
      </c>
      <c r="Q2" s="18">
        <v>0.17</v>
      </c>
      <c r="R2" s="17">
        <v>0</v>
      </c>
      <c r="S2" s="19">
        <v>0</v>
      </c>
      <c r="T2" s="17">
        <f>IF(C2="Mediana Complejidad",M2,0)</f>
        <v>893800</v>
      </c>
      <c r="U2" s="18">
        <v>0.27</v>
      </c>
      <c r="V2" s="17">
        <f t="shared" ref="V2:V29" si="1">T2+(T2*U2)</f>
        <v>1135126</v>
      </c>
      <c r="W2" s="20">
        <f t="shared" ref="W2:W29" si="2">IFERROR(((V2-T2)/V2),0)</f>
        <v>0.2125984251968504</v>
      </c>
      <c r="X2" s="17">
        <v>0</v>
      </c>
      <c r="Y2" s="18">
        <v>0.28000000000000003</v>
      </c>
      <c r="Z2" s="17">
        <v>0</v>
      </c>
      <c r="AA2" s="18">
        <v>0</v>
      </c>
      <c r="AB2" s="18">
        <v>0.1</v>
      </c>
    </row>
    <row r="3" spans="1:28">
      <c r="A3">
        <v>2026</v>
      </c>
      <c r="B3" t="s">
        <v>145</v>
      </c>
      <c r="C3" t="s">
        <v>151</v>
      </c>
      <c r="D3" t="s">
        <v>152</v>
      </c>
      <c r="E3">
        <v>360102</v>
      </c>
      <c r="G3" t="s">
        <v>148</v>
      </c>
      <c r="H3" t="s">
        <v>148</v>
      </c>
      <c r="I3" t="s">
        <v>19</v>
      </c>
      <c r="J3" t="s">
        <v>22</v>
      </c>
      <c r="K3">
        <v>10</v>
      </c>
      <c r="L3">
        <v>13500</v>
      </c>
      <c r="M3" s="17">
        <f t="shared" ref="M3:M29" si="3">L3/K3</f>
        <v>1350</v>
      </c>
      <c r="O3" s="17">
        <f t="shared" si="0"/>
        <v>1755</v>
      </c>
      <c r="P3" s="17">
        <v>0</v>
      </c>
      <c r="Q3" s="18">
        <v>0.22</v>
      </c>
      <c r="R3" s="17">
        <v>0</v>
      </c>
      <c r="S3" s="19">
        <v>0</v>
      </c>
      <c r="T3" s="17">
        <f t="shared" ref="T3:T29" si="4">IF(C3="Mediana Complejidad",M3,0)</f>
        <v>1350</v>
      </c>
      <c r="U3" s="18">
        <v>0.17</v>
      </c>
      <c r="V3" s="17">
        <f t="shared" si="1"/>
        <v>1579.5</v>
      </c>
      <c r="W3" s="20">
        <f t="shared" si="2"/>
        <v>0.14529914529914531</v>
      </c>
      <c r="X3" s="17">
        <v>0</v>
      </c>
      <c r="Y3" s="18">
        <v>0.27</v>
      </c>
      <c r="Z3" s="17">
        <v>0</v>
      </c>
      <c r="AA3" s="18">
        <v>0</v>
      </c>
      <c r="AB3" s="18">
        <v>0.1</v>
      </c>
    </row>
    <row r="4" spans="1:28">
      <c r="A4">
        <v>2026</v>
      </c>
      <c r="B4" t="s">
        <v>145</v>
      </c>
      <c r="C4" t="s">
        <v>151</v>
      </c>
      <c r="D4" t="s">
        <v>152</v>
      </c>
      <c r="E4">
        <v>360104</v>
      </c>
      <c r="G4" t="s">
        <v>148</v>
      </c>
      <c r="H4" t="s">
        <v>148</v>
      </c>
      <c r="I4" t="s">
        <v>19</v>
      </c>
      <c r="J4" t="s">
        <v>22</v>
      </c>
      <c r="K4">
        <v>10</v>
      </c>
      <c r="L4">
        <v>28800</v>
      </c>
      <c r="M4" s="17">
        <f t="shared" si="3"/>
        <v>2880</v>
      </c>
      <c r="O4" s="17">
        <f t="shared" si="0"/>
        <v>3744</v>
      </c>
      <c r="P4" s="17">
        <v>0</v>
      </c>
      <c r="Q4" s="18">
        <v>0.12</v>
      </c>
      <c r="R4" s="17">
        <v>0</v>
      </c>
      <c r="S4" s="19">
        <v>0</v>
      </c>
      <c r="T4" s="17">
        <f t="shared" si="4"/>
        <v>2880</v>
      </c>
      <c r="U4" s="18">
        <v>0.22</v>
      </c>
      <c r="V4" s="17">
        <f t="shared" si="1"/>
        <v>3513.6</v>
      </c>
      <c r="W4" s="20">
        <f t="shared" si="2"/>
        <v>0.18032786885245899</v>
      </c>
      <c r="X4" s="17">
        <v>0</v>
      </c>
      <c r="Y4" s="18">
        <v>0.17</v>
      </c>
      <c r="Z4" s="17">
        <v>0</v>
      </c>
      <c r="AA4" s="18">
        <v>0</v>
      </c>
      <c r="AB4" s="18">
        <v>0.1</v>
      </c>
    </row>
    <row r="5" spans="1:28">
      <c r="A5">
        <v>2026</v>
      </c>
      <c r="B5" t="s">
        <v>145</v>
      </c>
      <c r="C5" t="s">
        <v>151</v>
      </c>
      <c r="D5" t="s">
        <v>152</v>
      </c>
      <c r="E5">
        <v>360100</v>
      </c>
      <c r="G5" t="s">
        <v>148</v>
      </c>
      <c r="H5" t="s">
        <v>148</v>
      </c>
      <c r="I5" t="s">
        <v>19</v>
      </c>
      <c r="J5" t="s">
        <v>22</v>
      </c>
      <c r="K5">
        <v>10</v>
      </c>
      <c r="L5">
        <v>63400</v>
      </c>
      <c r="M5" s="17">
        <f t="shared" si="3"/>
        <v>6340</v>
      </c>
      <c r="O5" s="17">
        <f t="shared" si="0"/>
        <v>8242</v>
      </c>
      <c r="P5" s="17">
        <v>0</v>
      </c>
      <c r="Q5" s="18">
        <v>0.15</v>
      </c>
      <c r="R5" s="17">
        <v>0</v>
      </c>
      <c r="S5" s="19">
        <v>0</v>
      </c>
      <c r="T5" s="17">
        <f t="shared" si="4"/>
        <v>6340</v>
      </c>
      <c r="U5" s="18">
        <v>0.12</v>
      </c>
      <c r="V5" s="17">
        <f t="shared" si="1"/>
        <v>7100.8</v>
      </c>
      <c r="W5" s="20">
        <f t="shared" si="2"/>
        <v>0.10714285714285716</v>
      </c>
      <c r="X5" s="17">
        <v>0</v>
      </c>
      <c r="Y5" s="18">
        <v>0.22</v>
      </c>
      <c r="Z5" s="17">
        <v>0</v>
      </c>
      <c r="AA5" s="18">
        <v>0</v>
      </c>
      <c r="AB5" s="18">
        <v>0.1</v>
      </c>
    </row>
    <row r="6" spans="1:28">
      <c r="A6">
        <v>2026</v>
      </c>
      <c r="B6" t="s">
        <v>145</v>
      </c>
      <c r="C6" t="s">
        <v>151</v>
      </c>
      <c r="D6" t="s">
        <v>152</v>
      </c>
      <c r="E6">
        <v>360150</v>
      </c>
      <c r="G6" t="s">
        <v>148</v>
      </c>
      <c r="H6" t="s">
        <v>148</v>
      </c>
      <c r="I6" t="s">
        <v>30</v>
      </c>
      <c r="J6" t="s">
        <v>22</v>
      </c>
      <c r="K6">
        <v>10</v>
      </c>
      <c r="L6">
        <v>24200</v>
      </c>
      <c r="M6" s="17">
        <f t="shared" si="3"/>
        <v>2420</v>
      </c>
      <c r="O6" s="17">
        <f t="shared" si="0"/>
        <v>3146</v>
      </c>
      <c r="P6" s="17">
        <v>0</v>
      </c>
      <c r="Q6" s="18">
        <v>0.18</v>
      </c>
      <c r="R6" s="17">
        <v>0</v>
      </c>
      <c r="S6" s="19">
        <v>0</v>
      </c>
      <c r="T6" s="17">
        <f t="shared" si="4"/>
        <v>2420</v>
      </c>
      <c r="U6" s="18">
        <v>0.15</v>
      </c>
      <c r="V6" s="17">
        <f t="shared" si="1"/>
        <v>2783</v>
      </c>
      <c r="W6" s="20">
        <f t="shared" si="2"/>
        <v>0.13043478260869565</v>
      </c>
      <c r="X6" s="17">
        <v>0</v>
      </c>
      <c r="Y6" s="18">
        <v>0.12</v>
      </c>
      <c r="Z6" s="17">
        <v>0</v>
      </c>
      <c r="AA6" s="18">
        <v>0</v>
      </c>
      <c r="AB6" s="18">
        <v>0.1</v>
      </c>
    </row>
    <row r="7" spans="1:28">
      <c r="A7">
        <v>2026</v>
      </c>
      <c r="B7" t="s">
        <v>145</v>
      </c>
      <c r="C7" t="s">
        <v>151</v>
      </c>
      <c r="D7" t="s">
        <v>152</v>
      </c>
      <c r="E7">
        <v>360101</v>
      </c>
      <c r="G7" t="s">
        <v>148</v>
      </c>
      <c r="H7" t="s">
        <v>148</v>
      </c>
      <c r="I7" t="s">
        <v>30</v>
      </c>
      <c r="J7" t="s">
        <v>22</v>
      </c>
      <c r="K7">
        <v>10</v>
      </c>
      <c r="L7">
        <v>36700</v>
      </c>
      <c r="M7" s="17">
        <f t="shared" si="3"/>
        <v>3670</v>
      </c>
      <c r="O7" s="17">
        <f t="shared" si="0"/>
        <v>4771</v>
      </c>
      <c r="P7" s="17">
        <v>0</v>
      </c>
      <c r="Q7" s="18">
        <v>0.28999999999999998</v>
      </c>
      <c r="R7" s="17">
        <v>0</v>
      </c>
      <c r="S7" s="19">
        <v>0</v>
      </c>
      <c r="T7" s="17">
        <f t="shared" si="4"/>
        <v>3670</v>
      </c>
      <c r="U7" s="18">
        <v>0.18</v>
      </c>
      <c r="V7" s="17">
        <f t="shared" si="1"/>
        <v>4330.6000000000004</v>
      </c>
      <c r="W7" s="20">
        <f t="shared" si="2"/>
        <v>0.152542372881356</v>
      </c>
      <c r="X7" s="17">
        <v>0</v>
      </c>
      <c r="Y7" s="18">
        <v>0.15</v>
      </c>
      <c r="Z7" s="17">
        <v>0</v>
      </c>
      <c r="AA7" s="18">
        <v>0</v>
      </c>
      <c r="AB7" s="18">
        <v>0.1</v>
      </c>
    </row>
    <row r="8" spans="1:28">
      <c r="A8">
        <v>2026</v>
      </c>
      <c r="B8" t="s">
        <v>145</v>
      </c>
      <c r="C8" t="s">
        <v>151</v>
      </c>
      <c r="D8" t="s">
        <v>152</v>
      </c>
      <c r="E8">
        <v>360103</v>
      </c>
      <c r="G8" t="s">
        <v>148</v>
      </c>
      <c r="H8" t="s">
        <v>148</v>
      </c>
      <c r="I8" t="s">
        <v>30</v>
      </c>
      <c r="J8" t="s">
        <v>22</v>
      </c>
      <c r="K8">
        <v>10</v>
      </c>
      <c r="L8">
        <v>91800</v>
      </c>
      <c r="M8" s="17">
        <f t="shared" si="3"/>
        <v>9180</v>
      </c>
      <c r="O8" s="17">
        <f t="shared" si="0"/>
        <v>11934</v>
      </c>
      <c r="P8" s="17">
        <v>0</v>
      </c>
      <c r="Q8" s="18">
        <v>0.34</v>
      </c>
      <c r="R8" s="17">
        <v>0</v>
      </c>
      <c r="S8" s="19">
        <v>0</v>
      </c>
      <c r="T8" s="17">
        <f t="shared" si="4"/>
        <v>9180</v>
      </c>
      <c r="U8" s="18">
        <v>0.28999999999999998</v>
      </c>
      <c r="V8" s="17">
        <f t="shared" si="1"/>
        <v>11842.2</v>
      </c>
      <c r="W8" s="20">
        <f t="shared" si="2"/>
        <v>0.22480620155038764</v>
      </c>
      <c r="X8" s="17">
        <v>0</v>
      </c>
      <c r="Y8" s="18">
        <v>0.18</v>
      </c>
      <c r="Z8" s="17">
        <v>0</v>
      </c>
      <c r="AA8" s="18">
        <v>0</v>
      </c>
      <c r="AB8" s="18">
        <v>0.1</v>
      </c>
    </row>
    <row r="9" spans="1:28">
      <c r="A9">
        <v>2026</v>
      </c>
      <c r="B9" t="s">
        <v>145</v>
      </c>
      <c r="C9" t="s">
        <v>151</v>
      </c>
      <c r="D9" t="s">
        <v>152</v>
      </c>
      <c r="E9">
        <v>709900</v>
      </c>
      <c r="G9" t="s">
        <v>148</v>
      </c>
      <c r="H9" t="s">
        <v>148</v>
      </c>
      <c r="I9" t="s">
        <v>44</v>
      </c>
      <c r="J9" t="s">
        <v>29</v>
      </c>
      <c r="K9">
        <v>5</v>
      </c>
      <c r="L9">
        <v>17300</v>
      </c>
      <c r="M9" s="17">
        <f t="shared" si="3"/>
        <v>3460</v>
      </c>
      <c r="O9" s="17">
        <f t="shared" si="0"/>
        <v>4498</v>
      </c>
      <c r="P9" s="17">
        <v>0</v>
      </c>
      <c r="Q9" s="18">
        <v>0.25</v>
      </c>
      <c r="R9" s="17">
        <v>0</v>
      </c>
      <c r="S9" s="19">
        <v>0</v>
      </c>
      <c r="T9" s="17">
        <f t="shared" si="4"/>
        <v>3460</v>
      </c>
      <c r="U9" s="18">
        <v>0.34</v>
      </c>
      <c r="V9" s="17">
        <f t="shared" si="1"/>
        <v>4636.3999999999996</v>
      </c>
      <c r="W9" s="20">
        <f t="shared" si="2"/>
        <v>0.25373134328358204</v>
      </c>
      <c r="X9" s="17">
        <v>0</v>
      </c>
      <c r="Y9" s="18">
        <v>0.28999999999999998</v>
      </c>
      <c r="Z9" s="17">
        <v>0</v>
      </c>
      <c r="AA9" s="18">
        <v>0</v>
      </c>
      <c r="AB9" s="18">
        <v>0.1</v>
      </c>
    </row>
    <row r="10" spans="1:28">
      <c r="A10">
        <v>2026</v>
      </c>
      <c r="B10" t="s">
        <v>145</v>
      </c>
      <c r="C10" t="s">
        <v>151</v>
      </c>
      <c r="D10" t="s">
        <v>152</v>
      </c>
      <c r="E10">
        <v>709902</v>
      </c>
      <c r="G10" t="s">
        <v>148</v>
      </c>
      <c r="H10" t="s">
        <v>148</v>
      </c>
      <c r="I10" t="s">
        <v>44</v>
      </c>
      <c r="J10" t="s">
        <v>29</v>
      </c>
      <c r="K10">
        <v>5</v>
      </c>
      <c r="L10">
        <v>29000</v>
      </c>
      <c r="M10" s="17">
        <f t="shared" si="3"/>
        <v>5800</v>
      </c>
      <c r="O10" s="17">
        <f t="shared" si="0"/>
        <v>7540</v>
      </c>
      <c r="P10" s="17">
        <v>0</v>
      </c>
      <c r="Q10" s="18">
        <v>0.35</v>
      </c>
      <c r="R10" s="17">
        <v>0</v>
      </c>
      <c r="S10" s="19">
        <v>0</v>
      </c>
      <c r="T10" s="17">
        <f t="shared" si="4"/>
        <v>5800</v>
      </c>
      <c r="U10" s="18">
        <v>0.25</v>
      </c>
      <c r="V10" s="17">
        <f t="shared" si="1"/>
        <v>7250</v>
      </c>
      <c r="W10" s="20">
        <f t="shared" si="2"/>
        <v>0.2</v>
      </c>
      <c r="X10" s="17">
        <v>0</v>
      </c>
      <c r="Y10" s="18">
        <v>0.34</v>
      </c>
      <c r="Z10" s="17">
        <v>0</v>
      </c>
      <c r="AA10" s="18">
        <v>0</v>
      </c>
      <c r="AB10" s="18">
        <v>0.1</v>
      </c>
    </row>
    <row r="11" spans="1:28">
      <c r="A11">
        <v>2026</v>
      </c>
      <c r="B11" t="s">
        <v>145</v>
      </c>
      <c r="C11" t="s">
        <v>151</v>
      </c>
      <c r="D11" t="s">
        <v>152</v>
      </c>
      <c r="E11">
        <v>709903</v>
      </c>
      <c r="G11" t="s">
        <v>148</v>
      </c>
      <c r="H11" t="s">
        <v>148</v>
      </c>
      <c r="I11" t="s">
        <v>44</v>
      </c>
      <c r="J11" t="s">
        <v>29</v>
      </c>
      <c r="K11">
        <v>5</v>
      </c>
      <c r="L11">
        <v>36700</v>
      </c>
      <c r="M11" s="17">
        <f t="shared" si="3"/>
        <v>7340</v>
      </c>
      <c r="O11" s="17">
        <f t="shared" si="0"/>
        <v>9542</v>
      </c>
      <c r="P11" s="17">
        <v>0</v>
      </c>
      <c r="Q11" s="18">
        <v>0.12</v>
      </c>
      <c r="R11" s="17">
        <v>0</v>
      </c>
      <c r="S11" s="19">
        <v>0</v>
      </c>
      <c r="T11" s="17">
        <f t="shared" si="4"/>
        <v>7340</v>
      </c>
      <c r="U11" s="18">
        <v>0.35</v>
      </c>
      <c r="V11" s="17">
        <f t="shared" si="1"/>
        <v>9909</v>
      </c>
      <c r="W11" s="20">
        <f t="shared" si="2"/>
        <v>0.25925925925925924</v>
      </c>
      <c r="X11" s="17">
        <v>0</v>
      </c>
      <c r="Y11" s="18">
        <v>0.25</v>
      </c>
      <c r="Z11" s="17">
        <v>0</v>
      </c>
      <c r="AA11" s="18">
        <v>0</v>
      </c>
      <c r="AB11" s="18">
        <v>0.1</v>
      </c>
    </row>
    <row r="12" spans="1:28">
      <c r="A12">
        <v>2026</v>
      </c>
      <c r="B12" t="s">
        <v>145</v>
      </c>
      <c r="C12" t="s">
        <v>151</v>
      </c>
      <c r="D12" t="s">
        <v>152</v>
      </c>
      <c r="E12">
        <v>709909</v>
      </c>
      <c r="G12" t="s">
        <v>148</v>
      </c>
      <c r="H12" t="s">
        <v>148</v>
      </c>
      <c r="I12" t="s">
        <v>44</v>
      </c>
      <c r="J12" t="s">
        <v>29</v>
      </c>
      <c r="K12">
        <v>5</v>
      </c>
      <c r="L12">
        <v>75900</v>
      </c>
      <c r="M12" s="17">
        <f t="shared" si="3"/>
        <v>15180</v>
      </c>
      <c r="O12" s="17">
        <f t="shared" si="0"/>
        <v>19734</v>
      </c>
      <c r="P12" s="17">
        <v>0</v>
      </c>
      <c r="Q12" s="18">
        <v>0.25</v>
      </c>
      <c r="R12" s="17">
        <v>0</v>
      </c>
      <c r="S12" s="19">
        <v>0</v>
      </c>
      <c r="T12" s="17">
        <f t="shared" si="4"/>
        <v>15180</v>
      </c>
      <c r="U12" s="18">
        <v>0.12</v>
      </c>
      <c r="V12" s="17">
        <f t="shared" si="1"/>
        <v>17001.599999999999</v>
      </c>
      <c r="W12" s="20">
        <f t="shared" si="2"/>
        <v>0.10714285714285707</v>
      </c>
      <c r="X12" s="17">
        <v>0</v>
      </c>
      <c r="Y12" s="18">
        <v>0.35</v>
      </c>
      <c r="Z12" s="17">
        <v>0</v>
      </c>
      <c r="AA12" s="18">
        <v>0</v>
      </c>
      <c r="AB12" s="18">
        <v>0.1</v>
      </c>
    </row>
    <row r="13" spans="1:28">
      <c r="A13">
        <v>2026</v>
      </c>
      <c r="B13" t="s">
        <v>145</v>
      </c>
      <c r="C13" t="s">
        <v>151</v>
      </c>
      <c r="D13" t="s">
        <v>152</v>
      </c>
      <c r="E13">
        <v>709904</v>
      </c>
      <c r="G13" t="s">
        <v>148</v>
      </c>
      <c r="H13" t="s">
        <v>148</v>
      </c>
      <c r="I13" t="s">
        <v>55</v>
      </c>
      <c r="J13" t="s">
        <v>29</v>
      </c>
      <c r="K13">
        <v>5</v>
      </c>
      <c r="L13">
        <v>16900</v>
      </c>
      <c r="M13" s="17">
        <f t="shared" si="3"/>
        <v>3380</v>
      </c>
      <c r="O13" s="17">
        <f t="shared" si="0"/>
        <v>4394</v>
      </c>
      <c r="P13" s="17">
        <v>0</v>
      </c>
      <c r="Q13" s="18">
        <v>0.1</v>
      </c>
      <c r="R13" s="17">
        <v>0</v>
      </c>
      <c r="S13" s="19">
        <v>0</v>
      </c>
      <c r="T13" s="17">
        <f t="shared" si="4"/>
        <v>3380</v>
      </c>
      <c r="U13" s="18">
        <v>0.25</v>
      </c>
      <c r="V13" s="17">
        <f t="shared" si="1"/>
        <v>4225</v>
      </c>
      <c r="W13" s="20">
        <f t="shared" si="2"/>
        <v>0.2</v>
      </c>
      <c r="X13" s="17">
        <v>0</v>
      </c>
      <c r="Y13" s="18">
        <v>0.12</v>
      </c>
      <c r="Z13" s="17">
        <v>0</v>
      </c>
      <c r="AA13" s="18">
        <v>0</v>
      </c>
      <c r="AB13" s="18">
        <v>0.1</v>
      </c>
    </row>
    <row r="14" spans="1:28">
      <c r="A14">
        <v>2026</v>
      </c>
      <c r="B14" t="s">
        <v>145</v>
      </c>
      <c r="C14" t="s">
        <v>151</v>
      </c>
      <c r="D14" t="s">
        <v>152</v>
      </c>
      <c r="E14">
        <v>603421</v>
      </c>
      <c r="G14" t="s">
        <v>148</v>
      </c>
      <c r="H14" t="s">
        <v>148</v>
      </c>
      <c r="I14" t="s">
        <v>55</v>
      </c>
      <c r="J14" t="s">
        <v>29</v>
      </c>
      <c r="K14">
        <v>5</v>
      </c>
      <c r="L14">
        <v>21900</v>
      </c>
      <c r="M14" s="17">
        <f t="shared" si="3"/>
        <v>4380</v>
      </c>
      <c r="O14" s="17">
        <f t="shared" si="0"/>
        <v>5694</v>
      </c>
      <c r="P14" s="17">
        <v>0</v>
      </c>
      <c r="Q14" s="18">
        <v>0.35</v>
      </c>
      <c r="R14" s="17">
        <v>0</v>
      </c>
      <c r="S14" s="19">
        <v>0</v>
      </c>
      <c r="T14" s="17">
        <f t="shared" si="4"/>
        <v>4380</v>
      </c>
      <c r="U14" s="18">
        <v>0.1</v>
      </c>
      <c r="V14" s="17">
        <f t="shared" si="1"/>
        <v>4818</v>
      </c>
      <c r="W14" s="20">
        <f t="shared" si="2"/>
        <v>9.0909090909090912E-2</v>
      </c>
      <c r="X14" s="17">
        <v>0</v>
      </c>
      <c r="Y14" s="18">
        <v>0.22</v>
      </c>
      <c r="Z14" s="17">
        <v>0</v>
      </c>
      <c r="AA14" s="18">
        <v>0</v>
      </c>
      <c r="AB14" s="18">
        <v>0.1</v>
      </c>
    </row>
    <row r="15" spans="1:28">
      <c r="A15">
        <v>2026</v>
      </c>
      <c r="B15" t="s">
        <v>145</v>
      </c>
      <c r="C15" t="s">
        <v>151</v>
      </c>
      <c r="D15" t="s">
        <v>152</v>
      </c>
      <c r="E15">
        <v>603422</v>
      </c>
      <c r="G15" t="s">
        <v>148</v>
      </c>
      <c r="H15" t="s">
        <v>148</v>
      </c>
      <c r="I15" t="s">
        <v>60</v>
      </c>
      <c r="J15" t="s">
        <v>29</v>
      </c>
      <c r="K15">
        <v>5</v>
      </c>
      <c r="L15">
        <v>38600</v>
      </c>
      <c r="M15" s="17">
        <f t="shared" si="3"/>
        <v>7720</v>
      </c>
      <c r="O15" s="17">
        <f t="shared" si="0"/>
        <v>10036</v>
      </c>
      <c r="P15" s="17">
        <v>0</v>
      </c>
      <c r="Q15" s="18">
        <v>0.33</v>
      </c>
      <c r="R15" s="17">
        <v>0</v>
      </c>
      <c r="S15" s="19">
        <v>0</v>
      </c>
      <c r="T15" s="17">
        <f t="shared" si="4"/>
        <v>7720</v>
      </c>
      <c r="U15" s="18">
        <v>0.12</v>
      </c>
      <c r="V15" s="17">
        <f t="shared" si="1"/>
        <v>8646.4</v>
      </c>
      <c r="W15" s="20">
        <f t="shared" si="2"/>
        <v>0.10714285714285711</v>
      </c>
      <c r="X15" s="17">
        <v>0</v>
      </c>
      <c r="Y15" s="18">
        <v>0.12</v>
      </c>
      <c r="Z15" s="17">
        <v>0</v>
      </c>
      <c r="AA15" s="18">
        <v>0</v>
      </c>
      <c r="AB15" s="18">
        <v>0.1</v>
      </c>
    </row>
    <row r="16" spans="1:28">
      <c r="A16">
        <v>2026</v>
      </c>
      <c r="B16" t="s">
        <v>145</v>
      </c>
      <c r="C16" t="s">
        <v>151</v>
      </c>
      <c r="D16" t="s">
        <v>152</v>
      </c>
      <c r="E16">
        <v>603423</v>
      </c>
      <c r="G16" t="s">
        <v>148</v>
      </c>
      <c r="H16" t="s">
        <v>148</v>
      </c>
      <c r="I16" t="s">
        <v>60</v>
      </c>
      <c r="J16" t="s">
        <v>29</v>
      </c>
      <c r="K16">
        <v>5</v>
      </c>
      <c r="L16">
        <v>107200</v>
      </c>
      <c r="M16" s="17">
        <f t="shared" si="3"/>
        <v>21440</v>
      </c>
      <c r="O16" s="17">
        <f t="shared" si="0"/>
        <v>27872</v>
      </c>
      <c r="P16" s="17">
        <v>0</v>
      </c>
      <c r="Q16" s="18">
        <v>0.31</v>
      </c>
      <c r="R16" s="17">
        <v>0</v>
      </c>
      <c r="S16" s="19">
        <v>0</v>
      </c>
      <c r="T16" s="17">
        <f t="shared" si="4"/>
        <v>21440</v>
      </c>
      <c r="U16" s="18">
        <v>0.15</v>
      </c>
      <c r="V16" s="17">
        <f t="shared" si="1"/>
        <v>24656</v>
      </c>
      <c r="W16" s="20">
        <f t="shared" si="2"/>
        <v>0.13043478260869565</v>
      </c>
      <c r="X16" s="17">
        <v>0</v>
      </c>
      <c r="Y16" s="18">
        <v>0.15</v>
      </c>
      <c r="Z16" s="17">
        <v>0</v>
      </c>
      <c r="AA16" s="18">
        <v>0</v>
      </c>
      <c r="AB16" s="18">
        <v>0.1</v>
      </c>
    </row>
    <row r="17" spans="1:28">
      <c r="A17">
        <v>2026</v>
      </c>
      <c r="B17" t="s">
        <v>145</v>
      </c>
      <c r="C17" t="s">
        <v>151</v>
      </c>
      <c r="D17" t="s">
        <v>152</v>
      </c>
      <c r="E17">
        <v>603420</v>
      </c>
      <c r="G17" t="s">
        <v>148</v>
      </c>
      <c r="H17" t="s">
        <v>148</v>
      </c>
      <c r="I17" t="s">
        <v>60</v>
      </c>
      <c r="J17" t="s">
        <v>29</v>
      </c>
      <c r="K17">
        <v>5</v>
      </c>
      <c r="L17">
        <v>114900</v>
      </c>
      <c r="M17" s="17">
        <f t="shared" si="3"/>
        <v>22980</v>
      </c>
      <c r="O17" s="17">
        <f t="shared" si="0"/>
        <v>29874</v>
      </c>
      <c r="P17" s="17">
        <v>0</v>
      </c>
      <c r="Q17" s="18">
        <v>0.3</v>
      </c>
      <c r="R17" s="17">
        <v>0</v>
      </c>
      <c r="S17" s="19">
        <v>0</v>
      </c>
      <c r="T17" s="17">
        <f t="shared" si="4"/>
        <v>22980</v>
      </c>
      <c r="U17" s="18">
        <v>0.18</v>
      </c>
      <c r="V17" s="17">
        <f t="shared" si="1"/>
        <v>27116.400000000001</v>
      </c>
      <c r="W17" s="20">
        <f t="shared" si="2"/>
        <v>0.15254237288135597</v>
      </c>
      <c r="X17" s="17">
        <v>0</v>
      </c>
      <c r="Y17" s="18">
        <v>0.18</v>
      </c>
      <c r="Z17" s="17">
        <v>0</v>
      </c>
      <c r="AA17" s="18">
        <v>0</v>
      </c>
      <c r="AB17" s="18">
        <v>0.1</v>
      </c>
    </row>
    <row r="18" spans="1:28">
      <c r="A18">
        <v>2026</v>
      </c>
      <c r="B18" t="s">
        <v>145</v>
      </c>
      <c r="C18" t="s">
        <v>151</v>
      </c>
      <c r="D18" t="s">
        <v>152</v>
      </c>
      <c r="E18">
        <v>603424</v>
      </c>
      <c r="G18" t="s">
        <v>148</v>
      </c>
      <c r="H18" t="s">
        <v>148</v>
      </c>
      <c r="I18" t="s">
        <v>60</v>
      </c>
      <c r="J18" t="s">
        <v>29</v>
      </c>
      <c r="K18">
        <v>5</v>
      </c>
      <c r="L18">
        <v>129400</v>
      </c>
      <c r="M18" s="17">
        <f t="shared" si="3"/>
        <v>25880</v>
      </c>
      <c r="O18" s="17">
        <f t="shared" si="0"/>
        <v>33644</v>
      </c>
      <c r="P18" s="17">
        <v>0</v>
      </c>
      <c r="Q18" s="18">
        <v>0.28000000000000003</v>
      </c>
      <c r="R18" s="17">
        <v>0</v>
      </c>
      <c r="S18" s="19">
        <v>0</v>
      </c>
      <c r="T18" s="17">
        <f t="shared" si="4"/>
        <v>25880</v>
      </c>
      <c r="U18" s="18">
        <v>0.28999999999999998</v>
      </c>
      <c r="V18" s="17">
        <f t="shared" si="1"/>
        <v>33385.199999999997</v>
      </c>
      <c r="W18" s="20">
        <f t="shared" si="2"/>
        <v>0.22480620155038752</v>
      </c>
      <c r="X18" s="17">
        <v>0</v>
      </c>
      <c r="Y18" s="18">
        <v>0.28999999999999998</v>
      </c>
      <c r="Z18" s="17">
        <v>0</v>
      </c>
      <c r="AA18" s="18">
        <v>0</v>
      </c>
      <c r="AB18" s="18">
        <v>0.1</v>
      </c>
    </row>
    <row r="19" spans="1:28">
      <c r="A19">
        <v>2026</v>
      </c>
      <c r="B19" t="s">
        <v>145</v>
      </c>
      <c r="C19" t="s">
        <v>151</v>
      </c>
      <c r="D19" t="s">
        <v>152</v>
      </c>
      <c r="E19">
        <v>583300</v>
      </c>
      <c r="G19" t="s">
        <v>148</v>
      </c>
      <c r="H19" t="s">
        <v>148</v>
      </c>
      <c r="I19" t="s">
        <v>72</v>
      </c>
      <c r="J19" t="s">
        <v>29</v>
      </c>
      <c r="K19">
        <v>5</v>
      </c>
      <c r="L19">
        <v>49000</v>
      </c>
      <c r="M19" s="17">
        <f t="shared" si="3"/>
        <v>9800</v>
      </c>
      <c r="O19" s="17">
        <f t="shared" si="0"/>
        <v>12740</v>
      </c>
      <c r="P19" s="17">
        <v>0</v>
      </c>
      <c r="Q19" s="18">
        <v>0.27</v>
      </c>
      <c r="R19" s="17">
        <v>0</v>
      </c>
      <c r="S19" s="19">
        <v>0</v>
      </c>
      <c r="T19" s="17">
        <f t="shared" si="4"/>
        <v>9800</v>
      </c>
      <c r="U19" s="18">
        <v>0.34</v>
      </c>
      <c r="V19" s="17">
        <f t="shared" si="1"/>
        <v>13132</v>
      </c>
      <c r="W19" s="20">
        <f t="shared" si="2"/>
        <v>0.2537313432835821</v>
      </c>
      <c r="X19" s="17">
        <v>0</v>
      </c>
      <c r="Y19" s="18">
        <v>0.34</v>
      </c>
      <c r="Z19" s="17">
        <v>0</v>
      </c>
      <c r="AA19" s="18">
        <v>0</v>
      </c>
      <c r="AB19" s="18">
        <v>0.1</v>
      </c>
    </row>
    <row r="20" spans="1:28">
      <c r="A20">
        <v>2026</v>
      </c>
      <c r="B20" t="s">
        <v>145</v>
      </c>
      <c r="C20" t="s">
        <v>151</v>
      </c>
      <c r="D20" t="s">
        <v>152</v>
      </c>
      <c r="E20">
        <v>583400</v>
      </c>
      <c r="G20" t="s">
        <v>148</v>
      </c>
      <c r="H20" t="s">
        <v>148</v>
      </c>
      <c r="I20" t="s">
        <v>75</v>
      </c>
      <c r="J20" t="s">
        <v>53</v>
      </c>
      <c r="K20">
        <v>2</v>
      </c>
      <c r="L20">
        <v>386300</v>
      </c>
      <c r="M20" s="17">
        <f t="shared" si="3"/>
        <v>193150</v>
      </c>
      <c r="O20" s="17">
        <f t="shared" si="0"/>
        <v>251095</v>
      </c>
      <c r="P20" s="17">
        <v>0</v>
      </c>
      <c r="Q20" s="18">
        <v>0.17</v>
      </c>
      <c r="R20" s="17">
        <v>0</v>
      </c>
      <c r="S20" s="19">
        <v>0</v>
      </c>
      <c r="T20" s="17">
        <f t="shared" si="4"/>
        <v>193150</v>
      </c>
      <c r="U20" s="18">
        <v>0.25</v>
      </c>
      <c r="V20" s="17">
        <f t="shared" si="1"/>
        <v>241437.5</v>
      </c>
      <c r="W20" s="20">
        <f t="shared" si="2"/>
        <v>0.2</v>
      </c>
      <c r="X20" s="17">
        <v>0</v>
      </c>
      <c r="Y20" s="18">
        <v>0.25</v>
      </c>
      <c r="Z20" s="17">
        <v>0</v>
      </c>
      <c r="AA20" s="18">
        <v>0</v>
      </c>
      <c r="AB20" s="18">
        <v>0.1</v>
      </c>
    </row>
    <row r="21" spans="1:28">
      <c r="A21">
        <v>2026</v>
      </c>
      <c r="B21" t="s">
        <v>145</v>
      </c>
      <c r="C21" t="s">
        <v>151</v>
      </c>
      <c r="D21" t="s">
        <v>152</v>
      </c>
      <c r="E21">
        <v>583500</v>
      </c>
      <c r="G21" t="s">
        <v>148</v>
      </c>
      <c r="H21" t="s">
        <v>148</v>
      </c>
      <c r="I21" t="s">
        <v>78</v>
      </c>
      <c r="J21" t="s">
        <v>22</v>
      </c>
      <c r="K21">
        <v>10</v>
      </c>
      <c r="L21">
        <v>38000</v>
      </c>
      <c r="M21" s="17">
        <f t="shared" si="3"/>
        <v>3800</v>
      </c>
      <c r="O21" s="17">
        <f t="shared" si="0"/>
        <v>4940</v>
      </c>
      <c r="P21" s="17">
        <v>0</v>
      </c>
      <c r="Q21" s="18">
        <v>0.22</v>
      </c>
      <c r="R21" s="17">
        <v>0</v>
      </c>
      <c r="S21" s="19">
        <v>0</v>
      </c>
      <c r="T21" s="17">
        <f t="shared" si="4"/>
        <v>3800</v>
      </c>
      <c r="U21" s="18">
        <v>0.35</v>
      </c>
      <c r="V21" s="17">
        <f t="shared" si="1"/>
        <v>5130</v>
      </c>
      <c r="W21" s="20">
        <f t="shared" si="2"/>
        <v>0.25925925925925924</v>
      </c>
      <c r="X21" s="17">
        <v>0</v>
      </c>
      <c r="Y21" s="18">
        <v>0.35</v>
      </c>
      <c r="Z21" s="17">
        <v>0</v>
      </c>
      <c r="AA21" s="18">
        <v>0</v>
      </c>
      <c r="AB21" s="18">
        <v>0.1</v>
      </c>
    </row>
    <row r="22" spans="1:28">
      <c r="A22">
        <v>2026</v>
      </c>
      <c r="B22" t="s">
        <v>145</v>
      </c>
      <c r="C22" t="s">
        <v>151</v>
      </c>
      <c r="D22" t="s">
        <v>152</v>
      </c>
      <c r="E22">
        <v>595200</v>
      </c>
      <c r="G22" t="s">
        <v>148</v>
      </c>
      <c r="H22" t="s">
        <v>148</v>
      </c>
      <c r="I22" t="s">
        <v>78</v>
      </c>
      <c r="J22" t="s">
        <v>22</v>
      </c>
      <c r="K22">
        <v>10</v>
      </c>
      <c r="L22">
        <v>39800</v>
      </c>
      <c r="M22" s="17">
        <f t="shared" si="3"/>
        <v>3980</v>
      </c>
      <c r="O22" s="17">
        <f t="shared" si="0"/>
        <v>5174</v>
      </c>
      <c r="P22" s="17">
        <v>0</v>
      </c>
      <c r="Q22" s="18">
        <v>0.12</v>
      </c>
      <c r="R22" s="17">
        <v>0</v>
      </c>
      <c r="S22" s="19">
        <v>0</v>
      </c>
      <c r="T22" s="17">
        <f t="shared" si="4"/>
        <v>3980</v>
      </c>
      <c r="U22" s="18">
        <v>0.12</v>
      </c>
      <c r="V22" s="17">
        <f t="shared" si="1"/>
        <v>4457.6000000000004</v>
      </c>
      <c r="W22" s="20">
        <f t="shared" si="2"/>
        <v>0.10714285714285722</v>
      </c>
      <c r="X22" s="17">
        <v>0</v>
      </c>
      <c r="Y22" s="18">
        <v>0.12</v>
      </c>
      <c r="Z22" s="17">
        <v>0</v>
      </c>
      <c r="AA22" s="18">
        <v>0</v>
      </c>
      <c r="AB22" s="18">
        <v>0.1</v>
      </c>
    </row>
    <row r="23" spans="1:28">
      <c r="A23">
        <v>2026</v>
      </c>
      <c r="B23" t="s">
        <v>145</v>
      </c>
      <c r="C23" t="s">
        <v>151</v>
      </c>
      <c r="D23" t="s">
        <v>152</v>
      </c>
      <c r="E23">
        <v>595300</v>
      </c>
      <c r="G23" t="s">
        <v>148</v>
      </c>
      <c r="H23" t="s">
        <v>148</v>
      </c>
      <c r="I23" t="s">
        <v>78</v>
      </c>
      <c r="J23" t="s">
        <v>22</v>
      </c>
      <c r="K23">
        <v>10</v>
      </c>
      <c r="L23">
        <v>42200</v>
      </c>
      <c r="M23" s="17">
        <f t="shared" si="3"/>
        <v>4220</v>
      </c>
      <c r="O23" s="17">
        <f t="shared" si="0"/>
        <v>5486</v>
      </c>
      <c r="P23" s="17">
        <v>0</v>
      </c>
      <c r="Q23" s="18">
        <v>0.15</v>
      </c>
      <c r="R23" s="17">
        <v>0</v>
      </c>
      <c r="S23" s="19">
        <v>0</v>
      </c>
      <c r="T23" s="17">
        <f t="shared" si="4"/>
        <v>4220</v>
      </c>
      <c r="U23" s="18">
        <v>0.25</v>
      </c>
      <c r="V23" s="17">
        <f t="shared" si="1"/>
        <v>5275</v>
      </c>
      <c r="W23" s="20">
        <f t="shared" si="2"/>
        <v>0.2</v>
      </c>
      <c r="X23" s="17">
        <v>0</v>
      </c>
      <c r="Y23" s="18">
        <v>0.25</v>
      </c>
      <c r="Z23" s="17">
        <v>0</v>
      </c>
      <c r="AA23" s="18">
        <v>0</v>
      </c>
      <c r="AB23" s="18">
        <v>0.1</v>
      </c>
    </row>
    <row r="24" spans="1:28">
      <c r="A24">
        <v>2026</v>
      </c>
      <c r="B24" t="s">
        <v>145</v>
      </c>
      <c r="C24" t="s">
        <v>151</v>
      </c>
      <c r="D24" t="s">
        <v>152</v>
      </c>
      <c r="E24">
        <v>595400</v>
      </c>
      <c r="G24" t="s">
        <v>148</v>
      </c>
      <c r="H24" t="s">
        <v>148</v>
      </c>
      <c r="I24" t="s">
        <v>78</v>
      </c>
      <c r="J24" t="s">
        <v>22</v>
      </c>
      <c r="K24">
        <v>10</v>
      </c>
      <c r="L24">
        <v>51600</v>
      </c>
      <c r="M24" s="17">
        <f t="shared" si="3"/>
        <v>5160</v>
      </c>
      <c r="O24" s="17">
        <f t="shared" si="0"/>
        <v>6708</v>
      </c>
      <c r="P24" s="17">
        <v>0</v>
      </c>
      <c r="Q24" s="18">
        <v>0.18</v>
      </c>
      <c r="R24" s="17">
        <v>0</v>
      </c>
      <c r="S24" s="19">
        <v>0</v>
      </c>
      <c r="T24" s="17">
        <f t="shared" si="4"/>
        <v>5160</v>
      </c>
      <c r="U24" s="18">
        <v>0.1</v>
      </c>
      <c r="V24" s="17">
        <f t="shared" si="1"/>
        <v>5676</v>
      </c>
      <c r="W24" s="20">
        <f t="shared" si="2"/>
        <v>9.0909090909090912E-2</v>
      </c>
      <c r="X24" s="17">
        <v>0</v>
      </c>
      <c r="Y24" s="18">
        <v>0.1</v>
      </c>
      <c r="Z24" s="17">
        <v>0</v>
      </c>
      <c r="AA24" s="18">
        <v>0</v>
      </c>
      <c r="AB24" s="18">
        <v>0.1</v>
      </c>
    </row>
    <row r="25" spans="1:28">
      <c r="A25">
        <v>2026</v>
      </c>
      <c r="B25" t="s">
        <v>145</v>
      </c>
      <c r="C25" t="s">
        <v>151</v>
      </c>
      <c r="D25" t="s">
        <v>152</v>
      </c>
      <c r="E25">
        <v>595600</v>
      </c>
      <c r="G25" t="s">
        <v>148</v>
      </c>
      <c r="H25" t="s">
        <v>148</v>
      </c>
      <c r="I25" t="s">
        <v>95</v>
      </c>
      <c r="J25" t="s">
        <v>12</v>
      </c>
      <c r="K25">
        <v>1</v>
      </c>
      <c r="L25">
        <v>43500</v>
      </c>
      <c r="M25" s="17">
        <f t="shared" si="3"/>
        <v>43500</v>
      </c>
      <c r="O25" s="17">
        <f t="shared" si="0"/>
        <v>56550</v>
      </c>
      <c r="P25" s="17">
        <v>0</v>
      </c>
      <c r="Q25" s="18">
        <v>0.28999999999999998</v>
      </c>
      <c r="R25" s="17">
        <v>0</v>
      </c>
      <c r="S25" s="19">
        <v>0</v>
      </c>
      <c r="T25" s="17">
        <f t="shared" si="4"/>
        <v>43500</v>
      </c>
      <c r="U25" s="18">
        <v>0.35</v>
      </c>
      <c r="V25" s="17">
        <f t="shared" si="1"/>
        <v>58725</v>
      </c>
      <c r="W25" s="20">
        <f t="shared" si="2"/>
        <v>0.25925925925925924</v>
      </c>
      <c r="X25" s="17">
        <v>0</v>
      </c>
      <c r="Y25" s="18">
        <v>0.35</v>
      </c>
      <c r="Z25" s="17">
        <v>0</v>
      </c>
      <c r="AA25" s="18">
        <v>0</v>
      </c>
      <c r="AB25" s="18">
        <v>0.1</v>
      </c>
    </row>
    <row r="26" spans="1:28">
      <c r="A26">
        <v>2026</v>
      </c>
      <c r="B26" t="s">
        <v>145</v>
      </c>
      <c r="C26" t="s">
        <v>151</v>
      </c>
      <c r="D26" t="s">
        <v>152</v>
      </c>
      <c r="E26">
        <v>581011</v>
      </c>
      <c r="G26" t="s">
        <v>148</v>
      </c>
      <c r="H26" t="s">
        <v>148</v>
      </c>
      <c r="I26" t="s">
        <v>100</v>
      </c>
      <c r="J26" t="s">
        <v>12</v>
      </c>
      <c r="K26">
        <v>1</v>
      </c>
      <c r="L26">
        <v>89500</v>
      </c>
      <c r="M26" s="17">
        <f t="shared" si="3"/>
        <v>89500</v>
      </c>
      <c r="O26" s="17">
        <f t="shared" si="0"/>
        <v>116350</v>
      </c>
      <c r="P26" s="17">
        <v>0</v>
      </c>
      <c r="Q26" s="18">
        <v>0.34</v>
      </c>
      <c r="R26" s="17">
        <v>0</v>
      </c>
      <c r="S26" s="19">
        <v>0</v>
      </c>
      <c r="T26" s="17">
        <f t="shared" si="4"/>
        <v>89500</v>
      </c>
      <c r="U26" s="18">
        <v>0.33</v>
      </c>
      <c r="V26" s="17">
        <f t="shared" si="1"/>
        <v>119035</v>
      </c>
      <c r="W26" s="20">
        <f t="shared" si="2"/>
        <v>0.24812030075187969</v>
      </c>
      <c r="X26" s="17">
        <v>0</v>
      </c>
      <c r="Y26" s="18">
        <v>0.33</v>
      </c>
      <c r="Z26" s="17">
        <v>0</v>
      </c>
      <c r="AA26" s="18">
        <v>0</v>
      </c>
      <c r="AB26" s="18">
        <v>0.1</v>
      </c>
    </row>
    <row r="27" spans="1:28">
      <c r="A27">
        <v>2026</v>
      </c>
      <c r="B27" t="s">
        <v>145</v>
      </c>
      <c r="C27" t="s">
        <v>151</v>
      </c>
      <c r="D27" t="s">
        <v>152</v>
      </c>
      <c r="E27">
        <v>581100</v>
      </c>
      <c r="G27" t="s">
        <v>148</v>
      </c>
      <c r="H27" t="s">
        <v>148</v>
      </c>
      <c r="I27" t="s">
        <v>100</v>
      </c>
      <c r="J27" t="s">
        <v>12</v>
      </c>
      <c r="K27">
        <v>1</v>
      </c>
      <c r="L27">
        <v>67900</v>
      </c>
      <c r="M27" s="17">
        <f t="shared" si="3"/>
        <v>67900</v>
      </c>
      <c r="O27" s="17">
        <f t="shared" si="0"/>
        <v>88270</v>
      </c>
      <c r="P27" s="17">
        <v>0</v>
      </c>
      <c r="Q27" s="18">
        <v>0.25</v>
      </c>
      <c r="R27" s="17">
        <v>0</v>
      </c>
      <c r="S27" s="19">
        <v>0</v>
      </c>
      <c r="T27" s="17">
        <f t="shared" si="4"/>
        <v>67900</v>
      </c>
      <c r="U27" s="18">
        <v>0.31</v>
      </c>
      <c r="V27" s="17">
        <f t="shared" si="1"/>
        <v>88949</v>
      </c>
      <c r="W27" s="20">
        <f t="shared" si="2"/>
        <v>0.23664122137404581</v>
      </c>
      <c r="X27" s="17">
        <v>0</v>
      </c>
      <c r="Y27" s="18">
        <v>0.31</v>
      </c>
      <c r="Z27" s="17">
        <v>0</v>
      </c>
      <c r="AA27" s="18">
        <v>0</v>
      </c>
      <c r="AB27" s="18">
        <v>0.1</v>
      </c>
    </row>
    <row r="28" spans="1:28">
      <c r="A28">
        <v>2026</v>
      </c>
      <c r="B28" t="s">
        <v>145</v>
      </c>
      <c r="C28" t="s">
        <v>151</v>
      </c>
      <c r="D28" t="s">
        <v>152</v>
      </c>
      <c r="E28">
        <v>581200</v>
      </c>
      <c r="G28" t="s">
        <v>148</v>
      </c>
      <c r="H28" t="s">
        <v>148</v>
      </c>
      <c r="I28" t="s">
        <v>100</v>
      </c>
      <c r="J28" t="s">
        <v>12</v>
      </c>
      <c r="K28">
        <v>1</v>
      </c>
      <c r="L28">
        <v>50300</v>
      </c>
      <c r="M28" s="17">
        <f t="shared" si="3"/>
        <v>50300</v>
      </c>
      <c r="O28" s="17">
        <f t="shared" si="0"/>
        <v>65390</v>
      </c>
      <c r="P28" s="17">
        <v>0</v>
      </c>
      <c r="Q28" s="18">
        <v>0.35</v>
      </c>
      <c r="R28" s="17">
        <v>0</v>
      </c>
      <c r="S28" s="19">
        <v>0</v>
      </c>
      <c r="T28" s="17">
        <f t="shared" si="4"/>
        <v>50300</v>
      </c>
      <c r="U28" s="18">
        <v>0.3</v>
      </c>
      <c r="V28" s="17">
        <f t="shared" si="1"/>
        <v>65390</v>
      </c>
      <c r="W28" s="20">
        <f t="shared" si="2"/>
        <v>0.23076923076923078</v>
      </c>
      <c r="X28" s="17">
        <v>0</v>
      </c>
      <c r="Y28" s="18">
        <v>0.3</v>
      </c>
      <c r="Z28" s="17">
        <v>0</v>
      </c>
      <c r="AA28" s="18">
        <v>0</v>
      </c>
      <c r="AB28" s="18">
        <v>0.1</v>
      </c>
    </row>
    <row r="29" spans="1:28">
      <c r="A29">
        <v>2026</v>
      </c>
      <c r="B29" t="s">
        <v>145</v>
      </c>
      <c r="C29" t="s">
        <v>151</v>
      </c>
      <c r="D29" t="s">
        <v>152</v>
      </c>
      <c r="E29">
        <v>581300</v>
      </c>
      <c r="G29" t="s">
        <v>148</v>
      </c>
      <c r="H29" t="s">
        <v>148</v>
      </c>
      <c r="I29" t="s">
        <v>100</v>
      </c>
      <c r="J29" t="s">
        <v>12</v>
      </c>
      <c r="K29">
        <v>1</v>
      </c>
      <c r="L29">
        <v>53300</v>
      </c>
      <c r="M29" s="17">
        <f t="shared" si="3"/>
        <v>53300</v>
      </c>
      <c r="O29" s="17">
        <f t="shared" si="0"/>
        <v>69290</v>
      </c>
      <c r="P29" s="17">
        <v>0</v>
      </c>
      <c r="Q29" s="18">
        <v>0.12</v>
      </c>
      <c r="R29" s="17">
        <v>0</v>
      </c>
      <c r="S29" s="19">
        <v>0</v>
      </c>
      <c r="T29" s="17">
        <f t="shared" si="4"/>
        <v>53300</v>
      </c>
      <c r="U29" s="18">
        <v>0.28000000000000003</v>
      </c>
      <c r="V29" s="17">
        <f t="shared" si="1"/>
        <v>68224</v>
      </c>
      <c r="W29" s="20">
        <f t="shared" si="2"/>
        <v>0.21875</v>
      </c>
      <c r="X29" s="17">
        <v>0</v>
      </c>
      <c r="Y29" s="18">
        <v>0.28000000000000003</v>
      </c>
      <c r="Z29" s="17">
        <v>0</v>
      </c>
      <c r="AA29" s="18">
        <v>0</v>
      </c>
      <c r="AB29" s="18">
        <v>0.1</v>
      </c>
    </row>
    <row r="30" spans="1:28" ht="15">
      <c r="A30" s="11" t="s">
        <v>117</v>
      </c>
      <c r="B30" s="11" t="s">
        <v>118</v>
      </c>
      <c r="C30" s="11" t="s">
        <v>119</v>
      </c>
      <c r="D30" s="11" t="s">
        <v>120</v>
      </c>
      <c r="E30" s="11" t="s">
        <v>121</v>
      </c>
      <c r="F30" s="11" t="s">
        <v>122</v>
      </c>
      <c r="G30" s="11" t="s">
        <v>123</v>
      </c>
      <c r="H30" s="11" t="s">
        <v>124</v>
      </c>
      <c r="I30" s="11" t="s">
        <v>125</v>
      </c>
      <c r="J30" s="11" t="s">
        <v>126</v>
      </c>
      <c r="K30" s="11" t="s">
        <v>127</v>
      </c>
      <c r="L30" s="11" t="s">
        <v>128</v>
      </c>
      <c r="M30" s="12" t="s">
        <v>129</v>
      </c>
      <c r="N30" s="11" t="s">
        <v>130</v>
      </c>
      <c r="O30" s="11" t="s">
        <v>131</v>
      </c>
      <c r="P30" s="11" t="s">
        <v>132</v>
      </c>
      <c r="Q30" s="13" t="s">
        <v>133</v>
      </c>
      <c r="R30" s="14" t="s">
        <v>134</v>
      </c>
      <c r="S30" s="15" t="s">
        <v>135</v>
      </c>
      <c r="T30" s="16" t="s">
        <v>136</v>
      </c>
      <c r="U30" s="16" t="s">
        <v>137</v>
      </c>
      <c r="V30" s="16" t="s">
        <v>138</v>
      </c>
      <c r="W30" s="13" t="s">
        <v>139</v>
      </c>
      <c r="X30" s="16" t="s">
        <v>140</v>
      </c>
      <c r="Y30" s="16" t="s">
        <v>141</v>
      </c>
      <c r="Z30" s="16" t="s">
        <v>142</v>
      </c>
      <c r="AA30" s="13" t="s">
        <v>143</v>
      </c>
      <c r="AB30" s="14" t="s">
        <v>144</v>
      </c>
    </row>
    <row r="31" spans="1:28">
      <c r="A31">
        <v>2026</v>
      </c>
      <c r="B31" t="s">
        <v>145</v>
      </c>
      <c r="C31" t="s">
        <v>151</v>
      </c>
      <c r="D31" t="s">
        <v>152</v>
      </c>
      <c r="E31">
        <v>360001</v>
      </c>
      <c r="G31" t="s">
        <v>148</v>
      </c>
      <c r="H31" t="s">
        <v>148</v>
      </c>
      <c r="I31" t="s">
        <v>9</v>
      </c>
      <c r="J31" t="s">
        <v>12</v>
      </c>
      <c r="K31">
        <v>1</v>
      </c>
      <c r="L31">
        <v>893800</v>
      </c>
      <c r="M31" s="17">
        <f>L31/K31</f>
        <v>893800</v>
      </c>
      <c r="O31" s="17">
        <f t="shared" ref="O31:O58" si="5">M31+(M31*30%)</f>
        <v>1161940</v>
      </c>
      <c r="P31" s="17">
        <v>0</v>
      </c>
      <c r="Q31" s="18">
        <v>0.17</v>
      </c>
      <c r="R31" s="17">
        <v>0</v>
      </c>
      <c r="S31" s="19">
        <v>0</v>
      </c>
      <c r="T31" s="17">
        <f>IF(C31="Mediana Complejidad",M31,0)</f>
        <v>893800</v>
      </c>
      <c r="U31" s="18">
        <v>0.27</v>
      </c>
      <c r="V31" s="17">
        <f t="shared" ref="V31:V58" si="6">T31+(T31*U31)</f>
        <v>1135126</v>
      </c>
      <c r="W31" s="20">
        <f t="shared" ref="W31:W58" si="7">IFERROR(((V31-T31)/V31),0)</f>
        <v>0.2125984251968504</v>
      </c>
      <c r="X31" s="17">
        <v>0</v>
      </c>
      <c r="Y31" s="18">
        <v>0.28000000000000003</v>
      </c>
      <c r="Z31" s="17">
        <v>0</v>
      </c>
      <c r="AA31" s="18">
        <v>0</v>
      </c>
      <c r="AB31" s="18">
        <v>0.1</v>
      </c>
    </row>
    <row r="32" spans="1:28">
      <c r="A32">
        <v>2026</v>
      </c>
      <c r="B32" t="s">
        <v>145</v>
      </c>
      <c r="C32" t="s">
        <v>151</v>
      </c>
      <c r="D32" t="s">
        <v>152</v>
      </c>
      <c r="E32">
        <v>360102</v>
      </c>
      <c r="G32" t="s">
        <v>148</v>
      </c>
      <c r="H32" t="s">
        <v>148</v>
      </c>
      <c r="I32" t="s">
        <v>19</v>
      </c>
      <c r="J32" t="s">
        <v>22</v>
      </c>
      <c r="K32">
        <v>10</v>
      </c>
      <c r="L32">
        <v>13500</v>
      </c>
      <c r="M32" s="17">
        <f t="shared" ref="M32:M58" si="8">L32/K32</f>
        <v>1350</v>
      </c>
      <c r="O32" s="17">
        <f t="shared" si="5"/>
        <v>1755</v>
      </c>
      <c r="P32" s="17">
        <v>0</v>
      </c>
      <c r="Q32" s="18">
        <v>0.22</v>
      </c>
      <c r="R32" s="17">
        <v>0</v>
      </c>
      <c r="S32" s="19">
        <v>0</v>
      </c>
      <c r="T32" s="17">
        <f t="shared" ref="T32:T58" si="9">IF(C32="Mediana Complejidad",M32,0)</f>
        <v>1350</v>
      </c>
      <c r="U32" s="18">
        <v>0.17</v>
      </c>
      <c r="V32" s="17">
        <f t="shared" si="6"/>
        <v>1579.5</v>
      </c>
      <c r="W32" s="20">
        <f t="shared" si="7"/>
        <v>0.14529914529914531</v>
      </c>
      <c r="X32" s="17">
        <v>0</v>
      </c>
      <c r="Y32" s="18">
        <v>0.27</v>
      </c>
      <c r="Z32" s="17">
        <v>0</v>
      </c>
      <c r="AA32" s="18">
        <v>0</v>
      </c>
      <c r="AB32" s="18">
        <v>0.1</v>
      </c>
    </row>
    <row r="33" spans="1:28">
      <c r="A33">
        <v>2026</v>
      </c>
      <c r="B33" t="s">
        <v>145</v>
      </c>
      <c r="C33" t="s">
        <v>151</v>
      </c>
      <c r="D33" t="s">
        <v>152</v>
      </c>
      <c r="E33">
        <v>360104</v>
      </c>
      <c r="G33" t="s">
        <v>148</v>
      </c>
      <c r="H33" t="s">
        <v>148</v>
      </c>
      <c r="I33" t="s">
        <v>19</v>
      </c>
      <c r="J33" t="s">
        <v>22</v>
      </c>
      <c r="K33">
        <v>10</v>
      </c>
      <c r="L33">
        <v>28800</v>
      </c>
      <c r="M33" s="17">
        <f t="shared" si="8"/>
        <v>2880</v>
      </c>
      <c r="O33" s="17">
        <f t="shared" si="5"/>
        <v>3744</v>
      </c>
      <c r="P33" s="17">
        <v>0</v>
      </c>
      <c r="Q33" s="18">
        <v>0.12</v>
      </c>
      <c r="R33" s="17">
        <v>0</v>
      </c>
      <c r="S33" s="19">
        <v>0</v>
      </c>
      <c r="T33" s="17">
        <f t="shared" si="9"/>
        <v>2880</v>
      </c>
      <c r="U33" s="18">
        <v>0.22</v>
      </c>
      <c r="V33" s="17">
        <f t="shared" si="6"/>
        <v>3513.6</v>
      </c>
      <c r="W33" s="20">
        <f t="shared" si="7"/>
        <v>0.18032786885245899</v>
      </c>
      <c r="X33" s="17">
        <v>0</v>
      </c>
      <c r="Y33" s="18">
        <v>0.17</v>
      </c>
      <c r="Z33" s="17">
        <v>0</v>
      </c>
      <c r="AA33" s="18">
        <v>0</v>
      </c>
      <c r="AB33" s="18">
        <v>0.1</v>
      </c>
    </row>
    <row r="34" spans="1:28">
      <c r="A34">
        <v>2026</v>
      </c>
      <c r="B34" t="s">
        <v>145</v>
      </c>
      <c r="C34" t="s">
        <v>151</v>
      </c>
      <c r="D34" t="s">
        <v>152</v>
      </c>
      <c r="E34">
        <v>360100</v>
      </c>
      <c r="G34" t="s">
        <v>148</v>
      </c>
      <c r="H34" t="s">
        <v>148</v>
      </c>
      <c r="I34" t="s">
        <v>19</v>
      </c>
      <c r="J34" t="s">
        <v>22</v>
      </c>
      <c r="K34">
        <v>10</v>
      </c>
      <c r="L34">
        <v>63400</v>
      </c>
      <c r="M34" s="17">
        <f t="shared" si="8"/>
        <v>6340</v>
      </c>
      <c r="O34" s="17">
        <f t="shared" si="5"/>
        <v>8242</v>
      </c>
      <c r="P34" s="17">
        <v>0</v>
      </c>
      <c r="Q34" s="18">
        <v>0.15</v>
      </c>
      <c r="R34" s="17">
        <v>0</v>
      </c>
      <c r="S34" s="19">
        <v>0</v>
      </c>
      <c r="T34" s="17">
        <f t="shared" si="9"/>
        <v>6340</v>
      </c>
      <c r="U34" s="18">
        <v>0.12</v>
      </c>
      <c r="V34" s="17">
        <f t="shared" si="6"/>
        <v>7100.8</v>
      </c>
      <c r="W34" s="20">
        <f t="shared" si="7"/>
        <v>0.10714285714285716</v>
      </c>
      <c r="X34" s="17">
        <v>0</v>
      </c>
      <c r="Y34" s="18">
        <v>0.22</v>
      </c>
      <c r="Z34" s="17">
        <v>0</v>
      </c>
      <c r="AA34" s="18">
        <v>0</v>
      </c>
      <c r="AB34" s="18">
        <v>0.1</v>
      </c>
    </row>
    <row r="35" spans="1:28">
      <c r="A35">
        <v>2026</v>
      </c>
      <c r="B35" t="s">
        <v>145</v>
      </c>
      <c r="C35" t="s">
        <v>151</v>
      </c>
      <c r="D35" t="s">
        <v>152</v>
      </c>
      <c r="E35">
        <v>360150</v>
      </c>
      <c r="G35" t="s">
        <v>148</v>
      </c>
      <c r="H35" t="s">
        <v>148</v>
      </c>
      <c r="I35" t="s">
        <v>30</v>
      </c>
      <c r="J35" t="s">
        <v>22</v>
      </c>
      <c r="K35">
        <v>10</v>
      </c>
      <c r="L35">
        <v>24200</v>
      </c>
      <c r="M35" s="17">
        <f t="shared" si="8"/>
        <v>2420</v>
      </c>
      <c r="O35" s="17">
        <f t="shared" si="5"/>
        <v>3146</v>
      </c>
      <c r="P35" s="17">
        <v>0</v>
      </c>
      <c r="Q35" s="18">
        <v>0.18</v>
      </c>
      <c r="R35" s="17">
        <v>0</v>
      </c>
      <c r="S35" s="19">
        <v>0</v>
      </c>
      <c r="T35" s="17">
        <f t="shared" si="9"/>
        <v>2420</v>
      </c>
      <c r="U35" s="18">
        <v>0.15</v>
      </c>
      <c r="V35" s="17">
        <f t="shared" si="6"/>
        <v>2783</v>
      </c>
      <c r="W35" s="20">
        <f t="shared" si="7"/>
        <v>0.13043478260869565</v>
      </c>
      <c r="X35" s="17">
        <v>0</v>
      </c>
      <c r="Y35" s="18">
        <v>0.12</v>
      </c>
      <c r="Z35" s="17">
        <v>0</v>
      </c>
      <c r="AA35" s="18">
        <v>0</v>
      </c>
      <c r="AB35" s="18">
        <v>0.1</v>
      </c>
    </row>
    <row r="36" spans="1:28">
      <c r="A36">
        <v>2026</v>
      </c>
      <c r="B36" t="s">
        <v>145</v>
      </c>
      <c r="C36" t="s">
        <v>151</v>
      </c>
      <c r="D36" t="s">
        <v>152</v>
      </c>
      <c r="E36">
        <v>360101</v>
      </c>
      <c r="G36" t="s">
        <v>148</v>
      </c>
      <c r="H36" t="s">
        <v>148</v>
      </c>
      <c r="I36" t="s">
        <v>30</v>
      </c>
      <c r="J36" t="s">
        <v>22</v>
      </c>
      <c r="K36">
        <v>10</v>
      </c>
      <c r="L36">
        <v>36700</v>
      </c>
      <c r="M36" s="17">
        <f t="shared" si="8"/>
        <v>3670</v>
      </c>
      <c r="O36" s="17">
        <f t="shared" si="5"/>
        <v>4771</v>
      </c>
      <c r="P36" s="17">
        <v>0</v>
      </c>
      <c r="Q36" s="18">
        <v>0.28999999999999998</v>
      </c>
      <c r="R36" s="17">
        <v>0</v>
      </c>
      <c r="S36" s="19">
        <v>0</v>
      </c>
      <c r="T36" s="17">
        <f t="shared" si="9"/>
        <v>3670</v>
      </c>
      <c r="U36" s="18">
        <v>0.18</v>
      </c>
      <c r="V36" s="17">
        <f t="shared" si="6"/>
        <v>4330.6000000000004</v>
      </c>
      <c r="W36" s="20">
        <f t="shared" si="7"/>
        <v>0.152542372881356</v>
      </c>
      <c r="X36" s="17">
        <v>0</v>
      </c>
      <c r="Y36" s="18">
        <v>0.15</v>
      </c>
      <c r="Z36" s="17">
        <v>0</v>
      </c>
      <c r="AA36" s="18">
        <v>0</v>
      </c>
      <c r="AB36" s="18">
        <v>0.1</v>
      </c>
    </row>
    <row r="37" spans="1:28">
      <c r="A37">
        <v>2026</v>
      </c>
      <c r="B37" t="s">
        <v>145</v>
      </c>
      <c r="C37" t="s">
        <v>151</v>
      </c>
      <c r="D37" t="s">
        <v>152</v>
      </c>
      <c r="E37">
        <v>360103</v>
      </c>
      <c r="G37" t="s">
        <v>148</v>
      </c>
      <c r="H37" t="s">
        <v>148</v>
      </c>
      <c r="I37" t="s">
        <v>30</v>
      </c>
      <c r="J37" t="s">
        <v>22</v>
      </c>
      <c r="K37">
        <v>10</v>
      </c>
      <c r="L37">
        <v>91800</v>
      </c>
      <c r="M37" s="17">
        <f t="shared" si="8"/>
        <v>9180</v>
      </c>
      <c r="O37" s="17">
        <f t="shared" si="5"/>
        <v>11934</v>
      </c>
      <c r="P37" s="17">
        <v>0</v>
      </c>
      <c r="Q37" s="18">
        <v>0.34</v>
      </c>
      <c r="R37" s="17">
        <v>0</v>
      </c>
      <c r="S37" s="19">
        <v>0</v>
      </c>
      <c r="T37" s="17">
        <f t="shared" si="9"/>
        <v>9180</v>
      </c>
      <c r="U37" s="18">
        <v>0.28999999999999998</v>
      </c>
      <c r="V37" s="17">
        <f t="shared" si="6"/>
        <v>11842.2</v>
      </c>
      <c r="W37" s="20">
        <f t="shared" si="7"/>
        <v>0.22480620155038764</v>
      </c>
      <c r="X37" s="17">
        <v>0</v>
      </c>
      <c r="Y37" s="18">
        <v>0.18</v>
      </c>
      <c r="Z37" s="17">
        <v>0</v>
      </c>
      <c r="AA37" s="18">
        <v>0</v>
      </c>
      <c r="AB37" s="18">
        <v>0.1</v>
      </c>
    </row>
    <row r="38" spans="1:28">
      <c r="A38">
        <v>2026</v>
      </c>
      <c r="B38" t="s">
        <v>145</v>
      </c>
      <c r="C38" t="s">
        <v>151</v>
      </c>
      <c r="D38" t="s">
        <v>152</v>
      </c>
      <c r="E38">
        <v>709900</v>
      </c>
      <c r="G38" t="s">
        <v>148</v>
      </c>
      <c r="H38" t="s">
        <v>148</v>
      </c>
      <c r="I38" t="s">
        <v>44</v>
      </c>
      <c r="J38" t="s">
        <v>29</v>
      </c>
      <c r="K38">
        <v>5</v>
      </c>
      <c r="L38">
        <v>17300</v>
      </c>
      <c r="M38" s="17">
        <f t="shared" si="8"/>
        <v>3460</v>
      </c>
      <c r="O38" s="17">
        <f t="shared" si="5"/>
        <v>4498</v>
      </c>
      <c r="P38" s="17">
        <v>0</v>
      </c>
      <c r="Q38" s="18">
        <v>0.25</v>
      </c>
      <c r="R38" s="17">
        <v>0</v>
      </c>
      <c r="S38" s="19">
        <v>0</v>
      </c>
      <c r="T38" s="17">
        <f t="shared" si="9"/>
        <v>3460</v>
      </c>
      <c r="U38" s="18">
        <v>0.34</v>
      </c>
      <c r="V38" s="17">
        <f t="shared" si="6"/>
        <v>4636.3999999999996</v>
      </c>
      <c r="W38" s="20">
        <f t="shared" si="7"/>
        <v>0.25373134328358204</v>
      </c>
      <c r="X38" s="17">
        <v>0</v>
      </c>
      <c r="Y38" s="18">
        <v>0.28999999999999998</v>
      </c>
      <c r="Z38" s="17">
        <v>0</v>
      </c>
      <c r="AA38" s="18">
        <v>0</v>
      </c>
      <c r="AB38" s="18">
        <v>0.1</v>
      </c>
    </row>
    <row r="39" spans="1:28">
      <c r="A39">
        <v>2026</v>
      </c>
      <c r="B39" t="s">
        <v>145</v>
      </c>
      <c r="C39" t="s">
        <v>151</v>
      </c>
      <c r="D39" t="s">
        <v>152</v>
      </c>
      <c r="E39">
        <v>709902</v>
      </c>
      <c r="G39" t="s">
        <v>148</v>
      </c>
      <c r="H39" t="s">
        <v>148</v>
      </c>
      <c r="I39" t="s">
        <v>44</v>
      </c>
      <c r="J39" t="s">
        <v>29</v>
      </c>
      <c r="K39">
        <v>5</v>
      </c>
      <c r="L39">
        <v>29000</v>
      </c>
      <c r="M39" s="17">
        <f t="shared" si="8"/>
        <v>5800</v>
      </c>
      <c r="O39" s="17">
        <f t="shared" si="5"/>
        <v>7540</v>
      </c>
      <c r="P39" s="17">
        <v>0</v>
      </c>
      <c r="Q39" s="18">
        <v>0.35</v>
      </c>
      <c r="R39" s="17">
        <v>0</v>
      </c>
      <c r="S39" s="19">
        <v>0</v>
      </c>
      <c r="T39" s="17">
        <f t="shared" si="9"/>
        <v>5800</v>
      </c>
      <c r="U39" s="18">
        <v>0.25</v>
      </c>
      <c r="V39" s="17">
        <f t="shared" si="6"/>
        <v>7250</v>
      </c>
      <c r="W39" s="20">
        <f t="shared" si="7"/>
        <v>0.2</v>
      </c>
      <c r="X39" s="17">
        <v>0</v>
      </c>
      <c r="Y39" s="18">
        <v>0.34</v>
      </c>
      <c r="Z39" s="17">
        <v>0</v>
      </c>
      <c r="AA39" s="18">
        <v>0</v>
      </c>
      <c r="AB39" s="18">
        <v>0.1</v>
      </c>
    </row>
    <row r="40" spans="1:28">
      <c r="A40">
        <v>2026</v>
      </c>
      <c r="B40" t="s">
        <v>145</v>
      </c>
      <c r="C40" t="s">
        <v>151</v>
      </c>
      <c r="D40" t="s">
        <v>152</v>
      </c>
      <c r="E40">
        <v>709903</v>
      </c>
      <c r="G40" t="s">
        <v>148</v>
      </c>
      <c r="H40" t="s">
        <v>148</v>
      </c>
      <c r="I40" t="s">
        <v>44</v>
      </c>
      <c r="J40" t="s">
        <v>29</v>
      </c>
      <c r="K40">
        <v>5</v>
      </c>
      <c r="L40">
        <v>36700</v>
      </c>
      <c r="M40" s="17">
        <f t="shared" si="8"/>
        <v>7340</v>
      </c>
      <c r="O40" s="17">
        <f t="shared" si="5"/>
        <v>9542</v>
      </c>
      <c r="P40" s="17">
        <v>0</v>
      </c>
      <c r="Q40" s="18">
        <v>0.12</v>
      </c>
      <c r="R40" s="17">
        <v>0</v>
      </c>
      <c r="S40" s="19">
        <v>0</v>
      </c>
      <c r="T40" s="17">
        <f t="shared" si="9"/>
        <v>7340</v>
      </c>
      <c r="U40" s="18">
        <v>0.35</v>
      </c>
      <c r="V40" s="17">
        <f t="shared" si="6"/>
        <v>9909</v>
      </c>
      <c r="W40" s="20">
        <f t="shared" si="7"/>
        <v>0.25925925925925924</v>
      </c>
      <c r="X40" s="17">
        <v>0</v>
      </c>
      <c r="Y40" s="18">
        <v>0.25</v>
      </c>
      <c r="Z40" s="17">
        <v>0</v>
      </c>
      <c r="AA40" s="18">
        <v>0</v>
      </c>
      <c r="AB40" s="18">
        <v>0.1</v>
      </c>
    </row>
    <row r="41" spans="1:28">
      <c r="A41">
        <v>2026</v>
      </c>
      <c r="B41" t="s">
        <v>145</v>
      </c>
      <c r="C41" t="s">
        <v>151</v>
      </c>
      <c r="D41" t="s">
        <v>152</v>
      </c>
      <c r="E41">
        <v>709909</v>
      </c>
      <c r="G41" t="s">
        <v>148</v>
      </c>
      <c r="H41" t="s">
        <v>148</v>
      </c>
      <c r="I41" t="s">
        <v>44</v>
      </c>
      <c r="J41" t="s">
        <v>29</v>
      </c>
      <c r="K41">
        <v>5</v>
      </c>
      <c r="L41">
        <v>75900</v>
      </c>
      <c r="M41" s="17">
        <f t="shared" si="8"/>
        <v>15180</v>
      </c>
      <c r="O41" s="17">
        <f t="shared" si="5"/>
        <v>19734</v>
      </c>
      <c r="P41" s="17">
        <v>0</v>
      </c>
      <c r="Q41" s="18">
        <v>0.25</v>
      </c>
      <c r="R41" s="17">
        <v>0</v>
      </c>
      <c r="S41" s="19">
        <v>0</v>
      </c>
      <c r="T41" s="17">
        <f t="shared" si="9"/>
        <v>15180</v>
      </c>
      <c r="U41" s="18">
        <v>0.12</v>
      </c>
      <c r="V41" s="17">
        <f t="shared" si="6"/>
        <v>17001.599999999999</v>
      </c>
      <c r="W41" s="20">
        <f t="shared" si="7"/>
        <v>0.10714285714285707</v>
      </c>
      <c r="X41" s="17">
        <v>0</v>
      </c>
      <c r="Y41" s="18">
        <v>0.35</v>
      </c>
      <c r="Z41" s="17">
        <v>0</v>
      </c>
      <c r="AA41" s="18">
        <v>0</v>
      </c>
      <c r="AB41" s="18">
        <v>0.1</v>
      </c>
    </row>
    <row r="42" spans="1:28">
      <c r="A42">
        <v>2026</v>
      </c>
      <c r="B42" t="s">
        <v>145</v>
      </c>
      <c r="C42" t="s">
        <v>151</v>
      </c>
      <c r="D42" t="s">
        <v>152</v>
      </c>
      <c r="E42">
        <v>709904</v>
      </c>
      <c r="G42" t="s">
        <v>148</v>
      </c>
      <c r="H42" t="s">
        <v>148</v>
      </c>
      <c r="I42" t="s">
        <v>55</v>
      </c>
      <c r="J42" t="s">
        <v>29</v>
      </c>
      <c r="K42">
        <v>5</v>
      </c>
      <c r="L42">
        <v>16900</v>
      </c>
      <c r="M42" s="17">
        <f t="shared" si="8"/>
        <v>3380</v>
      </c>
      <c r="O42" s="17">
        <f t="shared" si="5"/>
        <v>4394</v>
      </c>
      <c r="P42" s="17">
        <v>0</v>
      </c>
      <c r="Q42" s="18">
        <v>0.1</v>
      </c>
      <c r="R42" s="17">
        <v>0</v>
      </c>
      <c r="S42" s="19">
        <v>0</v>
      </c>
      <c r="T42" s="17">
        <f t="shared" si="9"/>
        <v>3380</v>
      </c>
      <c r="U42" s="18">
        <v>0.25</v>
      </c>
      <c r="V42" s="17">
        <f t="shared" si="6"/>
        <v>4225</v>
      </c>
      <c r="W42" s="20">
        <f t="shared" si="7"/>
        <v>0.2</v>
      </c>
      <c r="X42" s="17">
        <v>0</v>
      </c>
      <c r="Y42" s="18">
        <v>0.12</v>
      </c>
      <c r="Z42" s="17">
        <v>0</v>
      </c>
      <c r="AA42" s="18">
        <v>0</v>
      </c>
      <c r="AB42" s="18">
        <v>0.1</v>
      </c>
    </row>
    <row r="43" spans="1:28">
      <c r="A43">
        <v>2026</v>
      </c>
      <c r="B43" t="s">
        <v>145</v>
      </c>
      <c r="C43" t="s">
        <v>151</v>
      </c>
      <c r="D43" t="s">
        <v>152</v>
      </c>
      <c r="E43">
        <v>603421</v>
      </c>
      <c r="G43" t="s">
        <v>148</v>
      </c>
      <c r="H43" t="s">
        <v>148</v>
      </c>
      <c r="I43" t="s">
        <v>55</v>
      </c>
      <c r="J43" t="s">
        <v>29</v>
      </c>
      <c r="K43">
        <v>5</v>
      </c>
      <c r="L43">
        <v>21900</v>
      </c>
      <c r="M43" s="17">
        <f t="shared" si="8"/>
        <v>4380</v>
      </c>
      <c r="O43" s="17">
        <f t="shared" si="5"/>
        <v>5694</v>
      </c>
      <c r="P43" s="17">
        <v>0</v>
      </c>
      <c r="Q43" s="18">
        <v>0.35</v>
      </c>
      <c r="R43" s="17">
        <v>0</v>
      </c>
      <c r="S43" s="19">
        <v>0</v>
      </c>
      <c r="T43" s="17">
        <f t="shared" si="9"/>
        <v>4380</v>
      </c>
      <c r="U43" s="18">
        <v>0.1</v>
      </c>
      <c r="V43" s="17">
        <f t="shared" si="6"/>
        <v>4818</v>
      </c>
      <c r="W43" s="20">
        <f t="shared" si="7"/>
        <v>9.0909090909090912E-2</v>
      </c>
      <c r="X43" s="17">
        <v>0</v>
      </c>
      <c r="Y43" s="18">
        <v>0.22</v>
      </c>
      <c r="Z43" s="17">
        <v>0</v>
      </c>
      <c r="AA43" s="18">
        <v>0</v>
      </c>
      <c r="AB43" s="18">
        <v>0.1</v>
      </c>
    </row>
    <row r="44" spans="1:28">
      <c r="A44">
        <v>2026</v>
      </c>
      <c r="B44" t="s">
        <v>145</v>
      </c>
      <c r="C44" t="s">
        <v>151</v>
      </c>
      <c r="D44" t="s">
        <v>152</v>
      </c>
      <c r="E44">
        <v>603422</v>
      </c>
      <c r="G44" t="s">
        <v>148</v>
      </c>
      <c r="H44" t="s">
        <v>148</v>
      </c>
      <c r="I44" t="s">
        <v>60</v>
      </c>
      <c r="J44" t="s">
        <v>29</v>
      </c>
      <c r="K44">
        <v>5</v>
      </c>
      <c r="L44">
        <v>38600</v>
      </c>
      <c r="M44" s="17">
        <f t="shared" si="8"/>
        <v>7720</v>
      </c>
      <c r="O44" s="17">
        <f t="shared" si="5"/>
        <v>10036</v>
      </c>
      <c r="P44" s="17">
        <v>0</v>
      </c>
      <c r="Q44" s="18">
        <v>0.33</v>
      </c>
      <c r="R44" s="17">
        <v>0</v>
      </c>
      <c r="S44" s="19">
        <v>0</v>
      </c>
      <c r="T44" s="17">
        <f t="shared" si="9"/>
        <v>7720</v>
      </c>
      <c r="U44" s="18">
        <v>0.12</v>
      </c>
      <c r="V44" s="17">
        <f t="shared" si="6"/>
        <v>8646.4</v>
      </c>
      <c r="W44" s="20">
        <f t="shared" si="7"/>
        <v>0.10714285714285711</v>
      </c>
      <c r="X44" s="17">
        <v>0</v>
      </c>
      <c r="Y44" s="18">
        <v>0.12</v>
      </c>
      <c r="Z44" s="17">
        <v>0</v>
      </c>
      <c r="AA44" s="18">
        <v>0</v>
      </c>
      <c r="AB44" s="18">
        <v>0.1</v>
      </c>
    </row>
    <row r="45" spans="1:28">
      <c r="A45">
        <v>2026</v>
      </c>
      <c r="B45" t="s">
        <v>145</v>
      </c>
      <c r="C45" t="s">
        <v>151</v>
      </c>
      <c r="D45" t="s">
        <v>152</v>
      </c>
      <c r="E45">
        <v>603423</v>
      </c>
      <c r="G45" t="s">
        <v>148</v>
      </c>
      <c r="H45" t="s">
        <v>148</v>
      </c>
      <c r="I45" t="s">
        <v>60</v>
      </c>
      <c r="J45" t="s">
        <v>29</v>
      </c>
      <c r="K45">
        <v>5</v>
      </c>
      <c r="L45">
        <v>107200</v>
      </c>
      <c r="M45" s="17">
        <f t="shared" si="8"/>
        <v>21440</v>
      </c>
      <c r="O45" s="17">
        <f t="shared" si="5"/>
        <v>27872</v>
      </c>
      <c r="P45" s="17">
        <v>0</v>
      </c>
      <c r="Q45" s="18">
        <v>0.31</v>
      </c>
      <c r="R45" s="17">
        <v>0</v>
      </c>
      <c r="S45" s="19">
        <v>0</v>
      </c>
      <c r="T45" s="17">
        <f t="shared" si="9"/>
        <v>21440</v>
      </c>
      <c r="U45" s="18">
        <v>0.15</v>
      </c>
      <c r="V45" s="17">
        <f t="shared" si="6"/>
        <v>24656</v>
      </c>
      <c r="W45" s="20">
        <f t="shared" si="7"/>
        <v>0.13043478260869565</v>
      </c>
      <c r="X45" s="17">
        <v>0</v>
      </c>
      <c r="Y45" s="18">
        <v>0.15</v>
      </c>
      <c r="Z45" s="17">
        <v>0</v>
      </c>
      <c r="AA45" s="18">
        <v>0</v>
      </c>
      <c r="AB45" s="18">
        <v>0.1</v>
      </c>
    </row>
    <row r="46" spans="1:28">
      <c r="A46">
        <v>2026</v>
      </c>
      <c r="B46" t="s">
        <v>145</v>
      </c>
      <c r="C46" t="s">
        <v>151</v>
      </c>
      <c r="D46" t="s">
        <v>152</v>
      </c>
      <c r="E46">
        <v>603420</v>
      </c>
      <c r="G46" t="s">
        <v>148</v>
      </c>
      <c r="H46" t="s">
        <v>148</v>
      </c>
      <c r="I46" t="s">
        <v>60</v>
      </c>
      <c r="J46" t="s">
        <v>29</v>
      </c>
      <c r="K46">
        <v>5</v>
      </c>
      <c r="L46">
        <v>114900</v>
      </c>
      <c r="M46" s="17">
        <f t="shared" si="8"/>
        <v>22980</v>
      </c>
      <c r="O46" s="17">
        <f t="shared" si="5"/>
        <v>29874</v>
      </c>
      <c r="P46" s="17">
        <v>0</v>
      </c>
      <c r="Q46" s="18">
        <v>0.3</v>
      </c>
      <c r="R46" s="17">
        <v>0</v>
      </c>
      <c r="S46" s="19">
        <v>0</v>
      </c>
      <c r="T46" s="17">
        <f t="shared" si="9"/>
        <v>22980</v>
      </c>
      <c r="U46" s="18">
        <v>0.18</v>
      </c>
      <c r="V46" s="17">
        <f t="shared" si="6"/>
        <v>27116.400000000001</v>
      </c>
      <c r="W46" s="20">
        <f t="shared" si="7"/>
        <v>0.15254237288135597</v>
      </c>
      <c r="X46" s="17">
        <v>0</v>
      </c>
      <c r="Y46" s="18">
        <v>0.18</v>
      </c>
      <c r="Z46" s="17">
        <v>0</v>
      </c>
      <c r="AA46" s="18">
        <v>0</v>
      </c>
      <c r="AB46" s="18">
        <v>0.1</v>
      </c>
    </row>
    <row r="47" spans="1:28">
      <c r="A47">
        <v>2026</v>
      </c>
      <c r="B47" t="s">
        <v>145</v>
      </c>
      <c r="C47" t="s">
        <v>151</v>
      </c>
      <c r="D47" t="s">
        <v>152</v>
      </c>
      <c r="E47">
        <v>603424</v>
      </c>
      <c r="G47" t="s">
        <v>148</v>
      </c>
      <c r="H47" t="s">
        <v>148</v>
      </c>
      <c r="I47" t="s">
        <v>60</v>
      </c>
      <c r="J47" t="s">
        <v>29</v>
      </c>
      <c r="K47">
        <v>5</v>
      </c>
      <c r="L47">
        <v>129400</v>
      </c>
      <c r="M47" s="17">
        <f t="shared" si="8"/>
        <v>25880</v>
      </c>
      <c r="O47" s="17">
        <f t="shared" si="5"/>
        <v>33644</v>
      </c>
      <c r="P47" s="17">
        <v>0</v>
      </c>
      <c r="Q47" s="18">
        <v>0.28000000000000003</v>
      </c>
      <c r="R47" s="17">
        <v>0</v>
      </c>
      <c r="S47" s="19">
        <v>0</v>
      </c>
      <c r="T47" s="17">
        <f t="shared" si="9"/>
        <v>25880</v>
      </c>
      <c r="U47" s="18">
        <v>0.28999999999999998</v>
      </c>
      <c r="V47" s="17">
        <f t="shared" si="6"/>
        <v>33385.199999999997</v>
      </c>
      <c r="W47" s="20">
        <f t="shared" si="7"/>
        <v>0.22480620155038752</v>
      </c>
      <c r="X47" s="17">
        <v>0</v>
      </c>
      <c r="Y47" s="18">
        <v>0.28999999999999998</v>
      </c>
      <c r="Z47" s="17">
        <v>0</v>
      </c>
      <c r="AA47" s="18">
        <v>0</v>
      </c>
      <c r="AB47" s="18">
        <v>0.1</v>
      </c>
    </row>
    <row r="48" spans="1:28">
      <c r="A48">
        <v>2026</v>
      </c>
      <c r="B48" t="s">
        <v>145</v>
      </c>
      <c r="C48" t="s">
        <v>151</v>
      </c>
      <c r="D48" t="s">
        <v>152</v>
      </c>
      <c r="E48">
        <v>583300</v>
      </c>
      <c r="G48" t="s">
        <v>148</v>
      </c>
      <c r="H48" t="s">
        <v>148</v>
      </c>
      <c r="I48" t="s">
        <v>72</v>
      </c>
      <c r="J48" t="s">
        <v>29</v>
      </c>
      <c r="K48">
        <v>5</v>
      </c>
      <c r="L48">
        <v>49000</v>
      </c>
      <c r="M48" s="17">
        <f t="shared" si="8"/>
        <v>9800</v>
      </c>
      <c r="O48" s="17">
        <f t="shared" si="5"/>
        <v>12740</v>
      </c>
      <c r="P48" s="17">
        <v>0</v>
      </c>
      <c r="Q48" s="18">
        <v>0.27</v>
      </c>
      <c r="R48" s="17">
        <v>0</v>
      </c>
      <c r="S48" s="19">
        <v>0</v>
      </c>
      <c r="T48" s="17">
        <f t="shared" si="9"/>
        <v>9800</v>
      </c>
      <c r="U48" s="18">
        <v>0.34</v>
      </c>
      <c r="V48" s="17">
        <f t="shared" si="6"/>
        <v>13132</v>
      </c>
      <c r="W48" s="20">
        <f t="shared" si="7"/>
        <v>0.2537313432835821</v>
      </c>
      <c r="X48" s="17">
        <v>0</v>
      </c>
      <c r="Y48" s="18">
        <v>0.34</v>
      </c>
      <c r="Z48" s="17">
        <v>0</v>
      </c>
      <c r="AA48" s="18">
        <v>0</v>
      </c>
      <c r="AB48" s="18">
        <v>0.1</v>
      </c>
    </row>
    <row r="49" spans="1:28">
      <c r="A49">
        <v>2026</v>
      </c>
      <c r="B49" t="s">
        <v>145</v>
      </c>
      <c r="C49" t="s">
        <v>151</v>
      </c>
      <c r="D49" t="s">
        <v>152</v>
      </c>
      <c r="E49">
        <v>583400</v>
      </c>
      <c r="G49" t="s">
        <v>148</v>
      </c>
      <c r="H49" t="s">
        <v>148</v>
      </c>
      <c r="I49" t="s">
        <v>75</v>
      </c>
      <c r="J49" t="s">
        <v>53</v>
      </c>
      <c r="K49">
        <v>2</v>
      </c>
      <c r="L49">
        <v>386300</v>
      </c>
      <c r="M49" s="17">
        <f t="shared" si="8"/>
        <v>193150</v>
      </c>
      <c r="O49" s="17">
        <f t="shared" si="5"/>
        <v>251095</v>
      </c>
      <c r="P49" s="17">
        <v>0</v>
      </c>
      <c r="Q49" s="18">
        <v>0.17</v>
      </c>
      <c r="R49" s="17">
        <v>0</v>
      </c>
      <c r="S49" s="19">
        <v>0</v>
      </c>
      <c r="T49" s="17">
        <f t="shared" si="9"/>
        <v>193150</v>
      </c>
      <c r="U49" s="18">
        <v>0.25</v>
      </c>
      <c r="V49" s="17">
        <f t="shared" si="6"/>
        <v>241437.5</v>
      </c>
      <c r="W49" s="20">
        <f t="shared" si="7"/>
        <v>0.2</v>
      </c>
      <c r="X49" s="17">
        <v>0</v>
      </c>
      <c r="Y49" s="18">
        <v>0.25</v>
      </c>
      <c r="Z49" s="17">
        <v>0</v>
      </c>
      <c r="AA49" s="18">
        <v>0</v>
      </c>
      <c r="AB49" s="18">
        <v>0.1</v>
      </c>
    </row>
    <row r="50" spans="1:28">
      <c r="A50">
        <v>2026</v>
      </c>
      <c r="B50" t="s">
        <v>145</v>
      </c>
      <c r="C50" t="s">
        <v>151</v>
      </c>
      <c r="D50" t="s">
        <v>152</v>
      </c>
      <c r="E50">
        <v>583500</v>
      </c>
      <c r="G50" t="s">
        <v>148</v>
      </c>
      <c r="H50" t="s">
        <v>148</v>
      </c>
      <c r="I50" t="s">
        <v>78</v>
      </c>
      <c r="J50" t="s">
        <v>22</v>
      </c>
      <c r="K50">
        <v>10</v>
      </c>
      <c r="L50">
        <v>38000</v>
      </c>
      <c r="M50" s="17">
        <f t="shared" si="8"/>
        <v>3800</v>
      </c>
      <c r="O50" s="17">
        <f t="shared" si="5"/>
        <v>4940</v>
      </c>
      <c r="P50" s="17">
        <v>0</v>
      </c>
      <c r="Q50" s="18">
        <v>0.22</v>
      </c>
      <c r="R50" s="17">
        <v>0</v>
      </c>
      <c r="S50" s="19">
        <v>0</v>
      </c>
      <c r="T50" s="17">
        <f t="shared" si="9"/>
        <v>3800</v>
      </c>
      <c r="U50" s="18">
        <v>0.35</v>
      </c>
      <c r="V50" s="17">
        <f t="shared" si="6"/>
        <v>5130</v>
      </c>
      <c r="W50" s="20">
        <f t="shared" si="7"/>
        <v>0.25925925925925924</v>
      </c>
      <c r="X50" s="17">
        <v>0</v>
      </c>
      <c r="Y50" s="18">
        <v>0.35</v>
      </c>
      <c r="Z50" s="17">
        <v>0</v>
      </c>
      <c r="AA50" s="18">
        <v>0</v>
      </c>
      <c r="AB50" s="18">
        <v>0.1</v>
      </c>
    </row>
    <row r="51" spans="1:28">
      <c r="A51">
        <v>2026</v>
      </c>
      <c r="B51" t="s">
        <v>145</v>
      </c>
      <c r="C51" t="s">
        <v>151</v>
      </c>
      <c r="D51" t="s">
        <v>152</v>
      </c>
      <c r="E51">
        <v>595200</v>
      </c>
      <c r="G51" t="s">
        <v>148</v>
      </c>
      <c r="H51" t="s">
        <v>148</v>
      </c>
      <c r="I51" t="s">
        <v>78</v>
      </c>
      <c r="J51" t="s">
        <v>22</v>
      </c>
      <c r="K51">
        <v>10</v>
      </c>
      <c r="L51">
        <v>39800</v>
      </c>
      <c r="M51" s="17">
        <f t="shared" si="8"/>
        <v>3980</v>
      </c>
      <c r="O51" s="17">
        <f t="shared" si="5"/>
        <v>5174</v>
      </c>
      <c r="P51" s="17">
        <v>0</v>
      </c>
      <c r="Q51" s="18">
        <v>0.12</v>
      </c>
      <c r="R51" s="17">
        <v>0</v>
      </c>
      <c r="S51" s="19">
        <v>0</v>
      </c>
      <c r="T51" s="17">
        <f t="shared" si="9"/>
        <v>3980</v>
      </c>
      <c r="U51" s="18">
        <v>0.12</v>
      </c>
      <c r="V51" s="17">
        <f t="shared" si="6"/>
        <v>4457.6000000000004</v>
      </c>
      <c r="W51" s="20">
        <f t="shared" si="7"/>
        <v>0.10714285714285722</v>
      </c>
      <c r="X51" s="17">
        <v>0</v>
      </c>
      <c r="Y51" s="18">
        <v>0.12</v>
      </c>
      <c r="Z51" s="17">
        <v>0</v>
      </c>
      <c r="AA51" s="18">
        <v>0</v>
      </c>
      <c r="AB51" s="18">
        <v>0.1</v>
      </c>
    </row>
    <row r="52" spans="1:28">
      <c r="A52">
        <v>2026</v>
      </c>
      <c r="B52" t="s">
        <v>145</v>
      </c>
      <c r="C52" t="s">
        <v>151</v>
      </c>
      <c r="D52" t="s">
        <v>152</v>
      </c>
      <c r="E52">
        <v>595300</v>
      </c>
      <c r="G52" t="s">
        <v>148</v>
      </c>
      <c r="H52" t="s">
        <v>148</v>
      </c>
      <c r="I52" t="s">
        <v>78</v>
      </c>
      <c r="J52" t="s">
        <v>22</v>
      </c>
      <c r="K52">
        <v>10</v>
      </c>
      <c r="L52">
        <v>42200</v>
      </c>
      <c r="M52" s="17">
        <f t="shared" si="8"/>
        <v>4220</v>
      </c>
      <c r="O52" s="17">
        <f t="shared" si="5"/>
        <v>5486</v>
      </c>
      <c r="P52" s="17">
        <v>0</v>
      </c>
      <c r="Q52" s="18">
        <v>0.15</v>
      </c>
      <c r="R52" s="17">
        <v>0</v>
      </c>
      <c r="S52" s="19">
        <v>0</v>
      </c>
      <c r="T52" s="17">
        <f t="shared" si="9"/>
        <v>4220</v>
      </c>
      <c r="U52" s="18">
        <v>0.25</v>
      </c>
      <c r="V52" s="17">
        <f t="shared" si="6"/>
        <v>5275</v>
      </c>
      <c r="W52" s="20">
        <f t="shared" si="7"/>
        <v>0.2</v>
      </c>
      <c r="X52" s="17">
        <v>0</v>
      </c>
      <c r="Y52" s="18">
        <v>0.25</v>
      </c>
      <c r="Z52" s="17">
        <v>0</v>
      </c>
      <c r="AA52" s="18">
        <v>0</v>
      </c>
      <c r="AB52" s="18">
        <v>0.1</v>
      </c>
    </row>
    <row r="53" spans="1:28">
      <c r="A53">
        <v>2026</v>
      </c>
      <c r="B53" t="s">
        <v>145</v>
      </c>
      <c r="C53" t="s">
        <v>151</v>
      </c>
      <c r="D53" t="s">
        <v>152</v>
      </c>
      <c r="E53">
        <v>595400</v>
      </c>
      <c r="G53" t="s">
        <v>148</v>
      </c>
      <c r="H53" t="s">
        <v>148</v>
      </c>
      <c r="I53" t="s">
        <v>78</v>
      </c>
      <c r="J53" t="s">
        <v>22</v>
      </c>
      <c r="K53">
        <v>10</v>
      </c>
      <c r="L53">
        <v>51600</v>
      </c>
      <c r="M53" s="17">
        <f t="shared" si="8"/>
        <v>5160</v>
      </c>
      <c r="O53" s="17">
        <f t="shared" si="5"/>
        <v>6708</v>
      </c>
      <c r="P53" s="17">
        <v>0</v>
      </c>
      <c r="Q53" s="18">
        <v>0.18</v>
      </c>
      <c r="R53" s="17">
        <v>0</v>
      </c>
      <c r="S53" s="19">
        <v>0</v>
      </c>
      <c r="T53" s="17">
        <f t="shared" si="9"/>
        <v>5160</v>
      </c>
      <c r="U53" s="18">
        <v>0.1</v>
      </c>
      <c r="V53" s="17">
        <f t="shared" si="6"/>
        <v>5676</v>
      </c>
      <c r="W53" s="20">
        <f t="shared" si="7"/>
        <v>9.0909090909090912E-2</v>
      </c>
      <c r="X53" s="17">
        <v>0</v>
      </c>
      <c r="Y53" s="18">
        <v>0.1</v>
      </c>
      <c r="Z53" s="17">
        <v>0</v>
      </c>
      <c r="AA53" s="18">
        <v>0</v>
      </c>
      <c r="AB53" s="18">
        <v>0.1</v>
      </c>
    </row>
    <row r="54" spans="1:28">
      <c r="A54">
        <v>2026</v>
      </c>
      <c r="B54" t="s">
        <v>145</v>
      </c>
      <c r="C54" t="s">
        <v>151</v>
      </c>
      <c r="D54" t="s">
        <v>152</v>
      </c>
      <c r="E54">
        <v>595600</v>
      </c>
      <c r="G54" t="s">
        <v>148</v>
      </c>
      <c r="H54" t="s">
        <v>148</v>
      </c>
      <c r="I54" t="s">
        <v>95</v>
      </c>
      <c r="J54" t="s">
        <v>12</v>
      </c>
      <c r="K54">
        <v>1</v>
      </c>
      <c r="L54">
        <v>43500</v>
      </c>
      <c r="M54" s="17">
        <f t="shared" si="8"/>
        <v>43500</v>
      </c>
      <c r="O54" s="17">
        <f t="shared" si="5"/>
        <v>56550</v>
      </c>
      <c r="P54" s="17">
        <v>0</v>
      </c>
      <c r="Q54" s="18">
        <v>0.28999999999999998</v>
      </c>
      <c r="R54" s="17">
        <v>0</v>
      </c>
      <c r="S54" s="19">
        <v>0</v>
      </c>
      <c r="T54" s="17">
        <f t="shared" si="9"/>
        <v>43500</v>
      </c>
      <c r="U54" s="18">
        <v>0.35</v>
      </c>
      <c r="V54" s="17">
        <f t="shared" si="6"/>
        <v>58725</v>
      </c>
      <c r="W54" s="20">
        <f t="shared" si="7"/>
        <v>0.25925925925925924</v>
      </c>
      <c r="X54" s="17">
        <v>0</v>
      </c>
      <c r="Y54" s="18">
        <v>0.35</v>
      </c>
      <c r="Z54" s="17">
        <v>0</v>
      </c>
      <c r="AA54" s="18">
        <v>0</v>
      </c>
      <c r="AB54" s="18">
        <v>0.1</v>
      </c>
    </row>
    <row r="55" spans="1:28">
      <c r="A55">
        <v>2026</v>
      </c>
      <c r="B55" t="s">
        <v>145</v>
      </c>
      <c r="C55" t="s">
        <v>151</v>
      </c>
      <c r="D55" t="s">
        <v>152</v>
      </c>
      <c r="E55">
        <v>581011</v>
      </c>
      <c r="G55" t="s">
        <v>148</v>
      </c>
      <c r="H55" t="s">
        <v>148</v>
      </c>
      <c r="I55" t="s">
        <v>100</v>
      </c>
      <c r="J55" t="s">
        <v>12</v>
      </c>
      <c r="K55">
        <v>1</v>
      </c>
      <c r="L55">
        <v>89500</v>
      </c>
      <c r="M55" s="17">
        <f t="shared" si="8"/>
        <v>89500</v>
      </c>
      <c r="O55" s="17">
        <f t="shared" si="5"/>
        <v>116350</v>
      </c>
      <c r="P55" s="17">
        <v>0</v>
      </c>
      <c r="Q55" s="18">
        <v>0.34</v>
      </c>
      <c r="R55" s="17">
        <v>0</v>
      </c>
      <c r="S55" s="19">
        <v>0</v>
      </c>
      <c r="T55" s="17">
        <f t="shared" si="9"/>
        <v>89500</v>
      </c>
      <c r="U55" s="18">
        <v>0.33</v>
      </c>
      <c r="V55" s="17">
        <f t="shared" si="6"/>
        <v>119035</v>
      </c>
      <c r="W55" s="20">
        <f t="shared" si="7"/>
        <v>0.24812030075187969</v>
      </c>
      <c r="X55" s="17">
        <v>0</v>
      </c>
      <c r="Y55" s="18">
        <v>0.33</v>
      </c>
      <c r="Z55" s="17">
        <v>0</v>
      </c>
      <c r="AA55" s="18">
        <v>0</v>
      </c>
      <c r="AB55" s="18">
        <v>0.1</v>
      </c>
    </row>
    <row r="56" spans="1:28">
      <c r="A56">
        <v>2026</v>
      </c>
      <c r="B56" t="s">
        <v>145</v>
      </c>
      <c r="C56" t="s">
        <v>151</v>
      </c>
      <c r="D56" t="s">
        <v>152</v>
      </c>
      <c r="E56">
        <v>581100</v>
      </c>
      <c r="G56" t="s">
        <v>148</v>
      </c>
      <c r="H56" t="s">
        <v>148</v>
      </c>
      <c r="I56" t="s">
        <v>100</v>
      </c>
      <c r="J56" t="s">
        <v>12</v>
      </c>
      <c r="K56">
        <v>1</v>
      </c>
      <c r="L56">
        <v>67900</v>
      </c>
      <c r="M56" s="17">
        <f t="shared" si="8"/>
        <v>67900</v>
      </c>
      <c r="O56" s="17">
        <f t="shared" si="5"/>
        <v>88270</v>
      </c>
      <c r="P56" s="17">
        <v>0</v>
      </c>
      <c r="Q56" s="18">
        <v>0.25</v>
      </c>
      <c r="R56" s="17">
        <v>0</v>
      </c>
      <c r="S56" s="19">
        <v>0</v>
      </c>
      <c r="T56" s="17">
        <f t="shared" si="9"/>
        <v>67900</v>
      </c>
      <c r="U56" s="18">
        <v>0.31</v>
      </c>
      <c r="V56" s="17">
        <f t="shared" si="6"/>
        <v>88949</v>
      </c>
      <c r="W56" s="20">
        <f t="shared" si="7"/>
        <v>0.23664122137404581</v>
      </c>
      <c r="X56" s="17">
        <v>0</v>
      </c>
      <c r="Y56" s="18">
        <v>0.31</v>
      </c>
      <c r="Z56" s="17">
        <v>0</v>
      </c>
      <c r="AA56" s="18">
        <v>0</v>
      </c>
      <c r="AB56" s="18">
        <v>0.1</v>
      </c>
    </row>
    <row r="57" spans="1:28">
      <c r="A57">
        <v>2026</v>
      </c>
      <c r="B57" t="s">
        <v>145</v>
      </c>
      <c r="C57" t="s">
        <v>151</v>
      </c>
      <c r="D57" t="s">
        <v>152</v>
      </c>
      <c r="E57">
        <v>581200</v>
      </c>
      <c r="G57" t="s">
        <v>148</v>
      </c>
      <c r="H57" t="s">
        <v>148</v>
      </c>
      <c r="I57" t="s">
        <v>100</v>
      </c>
      <c r="J57" t="s">
        <v>12</v>
      </c>
      <c r="K57">
        <v>1</v>
      </c>
      <c r="L57">
        <v>50300</v>
      </c>
      <c r="M57" s="17">
        <f t="shared" si="8"/>
        <v>50300</v>
      </c>
      <c r="O57" s="17">
        <f t="shared" si="5"/>
        <v>65390</v>
      </c>
      <c r="P57" s="17">
        <v>0</v>
      </c>
      <c r="Q57" s="18">
        <v>0.35</v>
      </c>
      <c r="R57" s="17">
        <v>0</v>
      </c>
      <c r="S57" s="19">
        <v>0</v>
      </c>
      <c r="T57" s="17">
        <f t="shared" si="9"/>
        <v>50300</v>
      </c>
      <c r="U57" s="18">
        <v>0.3</v>
      </c>
      <c r="V57" s="17">
        <f t="shared" si="6"/>
        <v>65390</v>
      </c>
      <c r="W57" s="20">
        <f t="shared" si="7"/>
        <v>0.23076923076923078</v>
      </c>
      <c r="X57" s="17">
        <v>0</v>
      </c>
      <c r="Y57" s="18">
        <v>0.3</v>
      </c>
      <c r="Z57" s="17">
        <v>0</v>
      </c>
      <c r="AA57" s="18">
        <v>0</v>
      </c>
      <c r="AB57" s="18">
        <v>0.1</v>
      </c>
    </row>
    <row r="58" spans="1:28">
      <c r="A58">
        <v>2026</v>
      </c>
      <c r="B58" t="s">
        <v>145</v>
      </c>
      <c r="C58" t="s">
        <v>151</v>
      </c>
      <c r="D58" t="s">
        <v>152</v>
      </c>
      <c r="E58">
        <v>581300</v>
      </c>
      <c r="G58" t="s">
        <v>148</v>
      </c>
      <c r="H58" t="s">
        <v>148</v>
      </c>
      <c r="I58" t="s">
        <v>100</v>
      </c>
      <c r="J58" t="s">
        <v>12</v>
      </c>
      <c r="K58">
        <v>1</v>
      </c>
      <c r="L58">
        <v>53300</v>
      </c>
      <c r="M58" s="17">
        <f t="shared" si="8"/>
        <v>53300</v>
      </c>
      <c r="O58" s="17">
        <f t="shared" si="5"/>
        <v>69290</v>
      </c>
      <c r="P58" s="17">
        <v>0</v>
      </c>
      <c r="Q58" s="18">
        <v>0.12</v>
      </c>
      <c r="R58" s="17">
        <v>0</v>
      </c>
      <c r="S58" s="19">
        <v>0</v>
      </c>
      <c r="T58" s="17">
        <f t="shared" si="9"/>
        <v>53300</v>
      </c>
      <c r="U58" s="18">
        <v>0.28000000000000003</v>
      </c>
      <c r="V58" s="17">
        <f t="shared" si="6"/>
        <v>68224</v>
      </c>
      <c r="W58" s="20">
        <f t="shared" si="7"/>
        <v>0.21875</v>
      </c>
      <c r="X58" s="17">
        <v>0</v>
      </c>
      <c r="Y58" s="18">
        <v>0.28000000000000003</v>
      </c>
      <c r="Z58" s="17">
        <v>0</v>
      </c>
      <c r="AA58" s="18">
        <v>0</v>
      </c>
      <c r="AB58" s="18">
        <v>0.1</v>
      </c>
    </row>
    <row r="59" spans="1:28" ht="15">
      <c r="A59" s="11" t="s">
        <v>117</v>
      </c>
      <c r="B59" s="11" t="s">
        <v>118</v>
      </c>
      <c r="C59" s="11" t="s">
        <v>119</v>
      </c>
      <c r="D59" s="11" t="s">
        <v>120</v>
      </c>
      <c r="E59" s="11" t="s">
        <v>121</v>
      </c>
      <c r="F59" s="11" t="s">
        <v>122</v>
      </c>
      <c r="G59" s="11" t="s">
        <v>123</v>
      </c>
      <c r="H59" s="11" t="s">
        <v>124</v>
      </c>
      <c r="I59" s="11" t="s">
        <v>125</v>
      </c>
      <c r="J59" s="11" t="s">
        <v>126</v>
      </c>
      <c r="K59" s="11" t="s">
        <v>127</v>
      </c>
      <c r="L59" s="11" t="s">
        <v>128</v>
      </c>
      <c r="M59" s="12" t="s">
        <v>129</v>
      </c>
      <c r="N59" s="11" t="s">
        <v>130</v>
      </c>
      <c r="O59" s="11" t="s">
        <v>131</v>
      </c>
      <c r="P59" s="11" t="s">
        <v>132</v>
      </c>
      <c r="Q59" s="13" t="s">
        <v>133</v>
      </c>
      <c r="R59" s="14" t="s">
        <v>134</v>
      </c>
      <c r="S59" s="15" t="s">
        <v>135</v>
      </c>
      <c r="T59" s="16" t="s">
        <v>136</v>
      </c>
      <c r="U59" s="16" t="s">
        <v>137</v>
      </c>
      <c r="V59" s="16" t="s">
        <v>138</v>
      </c>
      <c r="W59" s="13" t="s">
        <v>139</v>
      </c>
      <c r="X59" s="16" t="s">
        <v>140</v>
      </c>
      <c r="Y59" s="16" t="s">
        <v>141</v>
      </c>
      <c r="Z59" s="16" t="s">
        <v>142</v>
      </c>
      <c r="AA59" s="13" t="s">
        <v>143</v>
      </c>
      <c r="AB59" s="14" t="s">
        <v>144</v>
      </c>
    </row>
    <row r="60" spans="1:28">
      <c r="A60">
        <v>2026</v>
      </c>
      <c r="B60" t="s">
        <v>145</v>
      </c>
      <c r="C60" t="s">
        <v>151</v>
      </c>
      <c r="D60" t="s">
        <v>152</v>
      </c>
      <c r="E60">
        <v>360001</v>
      </c>
      <c r="G60" t="s">
        <v>148</v>
      </c>
      <c r="H60" t="s">
        <v>148</v>
      </c>
      <c r="I60" t="s">
        <v>9</v>
      </c>
      <c r="J60" t="s">
        <v>12</v>
      </c>
      <c r="K60">
        <v>1</v>
      </c>
      <c r="L60">
        <v>893800</v>
      </c>
      <c r="M60" s="17">
        <f>L60/K60</f>
        <v>893800</v>
      </c>
      <c r="O60" s="17">
        <f t="shared" ref="O60:O87" si="10">M60+(M60*30%)</f>
        <v>1161940</v>
      </c>
      <c r="P60" s="17">
        <v>0</v>
      </c>
      <c r="Q60" s="18">
        <v>0.17</v>
      </c>
      <c r="R60" s="17">
        <v>0</v>
      </c>
      <c r="S60" s="19">
        <v>0</v>
      </c>
      <c r="T60" s="17">
        <f>IF(C60="Mediana Complejidad",M60,0)</f>
        <v>893800</v>
      </c>
      <c r="U60" s="18">
        <v>0.27</v>
      </c>
      <c r="V60" s="17">
        <f t="shared" ref="V60:V87" si="11">T60+(T60*U60)</f>
        <v>1135126</v>
      </c>
      <c r="W60" s="20">
        <f t="shared" ref="W60:W87" si="12">IFERROR(((V60-T60)/V60),0)</f>
        <v>0.2125984251968504</v>
      </c>
      <c r="X60" s="17">
        <v>0</v>
      </c>
      <c r="Y60" s="18">
        <v>0.28000000000000003</v>
      </c>
      <c r="Z60" s="17">
        <v>0</v>
      </c>
      <c r="AA60" s="18">
        <v>0</v>
      </c>
      <c r="AB60" s="18">
        <v>0.1</v>
      </c>
    </row>
    <row r="61" spans="1:28">
      <c r="A61">
        <v>2026</v>
      </c>
      <c r="B61" t="s">
        <v>145</v>
      </c>
      <c r="C61" t="s">
        <v>151</v>
      </c>
      <c r="D61" t="s">
        <v>152</v>
      </c>
      <c r="E61">
        <v>360102</v>
      </c>
      <c r="G61" t="s">
        <v>148</v>
      </c>
      <c r="H61" t="s">
        <v>148</v>
      </c>
      <c r="I61" t="s">
        <v>19</v>
      </c>
      <c r="J61" t="s">
        <v>22</v>
      </c>
      <c r="K61">
        <v>10</v>
      </c>
      <c r="L61">
        <v>13500</v>
      </c>
      <c r="M61" s="17">
        <f t="shared" ref="M61:M87" si="13">L61/K61</f>
        <v>1350</v>
      </c>
      <c r="O61" s="17">
        <f t="shared" si="10"/>
        <v>1755</v>
      </c>
      <c r="P61" s="17">
        <v>0</v>
      </c>
      <c r="Q61" s="18">
        <v>0.22</v>
      </c>
      <c r="R61" s="17">
        <v>0</v>
      </c>
      <c r="S61" s="19">
        <v>0</v>
      </c>
      <c r="T61" s="17">
        <f t="shared" ref="T61:T87" si="14">IF(C61="Mediana Complejidad",M61,0)</f>
        <v>1350</v>
      </c>
      <c r="U61" s="18">
        <v>0.17</v>
      </c>
      <c r="V61" s="17">
        <f t="shared" si="11"/>
        <v>1579.5</v>
      </c>
      <c r="W61" s="20">
        <f t="shared" si="12"/>
        <v>0.14529914529914531</v>
      </c>
      <c r="X61" s="17">
        <v>0</v>
      </c>
      <c r="Y61" s="18">
        <v>0.27</v>
      </c>
      <c r="Z61" s="17">
        <v>0</v>
      </c>
      <c r="AA61" s="18">
        <v>0</v>
      </c>
      <c r="AB61" s="18">
        <v>0.1</v>
      </c>
    </row>
    <row r="62" spans="1:28">
      <c r="A62">
        <v>2026</v>
      </c>
      <c r="B62" t="s">
        <v>145</v>
      </c>
      <c r="C62" t="s">
        <v>151</v>
      </c>
      <c r="D62" t="s">
        <v>152</v>
      </c>
      <c r="E62">
        <v>360104</v>
      </c>
      <c r="G62" t="s">
        <v>148</v>
      </c>
      <c r="H62" t="s">
        <v>148</v>
      </c>
      <c r="I62" t="s">
        <v>19</v>
      </c>
      <c r="J62" t="s">
        <v>22</v>
      </c>
      <c r="K62">
        <v>10</v>
      </c>
      <c r="L62">
        <v>28800</v>
      </c>
      <c r="M62" s="17">
        <f t="shared" si="13"/>
        <v>2880</v>
      </c>
      <c r="O62" s="17">
        <f t="shared" si="10"/>
        <v>3744</v>
      </c>
      <c r="P62" s="17">
        <v>0</v>
      </c>
      <c r="Q62" s="18">
        <v>0.12</v>
      </c>
      <c r="R62" s="17">
        <v>0</v>
      </c>
      <c r="S62" s="19">
        <v>0</v>
      </c>
      <c r="T62" s="17">
        <f t="shared" si="14"/>
        <v>2880</v>
      </c>
      <c r="U62" s="18">
        <v>0.22</v>
      </c>
      <c r="V62" s="17">
        <f t="shared" si="11"/>
        <v>3513.6</v>
      </c>
      <c r="W62" s="20">
        <f t="shared" si="12"/>
        <v>0.18032786885245899</v>
      </c>
      <c r="X62" s="17">
        <v>0</v>
      </c>
      <c r="Y62" s="18">
        <v>0.17</v>
      </c>
      <c r="Z62" s="17">
        <v>0</v>
      </c>
      <c r="AA62" s="18">
        <v>0</v>
      </c>
      <c r="AB62" s="18">
        <v>0.1</v>
      </c>
    </row>
    <row r="63" spans="1:28">
      <c r="A63">
        <v>2026</v>
      </c>
      <c r="B63" t="s">
        <v>145</v>
      </c>
      <c r="C63" t="s">
        <v>151</v>
      </c>
      <c r="D63" t="s">
        <v>152</v>
      </c>
      <c r="E63">
        <v>360100</v>
      </c>
      <c r="G63" t="s">
        <v>148</v>
      </c>
      <c r="H63" t="s">
        <v>148</v>
      </c>
      <c r="I63" t="s">
        <v>19</v>
      </c>
      <c r="J63" t="s">
        <v>22</v>
      </c>
      <c r="K63">
        <v>10</v>
      </c>
      <c r="L63">
        <v>63400</v>
      </c>
      <c r="M63" s="17">
        <f t="shared" si="13"/>
        <v>6340</v>
      </c>
      <c r="O63" s="17">
        <f t="shared" si="10"/>
        <v>8242</v>
      </c>
      <c r="P63" s="17">
        <v>0</v>
      </c>
      <c r="Q63" s="18">
        <v>0.15</v>
      </c>
      <c r="R63" s="17">
        <v>0</v>
      </c>
      <c r="S63" s="19">
        <v>0</v>
      </c>
      <c r="T63" s="17">
        <f t="shared" si="14"/>
        <v>6340</v>
      </c>
      <c r="U63" s="18">
        <v>0.12</v>
      </c>
      <c r="V63" s="17">
        <f t="shared" si="11"/>
        <v>7100.8</v>
      </c>
      <c r="W63" s="20">
        <f t="shared" si="12"/>
        <v>0.10714285714285716</v>
      </c>
      <c r="X63" s="17">
        <v>0</v>
      </c>
      <c r="Y63" s="18">
        <v>0.22</v>
      </c>
      <c r="Z63" s="17">
        <v>0</v>
      </c>
      <c r="AA63" s="18">
        <v>0</v>
      </c>
      <c r="AB63" s="18">
        <v>0.1</v>
      </c>
    </row>
    <row r="64" spans="1:28">
      <c r="A64">
        <v>2026</v>
      </c>
      <c r="B64" t="s">
        <v>145</v>
      </c>
      <c r="C64" t="s">
        <v>151</v>
      </c>
      <c r="D64" t="s">
        <v>152</v>
      </c>
      <c r="E64">
        <v>360150</v>
      </c>
      <c r="G64" t="s">
        <v>148</v>
      </c>
      <c r="H64" t="s">
        <v>148</v>
      </c>
      <c r="I64" t="s">
        <v>30</v>
      </c>
      <c r="J64" t="s">
        <v>22</v>
      </c>
      <c r="K64">
        <v>10</v>
      </c>
      <c r="L64">
        <v>24200</v>
      </c>
      <c r="M64" s="17">
        <f t="shared" si="13"/>
        <v>2420</v>
      </c>
      <c r="O64" s="17">
        <f t="shared" si="10"/>
        <v>3146</v>
      </c>
      <c r="P64" s="17">
        <v>0</v>
      </c>
      <c r="Q64" s="18">
        <v>0.18</v>
      </c>
      <c r="R64" s="17">
        <v>0</v>
      </c>
      <c r="S64" s="19">
        <v>0</v>
      </c>
      <c r="T64" s="17">
        <f t="shared" si="14"/>
        <v>2420</v>
      </c>
      <c r="U64" s="18">
        <v>0.15</v>
      </c>
      <c r="V64" s="17">
        <f t="shared" si="11"/>
        <v>2783</v>
      </c>
      <c r="W64" s="20">
        <f t="shared" si="12"/>
        <v>0.13043478260869565</v>
      </c>
      <c r="X64" s="17">
        <v>0</v>
      </c>
      <c r="Y64" s="18">
        <v>0.12</v>
      </c>
      <c r="Z64" s="17">
        <v>0</v>
      </c>
      <c r="AA64" s="18">
        <v>0</v>
      </c>
      <c r="AB64" s="18">
        <v>0.1</v>
      </c>
    </row>
    <row r="65" spans="1:28">
      <c r="A65">
        <v>2026</v>
      </c>
      <c r="B65" t="s">
        <v>145</v>
      </c>
      <c r="C65" t="s">
        <v>151</v>
      </c>
      <c r="D65" t="s">
        <v>152</v>
      </c>
      <c r="E65">
        <v>360101</v>
      </c>
      <c r="G65" t="s">
        <v>148</v>
      </c>
      <c r="H65" t="s">
        <v>148</v>
      </c>
      <c r="I65" t="s">
        <v>30</v>
      </c>
      <c r="J65" t="s">
        <v>22</v>
      </c>
      <c r="K65">
        <v>10</v>
      </c>
      <c r="L65">
        <v>36700</v>
      </c>
      <c r="M65" s="17">
        <f t="shared" si="13"/>
        <v>3670</v>
      </c>
      <c r="O65" s="17">
        <f t="shared" si="10"/>
        <v>4771</v>
      </c>
      <c r="P65" s="17">
        <v>0</v>
      </c>
      <c r="Q65" s="18">
        <v>0.28999999999999998</v>
      </c>
      <c r="R65" s="17">
        <v>0</v>
      </c>
      <c r="S65" s="19">
        <v>0</v>
      </c>
      <c r="T65" s="17">
        <f t="shared" si="14"/>
        <v>3670</v>
      </c>
      <c r="U65" s="18">
        <v>0.18</v>
      </c>
      <c r="V65" s="17">
        <f t="shared" si="11"/>
        <v>4330.6000000000004</v>
      </c>
      <c r="W65" s="20">
        <f t="shared" si="12"/>
        <v>0.152542372881356</v>
      </c>
      <c r="X65" s="17">
        <v>0</v>
      </c>
      <c r="Y65" s="18">
        <v>0.15</v>
      </c>
      <c r="Z65" s="17">
        <v>0</v>
      </c>
      <c r="AA65" s="18">
        <v>0</v>
      </c>
      <c r="AB65" s="18">
        <v>0.1</v>
      </c>
    </row>
    <row r="66" spans="1:28">
      <c r="A66">
        <v>2026</v>
      </c>
      <c r="B66" t="s">
        <v>145</v>
      </c>
      <c r="C66" t="s">
        <v>151</v>
      </c>
      <c r="D66" t="s">
        <v>152</v>
      </c>
      <c r="E66">
        <v>360103</v>
      </c>
      <c r="G66" t="s">
        <v>148</v>
      </c>
      <c r="H66" t="s">
        <v>148</v>
      </c>
      <c r="I66" t="s">
        <v>30</v>
      </c>
      <c r="J66" t="s">
        <v>22</v>
      </c>
      <c r="K66">
        <v>10</v>
      </c>
      <c r="L66">
        <v>91800</v>
      </c>
      <c r="M66" s="17">
        <f t="shared" si="13"/>
        <v>9180</v>
      </c>
      <c r="O66" s="17">
        <f t="shared" si="10"/>
        <v>11934</v>
      </c>
      <c r="P66" s="17">
        <v>0</v>
      </c>
      <c r="Q66" s="18">
        <v>0.34</v>
      </c>
      <c r="R66" s="17">
        <v>0</v>
      </c>
      <c r="S66" s="19">
        <v>0</v>
      </c>
      <c r="T66" s="17">
        <f t="shared" si="14"/>
        <v>9180</v>
      </c>
      <c r="U66" s="18">
        <v>0.28999999999999998</v>
      </c>
      <c r="V66" s="17">
        <f t="shared" si="11"/>
        <v>11842.2</v>
      </c>
      <c r="W66" s="20">
        <f t="shared" si="12"/>
        <v>0.22480620155038764</v>
      </c>
      <c r="X66" s="17">
        <v>0</v>
      </c>
      <c r="Y66" s="18">
        <v>0.18</v>
      </c>
      <c r="Z66" s="17">
        <v>0</v>
      </c>
      <c r="AA66" s="18">
        <v>0</v>
      </c>
      <c r="AB66" s="18">
        <v>0.1</v>
      </c>
    </row>
    <row r="67" spans="1:28">
      <c r="A67">
        <v>2026</v>
      </c>
      <c r="B67" t="s">
        <v>145</v>
      </c>
      <c r="C67" t="s">
        <v>151</v>
      </c>
      <c r="D67" t="s">
        <v>152</v>
      </c>
      <c r="E67">
        <v>709900</v>
      </c>
      <c r="G67" t="s">
        <v>148</v>
      </c>
      <c r="H67" t="s">
        <v>148</v>
      </c>
      <c r="I67" t="s">
        <v>44</v>
      </c>
      <c r="J67" t="s">
        <v>29</v>
      </c>
      <c r="K67">
        <v>5</v>
      </c>
      <c r="L67">
        <v>17300</v>
      </c>
      <c r="M67" s="17">
        <f t="shared" si="13"/>
        <v>3460</v>
      </c>
      <c r="O67" s="17">
        <f t="shared" si="10"/>
        <v>4498</v>
      </c>
      <c r="P67" s="17">
        <v>0</v>
      </c>
      <c r="Q67" s="18">
        <v>0.25</v>
      </c>
      <c r="R67" s="17">
        <v>0</v>
      </c>
      <c r="S67" s="19">
        <v>0</v>
      </c>
      <c r="T67" s="17">
        <f t="shared" si="14"/>
        <v>3460</v>
      </c>
      <c r="U67" s="18">
        <v>0.34</v>
      </c>
      <c r="V67" s="17">
        <f t="shared" si="11"/>
        <v>4636.3999999999996</v>
      </c>
      <c r="W67" s="20">
        <f t="shared" si="12"/>
        <v>0.25373134328358204</v>
      </c>
      <c r="X67" s="17">
        <v>0</v>
      </c>
      <c r="Y67" s="18">
        <v>0.28999999999999998</v>
      </c>
      <c r="Z67" s="17">
        <v>0</v>
      </c>
      <c r="AA67" s="18">
        <v>0</v>
      </c>
      <c r="AB67" s="18">
        <v>0.1</v>
      </c>
    </row>
    <row r="68" spans="1:28">
      <c r="A68">
        <v>2026</v>
      </c>
      <c r="B68" t="s">
        <v>145</v>
      </c>
      <c r="C68" t="s">
        <v>151</v>
      </c>
      <c r="D68" t="s">
        <v>152</v>
      </c>
      <c r="E68">
        <v>709902</v>
      </c>
      <c r="G68" t="s">
        <v>148</v>
      </c>
      <c r="H68" t="s">
        <v>148</v>
      </c>
      <c r="I68" t="s">
        <v>44</v>
      </c>
      <c r="J68" t="s">
        <v>29</v>
      </c>
      <c r="K68">
        <v>5</v>
      </c>
      <c r="L68">
        <v>29000</v>
      </c>
      <c r="M68" s="17">
        <f t="shared" si="13"/>
        <v>5800</v>
      </c>
      <c r="O68" s="17">
        <f t="shared" si="10"/>
        <v>7540</v>
      </c>
      <c r="P68" s="17">
        <v>0</v>
      </c>
      <c r="Q68" s="18">
        <v>0.35</v>
      </c>
      <c r="R68" s="17">
        <v>0</v>
      </c>
      <c r="S68" s="19">
        <v>0</v>
      </c>
      <c r="T68" s="17">
        <f t="shared" si="14"/>
        <v>5800</v>
      </c>
      <c r="U68" s="18">
        <v>0.25</v>
      </c>
      <c r="V68" s="17">
        <f t="shared" si="11"/>
        <v>7250</v>
      </c>
      <c r="W68" s="20">
        <f t="shared" si="12"/>
        <v>0.2</v>
      </c>
      <c r="X68" s="17">
        <v>0</v>
      </c>
      <c r="Y68" s="18">
        <v>0.34</v>
      </c>
      <c r="Z68" s="17">
        <v>0</v>
      </c>
      <c r="AA68" s="18">
        <v>0</v>
      </c>
      <c r="AB68" s="18">
        <v>0.1</v>
      </c>
    </row>
    <row r="69" spans="1:28">
      <c r="A69">
        <v>2026</v>
      </c>
      <c r="B69" t="s">
        <v>145</v>
      </c>
      <c r="C69" t="s">
        <v>151</v>
      </c>
      <c r="D69" t="s">
        <v>152</v>
      </c>
      <c r="E69">
        <v>709903</v>
      </c>
      <c r="G69" t="s">
        <v>148</v>
      </c>
      <c r="H69" t="s">
        <v>148</v>
      </c>
      <c r="I69" t="s">
        <v>44</v>
      </c>
      <c r="J69" t="s">
        <v>29</v>
      </c>
      <c r="K69">
        <v>5</v>
      </c>
      <c r="L69">
        <v>36700</v>
      </c>
      <c r="M69" s="17">
        <f t="shared" si="13"/>
        <v>7340</v>
      </c>
      <c r="O69" s="17">
        <f t="shared" si="10"/>
        <v>9542</v>
      </c>
      <c r="P69" s="17">
        <v>0</v>
      </c>
      <c r="Q69" s="18">
        <v>0.12</v>
      </c>
      <c r="R69" s="17">
        <v>0</v>
      </c>
      <c r="S69" s="19">
        <v>0</v>
      </c>
      <c r="T69" s="17">
        <f t="shared" si="14"/>
        <v>7340</v>
      </c>
      <c r="U69" s="18">
        <v>0.35</v>
      </c>
      <c r="V69" s="17">
        <f t="shared" si="11"/>
        <v>9909</v>
      </c>
      <c r="W69" s="20">
        <f t="shared" si="12"/>
        <v>0.25925925925925924</v>
      </c>
      <c r="X69" s="17">
        <v>0</v>
      </c>
      <c r="Y69" s="18">
        <v>0.25</v>
      </c>
      <c r="Z69" s="17">
        <v>0</v>
      </c>
      <c r="AA69" s="18">
        <v>0</v>
      </c>
      <c r="AB69" s="18">
        <v>0.1</v>
      </c>
    </row>
    <row r="70" spans="1:28">
      <c r="A70">
        <v>2026</v>
      </c>
      <c r="B70" t="s">
        <v>145</v>
      </c>
      <c r="C70" t="s">
        <v>151</v>
      </c>
      <c r="D70" t="s">
        <v>152</v>
      </c>
      <c r="E70">
        <v>709909</v>
      </c>
      <c r="G70" t="s">
        <v>148</v>
      </c>
      <c r="H70" t="s">
        <v>148</v>
      </c>
      <c r="I70" t="s">
        <v>44</v>
      </c>
      <c r="J70" t="s">
        <v>29</v>
      </c>
      <c r="K70">
        <v>5</v>
      </c>
      <c r="L70">
        <v>75900</v>
      </c>
      <c r="M70" s="17">
        <f t="shared" si="13"/>
        <v>15180</v>
      </c>
      <c r="O70" s="17">
        <f t="shared" si="10"/>
        <v>19734</v>
      </c>
      <c r="P70" s="17">
        <v>0</v>
      </c>
      <c r="Q70" s="18">
        <v>0.25</v>
      </c>
      <c r="R70" s="17">
        <v>0</v>
      </c>
      <c r="S70" s="19">
        <v>0</v>
      </c>
      <c r="T70" s="17">
        <f t="shared" si="14"/>
        <v>15180</v>
      </c>
      <c r="U70" s="18">
        <v>0.12</v>
      </c>
      <c r="V70" s="17">
        <f t="shared" si="11"/>
        <v>17001.599999999999</v>
      </c>
      <c r="W70" s="20">
        <f t="shared" si="12"/>
        <v>0.10714285714285707</v>
      </c>
      <c r="X70" s="17">
        <v>0</v>
      </c>
      <c r="Y70" s="18">
        <v>0.35</v>
      </c>
      <c r="Z70" s="17">
        <v>0</v>
      </c>
      <c r="AA70" s="18">
        <v>0</v>
      </c>
      <c r="AB70" s="18">
        <v>0.1</v>
      </c>
    </row>
    <row r="71" spans="1:28">
      <c r="A71">
        <v>2026</v>
      </c>
      <c r="B71" t="s">
        <v>145</v>
      </c>
      <c r="C71" t="s">
        <v>151</v>
      </c>
      <c r="D71" t="s">
        <v>152</v>
      </c>
      <c r="E71">
        <v>709904</v>
      </c>
      <c r="G71" t="s">
        <v>148</v>
      </c>
      <c r="H71" t="s">
        <v>148</v>
      </c>
      <c r="I71" t="s">
        <v>55</v>
      </c>
      <c r="J71" t="s">
        <v>29</v>
      </c>
      <c r="K71">
        <v>5</v>
      </c>
      <c r="L71">
        <v>16900</v>
      </c>
      <c r="M71" s="17">
        <f t="shared" si="13"/>
        <v>3380</v>
      </c>
      <c r="O71" s="17">
        <f t="shared" si="10"/>
        <v>4394</v>
      </c>
      <c r="P71" s="17">
        <v>0</v>
      </c>
      <c r="Q71" s="18">
        <v>0.1</v>
      </c>
      <c r="R71" s="17">
        <v>0</v>
      </c>
      <c r="S71" s="19">
        <v>0</v>
      </c>
      <c r="T71" s="17">
        <f t="shared" si="14"/>
        <v>3380</v>
      </c>
      <c r="U71" s="18">
        <v>0.25</v>
      </c>
      <c r="V71" s="17">
        <f t="shared" si="11"/>
        <v>4225</v>
      </c>
      <c r="W71" s="20">
        <f t="shared" si="12"/>
        <v>0.2</v>
      </c>
      <c r="X71" s="17">
        <v>0</v>
      </c>
      <c r="Y71" s="18">
        <v>0.12</v>
      </c>
      <c r="Z71" s="17">
        <v>0</v>
      </c>
      <c r="AA71" s="18">
        <v>0</v>
      </c>
      <c r="AB71" s="18">
        <v>0.1</v>
      </c>
    </row>
    <row r="72" spans="1:28">
      <c r="A72">
        <v>2026</v>
      </c>
      <c r="B72" t="s">
        <v>145</v>
      </c>
      <c r="C72" t="s">
        <v>151</v>
      </c>
      <c r="D72" t="s">
        <v>152</v>
      </c>
      <c r="E72">
        <v>603421</v>
      </c>
      <c r="G72" t="s">
        <v>148</v>
      </c>
      <c r="H72" t="s">
        <v>148</v>
      </c>
      <c r="I72" t="s">
        <v>55</v>
      </c>
      <c r="J72" t="s">
        <v>29</v>
      </c>
      <c r="K72">
        <v>5</v>
      </c>
      <c r="L72">
        <v>21900</v>
      </c>
      <c r="M72" s="17">
        <f t="shared" si="13"/>
        <v>4380</v>
      </c>
      <c r="O72" s="17">
        <f t="shared" si="10"/>
        <v>5694</v>
      </c>
      <c r="P72" s="17">
        <v>0</v>
      </c>
      <c r="Q72" s="18">
        <v>0.35</v>
      </c>
      <c r="R72" s="17">
        <v>0</v>
      </c>
      <c r="S72" s="19">
        <v>0</v>
      </c>
      <c r="T72" s="17">
        <f t="shared" si="14"/>
        <v>4380</v>
      </c>
      <c r="U72" s="18">
        <v>0.1</v>
      </c>
      <c r="V72" s="17">
        <f t="shared" si="11"/>
        <v>4818</v>
      </c>
      <c r="W72" s="20">
        <f t="shared" si="12"/>
        <v>9.0909090909090912E-2</v>
      </c>
      <c r="X72" s="17">
        <v>0</v>
      </c>
      <c r="Y72" s="18">
        <v>0.22</v>
      </c>
      <c r="Z72" s="17">
        <v>0</v>
      </c>
      <c r="AA72" s="18">
        <v>0</v>
      </c>
      <c r="AB72" s="18">
        <v>0.1</v>
      </c>
    </row>
    <row r="73" spans="1:28">
      <c r="A73">
        <v>2026</v>
      </c>
      <c r="B73" t="s">
        <v>145</v>
      </c>
      <c r="C73" t="s">
        <v>151</v>
      </c>
      <c r="D73" t="s">
        <v>152</v>
      </c>
      <c r="E73">
        <v>603422</v>
      </c>
      <c r="G73" t="s">
        <v>148</v>
      </c>
      <c r="H73" t="s">
        <v>148</v>
      </c>
      <c r="I73" t="s">
        <v>60</v>
      </c>
      <c r="J73" t="s">
        <v>29</v>
      </c>
      <c r="K73">
        <v>5</v>
      </c>
      <c r="L73">
        <v>38600</v>
      </c>
      <c r="M73" s="17">
        <f t="shared" si="13"/>
        <v>7720</v>
      </c>
      <c r="O73" s="17">
        <f t="shared" si="10"/>
        <v>10036</v>
      </c>
      <c r="P73" s="17">
        <v>0</v>
      </c>
      <c r="Q73" s="18">
        <v>0.33</v>
      </c>
      <c r="R73" s="17">
        <v>0</v>
      </c>
      <c r="S73" s="19">
        <v>0</v>
      </c>
      <c r="T73" s="17">
        <f t="shared" si="14"/>
        <v>7720</v>
      </c>
      <c r="U73" s="18">
        <v>0.12</v>
      </c>
      <c r="V73" s="17">
        <f t="shared" si="11"/>
        <v>8646.4</v>
      </c>
      <c r="W73" s="20">
        <f t="shared" si="12"/>
        <v>0.10714285714285711</v>
      </c>
      <c r="X73" s="17">
        <v>0</v>
      </c>
      <c r="Y73" s="18">
        <v>0.12</v>
      </c>
      <c r="Z73" s="17">
        <v>0</v>
      </c>
      <c r="AA73" s="18">
        <v>0</v>
      </c>
      <c r="AB73" s="18">
        <v>0.1</v>
      </c>
    </row>
    <row r="74" spans="1:28">
      <c r="A74">
        <v>2026</v>
      </c>
      <c r="B74" t="s">
        <v>145</v>
      </c>
      <c r="C74" t="s">
        <v>151</v>
      </c>
      <c r="D74" t="s">
        <v>152</v>
      </c>
      <c r="E74">
        <v>603423</v>
      </c>
      <c r="G74" t="s">
        <v>148</v>
      </c>
      <c r="H74" t="s">
        <v>148</v>
      </c>
      <c r="I74" t="s">
        <v>60</v>
      </c>
      <c r="J74" t="s">
        <v>29</v>
      </c>
      <c r="K74">
        <v>5</v>
      </c>
      <c r="L74">
        <v>107200</v>
      </c>
      <c r="M74" s="17">
        <f t="shared" si="13"/>
        <v>21440</v>
      </c>
      <c r="O74" s="17">
        <f t="shared" si="10"/>
        <v>27872</v>
      </c>
      <c r="P74" s="17">
        <v>0</v>
      </c>
      <c r="Q74" s="18">
        <v>0.31</v>
      </c>
      <c r="R74" s="17">
        <v>0</v>
      </c>
      <c r="S74" s="19">
        <v>0</v>
      </c>
      <c r="T74" s="17">
        <f t="shared" si="14"/>
        <v>21440</v>
      </c>
      <c r="U74" s="18">
        <v>0.15</v>
      </c>
      <c r="V74" s="17">
        <f t="shared" si="11"/>
        <v>24656</v>
      </c>
      <c r="W74" s="20">
        <f t="shared" si="12"/>
        <v>0.13043478260869565</v>
      </c>
      <c r="X74" s="17">
        <v>0</v>
      </c>
      <c r="Y74" s="18">
        <v>0.15</v>
      </c>
      <c r="Z74" s="17">
        <v>0</v>
      </c>
      <c r="AA74" s="18">
        <v>0</v>
      </c>
      <c r="AB74" s="18">
        <v>0.1</v>
      </c>
    </row>
    <row r="75" spans="1:28">
      <c r="A75">
        <v>2026</v>
      </c>
      <c r="B75" t="s">
        <v>145</v>
      </c>
      <c r="C75" t="s">
        <v>151</v>
      </c>
      <c r="D75" t="s">
        <v>152</v>
      </c>
      <c r="E75">
        <v>603420</v>
      </c>
      <c r="G75" t="s">
        <v>148</v>
      </c>
      <c r="H75" t="s">
        <v>148</v>
      </c>
      <c r="I75" t="s">
        <v>60</v>
      </c>
      <c r="J75" t="s">
        <v>29</v>
      </c>
      <c r="K75">
        <v>5</v>
      </c>
      <c r="L75">
        <v>114900</v>
      </c>
      <c r="M75" s="17">
        <f t="shared" si="13"/>
        <v>22980</v>
      </c>
      <c r="O75" s="17">
        <f t="shared" si="10"/>
        <v>29874</v>
      </c>
      <c r="P75" s="17">
        <v>0</v>
      </c>
      <c r="Q75" s="18">
        <v>0.3</v>
      </c>
      <c r="R75" s="17">
        <v>0</v>
      </c>
      <c r="S75" s="19">
        <v>0</v>
      </c>
      <c r="T75" s="17">
        <f t="shared" si="14"/>
        <v>22980</v>
      </c>
      <c r="U75" s="18">
        <v>0.18</v>
      </c>
      <c r="V75" s="17">
        <f t="shared" si="11"/>
        <v>27116.400000000001</v>
      </c>
      <c r="W75" s="20">
        <f t="shared" si="12"/>
        <v>0.15254237288135597</v>
      </c>
      <c r="X75" s="17">
        <v>0</v>
      </c>
      <c r="Y75" s="18">
        <v>0.18</v>
      </c>
      <c r="Z75" s="17">
        <v>0</v>
      </c>
      <c r="AA75" s="18">
        <v>0</v>
      </c>
      <c r="AB75" s="18">
        <v>0.1</v>
      </c>
    </row>
    <row r="76" spans="1:28">
      <c r="A76">
        <v>2026</v>
      </c>
      <c r="B76" t="s">
        <v>145</v>
      </c>
      <c r="C76" t="s">
        <v>151</v>
      </c>
      <c r="D76" t="s">
        <v>152</v>
      </c>
      <c r="E76">
        <v>603424</v>
      </c>
      <c r="G76" t="s">
        <v>148</v>
      </c>
      <c r="H76" t="s">
        <v>148</v>
      </c>
      <c r="I76" t="s">
        <v>60</v>
      </c>
      <c r="J76" t="s">
        <v>29</v>
      </c>
      <c r="K76">
        <v>5</v>
      </c>
      <c r="L76">
        <v>129400</v>
      </c>
      <c r="M76" s="17">
        <f t="shared" si="13"/>
        <v>25880</v>
      </c>
      <c r="O76" s="17">
        <f t="shared" si="10"/>
        <v>33644</v>
      </c>
      <c r="P76" s="17">
        <v>0</v>
      </c>
      <c r="Q76" s="18">
        <v>0.28000000000000003</v>
      </c>
      <c r="R76" s="17">
        <v>0</v>
      </c>
      <c r="S76" s="19">
        <v>0</v>
      </c>
      <c r="T76" s="17">
        <f t="shared" si="14"/>
        <v>25880</v>
      </c>
      <c r="U76" s="18">
        <v>0.28999999999999998</v>
      </c>
      <c r="V76" s="17">
        <f t="shared" si="11"/>
        <v>33385.199999999997</v>
      </c>
      <c r="W76" s="20">
        <f t="shared" si="12"/>
        <v>0.22480620155038752</v>
      </c>
      <c r="X76" s="17">
        <v>0</v>
      </c>
      <c r="Y76" s="18">
        <v>0.28999999999999998</v>
      </c>
      <c r="Z76" s="17">
        <v>0</v>
      </c>
      <c r="AA76" s="18">
        <v>0</v>
      </c>
      <c r="AB76" s="18">
        <v>0.1</v>
      </c>
    </row>
    <row r="77" spans="1:28">
      <c r="A77">
        <v>2026</v>
      </c>
      <c r="B77" t="s">
        <v>145</v>
      </c>
      <c r="C77" t="s">
        <v>151</v>
      </c>
      <c r="D77" t="s">
        <v>152</v>
      </c>
      <c r="E77">
        <v>583300</v>
      </c>
      <c r="G77" t="s">
        <v>148</v>
      </c>
      <c r="H77" t="s">
        <v>148</v>
      </c>
      <c r="I77" t="s">
        <v>72</v>
      </c>
      <c r="J77" t="s">
        <v>29</v>
      </c>
      <c r="K77">
        <v>5</v>
      </c>
      <c r="L77">
        <v>49000</v>
      </c>
      <c r="M77" s="17">
        <f t="shared" si="13"/>
        <v>9800</v>
      </c>
      <c r="O77" s="17">
        <f t="shared" si="10"/>
        <v>12740</v>
      </c>
      <c r="P77" s="17">
        <v>0</v>
      </c>
      <c r="Q77" s="18">
        <v>0.27</v>
      </c>
      <c r="R77" s="17">
        <v>0</v>
      </c>
      <c r="S77" s="19">
        <v>0</v>
      </c>
      <c r="T77" s="17">
        <f t="shared" si="14"/>
        <v>9800</v>
      </c>
      <c r="U77" s="18">
        <v>0.34</v>
      </c>
      <c r="V77" s="17">
        <f t="shared" si="11"/>
        <v>13132</v>
      </c>
      <c r="W77" s="20">
        <f t="shared" si="12"/>
        <v>0.2537313432835821</v>
      </c>
      <c r="X77" s="17">
        <v>0</v>
      </c>
      <c r="Y77" s="18">
        <v>0.34</v>
      </c>
      <c r="Z77" s="17">
        <v>0</v>
      </c>
      <c r="AA77" s="18">
        <v>0</v>
      </c>
      <c r="AB77" s="18">
        <v>0.1</v>
      </c>
    </row>
    <row r="78" spans="1:28">
      <c r="A78">
        <v>2026</v>
      </c>
      <c r="B78" t="s">
        <v>145</v>
      </c>
      <c r="C78" t="s">
        <v>151</v>
      </c>
      <c r="D78" t="s">
        <v>152</v>
      </c>
      <c r="E78">
        <v>583400</v>
      </c>
      <c r="G78" t="s">
        <v>148</v>
      </c>
      <c r="H78" t="s">
        <v>148</v>
      </c>
      <c r="I78" t="s">
        <v>75</v>
      </c>
      <c r="J78" t="s">
        <v>53</v>
      </c>
      <c r="K78">
        <v>2</v>
      </c>
      <c r="L78">
        <v>386300</v>
      </c>
      <c r="M78" s="17">
        <f t="shared" si="13"/>
        <v>193150</v>
      </c>
      <c r="O78" s="17">
        <f t="shared" si="10"/>
        <v>251095</v>
      </c>
      <c r="P78" s="17">
        <v>0</v>
      </c>
      <c r="Q78" s="18">
        <v>0.17</v>
      </c>
      <c r="R78" s="17">
        <v>0</v>
      </c>
      <c r="S78" s="19">
        <v>0</v>
      </c>
      <c r="T78" s="17">
        <f t="shared" si="14"/>
        <v>193150</v>
      </c>
      <c r="U78" s="18">
        <v>0.25</v>
      </c>
      <c r="V78" s="17">
        <f t="shared" si="11"/>
        <v>241437.5</v>
      </c>
      <c r="W78" s="20">
        <f t="shared" si="12"/>
        <v>0.2</v>
      </c>
      <c r="X78" s="17">
        <v>0</v>
      </c>
      <c r="Y78" s="18">
        <v>0.25</v>
      </c>
      <c r="Z78" s="17">
        <v>0</v>
      </c>
      <c r="AA78" s="18">
        <v>0</v>
      </c>
      <c r="AB78" s="18">
        <v>0.1</v>
      </c>
    </row>
    <row r="79" spans="1:28">
      <c r="A79">
        <v>2026</v>
      </c>
      <c r="B79" t="s">
        <v>145</v>
      </c>
      <c r="C79" t="s">
        <v>151</v>
      </c>
      <c r="D79" t="s">
        <v>152</v>
      </c>
      <c r="E79">
        <v>583500</v>
      </c>
      <c r="G79" t="s">
        <v>148</v>
      </c>
      <c r="H79" t="s">
        <v>148</v>
      </c>
      <c r="I79" t="s">
        <v>78</v>
      </c>
      <c r="J79" t="s">
        <v>22</v>
      </c>
      <c r="K79">
        <v>10</v>
      </c>
      <c r="L79">
        <v>38000</v>
      </c>
      <c r="M79" s="17">
        <f t="shared" si="13"/>
        <v>3800</v>
      </c>
      <c r="O79" s="17">
        <f t="shared" si="10"/>
        <v>4940</v>
      </c>
      <c r="P79" s="17">
        <v>0</v>
      </c>
      <c r="Q79" s="18">
        <v>0.22</v>
      </c>
      <c r="R79" s="17">
        <v>0</v>
      </c>
      <c r="S79" s="19">
        <v>0</v>
      </c>
      <c r="T79" s="17">
        <f t="shared" si="14"/>
        <v>3800</v>
      </c>
      <c r="U79" s="18">
        <v>0.35</v>
      </c>
      <c r="V79" s="17">
        <f t="shared" si="11"/>
        <v>5130</v>
      </c>
      <c r="W79" s="20">
        <f t="shared" si="12"/>
        <v>0.25925925925925924</v>
      </c>
      <c r="X79" s="17">
        <v>0</v>
      </c>
      <c r="Y79" s="18">
        <v>0.35</v>
      </c>
      <c r="Z79" s="17">
        <v>0</v>
      </c>
      <c r="AA79" s="18">
        <v>0</v>
      </c>
      <c r="AB79" s="18">
        <v>0.1</v>
      </c>
    </row>
    <row r="80" spans="1:28">
      <c r="A80">
        <v>2026</v>
      </c>
      <c r="B80" t="s">
        <v>145</v>
      </c>
      <c r="C80" t="s">
        <v>151</v>
      </c>
      <c r="D80" t="s">
        <v>152</v>
      </c>
      <c r="E80">
        <v>595200</v>
      </c>
      <c r="G80" t="s">
        <v>148</v>
      </c>
      <c r="H80" t="s">
        <v>148</v>
      </c>
      <c r="I80" t="s">
        <v>78</v>
      </c>
      <c r="J80" t="s">
        <v>22</v>
      </c>
      <c r="K80">
        <v>10</v>
      </c>
      <c r="L80">
        <v>39800</v>
      </c>
      <c r="M80" s="17">
        <f t="shared" si="13"/>
        <v>3980</v>
      </c>
      <c r="O80" s="17">
        <f t="shared" si="10"/>
        <v>5174</v>
      </c>
      <c r="P80" s="17">
        <v>0</v>
      </c>
      <c r="Q80" s="18">
        <v>0.12</v>
      </c>
      <c r="R80" s="17">
        <v>0</v>
      </c>
      <c r="S80" s="19">
        <v>0</v>
      </c>
      <c r="T80" s="17">
        <f t="shared" si="14"/>
        <v>3980</v>
      </c>
      <c r="U80" s="18">
        <v>0.12</v>
      </c>
      <c r="V80" s="17">
        <f t="shared" si="11"/>
        <v>4457.6000000000004</v>
      </c>
      <c r="W80" s="20">
        <f t="shared" si="12"/>
        <v>0.10714285714285722</v>
      </c>
      <c r="X80" s="17">
        <v>0</v>
      </c>
      <c r="Y80" s="18">
        <v>0.12</v>
      </c>
      <c r="Z80" s="17">
        <v>0</v>
      </c>
      <c r="AA80" s="18">
        <v>0</v>
      </c>
      <c r="AB80" s="18">
        <v>0.1</v>
      </c>
    </row>
    <row r="81" spans="1:28">
      <c r="A81">
        <v>2026</v>
      </c>
      <c r="B81" t="s">
        <v>145</v>
      </c>
      <c r="C81" t="s">
        <v>151</v>
      </c>
      <c r="D81" t="s">
        <v>152</v>
      </c>
      <c r="E81">
        <v>595300</v>
      </c>
      <c r="G81" t="s">
        <v>148</v>
      </c>
      <c r="H81" t="s">
        <v>148</v>
      </c>
      <c r="I81" t="s">
        <v>78</v>
      </c>
      <c r="J81" t="s">
        <v>22</v>
      </c>
      <c r="K81">
        <v>10</v>
      </c>
      <c r="L81">
        <v>42200</v>
      </c>
      <c r="M81" s="17">
        <f t="shared" si="13"/>
        <v>4220</v>
      </c>
      <c r="O81" s="17">
        <f t="shared" si="10"/>
        <v>5486</v>
      </c>
      <c r="P81" s="17">
        <v>0</v>
      </c>
      <c r="Q81" s="18">
        <v>0.15</v>
      </c>
      <c r="R81" s="17">
        <v>0</v>
      </c>
      <c r="S81" s="19">
        <v>0</v>
      </c>
      <c r="T81" s="17">
        <f t="shared" si="14"/>
        <v>4220</v>
      </c>
      <c r="U81" s="18">
        <v>0.25</v>
      </c>
      <c r="V81" s="17">
        <f t="shared" si="11"/>
        <v>5275</v>
      </c>
      <c r="W81" s="20">
        <f t="shared" si="12"/>
        <v>0.2</v>
      </c>
      <c r="X81" s="17">
        <v>0</v>
      </c>
      <c r="Y81" s="18">
        <v>0.25</v>
      </c>
      <c r="Z81" s="17">
        <v>0</v>
      </c>
      <c r="AA81" s="18">
        <v>0</v>
      </c>
      <c r="AB81" s="18">
        <v>0.1</v>
      </c>
    </row>
    <row r="82" spans="1:28">
      <c r="A82">
        <v>2026</v>
      </c>
      <c r="B82" t="s">
        <v>145</v>
      </c>
      <c r="C82" t="s">
        <v>151</v>
      </c>
      <c r="D82" t="s">
        <v>152</v>
      </c>
      <c r="E82">
        <v>595400</v>
      </c>
      <c r="G82" t="s">
        <v>148</v>
      </c>
      <c r="H82" t="s">
        <v>148</v>
      </c>
      <c r="I82" t="s">
        <v>78</v>
      </c>
      <c r="J82" t="s">
        <v>22</v>
      </c>
      <c r="K82">
        <v>10</v>
      </c>
      <c r="L82">
        <v>51600</v>
      </c>
      <c r="M82" s="17">
        <f t="shared" si="13"/>
        <v>5160</v>
      </c>
      <c r="O82" s="17">
        <f t="shared" si="10"/>
        <v>6708</v>
      </c>
      <c r="P82" s="17">
        <v>0</v>
      </c>
      <c r="Q82" s="18">
        <v>0.18</v>
      </c>
      <c r="R82" s="17">
        <v>0</v>
      </c>
      <c r="S82" s="19">
        <v>0</v>
      </c>
      <c r="T82" s="17">
        <f t="shared" si="14"/>
        <v>5160</v>
      </c>
      <c r="U82" s="18">
        <v>0.1</v>
      </c>
      <c r="V82" s="17">
        <f t="shared" si="11"/>
        <v>5676</v>
      </c>
      <c r="W82" s="20">
        <f t="shared" si="12"/>
        <v>9.0909090909090912E-2</v>
      </c>
      <c r="X82" s="17">
        <v>0</v>
      </c>
      <c r="Y82" s="18">
        <v>0.1</v>
      </c>
      <c r="Z82" s="17">
        <v>0</v>
      </c>
      <c r="AA82" s="18">
        <v>0</v>
      </c>
      <c r="AB82" s="18">
        <v>0.1</v>
      </c>
    </row>
    <row r="83" spans="1:28">
      <c r="A83">
        <v>2026</v>
      </c>
      <c r="B83" t="s">
        <v>145</v>
      </c>
      <c r="C83" t="s">
        <v>151</v>
      </c>
      <c r="D83" t="s">
        <v>152</v>
      </c>
      <c r="E83">
        <v>595600</v>
      </c>
      <c r="G83" t="s">
        <v>148</v>
      </c>
      <c r="H83" t="s">
        <v>148</v>
      </c>
      <c r="I83" t="s">
        <v>95</v>
      </c>
      <c r="J83" t="s">
        <v>12</v>
      </c>
      <c r="K83">
        <v>1</v>
      </c>
      <c r="L83">
        <v>43500</v>
      </c>
      <c r="M83" s="17">
        <f t="shared" si="13"/>
        <v>43500</v>
      </c>
      <c r="O83" s="17">
        <f t="shared" si="10"/>
        <v>56550</v>
      </c>
      <c r="P83" s="17">
        <v>0</v>
      </c>
      <c r="Q83" s="18">
        <v>0.28999999999999998</v>
      </c>
      <c r="R83" s="17">
        <v>0</v>
      </c>
      <c r="S83" s="19">
        <v>0</v>
      </c>
      <c r="T83" s="17">
        <f t="shared" si="14"/>
        <v>43500</v>
      </c>
      <c r="U83" s="18">
        <v>0.35</v>
      </c>
      <c r="V83" s="17">
        <f t="shared" si="11"/>
        <v>58725</v>
      </c>
      <c r="W83" s="20">
        <f t="shared" si="12"/>
        <v>0.25925925925925924</v>
      </c>
      <c r="X83" s="17">
        <v>0</v>
      </c>
      <c r="Y83" s="18">
        <v>0.35</v>
      </c>
      <c r="Z83" s="17">
        <v>0</v>
      </c>
      <c r="AA83" s="18">
        <v>0</v>
      </c>
      <c r="AB83" s="18">
        <v>0.1</v>
      </c>
    </row>
    <row r="84" spans="1:28">
      <c r="A84">
        <v>2026</v>
      </c>
      <c r="B84" t="s">
        <v>145</v>
      </c>
      <c r="C84" t="s">
        <v>151</v>
      </c>
      <c r="D84" t="s">
        <v>152</v>
      </c>
      <c r="E84">
        <v>581011</v>
      </c>
      <c r="G84" t="s">
        <v>148</v>
      </c>
      <c r="H84" t="s">
        <v>148</v>
      </c>
      <c r="I84" t="s">
        <v>100</v>
      </c>
      <c r="J84" t="s">
        <v>12</v>
      </c>
      <c r="K84">
        <v>1</v>
      </c>
      <c r="L84">
        <v>89500</v>
      </c>
      <c r="M84" s="17">
        <f t="shared" si="13"/>
        <v>89500</v>
      </c>
      <c r="O84" s="17">
        <f t="shared" si="10"/>
        <v>116350</v>
      </c>
      <c r="P84" s="17">
        <v>0</v>
      </c>
      <c r="Q84" s="18">
        <v>0.34</v>
      </c>
      <c r="R84" s="17">
        <v>0</v>
      </c>
      <c r="S84" s="19">
        <v>0</v>
      </c>
      <c r="T84" s="17">
        <f t="shared" si="14"/>
        <v>89500</v>
      </c>
      <c r="U84" s="18">
        <v>0.33</v>
      </c>
      <c r="V84" s="17">
        <f t="shared" si="11"/>
        <v>119035</v>
      </c>
      <c r="W84" s="20">
        <f t="shared" si="12"/>
        <v>0.24812030075187969</v>
      </c>
      <c r="X84" s="17">
        <v>0</v>
      </c>
      <c r="Y84" s="18">
        <v>0.33</v>
      </c>
      <c r="Z84" s="17">
        <v>0</v>
      </c>
      <c r="AA84" s="18">
        <v>0</v>
      </c>
      <c r="AB84" s="18">
        <v>0.1</v>
      </c>
    </row>
    <row r="85" spans="1:28">
      <c r="A85">
        <v>2026</v>
      </c>
      <c r="B85" t="s">
        <v>145</v>
      </c>
      <c r="C85" t="s">
        <v>151</v>
      </c>
      <c r="D85" t="s">
        <v>152</v>
      </c>
      <c r="E85">
        <v>581100</v>
      </c>
      <c r="G85" t="s">
        <v>148</v>
      </c>
      <c r="H85" t="s">
        <v>148</v>
      </c>
      <c r="I85" t="s">
        <v>100</v>
      </c>
      <c r="J85" t="s">
        <v>12</v>
      </c>
      <c r="K85">
        <v>1</v>
      </c>
      <c r="L85">
        <v>67900</v>
      </c>
      <c r="M85" s="17">
        <f t="shared" si="13"/>
        <v>67900</v>
      </c>
      <c r="O85" s="17">
        <f t="shared" si="10"/>
        <v>88270</v>
      </c>
      <c r="P85" s="17">
        <v>0</v>
      </c>
      <c r="Q85" s="18">
        <v>0.25</v>
      </c>
      <c r="R85" s="17">
        <v>0</v>
      </c>
      <c r="S85" s="19">
        <v>0</v>
      </c>
      <c r="T85" s="17">
        <f t="shared" si="14"/>
        <v>67900</v>
      </c>
      <c r="U85" s="18">
        <v>0.31</v>
      </c>
      <c r="V85" s="17">
        <f t="shared" si="11"/>
        <v>88949</v>
      </c>
      <c r="W85" s="20">
        <f t="shared" si="12"/>
        <v>0.23664122137404581</v>
      </c>
      <c r="X85" s="17">
        <v>0</v>
      </c>
      <c r="Y85" s="18">
        <v>0.31</v>
      </c>
      <c r="Z85" s="17">
        <v>0</v>
      </c>
      <c r="AA85" s="18">
        <v>0</v>
      </c>
      <c r="AB85" s="18">
        <v>0.1</v>
      </c>
    </row>
    <row r="86" spans="1:28">
      <c r="A86">
        <v>2026</v>
      </c>
      <c r="B86" t="s">
        <v>145</v>
      </c>
      <c r="C86" t="s">
        <v>151</v>
      </c>
      <c r="D86" t="s">
        <v>152</v>
      </c>
      <c r="E86">
        <v>581200</v>
      </c>
      <c r="G86" t="s">
        <v>148</v>
      </c>
      <c r="H86" t="s">
        <v>148</v>
      </c>
      <c r="I86" t="s">
        <v>100</v>
      </c>
      <c r="J86" t="s">
        <v>12</v>
      </c>
      <c r="K86">
        <v>1</v>
      </c>
      <c r="L86">
        <v>50300</v>
      </c>
      <c r="M86" s="17">
        <f t="shared" si="13"/>
        <v>50300</v>
      </c>
      <c r="O86" s="17">
        <f t="shared" si="10"/>
        <v>65390</v>
      </c>
      <c r="P86" s="17">
        <v>0</v>
      </c>
      <c r="Q86" s="18">
        <v>0.35</v>
      </c>
      <c r="R86" s="17">
        <v>0</v>
      </c>
      <c r="S86" s="19">
        <v>0</v>
      </c>
      <c r="T86" s="17">
        <f t="shared" si="14"/>
        <v>50300</v>
      </c>
      <c r="U86" s="18">
        <v>0.3</v>
      </c>
      <c r="V86" s="17">
        <f t="shared" si="11"/>
        <v>65390</v>
      </c>
      <c r="W86" s="20">
        <f t="shared" si="12"/>
        <v>0.23076923076923078</v>
      </c>
      <c r="X86" s="17">
        <v>0</v>
      </c>
      <c r="Y86" s="18">
        <v>0.3</v>
      </c>
      <c r="Z86" s="17">
        <v>0</v>
      </c>
      <c r="AA86" s="18">
        <v>0</v>
      </c>
      <c r="AB86" s="18">
        <v>0.1</v>
      </c>
    </row>
    <row r="87" spans="1:28">
      <c r="A87">
        <v>2026</v>
      </c>
      <c r="B87" t="s">
        <v>145</v>
      </c>
      <c r="C87" t="s">
        <v>151</v>
      </c>
      <c r="D87" t="s">
        <v>152</v>
      </c>
      <c r="E87">
        <v>581300</v>
      </c>
      <c r="G87" t="s">
        <v>148</v>
      </c>
      <c r="H87" t="s">
        <v>148</v>
      </c>
      <c r="I87" t="s">
        <v>100</v>
      </c>
      <c r="J87" t="s">
        <v>12</v>
      </c>
      <c r="K87">
        <v>1</v>
      </c>
      <c r="L87">
        <v>53300</v>
      </c>
      <c r="M87" s="17">
        <f t="shared" si="13"/>
        <v>53300</v>
      </c>
      <c r="O87" s="17">
        <f t="shared" si="10"/>
        <v>69290</v>
      </c>
      <c r="P87" s="17">
        <v>0</v>
      </c>
      <c r="Q87" s="18">
        <v>0.12</v>
      </c>
      <c r="R87" s="17">
        <v>0</v>
      </c>
      <c r="S87" s="19">
        <v>0</v>
      </c>
      <c r="T87" s="17">
        <f t="shared" si="14"/>
        <v>53300</v>
      </c>
      <c r="U87" s="18">
        <v>0.28000000000000003</v>
      </c>
      <c r="V87" s="17">
        <f t="shared" si="11"/>
        <v>68224</v>
      </c>
      <c r="W87" s="20">
        <f t="shared" si="12"/>
        <v>0.21875</v>
      </c>
      <c r="X87" s="17">
        <v>0</v>
      </c>
      <c r="Y87" s="18">
        <v>0.28000000000000003</v>
      </c>
      <c r="Z87" s="17">
        <v>0</v>
      </c>
      <c r="AA87" s="18">
        <v>0</v>
      </c>
      <c r="AB87" s="18">
        <v>0.1</v>
      </c>
    </row>
    <row r="88" spans="1:28" ht="15">
      <c r="A88" s="11" t="s">
        <v>117</v>
      </c>
      <c r="B88" s="11" t="s">
        <v>118</v>
      </c>
      <c r="C88" s="11" t="s">
        <v>119</v>
      </c>
      <c r="D88" s="11" t="s">
        <v>120</v>
      </c>
      <c r="E88" s="11" t="s">
        <v>121</v>
      </c>
      <c r="F88" s="11" t="s">
        <v>122</v>
      </c>
      <c r="G88" s="11" t="s">
        <v>123</v>
      </c>
      <c r="H88" s="11" t="s">
        <v>124</v>
      </c>
      <c r="I88" s="11" t="s">
        <v>125</v>
      </c>
      <c r="J88" s="11" t="s">
        <v>126</v>
      </c>
      <c r="K88" s="11" t="s">
        <v>127</v>
      </c>
      <c r="L88" s="11" t="s">
        <v>128</v>
      </c>
      <c r="M88" s="12" t="s">
        <v>129</v>
      </c>
      <c r="N88" s="11" t="s">
        <v>130</v>
      </c>
      <c r="O88" s="11" t="s">
        <v>131</v>
      </c>
      <c r="P88" s="11" t="s">
        <v>132</v>
      </c>
      <c r="Q88" s="13" t="s">
        <v>133</v>
      </c>
      <c r="R88" s="14" t="s">
        <v>134</v>
      </c>
      <c r="S88" s="15" t="s">
        <v>135</v>
      </c>
      <c r="T88" s="16" t="s">
        <v>136</v>
      </c>
      <c r="U88" s="16" t="s">
        <v>137</v>
      </c>
      <c r="V88" s="16" t="s">
        <v>138</v>
      </c>
      <c r="W88" s="13" t="s">
        <v>139</v>
      </c>
      <c r="X88" s="16" t="s">
        <v>140</v>
      </c>
      <c r="Y88" s="16" t="s">
        <v>141</v>
      </c>
      <c r="Z88" s="16" t="s">
        <v>142</v>
      </c>
      <c r="AA88" s="13" t="s">
        <v>143</v>
      </c>
      <c r="AB88" s="14" t="s">
        <v>144</v>
      </c>
    </row>
    <row r="89" spans="1:28">
      <c r="A89">
        <v>2026</v>
      </c>
      <c r="B89" t="s">
        <v>145</v>
      </c>
      <c r="C89" t="s">
        <v>151</v>
      </c>
      <c r="D89" t="s">
        <v>152</v>
      </c>
      <c r="E89">
        <v>360001</v>
      </c>
      <c r="G89" t="s">
        <v>148</v>
      </c>
      <c r="H89" t="s">
        <v>148</v>
      </c>
      <c r="I89" t="s">
        <v>9</v>
      </c>
      <c r="J89" t="s">
        <v>12</v>
      </c>
      <c r="K89">
        <v>1</v>
      </c>
      <c r="L89">
        <v>893800</v>
      </c>
      <c r="M89" s="17">
        <f>L89/K89</f>
        <v>893800</v>
      </c>
      <c r="O89" s="17">
        <f t="shared" ref="O89:O116" si="15">M89+(M89*30%)</f>
        <v>1161940</v>
      </c>
      <c r="P89" s="17">
        <v>0</v>
      </c>
      <c r="Q89" s="18">
        <v>0.17</v>
      </c>
      <c r="R89" s="17">
        <v>0</v>
      </c>
      <c r="S89" s="19">
        <v>0</v>
      </c>
      <c r="T89" s="17">
        <f>IF(C89="Mediana Complejidad",M89,0)</f>
        <v>893800</v>
      </c>
      <c r="U89" s="18">
        <v>0.27</v>
      </c>
      <c r="V89" s="17">
        <f t="shared" ref="V89:V116" si="16">T89+(T89*U89)</f>
        <v>1135126</v>
      </c>
      <c r="W89" s="20">
        <f t="shared" ref="W89:W116" si="17">IFERROR(((V89-T89)/V89),0)</f>
        <v>0.2125984251968504</v>
      </c>
      <c r="X89" s="17">
        <v>0</v>
      </c>
      <c r="Y89" s="18">
        <v>0.28000000000000003</v>
      </c>
      <c r="Z89" s="17">
        <v>0</v>
      </c>
      <c r="AA89" s="18">
        <v>0</v>
      </c>
      <c r="AB89" s="18">
        <v>0.1</v>
      </c>
    </row>
    <row r="90" spans="1:28">
      <c r="A90">
        <v>2026</v>
      </c>
      <c r="B90" t="s">
        <v>145</v>
      </c>
      <c r="C90" t="s">
        <v>151</v>
      </c>
      <c r="D90" t="s">
        <v>152</v>
      </c>
      <c r="E90">
        <v>360102</v>
      </c>
      <c r="G90" t="s">
        <v>148</v>
      </c>
      <c r="H90" t="s">
        <v>148</v>
      </c>
      <c r="I90" t="s">
        <v>19</v>
      </c>
      <c r="J90" t="s">
        <v>22</v>
      </c>
      <c r="K90">
        <v>10</v>
      </c>
      <c r="L90">
        <v>13500</v>
      </c>
      <c r="M90" s="17">
        <f t="shared" ref="M90:M116" si="18">L90/K90</f>
        <v>1350</v>
      </c>
      <c r="O90" s="17">
        <f t="shared" si="15"/>
        <v>1755</v>
      </c>
      <c r="P90" s="17">
        <v>0</v>
      </c>
      <c r="Q90" s="18">
        <v>0.22</v>
      </c>
      <c r="R90" s="17">
        <v>0</v>
      </c>
      <c r="S90" s="19">
        <v>0</v>
      </c>
      <c r="T90" s="17">
        <f t="shared" ref="T90:T116" si="19">IF(C90="Mediana Complejidad",M90,0)</f>
        <v>1350</v>
      </c>
      <c r="U90" s="18">
        <v>0.17</v>
      </c>
      <c r="V90" s="17">
        <f t="shared" si="16"/>
        <v>1579.5</v>
      </c>
      <c r="W90" s="20">
        <f t="shared" si="17"/>
        <v>0.14529914529914531</v>
      </c>
      <c r="X90" s="17">
        <v>0</v>
      </c>
      <c r="Y90" s="18">
        <v>0.27</v>
      </c>
      <c r="Z90" s="17">
        <v>0</v>
      </c>
      <c r="AA90" s="18">
        <v>0</v>
      </c>
      <c r="AB90" s="18">
        <v>0.1</v>
      </c>
    </row>
    <row r="91" spans="1:28">
      <c r="A91">
        <v>2026</v>
      </c>
      <c r="B91" t="s">
        <v>145</v>
      </c>
      <c r="C91" t="s">
        <v>151</v>
      </c>
      <c r="D91" t="s">
        <v>152</v>
      </c>
      <c r="E91">
        <v>360104</v>
      </c>
      <c r="G91" t="s">
        <v>148</v>
      </c>
      <c r="H91" t="s">
        <v>148</v>
      </c>
      <c r="I91" t="s">
        <v>19</v>
      </c>
      <c r="J91" t="s">
        <v>22</v>
      </c>
      <c r="K91">
        <v>10</v>
      </c>
      <c r="L91">
        <v>28800</v>
      </c>
      <c r="M91" s="17">
        <f t="shared" si="18"/>
        <v>2880</v>
      </c>
      <c r="O91" s="17">
        <f t="shared" si="15"/>
        <v>3744</v>
      </c>
      <c r="P91" s="17">
        <v>0</v>
      </c>
      <c r="Q91" s="18">
        <v>0.12</v>
      </c>
      <c r="R91" s="17">
        <v>0</v>
      </c>
      <c r="S91" s="19">
        <v>0</v>
      </c>
      <c r="T91" s="17">
        <f t="shared" si="19"/>
        <v>2880</v>
      </c>
      <c r="U91" s="18">
        <v>0.22</v>
      </c>
      <c r="V91" s="17">
        <f t="shared" si="16"/>
        <v>3513.6</v>
      </c>
      <c r="W91" s="20">
        <f t="shared" si="17"/>
        <v>0.18032786885245899</v>
      </c>
      <c r="X91" s="17">
        <v>0</v>
      </c>
      <c r="Y91" s="18">
        <v>0.17</v>
      </c>
      <c r="Z91" s="17">
        <v>0</v>
      </c>
      <c r="AA91" s="18">
        <v>0</v>
      </c>
      <c r="AB91" s="18">
        <v>0.1</v>
      </c>
    </row>
    <row r="92" spans="1:28">
      <c r="A92">
        <v>2026</v>
      </c>
      <c r="B92" t="s">
        <v>145</v>
      </c>
      <c r="C92" t="s">
        <v>151</v>
      </c>
      <c r="D92" t="s">
        <v>152</v>
      </c>
      <c r="E92">
        <v>360100</v>
      </c>
      <c r="G92" t="s">
        <v>148</v>
      </c>
      <c r="H92" t="s">
        <v>148</v>
      </c>
      <c r="I92" t="s">
        <v>19</v>
      </c>
      <c r="J92" t="s">
        <v>22</v>
      </c>
      <c r="K92">
        <v>10</v>
      </c>
      <c r="L92">
        <v>63400</v>
      </c>
      <c r="M92" s="17">
        <f t="shared" si="18"/>
        <v>6340</v>
      </c>
      <c r="O92" s="17">
        <f t="shared" si="15"/>
        <v>8242</v>
      </c>
      <c r="P92" s="17">
        <v>0</v>
      </c>
      <c r="Q92" s="18">
        <v>0.15</v>
      </c>
      <c r="R92" s="17">
        <v>0</v>
      </c>
      <c r="S92" s="19">
        <v>0</v>
      </c>
      <c r="T92" s="17">
        <f t="shared" si="19"/>
        <v>6340</v>
      </c>
      <c r="U92" s="18">
        <v>0.12</v>
      </c>
      <c r="V92" s="17">
        <f t="shared" si="16"/>
        <v>7100.8</v>
      </c>
      <c r="W92" s="20">
        <f t="shared" si="17"/>
        <v>0.10714285714285716</v>
      </c>
      <c r="X92" s="17">
        <v>0</v>
      </c>
      <c r="Y92" s="18">
        <v>0.22</v>
      </c>
      <c r="Z92" s="17">
        <v>0</v>
      </c>
      <c r="AA92" s="18">
        <v>0</v>
      </c>
      <c r="AB92" s="18">
        <v>0.1</v>
      </c>
    </row>
    <row r="93" spans="1:28">
      <c r="A93">
        <v>2026</v>
      </c>
      <c r="B93" t="s">
        <v>145</v>
      </c>
      <c r="C93" t="s">
        <v>151</v>
      </c>
      <c r="D93" t="s">
        <v>152</v>
      </c>
      <c r="E93">
        <v>360150</v>
      </c>
      <c r="G93" t="s">
        <v>148</v>
      </c>
      <c r="H93" t="s">
        <v>148</v>
      </c>
      <c r="I93" t="s">
        <v>30</v>
      </c>
      <c r="J93" t="s">
        <v>22</v>
      </c>
      <c r="K93">
        <v>10</v>
      </c>
      <c r="L93">
        <v>24200</v>
      </c>
      <c r="M93" s="17">
        <f t="shared" si="18"/>
        <v>2420</v>
      </c>
      <c r="O93" s="17">
        <f t="shared" si="15"/>
        <v>3146</v>
      </c>
      <c r="P93" s="17">
        <v>0</v>
      </c>
      <c r="Q93" s="18">
        <v>0.18</v>
      </c>
      <c r="R93" s="17">
        <v>0</v>
      </c>
      <c r="S93" s="19">
        <v>0</v>
      </c>
      <c r="T93" s="17">
        <f t="shared" si="19"/>
        <v>2420</v>
      </c>
      <c r="U93" s="18">
        <v>0.15</v>
      </c>
      <c r="V93" s="17">
        <f t="shared" si="16"/>
        <v>2783</v>
      </c>
      <c r="W93" s="20">
        <f t="shared" si="17"/>
        <v>0.13043478260869565</v>
      </c>
      <c r="X93" s="17">
        <v>0</v>
      </c>
      <c r="Y93" s="18">
        <v>0.12</v>
      </c>
      <c r="Z93" s="17">
        <v>0</v>
      </c>
      <c r="AA93" s="18">
        <v>0</v>
      </c>
      <c r="AB93" s="18">
        <v>0.1</v>
      </c>
    </row>
    <row r="94" spans="1:28">
      <c r="A94">
        <v>2026</v>
      </c>
      <c r="B94" t="s">
        <v>145</v>
      </c>
      <c r="C94" t="s">
        <v>151</v>
      </c>
      <c r="D94" t="s">
        <v>152</v>
      </c>
      <c r="E94">
        <v>360101</v>
      </c>
      <c r="G94" t="s">
        <v>148</v>
      </c>
      <c r="H94" t="s">
        <v>148</v>
      </c>
      <c r="I94" t="s">
        <v>30</v>
      </c>
      <c r="J94" t="s">
        <v>22</v>
      </c>
      <c r="K94">
        <v>10</v>
      </c>
      <c r="L94">
        <v>36700</v>
      </c>
      <c r="M94" s="17">
        <f t="shared" si="18"/>
        <v>3670</v>
      </c>
      <c r="O94" s="17">
        <f t="shared" si="15"/>
        <v>4771</v>
      </c>
      <c r="P94" s="17">
        <v>0</v>
      </c>
      <c r="Q94" s="18">
        <v>0.28999999999999998</v>
      </c>
      <c r="R94" s="17">
        <v>0</v>
      </c>
      <c r="S94" s="19">
        <v>0</v>
      </c>
      <c r="T94" s="17">
        <f t="shared" si="19"/>
        <v>3670</v>
      </c>
      <c r="U94" s="18">
        <v>0.18</v>
      </c>
      <c r="V94" s="17">
        <f t="shared" si="16"/>
        <v>4330.6000000000004</v>
      </c>
      <c r="W94" s="20">
        <f t="shared" si="17"/>
        <v>0.152542372881356</v>
      </c>
      <c r="X94" s="17">
        <v>0</v>
      </c>
      <c r="Y94" s="18">
        <v>0.15</v>
      </c>
      <c r="Z94" s="17">
        <v>0</v>
      </c>
      <c r="AA94" s="18">
        <v>0</v>
      </c>
      <c r="AB94" s="18">
        <v>0.1</v>
      </c>
    </row>
    <row r="95" spans="1:28">
      <c r="A95">
        <v>2026</v>
      </c>
      <c r="B95" t="s">
        <v>145</v>
      </c>
      <c r="C95" t="s">
        <v>151</v>
      </c>
      <c r="D95" t="s">
        <v>152</v>
      </c>
      <c r="E95">
        <v>360103</v>
      </c>
      <c r="G95" t="s">
        <v>148</v>
      </c>
      <c r="H95" t="s">
        <v>148</v>
      </c>
      <c r="I95" t="s">
        <v>30</v>
      </c>
      <c r="J95" t="s">
        <v>22</v>
      </c>
      <c r="K95">
        <v>10</v>
      </c>
      <c r="L95">
        <v>91800</v>
      </c>
      <c r="M95" s="17">
        <f t="shared" si="18"/>
        <v>9180</v>
      </c>
      <c r="O95" s="17">
        <f t="shared" si="15"/>
        <v>11934</v>
      </c>
      <c r="P95" s="17">
        <v>0</v>
      </c>
      <c r="Q95" s="18">
        <v>0.34</v>
      </c>
      <c r="R95" s="17">
        <v>0</v>
      </c>
      <c r="S95" s="19">
        <v>0</v>
      </c>
      <c r="T95" s="17">
        <f t="shared" si="19"/>
        <v>9180</v>
      </c>
      <c r="U95" s="18">
        <v>0.28999999999999998</v>
      </c>
      <c r="V95" s="17">
        <f t="shared" si="16"/>
        <v>11842.2</v>
      </c>
      <c r="W95" s="20">
        <f t="shared" si="17"/>
        <v>0.22480620155038764</v>
      </c>
      <c r="X95" s="17">
        <v>0</v>
      </c>
      <c r="Y95" s="18">
        <v>0.18</v>
      </c>
      <c r="Z95" s="17">
        <v>0</v>
      </c>
      <c r="AA95" s="18">
        <v>0</v>
      </c>
      <c r="AB95" s="18">
        <v>0.1</v>
      </c>
    </row>
    <row r="96" spans="1:28">
      <c r="A96">
        <v>2026</v>
      </c>
      <c r="B96" t="s">
        <v>145</v>
      </c>
      <c r="C96" t="s">
        <v>151</v>
      </c>
      <c r="D96" t="s">
        <v>152</v>
      </c>
      <c r="E96">
        <v>709900</v>
      </c>
      <c r="G96" t="s">
        <v>148</v>
      </c>
      <c r="H96" t="s">
        <v>148</v>
      </c>
      <c r="I96" t="s">
        <v>44</v>
      </c>
      <c r="J96" t="s">
        <v>29</v>
      </c>
      <c r="K96">
        <v>5</v>
      </c>
      <c r="L96">
        <v>17300</v>
      </c>
      <c r="M96" s="17">
        <f t="shared" si="18"/>
        <v>3460</v>
      </c>
      <c r="O96" s="17">
        <f t="shared" si="15"/>
        <v>4498</v>
      </c>
      <c r="P96" s="17">
        <v>0</v>
      </c>
      <c r="Q96" s="18">
        <v>0.25</v>
      </c>
      <c r="R96" s="17">
        <v>0</v>
      </c>
      <c r="S96" s="19">
        <v>0</v>
      </c>
      <c r="T96" s="17">
        <f t="shared" si="19"/>
        <v>3460</v>
      </c>
      <c r="U96" s="18">
        <v>0.34</v>
      </c>
      <c r="V96" s="17">
        <f t="shared" si="16"/>
        <v>4636.3999999999996</v>
      </c>
      <c r="W96" s="20">
        <f t="shared" si="17"/>
        <v>0.25373134328358204</v>
      </c>
      <c r="X96" s="17">
        <v>0</v>
      </c>
      <c r="Y96" s="18">
        <v>0.28999999999999998</v>
      </c>
      <c r="Z96" s="17">
        <v>0</v>
      </c>
      <c r="AA96" s="18">
        <v>0</v>
      </c>
      <c r="AB96" s="18">
        <v>0.1</v>
      </c>
    </row>
    <row r="97" spans="1:28">
      <c r="A97">
        <v>2026</v>
      </c>
      <c r="B97" t="s">
        <v>145</v>
      </c>
      <c r="C97" t="s">
        <v>151</v>
      </c>
      <c r="D97" t="s">
        <v>152</v>
      </c>
      <c r="E97">
        <v>709902</v>
      </c>
      <c r="G97" t="s">
        <v>148</v>
      </c>
      <c r="H97" t="s">
        <v>148</v>
      </c>
      <c r="I97" t="s">
        <v>44</v>
      </c>
      <c r="J97" t="s">
        <v>29</v>
      </c>
      <c r="K97">
        <v>5</v>
      </c>
      <c r="L97">
        <v>29000</v>
      </c>
      <c r="M97" s="17">
        <f t="shared" si="18"/>
        <v>5800</v>
      </c>
      <c r="O97" s="17">
        <f t="shared" si="15"/>
        <v>7540</v>
      </c>
      <c r="P97" s="17">
        <v>0</v>
      </c>
      <c r="Q97" s="18">
        <v>0.35</v>
      </c>
      <c r="R97" s="17">
        <v>0</v>
      </c>
      <c r="S97" s="19">
        <v>0</v>
      </c>
      <c r="T97" s="17">
        <f t="shared" si="19"/>
        <v>5800</v>
      </c>
      <c r="U97" s="18">
        <v>0.25</v>
      </c>
      <c r="V97" s="17">
        <f t="shared" si="16"/>
        <v>7250</v>
      </c>
      <c r="W97" s="20">
        <f t="shared" si="17"/>
        <v>0.2</v>
      </c>
      <c r="X97" s="17">
        <v>0</v>
      </c>
      <c r="Y97" s="18">
        <v>0.34</v>
      </c>
      <c r="Z97" s="17">
        <v>0</v>
      </c>
      <c r="AA97" s="18">
        <v>0</v>
      </c>
      <c r="AB97" s="18">
        <v>0.1</v>
      </c>
    </row>
    <row r="98" spans="1:28">
      <c r="A98">
        <v>2026</v>
      </c>
      <c r="B98" t="s">
        <v>145</v>
      </c>
      <c r="C98" t="s">
        <v>151</v>
      </c>
      <c r="D98" t="s">
        <v>152</v>
      </c>
      <c r="E98">
        <v>709903</v>
      </c>
      <c r="G98" t="s">
        <v>148</v>
      </c>
      <c r="H98" t="s">
        <v>148</v>
      </c>
      <c r="I98" t="s">
        <v>44</v>
      </c>
      <c r="J98" t="s">
        <v>29</v>
      </c>
      <c r="K98">
        <v>5</v>
      </c>
      <c r="L98">
        <v>36700</v>
      </c>
      <c r="M98" s="17">
        <f t="shared" si="18"/>
        <v>7340</v>
      </c>
      <c r="O98" s="17">
        <f t="shared" si="15"/>
        <v>9542</v>
      </c>
      <c r="P98" s="17">
        <v>0</v>
      </c>
      <c r="Q98" s="18">
        <v>0.12</v>
      </c>
      <c r="R98" s="17">
        <v>0</v>
      </c>
      <c r="S98" s="19">
        <v>0</v>
      </c>
      <c r="T98" s="17">
        <f t="shared" si="19"/>
        <v>7340</v>
      </c>
      <c r="U98" s="18">
        <v>0.35</v>
      </c>
      <c r="V98" s="17">
        <f t="shared" si="16"/>
        <v>9909</v>
      </c>
      <c r="W98" s="20">
        <f t="shared" si="17"/>
        <v>0.25925925925925924</v>
      </c>
      <c r="X98" s="17">
        <v>0</v>
      </c>
      <c r="Y98" s="18">
        <v>0.25</v>
      </c>
      <c r="Z98" s="17">
        <v>0</v>
      </c>
      <c r="AA98" s="18">
        <v>0</v>
      </c>
      <c r="AB98" s="18">
        <v>0.1</v>
      </c>
    </row>
    <row r="99" spans="1:28">
      <c r="A99">
        <v>2026</v>
      </c>
      <c r="B99" t="s">
        <v>145</v>
      </c>
      <c r="C99" t="s">
        <v>151</v>
      </c>
      <c r="D99" t="s">
        <v>152</v>
      </c>
      <c r="E99">
        <v>709909</v>
      </c>
      <c r="G99" t="s">
        <v>148</v>
      </c>
      <c r="H99" t="s">
        <v>148</v>
      </c>
      <c r="I99" t="s">
        <v>44</v>
      </c>
      <c r="J99" t="s">
        <v>29</v>
      </c>
      <c r="K99">
        <v>5</v>
      </c>
      <c r="L99">
        <v>75900</v>
      </c>
      <c r="M99" s="17">
        <f t="shared" si="18"/>
        <v>15180</v>
      </c>
      <c r="O99" s="17">
        <f t="shared" si="15"/>
        <v>19734</v>
      </c>
      <c r="P99" s="17">
        <v>0</v>
      </c>
      <c r="Q99" s="18">
        <v>0.25</v>
      </c>
      <c r="R99" s="17">
        <v>0</v>
      </c>
      <c r="S99" s="19">
        <v>0</v>
      </c>
      <c r="T99" s="17">
        <f t="shared" si="19"/>
        <v>15180</v>
      </c>
      <c r="U99" s="18">
        <v>0.12</v>
      </c>
      <c r="V99" s="17">
        <f t="shared" si="16"/>
        <v>17001.599999999999</v>
      </c>
      <c r="W99" s="20">
        <f t="shared" si="17"/>
        <v>0.10714285714285707</v>
      </c>
      <c r="X99" s="17">
        <v>0</v>
      </c>
      <c r="Y99" s="18">
        <v>0.35</v>
      </c>
      <c r="Z99" s="17">
        <v>0</v>
      </c>
      <c r="AA99" s="18">
        <v>0</v>
      </c>
      <c r="AB99" s="18">
        <v>0.1</v>
      </c>
    </row>
    <row r="100" spans="1:28">
      <c r="A100">
        <v>2026</v>
      </c>
      <c r="B100" t="s">
        <v>145</v>
      </c>
      <c r="C100" t="s">
        <v>151</v>
      </c>
      <c r="D100" t="s">
        <v>152</v>
      </c>
      <c r="E100">
        <v>709904</v>
      </c>
      <c r="G100" t="s">
        <v>148</v>
      </c>
      <c r="H100" t="s">
        <v>148</v>
      </c>
      <c r="I100" t="s">
        <v>55</v>
      </c>
      <c r="J100" t="s">
        <v>29</v>
      </c>
      <c r="K100">
        <v>5</v>
      </c>
      <c r="L100">
        <v>16900</v>
      </c>
      <c r="M100" s="17">
        <f t="shared" si="18"/>
        <v>3380</v>
      </c>
      <c r="O100" s="17">
        <f t="shared" si="15"/>
        <v>4394</v>
      </c>
      <c r="P100" s="17">
        <v>0</v>
      </c>
      <c r="Q100" s="18">
        <v>0.1</v>
      </c>
      <c r="R100" s="17">
        <v>0</v>
      </c>
      <c r="S100" s="19">
        <v>0</v>
      </c>
      <c r="T100" s="17">
        <f t="shared" si="19"/>
        <v>3380</v>
      </c>
      <c r="U100" s="18">
        <v>0.25</v>
      </c>
      <c r="V100" s="17">
        <f t="shared" si="16"/>
        <v>4225</v>
      </c>
      <c r="W100" s="20">
        <f t="shared" si="17"/>
        <v>0.2</v>
      </c>
      <c r="X100" s="17">
        <v>0</v>
      </c>
      <c r="Y100" s="18">
        <v>0.12</v>
      </c>
      <c r="Z100" s="17">
        <v>0</v>
      </c>
      <c r="AA100" s="18">
        <v>0</v>
      </c>
      <c r="AB100" s="18">
        <v>0.1</v>
      </c>
    </row>
    <row r="101" spans="1:28">
      <c r="A101">
        <v>2026</v>
      </c>
      <c r="B101" t="s">
        <v>145</v>
      </c>
      <c r="C101" t="s">
        <v>151</v>
      </c>
      <c r="D101" t="s">
        <v>152</v>
      </c>
      <c r="E101">
        <v>603421</v>
      </c>
      <c r="G101" t="s">
        <v>148</v>
      </c>
      <c r="H101" t="s">
        <v>148</v>
      </c>
      <c r="I101" t="s">
        <v>55</v>
      </c>
      <c r="J101" t="s">
        <v>29</v>
      </c>
      <c r="K101">
        <v>5</v>
      </c>
      <c r="L101">
        <v>21900</v>
      </c>
      <c r="M101" s="17">
        <f t="shared" si="18"/>
        <v>4380</v>
      </c>
      <c r="O101" s="17">
        <f t="shared" si="15"/>
        <v>5694</v>
      </c>
      <c r="P101" s="17">
        <v>0</v>
      </c>
      <c r="Q101" s="18">
        <v>0.35</v>
      </c>
      <c r="R101" s="17">
        <v>0</v>
      </c>
      <c r="S101" s="19">
        <v>0</v>
      </c>
      <c r="T101" s="17">
        <f t="shared" si="19"/>
        <v>4380</v>
      </c>
      <c r="U101" s="18">
        <v>0.1</v>
      </c>
      <c r="V101" s="17">
        <f t="shared" si="16"/>
        <v>4818</v>
      </c>
      <c r="W101" s="20">
        <f t="shared" si="17"/>
        <v>9.0909090909090912E-2</v>
      </c>
      <c r="X101" s="17">
        <v>0</v>
      </c>
      <c r="Y101" s="18">
        <v>0.22</v>
      </c>
      <c r="Z101" s="17">
        <v>0</v>
      </c>
      <c r="AA101" s="18">
        <v>0</v>
      </c>
      <c r="AB101" s="18">
        <v>0.1</v>
      </c>
    </row>
    <row r="102" spans="1:28">
      <c r="A102">
        <v>2026</v>
      </c>
      <c r="B102" t="s">
        <v>145</v>
      </c>
      <c r="C102" t="s">
        <v>151</v>
      </c>
      <c r="D102" t="s">
        <v>152</v>
      </c>
      <c r="E102">
        <v>603422</v>
      </c>
      <c r="G102" t="s">
        <v>148</v>
      </c>
      <c r="H102" t="s">
        <v>148</v>
      </c>
      <c r="I102" t="s">
        <v>60</v>
      </c>
      <c r="J102" t="s">
        <v>29</v>
      </c>
      <c r="K102">
        <v>5</v>
      </c>
      <c r="L102">
        <v>38600</v>
      </c>
      <c r="M102" s="17">
        <f t="shared" si="18"/>
        <v>7720</v>
      </c>
      <c r="O102" s="17">
        <f t="shared" si="15"/>
        <v>10036</v>
      </c>
      <c r="P102" s="17">
        <v>0</v>
      </c>
      <c r="Q102" s="18">
        <v>0.33</v>
      </c>
      <c r="R102" s="17">
        <v>0</v>
      </c>
      <c r="S102" s="19">
        <v>0</v>
      </c>
      <c r="T102" s="17">
        <f t="shared" si="19"/>
        <v>7720</v>
      </c>
      <c r="U102" s="18">
        <v>0.12</v>
      </c>
      <c r="V102" s="17">
        <f t="shared" si="16"/>
        <v>8646.4</v>
      </c>
      <c r="W102" s="20">
        <f t="shared" si="17"/>
        <v>0.10714285714285711</v>
      </c>
      <c r="X102" s="17">
        <v>0</v>
      </c>
      <c r="Y102" s="18">
        <v>0.12</v>
      </c>
      <c r="Z102" s="17">
        <v>0</v>
      </c>
      <c r="AA102" s="18">
        <v>0</v>
      </c>
      <c r="AB102" s="18">
        <v>0.1</v>
      </c>
    </row>
    <row r="103" spans="1:28">
      <c r="A103">
        <v>2026</v>
      </c>
      <c r="B103" t="s">
        <v>145</v>
      </c>
      <c r="C103" t="s">
        <v>151</v>
      </c>
      <c r="D103" t="s">
        <v>152</v>
      </c>
      <c r="E103">
        <v>603423</v>
      </c>
      <c r="G103" t="s">
        <v>148</v>
      </c>
      <c r="H103" t="s">
        <v>148</v>
      </c>
      <c r="I103" t="s">
        <v>60</v>
      </c>
      <c r="J103" t="s">
        <v>29</v>
      </c>
      <c r="K103">
        <v>5</v>
      </c>
      <c r="L103">
        <v>107200</v>
      </c>
      <c r="M103" s="17">
        <f t="shared" si="18"/>
        <v>21440</v>
      </c>
      <c r="O103" s="17">
        <f t="shared" si="15"/>
        <v>27872</v>
      </c>
      <c r="P103" s="17">
        <v>0</v>
      </c>
      <c r="Q103" s="18">
        <v>0.31</v>
      </c>
      <c r="R103" s="17">
        <v>0</v>
      </c>
      <c r="S103" s="19">
        <v>0</v>
      </c>
      <c r="T103" s="17">
        <f t="shared" si="19"/>
        <v>21440</v>
      </c>
      <c r="U103" s="18">
        <v>0.15</v>
      </c>
      <c r="V103" s="17">
        <f t="shared" si="16"/>
        <v>24656</v>
      </c>
      <c r="W103" s="20">
        <f t="shared" si="17"/>
        <v>0.13043478260869565</v>
      </c>
      <c r="X103" s="17">
        <v>0</v>
      </c>
      <c r="Y103" s="18">
        <v>0.15</v>
      </c>
      <c r="Z103" s="17">
        <v>0</v>
      </c>
      <c r="AA103" s="18">
        <v>0</v>
      </c>
      <c r="AB103" s="18">
        <v>0.1</v>
      </c>
    </row>
    <row r="104" spans="1:28">
      <c r="A104">
        <v>2026</v>
      </c>
      <c r="B104" t="s">
        <v>145</v>
      </c>
      <c r="C104" t="s">
        <v>151</v>
      </c>
      <c r="D104" t="s">
        <v>152</v>
      </c>
      <c r="E104">
        <v>603420</v>
      </c>
      <c r="G104" t="s">
        <v>148</v>
      </c>
      <c r="H104" t="s">
        <v>148</v>
      </c>
      <c r="I104" t="s">
        <v>60</v>
      </c>
      <c r="J104" t="s">
        <v>29</v>
      </c>
      <c r="K104">
        <v>5</v>
      </c>
      <c r="L104">
        <v>114900</v>
      </c>
      <c r="M104" s="17">
        <f t="shared" si="18"/>
        <v>22980</v>
      </c>
      <c r="O104" s="17">
        <f t="shared" si="15"/>
        <v>29874</v>
      </c>
      <c r="P104" s="17">
        <v>0</v>
      </c>
      <c r="Q104" s="18">
        <v>0.3</v>
      </c>
      <c r="R104" s="17">
        <v>0</v>
      </c>
      <c r="S104" s="19">
        <v>0</v>
      </c>
      <c r="T104" s="17">
        <f t="shared" si="19"/>
        <v>22980</v>
      </c>
      <c r="U104" s="18">
        <v>0.18</v>
      </c>
      <c r="V104" s="17">
        <f t="shared" si="16"/>
        <v>27116.400000000001</v>
      </c>
      <c r="W104" s="20">
        <f t="shared" si="17"/>
        <v>0.15254237288135597</v>
      </c>
      <c r="X104" s="17">
        <v>0</v>
      </c>
      <c r="Y104" s="18">
        <v>0.18</v>
      </c>
      <c r="Z104" s="17">
        <v>0</v>
      </c>
      <c r="AA104" s="18">
        <v>0</v>
      </c>
      <c r="AB104" s="18">
        <v>0.1</v>
      </c>
    </row>
    <row r="105" spans="1:28">
      <c r="A105">
        <v>2026</v>
      </c>
      <c r="B105" t="s">
        <v>145</v>
      </c>
      <c r="C105" t="s">
        <v>151</v>
      </c>
      <c r="D105" t="s">
        <v>152</v>
      </c>
      <c r="E105">
        <v>603424</v>
      </c>
      <c r="G105" t="s">
        <v>148</v>
      </c>
      <c r="H105" t="s">
        <v>148</v>
      </c>
      <c r="I105" t="s">
        <v>60</v>
      </c>
      <c r="J105" t="s">
        <v>29</v>
      </c>
      <c r="K105">
        <v>5</v>
      </c>
      <c r="L105">
        <v>129400</v>
      </c>
      <c r="M105" s="17">
        <f t="shared" si="18"/>
        <v>25880</v>
      </c>
      <c r="O105" s="17">
        <f t="shared" si="15"/>
        <v>33644</v>
      </c>
      <c r="P105" s="17">
        <v>0</v>
      </c>
      <c r="Q105" s="18">
        <v>0.28000000000000003</v>
      </c>
      <c r="R105" s="17">
        <v>0</v>
      </c>
      <c r="S105" s="19">
        <v>0</v>
      </c>
      <c r="T105" s="17">
        <f t="shared" si="19"/>
        <v>25880</v>
      </c>
      <c r="U105" s="18">
        <v>0.28999999999999998</v>
      </c>
      <c r="V105" s="17">
        <f t="shared" si="16"/>
        <v>33385.199999999997</v>
      </c>
      <c r="W105" s="20">
        <f t="shared" si="17"/>
        <v>0.22480620155038752</v>
      </c>
      <c r="X105" s="17">
        <v>0</v>
      </c>
      <c r="Y105" s="18">
        <v>0.28999999999999998</v>
      </c>
      <c r="Z105" s="17">
        <v>0</v>
      </c>
      <c r="AA105" s="18">
        <v>0</v>
      </c>
      <c r="AB105" s="18">
        <v>0.1</v>
      </c>
    </row>
    <row r="106" spans="1:28">
      <c r="A106">
        <v>2026</v>
      </c>
      <c r="B106" t="s">
        <v>145</v>
      </c>
      <c r="C106" t="s">
        <v>151</v>
      </c>
      <c r="D106" t="s">
        <v>152</v>
      </c>
      <c r="E106">
        <v>583300</v>
      </c>
      <c r="G106" t="s">
        <v>148</v>
      </c>
      <c r="H106" t="s">
        <v>148</v>
      </c>
      <c r="I106" t="s">
        <v>72</v>
      </c>
      <c r="J106" t="s">
        <v>29</v>
      </c>
      <c r="K106">
        <v>5</v>
      </c>
      <c r="L106">
        <v>49000</v>
      </c>
      <c r="M106" s="17">
        <f t="shared" si="18"/>
        <v>9800</v>
      </c>
      <c r="O106" s="17">
        <f t="shared" si="15"/>
        <v>12740</v>
      </c>
      <c r="P106" s="17">
        <v>0</v>
      </c>
      <c r="Q106" s="18">
        <v>0.27</v>
      </c>
      <c r="R106" s="17">
        <v>0</v>
      </c>
      <c r="S106" s="19">
        <v>0</v>
      </c>
      <c r="T106" s="17">
        <f t="shared" si="19"/>
        <v>9800</v>
      </c>
      <c r="U106" s="18">
        <v>0.34</v>
      </c>
      <c r="V106" s="17">
        <f t="shared" si="16"/>
        <v>13132</v>
      </c>
      <c r="W106" s="20">
        <f t="shared" si="17"/>
        <v>0.2537313432835821</v>
      </c>
      <c r="X106" s="17">
        <v>0</v>
      </c>
      <c r="Y106" s="18">
        <v>0.34</v>
      </c>
      <c r="Z106" s="17">
        <v>0</v>
      </c>
      <c r="AA106" s="18">
        <v>0</v>
      </c>
      <c r="AB106" s="18">
        <v>0.1</v>
      </c>
    </row>
    <row r="107" spans="1:28">
      <c r="A107">
        <v>2026</v>
      </c>
      <c r="B107" t="s">
        <v>145</v>
      </c>
      <c r="C107" t="s">
        <v>151</v>
      </c>
      <c r="D107" t="s">
        <v>152</v>
      </c>
      <c r="E107">
        <v>583400</v>
      </c>
      <c r="G107" t="s">
        <v>148</v>
      </c>
      <c r="H107" t="s">
        <v>148</v>
      </c>
      <c r="I107" t="s">
        <v>75</v>
      </c>
      <c r="J107" t="s">
        <v>53</v>
      </c>
      <c r="K107">
        <v>2</v>
      </c>
      <c r="L107">
        <v>386300</v>
      </c>
      <c r="M107" s="17">
        <f t="shared" si="18"/>
        <v>193150</v>
      </c>
      <c r="O107" s="17">
        <f t="shared" si="15"/>
        <v>251095</v>
      </c>
      <c r="P107" s="17">
        <v>0</v>
      </c>
      <c r="Q107" s="18">
        <v>0.17</v>
      </c>
      <c r="R107" s="17">
        <v>0</v>
      </c>
      <c r="S107" s="19">
        <v>0</v>
      </c>
      <c r="T107" s="17">
        <f t="shared" si="19"/>
        <v>193150</v>
      </c>
      <c r="U107" s="18">
        <v>0.25</v>
      </c>
      <c r="V107" s="17">
        <f t="shared" si="16"/>
        <v>241437.5</v>
      </c>
      <c r="W107" s="20">
        <f t="shared" si="17"/>
        <v>0.2</v>
      </c>
      <c r="X107" s="17">
        <v>0</v>
      </c>
      <c r="Y107" s="18">
        <v>0.25</v>
      </c>
      <c r="Z107" s="17">
        <v>0</v>
      </c>
      <c r="AA107" s="18">
        <v>0</v>
      </c>
      <c r="AB107" s="18">
        <v>0.1</v>
      </c>
    </row>
    <row r="108" spans="1:28">
      <c r="A108">
        <v>2026</v>
      </c>
      <c r="B108" t="s">
        <v>145</v>
      </c>
      <c r="C108" t="s">
        <v>151</v>
      </c>
      <c r="D108" t="s">
        <v>152</v>
      </c>
      <c r="E108">
        <v>583500</v>
      </c>
      <c r="G108" t="s">
        <v>148</v>
      </c>
      <c r="H108" t="s">
        <v>148</v>
      </c>
      <c r="I108" t="s">
        <v>78</v>
      </c>
      <c r="J108" t="s">
        <v>22</v>
      </c>
      <c r="K108">
        <v>10</v>
      </c>
      <c r="L108">
        <v>38000</v>
      </c>
      <c r="M108" s="17">
        <f t="shared" si="18"/>
        <v>3800</v>
      </c>
      <c r="O108" s="17">
        <f t="shared" si="15"/>
        <v>4940</v>
      </c>
      <c r="P108" s="17">
        <v>0</v>
      </c>
      <c r="Q108" s="18">
        <v>0.22</v>
      </c>
      <c r="R108" s="17">
        <v>0</v>
      </c>
      <c r="S108" s="19">
        <v>0</v>
      </c>
      <c r="T108" s="17">
        <f t="shared" si="19"/>
        <v>3800</v>
      </c>
      <c r="U108" s="18">
        <v>0.35</v>
      </c>
      <c r="V108" s="17">
        <f t="shared" si="16"/>
        <v>5130</v>
      </c>
      <c r="W108" s="20">
        <f t="shared" si="17"/>
        <v>0.25925925925925924</v>
      </c>
      <c r="X108" s="17">
        <v>0</v>
      </c>
      <c r="Y108" s="18">
        <v>0.35</v>
      </c>
      <c r="Z108" s="17">
        <v>0</v>
      </c>
      <c r="AA108" s="18">
        <v>0</v>
      </c>
      <c r="AB108" s="18">
        <v>0.1</v>
      </c>
    </row>
    <row r="109" spans="1:28">
      <c r="A109">
        <v>2026</v>
      </c>
      <c r="B109" t="s">
        <v>145</v>
      </c>
      <c r="C109" t="s">
        <v>151</v>
      </c>
      <c r="D109" t="s">
        <v>152</v>
      </c>
      <c r="E109">
        <v>595200</v>
      </c>
      <c r="G109" t="s">
        <v>148</v>
      </c>
      <c r="H109" t="s">
        <v>148</v>
      </c>
      <c r="I109" t="s">
        <v>78</v>
      </c>
      <c r="J109" t="s">
        <v>22</v>
      </c>
      <c r="K109">
        <v>10</v>
      </c>
      <c r="L109">
        <v>39800</v>
      </c>
      <c r="M109" s="17">
        <f t="shared" si="18"/>
        <v>3980</v>
      </c>
      <c r="O109" s="17">
        <f t="shared" si="15"/>
        <v>5174</v>
      </c>
      <c r="P109" s="17">
        <v>0</v>
      </c>
      <c r="Q109" s="18">
        <v>0.12</v>
      </c>
      <c r="R109" s="17">
        <v>0</v>
      </c>
      <c r="S109" s="19">
        <v>0</v>
      </c>
      <c r="T109" s="17">
        <f t="shared" si="19"/>
        <v>3980</v>
      </c>
      <c r="U109" s="18">
        <v>0.12</v>
      </c>
      <c r="V109" s="17">
        <f t="shared" si="16"/>
        <v>4457.6000000000004</v>
      </c>
      <c r="W109" s="20">
        <f t="shared" si="17"/>
        <v>0.10714285714285722</v>
      </c>
      <c r="X109" s="17">
        <v>0</v>
      </c>
      <c r="Y109" s="18">
        <v>0.12</v>
      </c>
      <c r="Z109" s="17">
        <v>0</v>
      </c>
      <c r="AA109" s="18">
        <v>0</v>
      </c>
      <c r="AB109" s="18">
        <v>0.1</v>
      </c>
    </row>
    <row r="110" spans="1:28">
      <c r="A110">
        <v>2026</v>
      </c>
      <c r="B110" t="s">
        <v>145</v>
      </c>
      <c r="C110" t="s">
        <v>151</v>
      </c>
      <c r="D110" t="s">
        <v>152</v>
      </c>
      <c r="E110">
        <v>595300</v>
      </c>
      <c r="G110" t="s">
        <v>148</v>
      </c>
      <c r="H110" t="s">
        <v>148</v>
      </c>
      <c r="I110" t="s">
        <v>78</v>
      </c>
      <c r="J110" t="s">
        <v>22</v>
      </c>
      <c r="K110">
        <v>10</v>
      </c>
      <c r="L110">
        <v>42200</v>
      </c>
      <c r="M110" s="17">
        <f t="shared" si="18"/>
        <v>4220</v>
      </c>
      <c r="O110" s="17">
        <f t="shared" si="15"/>
        <v>5486</v>
      </c>
      <c r="P110" s="17">
        <v>0</v>
      </c>
      <c r="Q110" s="18">
        <v>0.15</v>
      </c>
      <c r="R110" s="17">
        <v>0</v>
      </c>
      <c r="S110" s="19">
        <v>0</v>
      </c>
      <c r="T110" s="17">
        <f t="shared" si="19"/>
        <v>4220</v>
      </c>
      <c r="U110" s="18">
        <v>0.25</v>
      </c>
      <c r="V110" s="17">
        <f t="shared" si="16"/>
        <v>5275</v>
      </c>
      <c r="W110" s="20">
        <f t="shared" si="17"/>
        <v>0.2</v>
      </c>
      <c r="X110" s="17">
        <v>0</v>
      </c>
      <c r="Y110" s="18">
        <v>0.25</v>
      </c>
      <c r="Z110" s="17">
        <v>0</v>
      </c>
      <c r="AA110" s="18">
        <v>0</v>
      </c>
      <c r="AB110" s="18">
        <v>0.1</v>
      </c>
    </row>
    <row r="111" spans="1:28">
      <c r="A111">
        <v>2026</v>
      </c>
      <c r="B111" t="s">
        <v>145</v>
      </c>
      <c r="C111" t="s">
        <v>151</v>
      </c>
      <c r="D111" t="s">
        <v>152</v>
      </c>
      <c r="E111">
        <v>595400</v>
      </c>
      <c r="G111" t="s">
        <v>148</v>
      </c>
      <c r="H111" t="s">
        <v>148</v>
      </c>
      <c r="I111" t="s">
        <v>78</v>
      </c>
      <c r="J111" t="s">
        <v>22</v>
      </c>
      <c r="K111">
        <v>10</v>
      </c>
      <c r="L111">
        <v>51600</v>
      </c>
      <c r="M111" s="17">
        <f t="shared" si="18"/>
        <v>5160</v>
      </c>
      <c r="O111" s="17">
        <f t="shared" si="15"/>
        <v>6708</v>
      </c>
      <c r="P111" s="17">
        <v>0</v>
      </c>
      <c r="Q111" s="18">
        <v>0.18</v>
      </c>
      <c r="R111" s="17">
        <v>0</v>
      </c>
      <c r="S111" s="19">
        <v>0</v>
      </c>
      <c r="T111" s="17">
        <f t="shared" si="19"/>
        <v>5160</v>
      </c>
      <c r="U111" s="18">
        <v>0.1</v>
      </c>
      <c r="V111" s="17">
        <f t="shared" si="16"/>
        <v>5676</v>
      </c>
      <c r="W111" s="20">
        <f t="shared" si="17"/>
        <v>9.0909090909090912E-2</v>
      </c>
      <c r="X111" s="17">
        <v>0</v>
      </c>
      <c r="Y111" s="18">
        <v>0.1</v>
      </c>
      <c r="Z111" s="17">
        <v>0</v>
      </c>
      <c r="AA111" s="18">
        <v>0</v>
      </c>
      <c r="AB111" s="18">
        <v>0.1</v>
      </c>
    </row>
    <row r="112" spans="1:28">
      <c r="A112">
        <v>2026</v>
      </c>
      <c r="B112" t="s">
        <v>145</v>
      </c>
      <c r="C112" t="s">
        <v>151</v>
      </c>
      <c r="D112" t="s">
        <v>152</v>
      </c>
      <c r="E112">
        <v>595600</v>
      </c>
      <c r="G112" t="s">
        <v>148</v>
      </c>
      <c r="H112" t="s">
        <v>148</v>
      </c>
      <c r="I112" t="s">
        <v>95</v>
      </c>
      <c r="J112" t="s">
        <v>12</v>
      </c>
      <c r="K112">
        <v>1</v>
      </c>
      <c r="L112">
        <v>43500</v>
      </c>
      <c r="M112" s="17">
        <f t="shared" si="18"/>
        <v>43500</v>
      </c>
      <c r="O112" s="17">
        <f t="shared" si="15"/>
        <v>56550</v>
      </c>
      <c r="P112" s="17">
        <v>0</v>
      </c>
      <c r="Q112" s="18">
        <v>0.28999999999999998</v>
      </c>
      <c r="R112" s="17">
        <v>0</v>
      </c>
      <c r="S112" s="19">
        <v>0</v>
      </c>
      <c r="T112" s="17">
        <f t="shared" si="19"/>
        <v>43500</v>
      </c>
      <c r="U112" s="18">
        <v>0.35</v>
      </c>
      <c r="V112" s="17">
        <f t="shared" si="16"/>
        <v>58725</v>
      </c>
      <c r="W112" s="20">
        <f t="shared" si="17"/>
        <v>0.25925925925925924</v>
      </c>
      <c r="X112" s="17">
        <v>0</v>
      </c>
      <c r="Y112" s="18">
        <v>0.35</v>
      </c>
      <c r="Z112" s="17">
        <v>0</v>
      </c>
      <c r="AA112" s="18">
        <v>0</v>
      </c>
      <c r="AB112" s="18">
        <v>0.1</v>
      </c>
    </row>
    <row r="113" spans="1:28">
      <c r="A113">
        <v>2026</v>
      </c>
      <c r="B113" t="s">
        <v>145</v>
      </c>
      <c r="C113" t="s">
        <v>151</v>
      </c>
      <c r="D113" t="s">
        <v>152</v>
      </c>
      <c r="E113">
        <v>581011</v>
      </c>
      <c r="G113" t="s">
        <v>148</v>
      </c>
      <c r="H113" t="s">
        <v>148</v>
      </c>
      <c r="I113" t="s">
        <v>100</v>
      </c>
      <c r="J113" t="s">
        <v>12</v>
      </c>
      <c r="K113">
        <v>1</v>
      </c>
      <c r="L113">
        <v>89500</v>
      </c>
      <c r="M113" s="17">
        <f t="shared" si="18"/>
        <v>89500</v>
      </c>
      <c r="O113" s="17">
        <f t="shared" si="15"/>
        <v>116350</v>
      </c>
      <c r="P113" s="17">
        <v>0</v>
      </c>
      <c r="Q113" s="18">
        <v>0.34</v>
      </c>
      <c r="R113" s="17">
        <v>0</v>
      </c>
      <c r="S113" s="19">
        <v>0</v>
      </c>
      <c r="T113" s="17">
        <f t="shared" si="19"/>
        <v>89500</v>
      </c>
      <c r="U113" s="18">
        <v>0.33</v>
      </c>
      <c r="V113" s="17">
        <f t="shared" si="16"/>
        <v>119035</v>
      </c>
      <c r="W113" s="20">
        <f t="shared" si="17"/>
        <v>0.24812030075187969</v>
      </c>
      <c r="X113" s="17">
        <v>0</v>
      </c>
      <c r="Y113" s="18">
        <v>0.33</v>
      </c>
      <c r="Z113" s="17">
        <v>0</v>
      </c>
      <c r="AA113" s="18">
        <v>0</v>
      </c>
      <c r="AB113" s="18">
        <v>0.1</v>
      </c>
    </row>
    <row r="114" spans="1:28">
      <c r="A114">
        <v>2026</v>
      </c>
      <c r="B114" t="s">
        <v>145</v>
      </c>
      <c r="C114" t="s">
        <v>151</v>
      </c>
      <c r="D114" t="s">
        <v>152</v>
      </c>
      <c r="E114">
        <v>581100</v>
      </c>
      <c r="G114" t="s">
        <v>148</v>
      </c>
      <c r="H114" t="s">
        <v>148</v>
      </c>
      <c r="I114" t="s">
        <v>100</v>
      </c>
      <c r="J114" t="s">
        <v>12</v>
      </c>
      <c r="K114">
        <v>1</v>
      </c>
      <c r="L114">
        <v>67900</v>
      </c>
      <c r="M114" s="17">
        <f t="shared" si="18"/>
        <v>67900</v>
      </c>
      <c r="O114" s="17">
        <f t="shared" si="15"/>
        <v>88270</v>
      </c>
      <c r="P114" s="17">
        <v>0</v>
      </c>
      <c r="Q114" s="18">
        <v>0.25</v>
      </c>
      <c r="R114" s="17">
        <v>0</v>
      </c>
      <c r="S114" s="19">
        <v>0</v>
      </c>
      <c r="T114" s="17">
        <f t="shared" si="19"/>
        <v>67900</v>
      </c>
      <c r="U114" s="18">
        <v>0.31</v>
      </c>
      <c r="V114" s="17">
        <f t="shared" si="16"/>
        <v>88949</v>
      </c>
      <c r="W114" s="20">
        <f t="shared" si="17"/>
        <v>0.23664122137404581</v>
      </c>
      <c r="X114" s="17">
        <v>0</v>
      </c>
      <c r="Y114" s="18">
        <v>0.31</v>
      </c>
      <c r="Z114" s="17">
        <v>0</v>
      </c>
      <c r="AA114" s="18">
        <v>0</v>
      </c>
      <c r="AB114" s="18">
        <v>0.1</v>
      </c>
    </row>
    <row r="115" spans="1:28">
      <c r="A115">
        <v>2026</v>
      </c>
      <c r="B115" t="s">
        <v>145</v>
      </c>
      <c r="C115" t="s">
        <v>151</v>
      </c>
      <c r="D115" t="s">
        <v>152</v>
      </c>
      <c r="E115">
        <v>581200</v>
      </c>
      <c r="G115" t="s">
        <v>148</v>
      </c>
      <c r="H115" t="s">
        <v>148</v>
      </c>
      <c r="I115" t="s">
        <v>100</v>
      </c>
      <c r="J115" t="s">
        <v>12</v>
      </c>
      <c r="K115">
        <v>1</v>
      </c>
      <c r="L115">
        <v>50300</v>
      </c>
      <c r="M115" s="17">
        <f t="shared" si="18"/>
        <v>50300</v>
      </c>
      <c r="O115" s="17">
        <f t="shared" si="15"/>
        <v>65390</v>
      </c>
      <c r="P115" s="17">
        <v>0</v>
      </c>
      <c r="Q115" s="18">
        <v>0.35</v>
      </c>
      <c r="R115" s="17">
        <v>0</v>
      </c>
      <c r="S115" s="19">
        <v>0</v>
      </c>
      <c r="T115" s="17">
        <f t="shared" si="19"/>
        <v>50300</v>
      </c>
      <c r="U115" s="18">
        <v>0.3</v>
      </c>
      <c r="V115" s="17">
        <f t="shared" si="16"/>
        <v>65390</v>
      </c>
      <c r="W115" s="20">
        <f t="shared" si="17"/>
        <v>0.23076923076923078</v>
      </c>
      <c r="X115" s="17">
        <v>0</v>
      </c>
      <c r="Y115" s="18">
        <v>0.3</v>
      </c>
      <c r="Z115" s="17">
        <v>0</v>
      </c>
      <c r="AA115" s="18">
        <v>0</v>
      </c>
      <c r="AB115" s="18">
        <v>0.1</v>
      </c>
    </row>
    <row r="116" spans="1:28">
      <c r="A116">
        <v>2026</v>
      </c>
      <c r="B116" t="s">
        <v>145</v>
      </c>
      <c r="C116" t="s">
        <v>151</v>
      </c>
      <c r="D116" t="s">
        <v>152</v>
      </c>
      <c r="E116">
        <v>581300</v>
      </c>
      <c r="G116" t="s">
        <v>148</v>
      </c>
      <c r="H116" t="s">
        <v>148</v>
      </c>
      <c r="I116" t="s">
        <v>100</v>
      </c>
      <c r="J116" t="s">
        <v>12</v>
      </c>
      <c r="K116">
        <v>1</v>
      </c>
      <c r="L116">
        <v>53300</v>
      </c>
      <c r="M116" s="17">
        <f t="shared" si="18"/>
        <v>53300</v>
      </c>
      <c r="O116" s="17">
        <f t="shared" si="15"/>
        <v>69290</v>
      </c>
      <c r="P116" s="17">
        <v>0</v>
      </c>
      <c r="Q116" s="18">
        <v>0.12</v>
      </c>
      <c r="R116" s="17">
        <v>0</v>
      </c>
      <c r="S116" s="19">
        <v>0</v>
      </c>
      <c r="T116" s="17">
        <f t="shared" si="19"/>
        <v>53300</v>
      </c>
      <c r="U116" s="18">
        <v>0.28000000000000003</v>
      </c>
      <c r="V116" s="17">
        <f t="shared" si="16"/>
        <v>68224</v>
      </c>
      <c r="W116" s="20">
        <f t="shared" si="17"/>
        <v>0.21875</v>
      </c>
      <c r="X116" s="17">
        <v>0</v>
      </c>
      <c r="Y116" s="18">
        <v>0.28000000000000003</v>
      </c>
      <c r="Z116" s="17">
        <v>0</v>
      </c>
      <c r="AA116" s="18">
        <v>0</v>
      </c>
      <c r="AB116" s="18">
        <v>0.1</v>
      </c>
    </row>
    <row r="117" spans="1:28" ht="15">
      <c r="A117" s="11" t="s">
        <v>117</v>
      </c>
      <c r="B117" s="11" t="s">
        <v>118</v>
      </c>
      <c r="C117" s="11" t="s">
        <v>119</v>
      </c>
      <c r="D117" s="11" t="s">
        <v>120</v>
      </c>
      <c r="E117" s="11" t="s">
        <v>121</v>
      </c>
      <c r="F117" s="11" t="s">
        <v>122</v>
      </c>
      <c r="G117" s="11" t="s">
        <v>123</v>
      </c>
      <c r="H117" s="11" t="s">
        <v>124</v>
      </c>
      <c r="I117" s="11" t="s">
        <v>125</v>
      </c>
      <c r="J117" s="11" t="s">
        <v>126</v>
      </c>
      <c r="K117" s="11" t="s">
        <v>127</v>
      </c>
      <c r="L117" s="11" t="s">
        <v>128</v>
      </c>
      <c r="M117" s="12" t="s">
        <v>129</v>
      </c>
      <c r="N117" s="11" t="s">
        <v>130</v>
      </c>
      <c r="O117" s="11" t="s">
        <v>131</v>
      </c>
      <c r="P117" s="11" t="s">
        <v>132</v>
      </c>
      <c r="Q117" s="13" t="s">
        <v>133</v>
      </c>
      <c r="R117" s="14" t="s">
        <v>134</v>
      </c>
      <c r="S117" s="15" t="s">
        <v>135</v>
      </c>
      <c r="T117" s="16" t="s">
        <v>136</v>
      </c>
      <c r="U117" s="16" t="s">
        <v>137</v>
      </c>
      <c r="V117" s="16" t="s">
        <v>138</v>
      </c>
      <c r="W117" s="13" t="s">
        <v>139</v>
      </c>
      <c r="X117" s="16" t="s">
        <v>140</v>
      </c>
      <c r="Y117" s="16" t="s">
        <v>141</v>
      </c>
      <c r="Z117" s="16" t="s">
        <v>142</v>
      </c>
      <c r="AA117" s="13" t="s">
        <v>143</v>
      </c>
      <c r="AB117" s="14" t="s">
        <v>144</v>
      </c>
    </row>
    <row r="118" spans="1:28">
      <c r="A118">
        <v>2026</v>
      </c>
      <c r="B118" t="s">
        <v>145</v>
      </c>
      <c r="C118" t="s">
        <v>151</v>
      </c>
      <c r="D118" t="s">
        <v>152</v>
      </c>
      <c r="E118">
        <v>360001</v>
      </c>
      <c r="G118" t="s">
        <v>148</v>
      </c>
      <c r="H118" t="s">
        <v>148</v>
      </c>
      <c r="I118" t="s">
        <v>9</v>
      </c>
      <c r="J118" t="s">
        <v>12</v>
      </c>
      <c r="K118">
        <v>1</v>
      </c>
      <c r="L118">
        <v>893800</v>
      </c>
      <c r="M118" s="17">
        <f>L118/K118</f>
        <v>893800</v>
      </c>
      <c r="O118" s="17">
        <f t="shared" ref="O118:O145" si="20">M118+(M118*30%)</f>
        <v>1161940</v>
      </c>
      <c r="P118" s="17">
        <v>0</v>
      </c>
      <c r="Q118" s="18">
        <v>0.17</v>
      </c>
      <c r="R118" s="17">
        <v>0</v>
      </c>
      <c r="S118" s="19">
        <v>0</v>
      </c>
      <c r="T118" s="17">
        <f>IF(C118="Mediana Complejidad",M118,0)</f>
        <v>893800</v>
      </c>
      <c r="U118" s="18">
        <v>0.27</v>
      </c>
      <c r="V118" s="17">
        <f t="shared" ref="V118:V145" si="21">T118+(T118*U118)</f>
        <v>1135126</v>
      </c>
      <c r="W118" s="20">
        <f t="shared" ref="W118:W145" si="22">IFERROR(((V118-T118)/V118),0)</f>
        <v>0.2125984251968504</v>
      </c>
      <c r="X118" s="17">
        <v>0</v>
      </c>
      <c r="Y118" s="18">
        <v>0.28000000000000003</v>
      </c>
      <c r="Z118" s="17">
        <v>0</v>
      </c>
      <c r="AA118" s="18">
        <v>0</v>
      </c>
      <c r="AB118" s="18">
        <v>0.1</v>
      </c>
    </row>
    <row r="119" spans="1:28">
      <c r="A119">
        <v>2026</v>
      </c>
      <c r="B119" t="s">
        <v>145</v>
      </c>
      <c r="C119" t="s">
        <v>151</v>
      </c>
      <c r="D119" t="s">
        <v>152</v>
      </c>
      <c r="E119">
        <v>360102</v>
      </c>
      <c r="G119" t="s">
        <v>148</v>
      </c>
      <c r="H119" t="s">
        <v>148</v>
      </c>
      <c r="I119" t="s">
        <v>19</v>
      </c>
      <c r="J119" t="s">
        <v>22</v>
      </c>
      <c r="K119">
        <v>10</v>
      </c>
      <c r="L119">
        <v>13500</v>
      </c>
      <c r="M119" s="17">
        <f t="shared" ref="M119:M145" si="23">L119/K119</f>
        <v>1350</v>
      </c>
      <c r="O119" s="17">
        <f t="shared" si="20"/>
        <v>1755</v>
      </c>
      <c r="P119" s="17">
        <v>0</v>
      </c>
      <c r="Q119" s="18">
        <v>0.22</v>
      </c>
      <c r="R119" s="17">
        <v>0</v>
      </c>
      <c r="S119" s="19">
        <v>0</v>
      </c>
      <c r="T119" s="17">
        <f t="shared" ref="T119:T145" si="24">IF(C119="Mediana Complejidad",M119,0)</f>
        <v>1350</v>
      </c>
      <c r="U119" s="18">
        <v>0.17</v>
      </c>
      <c r="V119" s="17">
        <f t="shared" si="21"/>
        <v>1579.5</v>
      </c>
      <c r="W119" s="20">
        <f t="shared" si="22"/>
        <v>0.14529914529914531</v>
      </c>
      <c r="X119" s="17">
        <v>0</v>
      </c>
      <c r="Y119" s="18">
        <v>0.27</v>
      </c>
      <c r="Z119" s="17">
        <v>0</v>
      </c>
      <c r="AA119" s="18">
        <v>0</v>
      </c>
      <c r="AB119" s="18">
        <v>0.1</v>
      </c>
    </row>
    <row r="120" spans="1:28">
      <c r="A120">
        <v>2026</v>
      </c>
      <c r="B120" t="s">
        <v>145</v>
      </c>
      <c r="C120" t="s">
        <v>151</v>
      </c>
      <c r="D120" t="s">
        <v>152</v>
      </c>
      <c r="E120">
        <v>360104</v>
      </c>
      <c r="G120" t="s">
        <v>148</v>
      </c>
      <c r="H120" t="s">
        <v>148</v>
      </c>
      <c r="I120" t="s">
        <v>19</v>
      </c>
      <c r="J120" t="s">
        <v>22</v>
      </c>
      <c r="K120">
        <v>10</v>
      </c>
      <c r="L120">
        <v>28800</v>
      </c>
      <c r="M120" s="17">
        <f t="shared" si="23"/>
        <v>2880</v>
      </c>
      <c r="O120" s="17">
        <f t="shared" si="20"/>
        <v>3744</v>
      </c>
      <c r="P120" s="17">
        <v>0</v>
      </c>
      <c r="Q120" s="18">
        <v>0.12</v>
      </c>
      <c r="R120" s="17">
        <v>0</v>
      </c>
      <c r="S120" s="19">
        <v>0</v>
      </c>
      <c r="T120" s="17">
        <f t="shared" si="24"/>
        <v>2880</v>
      </c>
      <c r="U120" s="18">
        <v>0.22</v>
      </c>
      <c r="V120" s="17">
        <f t="shared" si="21"/>
        <v>3513.6</v>
      </c>
      <c r="W120" s="20">
        <f t="shared" si="22"/>
        <v>0.18032786885245899</v>
      </c>
      <c r="X120" s="17">
        <v>0</v>
      </c>
      <c r="Y120" s="18">
        <v>0.17</v>
      </c>
      <c r="Z120" s="17">
        <v>0</v>
      </c>
      <c r="AA120" s="18">
        <v>0</v>
      </c>
      <c r="AB120" s="18">
        <v>0.1</v>
      </c>
    </row>
    <row r="121" spans="1:28">
      <c r="A121">
        <v>2026</v>
      </c>
      <c r="B121" t="s">
        <v>145</v>
      </c>
      <c r="C121" t="s">
        <v>151</v>
      </c>
      <c r="D121" t="s">
        <v>152</v>
      </c>
      <c r="E121">
        <v>360100</v>
      </c>
      <c r="G121" t="s">
        <v>148</v>
      </c>
      <c r="H121" t="s">
        <v>148</v>
      </c>
      <c r="I121" t="s">
        <v>19</v>
      </c>
      <c r="J121" t="s">
        <v>22</v>
      </c>
      <c r="K121">
        <v>10</v>
      </c>
      <c r="L121">
        <v>63400</v>
      </c>
      <c r="M121" s="17">
        <f t="shared" si="23"/>
        <v>6340</v>
      </c>
      <c r="O121" s="17">
        <f t="shared" si="20"/>
        <v>8242</v>
      </c>
      <c r="P121" s="17">
        <v>0</v>
      </c>
      <c r="Q121" s="18">
        <v>0.15</v>
      </c>
      <c r="R121" s="17">
        <v>0</v>
      </c>
      <c r="S121" s="19">
        <v>0</v>
      </c>
      <c r="T121" s="17">
        <f t="shared" si="24"/>
        <v>6340</v>
      </c>
      <c r="U121" s="18">
        <v>0.12</v>
      </c>
      <c r="V121" s="17">
        <f t="shared" si="21"/>
        <v>7100.8</v>
      </c>
      <c r="W121" s="20">
        <f t="shared" si="22"/>
        <v>0.10714285714285716</v>
      </c>
      <c r="X121" s="17">
        <v>0</v>
      </c>
      <c r="Y121" s="18">
        <v>0.22</v>
      </c>
      <c r="Z121" s="17">
        <v>0</v>
      </c>
      <c r="AA121" s="18">
        <v>0</v>
      </c>
      <c r="AB121" s="18">
        <v>0.1</v>
      </c>
    </row>
    <row r="122" spans="1:28">
      <c r="A122">
        <v>2026</v>
      </c>
      <c r="B122" t="s">
        <v>145</v>
      </c>
      <c r="C122" t="s">
        <v>151</v>
      </c>
      <c r="D122" t="s">
        <v>152</v>
      </c>
      <c r="E122">
        <v>360150</v>
      </c>
      <c r="G122" t="s">
        <v>148</v>
      </c>
      <c r="H122" t="s">
        <v>148</v>
      </c>
      <c r="I122" t="s">
        <v>30</v>
      </c>
      <c r="J122" t="s">
        <v>22</v>
      </c>
      <c r="K122">
        <v>10</v>
      </c>
      <c r="L122">
        <v>24200</v>
      </c>
      <c r="M122" s="17">
        <f t="shared" si="23"/>
        <v>2420</v>
      </c>
      <c r="O122" s="17">
        <f t="shared" si="20"/>
        <v>3146</v>
      </c>
      <c r="P122" s="17">
        <v>0</v>
      </c>
      <c r="Q122" s="18">
        <v>0.18</v>
      </c>
      <c r="R122" s="17">
        <v>0</v>
      </c>
      <c r="S122" s="19">
        <v>0</v>
      </c>
      <c r="T122" s="17">
        <f t="shared" si="24"/>
        <v>2420</v>
      </c>
      <c r="U122" s="18">
        <v>0.15</v>
      </c>
      <c r="V122" s="17">
        <f t="shared" si="21"/>
        <v>2783</v>
      </c>
      <c r="W122" s="20">
        <f t="shared" si="22"/>
        <v>0.13043478260869565</v>
      </c>
      <c r="X122" s="17">
        <v>0</v>
      </c>
      <c r="Y122" s="18">
        <v>0.12</v>
      </c>
      <c r="Z122" s="17">
        <v>0</v>
      </c>
      <c r="AA122" s="18">
        <v>0</v>
      </c>
      <c r="AB122" s="18">
        <v>0.1</v>
      </c>
    </row>
    <row r="123" spans="1:28">
      <c r="A123">
        <v>2026</v>
      </c>
      <c r="B123" t="s">
        <v>145</v>
      </c>
      <c r="C123" t="s">
        <v>151</v>
      </c>
      <c r="D123" t="s">
        <v>152</v>
      </c>
      <c r="E123">
        <v>360101</v>
      </c>
      <c r="G123" t="s">
        <v>148</v>
      </c>
      <c r="H123" t="s">
        <v>148</v>
      </c>
      <c r="I123" t="s">
        <v>30</v>
      </c>
      <c r="J123" t="s">
        <v>22</v>
      </c>
      <c r="K123">
        <v>10</v>
      </c>
      <c r="L123">
        <v>36700</v>
      </c>
      <c r="M123" s="17">
        <f t="shared" si="23"/>
        <v>3670</v>
      </c>
      <c r="O123" s="17">
        <f t="shared" si="20"/>
        <v>4771</v>
      </c>
      <c r="P123" s="17">
        <v>0</v>
      </c>
      <c r="Q123" s="18">
        <v>0.28999999999999998</v>
      </c>
      <c r="R123" s="17">
        <v>0</v>
      </c>
      <c r="S123" s="19">
        <v>0</v>
      </c>
      <c r="T123" s="17">
        <f t="shared" si="24"/>
        <v>3670</v>
      </c>
      <c r="U123" s="18">
        <v>0.18</v>
      </c>
      <c r="V123" s="17">
        <f t="shared" si="21"/>
        <v>4330.6000000000004</v>
      </c>
      <c r="W123" s="20">
        <f t="shared" si="22"/>
        <v>0.152542372881356</v>
      </c>
      <c r="X123" s="17">
        <v>0</v>
      </c>
      <c r="Y123" s="18">
        <v>0.15</v>
      </c>
      <c r="Z123" s="17">
        <v>0</v>
      </c>
      <c r="AA123" s="18">
        <v>0</v>
      </c>
      <c r="AB123" s="18">
        <v>0.1</v>
      </c>
    </row>
    <row r="124" spans="1:28">
      <c r="A124">
        <v>2026</v>
      </c>
      <c r="B124" t="s">
        <v>145</v>
      </c>
      <c r="C124" t="s">
        <v>151</v>
      </c>
      <c r="D124" t="s">
        <v>152</v>
      </c>
      <c r="E124">
        <v>360103</v>
      </c>
      <c r="G124" t="s">
        <v>148</v>
      </c>
      <c r="H124" t="s">
        <v>148</v>
      </c>
      <c r="I124" t="s">
        <v>30</v>
      </c>
      <c r="J124" t="s">
        <v>22</v>
      </c>
      <c r="K124">
        <v>10</v>
      </c>
      <c r="L124">
        <v>91800</v>
      </c>
      <c r="M124" s="17">
        <f t="shared" si="23"/>
        <v>9180</v>
      </c>
      <c r="O124" s="17">
        <f t="shared" si="20"/>
        <v>11934</v>
      </c>
      <c r="P124" s="17">
        <v>0</v>
      </c>
      <c r="Q124" s="18">
        <v>0.34</v>
      </c>
      <c r="R124" s="17">
        <v>0</v>
      </c>
      <c r="S124" s="19">
        <v>0</v>
      </c>
      <c r="T124" s="17">
        <f t="shared" si="24"/>
        <v>9180</v>
      </c>
      <c r="U124" s="18">
        <v>0.28999999999999998</v>
      </c>
      <c r="V124" s="17">
        <f t="shared" si="21"/>
        <v>11842.2</v>
      </c>
      <c r="W124" s="20">
        <f t="shared" si="22"/>
        <v>0.22480620155038764</v>
      </c>
      <c r="X124" s="17">
        <v>0</v>
      </c>
      <c r="Y124" s="18">
        <v>0.18</v>
      </c>
      <c r="Z124" s="17">
        <v>0</v>
      </c>
      <c r="AA124" s="18">
        <v>0</v>
      </c>
      <c r="AB124" s="18">
        <v>0.1</v>
      </c>
    </row>
    <row r="125" spans="1:28">
      <c r="A125">
        <v>2026</v>
      </c>
      <c r="B125" t="s">
        <v>145</v>
      </c>
      <c r="C125" t="s">
        <v>151</v>
      </c>
      <c r="D125" t="s">
        <v>152</v>
      </c>
      <c r="E125">
        <v>709900</v>
      </c>
      <c r="G125" t="s">
        <v>148</v>
      </c>
      <c r="H125" t="s">
        <v>148</v>
      </c>
      <c r="I125" t="s">
        <v>44</v>
      </c>
      <c r="J125" t="s">
        <v>29</v>
      </c>
      <c r="K125">
        <v>5</v>
      </c>
      <c r="L125">
        <v>17300</v>
      </c>
      <c r="M125" s="17">
        <f t="shared" si="23"/>
        <v>3460</v>
      </c>
      <c r="O125" s="17">
        <f t="shared" si="20"/>
        <v>4498</v>
      </c>
      <c r="P125" s="17">
        <v>0</v>
      </c>
      <c r="Q125" s="18">
        <v>0.25</v>
      </c>
      <c r="R125" s="17">
        <v>0</v>
      </c>
      <c r="S125" s="19">
        <v>0</v>
      </c>
      <c r="T125" s="17">
        <f t="shared" si="24"/>
        <v>3460</v>
      </c>
      <c r="U125" s="18">
        <v>0.34</v>
      </c>
      <c r="V125" s="17">
        <f t="shared" si="21"/>
        <v>4636.3999999999996</v>
      </c>
      <c r="W125" s="20">
        <f t="shared" si="22"/>
        <v>0.25373134328358204</v>
      </c>
      <c r="X125" s="17">
        <v>0</v>
      </c>
      <c r="Y125" s="18">
        <v>0.28999999999999998</v>
      </c>
      <c r="Z125" s="17">
        <v>0</v>
      </c>
      <c r="AA125" s="18">
        <v>0</v>
      </c>
      <c r="AB125" s="18">
        <v>0.1</v>
      </c>
    </row>
    <row r="126" spans="1:28">
      <c r="A126">
        <v>2026</v>
      </c>
      <c r="B126" t="s">
        <v>145</v>
      </c>
      <c r="C126" t="s">
        <v>151</v>
      </c>
      <c r="D126" t="s">
        <v>152</v>
      </c>
      <c r="E126">
        <v>709902</v>
      </c>
      <c r="G126" t="s">
        <v>148</v>
      </c>
      <c r="H126" t="s">
        <v>148</v>
      </c>
      <c r="I126" t="s">
        <v>44</v>
      </c>
      <c r="J126" t="s">
        <v>29</v>
      </c>
      <c r="K126">
        <v>5</v>
      </c>
      <c r="L126">
        <v>29000</v>
      </c>
      <c r="M126" s="17">
        <f t="shared" si="23"/>
        <v>5800</v>
      </c>
      <c r="O126" s="17">
        <f t="shared" si="20"/>
        <v>7540</v>
      </c>
      <c r="P126" s="17">
        <v>0</v>
      </c>
      <c r="Q126" s="18">
        <v>0.35</v>
      </c>
      <c r="R126" s="17">
        <v>0</v>
      </c>
      <c r="S126" s="19">
        <v>0</v>
      </c>
      <c r="T126" s="17">
        <f t="shared" si="24"/>
        <v>5800</v>
      </c>
      <c r="U126" s="18">
        <v>0.25</v>
      </c>
      <c r="V126" s="17">
        <f t="shared" si="21"/>
        <v>7250</v>
      </c>
      <c r="W126" s="20">
        <f t="shared" si="22"/>
        <v>0.2</v>
      </c>
      <c r="X126" s="17">
        <v>0</v>
      </c>
      <c r="Y126" s="18">
        <v>0.34</v>
      </c>
      <c r="Z126" s="17">
        <v>0</v>
      </c>
      <c r="AA126" s="18">
        <v>0</v>
      </c>
      <c r="AB126" s="18">
        <v>0.1</v>
      </c>
    </row>
    <row r="127" spans="1:28">
      <c r="A127">
        <v>2026</v>
      </c>
      <c r="B127" t="s">
        <v>145</v>
      </c>
      <c r="C127" t="s">
        <v>151</v>
      </c>
      <c r="D127" t="s">
        <v>152</v>
      </c>
      <c r="E127">
        <v>709903</v>
      </c>
      <c r="G127" t="s">
        <v>148</v>
      </c>
      <c r="H127" t="s">
        <v>148</v>
      </c>
      <c r="I127" t="s">
        <v>44</v>
      </c>
      <c r="J127" t="s">
        <v>29</v>
      </c>
      <c r="K127">
        <v>5</v>
      </c>
      <c r="L127">
        <v>36700</v>
      </c>
      <c r="M127" s="17">
        <f t="shared" si="23"/>
        <v>7340</v>
      </c>
      <c r="O127" s="17">
        <f t="shared" si="20"/>
        <v>9542</v>
      </c>
      <c r="P127" s="17">
        <v>0</v>
      </c>
      <c r="Q127" s="18">
        <v>0.12</v>
      </c>
      <c r="R127" s="17">
        <v>0</v>
      </c>
      <c r="S127" s="19">
        <v>0</v>
      </c>
      <c r="T127" s="17">
        <f t="shared" si="24"/>
        <v>7340</v>
      </c>
      <c r="U127" s="18">
        <v>0.35</v>
      </c>
      <c r="V127" s="17">
        <f t="shared" si="21"/>
        <v>9909</v>
      </c>
      <c r="W127" s="20">
        <f t="shared" si="22"/>
        <v>0.25925925925925924</v>
      </c>
      <c r="X127" s="17">
        <v>0</v>
      </c>
      <c r="Y127" s="18">
        <v>0.25</v>
      </c>
      <c r="Z127" s="17">
        <v>0</v>
      </c>
      <c r="AA127" s="18">
        <v>0</v>
      </c>
      <c r="AB127" s="18">
        <v>0.1</v>
      </c>
    </row>
    <row r="128" spans="1:28">
      <c r="A128">
        <v>2026</v>
      </c>
      <c r="B128" t="s">
        <v>145</v>
      </c>
      <c r="C128" t="s">
        <v>151</v>
      </c>
      <c r="D128" t="s">
        <v>152</v>
      </c>
      <c r="E128">
        <v>709909</v>
      </c>
      <c r="G128" t="s">
        <v>148</v>
      </c>
      <c r="H128" t="s">
        <v>148</v>
      </c>
      <c r="I128" t="s">
        <v>44</v>
      </c>
      <c r="J128" t="s">
        <v>29</v>
      </c>
      <c r="K128">
        <v>5</v>
      </c>
      <c r="L128">
        <v>75900</v>
      </c>
      <c r="M128" s="17">
        <f t="shared" si="23"/>
        <v>15180</v>
      </c>
      <c r="O128" s="17">
        <f t="shared" si="20"/>
        <v>19734</v>
      </c>
      <c r="P128" s="17">
        <v>0</v>
      </c>
      <c r="Q128" s="18">
        <v>0.25</v>
      </c>
      <c r="R128" s="17">
        <v>0</v>
      </c>
      <c r="S128" s="19">
        <v>0</v>
      </c>
      <c r="T128" s="17">
        <f t="shared" si="24"/>
        <v>15180</v>
      </c>
      <c r="U128" s="18">
        <v>0.12</v>
      </c>
      <c r="V128" s="17">
        <f t="shared" si="21"/>
        <v>17001.599999999999</v>
      </c>
      <c r="W128" s="20">
        <f t="shared" si="22"/>
        <v>0.10714285714285707</v>
      </c>
      <c r="X128" s="17">
        <v>0</v>
      </c>
      <c r="Y128" s="18">
        <v>0.35</v>
      </c>
      <c r="Z128" s="17">
        <v>0</v>
      </c>
      <c r="AA128" s="18">
        <v>0</v>
      </c>
      <c r="AB128" s="18">
        <v>0.1</v>
      </c>
    </row>
    <row r="129" spans="1:28">
      <c r="A129">
        <v>2026</v>
      </c>
      <c r="B129" t="s">
        <v>145</v>
      </c>
      <c r="C129" t="s">
        <v>151</v>
      </c>
      <c r="D129" t="s">
        <v>152</v>
      </c>
      <c r="E129">
        <v>709904</v>
      </c>
      <c r="G129" t="s">
        <v>148</v>
      </c>
      <c r="H129" t="s">
        <v>148</v>
      </c>
      <c r="I129" t="s">
        <v>55</v>
      </c>
      <c r="J129" t="s">
        <v>29</v>
      </c>
      <c r="K129">
        <v>5</v>
      </c>
      <c r="L129">
        <v>16900</v>
      </c>
      <c r="M129" s="17">
        <f t="shared" si="23"/>
        <v>3380</v>
      </c>
      <c r="O129" s="17">
        <f t="shared" si="20"/>
        <v>4394</v>
      </c>
      <c r="P129" s="17">
        <v>0</v>
      </c>
      <c r="Q129" s="18">
        <v>0.1</v>
      </c>
      <c r="R129" s="17">
        <v>0</v>
      </c>
      <c r="S129" s="19">
        <v>0</v>
      </c>
      <c r="T129" s="17">
        <f t="shared" si="24"/>
        <v>3380</v>
      </c>
      <c r="U129" s="18">
        <v>0.25</v>
      </c>
      <c r="V129" s="17">
        <f t="shared" si="21"/>
        <v>4225</v>
      </c>
      <c r="W129" s="20">
        <f t="shared" si="22"/>
        <v>0.2</v>
      </c>
      <c r="X129" s="17">
        <v>0</v>
      </c>
      <c r="Y129" s="18">
        <v>0.12</v>
      </c>
      <c r="Z129" s="17">
        <v>0</v>
      </c>
      <c r="AA129" s="18">
        <v>0</v>
      </c>
      <c r="AB129" s="18">
        <v>0.1</v>
      </c>
    </row>
    <row r="130" spans="1:28">
      <c r="A130">
        <v>2026</v>
      </c>
      <c r="B130" t="s">
        <v>145</v>
      </c>
      <c r="C130" t="s">
        <v>151</v>
      </c>
      <c r="D130" t="s">
        <v>152</v>
      </c>
      <c r="E130">
        <v>603421</v>
      </c>
      <c r="G130" t="s">
        <v>148</v>
      </c>
      <c r="H130" t="s">
        <v>148</v>
      </c>
      <c r="I130" t="s">
        <v>55</v>
      </c>
      <c r="J130" t="s">
        <v>29</v>
      </c>
      <c r="K130">
        <v>5</v>
      </c>
      <c r="L130">
        <v>21900</v>
      </c>
      <c r="M130" s="17">
        <f t="shared" si="23"/>
        <v>4380</v>
      </c>
      <c r="O130" s="17">
        <f t="shared" si="20"/>
        <v>5694</v>
      </c>
      <c r="P130" s="17">
        <v>0</v>
      </c>
      <c r="Q130" s="18">
        <v>0.35</v>
      </c>
      <c r="R130" s="17">
        <v>0</v>
      </c>
      <c r="S130" s="19">
        <v>0</v>
      </c>
      <c r="T130" s="17">
        <f t="shared" si="24"/>
        <v>4380</v>
      </c>
      <c r="U130" s="18">
        <v>0.1</v>
      </c>
      <c r="V130" s="17">
        <f t="shared" si="21"/>
        <v>4818</v>
      </c>
      <c r="W130" s="20">
        <f t="shared" si="22"/>
        <v>9.0909090909090912E-2</v>
      </c>
      <c r="X130" s="17">
        <v>0</v>
      </c>
      <c r="Y130" s="18">
        <v>0.22</v>
      </c>
      <c r="Z130" s="17">
        <v>0</v>
      </c>
      <c r="AA130" s="18">
        <v>0</v>
      </c>
      <c r="AB130" s="18">
        <v>0.1</v>
      </c>
    </row>
    <row r="131" spans="1:28">
      <c r="A131">
        <v>2026</v>
      </c>
      <c r="B131" t="s">
        <v>145</v>
      </c>
      <c r="C131" t="s">
        <v>151</v>
      </c>
      <c r="D131" t="s">
        <v>152</v>
      </c>
      <c r="E131">
        <v>603422</v>
      </c>
      <c r="G131" t="s">
        <v>148</v>
      </c>
      <c r="H131" t="s">
        <v>148</v>
      </c>
      <c r="I131" t="s">
        <v>60</v>
      </c>
      <c r="J131" t="s">
        <v>29</v>
      </c>
      <c r="K131">
        <v>5</v>
      </c>
      <c r="L131">
        <v>38600</v>
      </c>
      <c r="M131" s="17">
        <f t="shared" si="23"/>
        <v>7720</v>
      </c>
      <c r="O131" s="17">
        <f t="shared" si="20"/>
        <v>10036</v>
      </c>
      <c r="P131" s="17">
        <v>0</v>
      </c>
      <c r="Q131" s="18">
        <v>0.33</v>
      </c>
      <c r="R131" s="17">
        <v>0</v>
      </c>
      <c r="S131" s="19">
        <v>0</v>
      </c>
      <c r="T131" s="17">
        <f t="shared" si="24"/>
        <v>7720</v>
      </c>
      <c r="U131" s="18">
        <v>0.12</v>
      </c>
      <c r="V131" s="17">
        <f t="shared" si="21"/>
        <v>8646.4</v>
      </c>
      <c r="W131" s="20">
        <f t="shared" si="22"/>
        <v>0.10714285714285711</v>
      </c>
      <c r="X131" s="17">
        <v>0</v>
      </c>
      <c r="Y131" s="18">
        <v>0.12</v>
      </c>
      <c r="Z131" s="17">
        <v>0</v>
      </c>
      <c r="AA131" s="18">
        <v>0</v>
      </c>
      <c r="AB131" s="18">
        <v>0.1</v>
      </c>
    </row>
    <row r="132" spans="1:28">
      <c r="A132">
        <v>2026</v>
      </c>
      <c r="B132" t="s">
        <v>145</v>
      </c>
      <c r="C132" t="s">
        <v>151</v>
      </c>
      <c r="D132" t="s">
        <v>152</v>
      </c>
      <c r="E132">
        <v>603423</v>
      </c>
      <c r="G132" t="s">
        <v>148</v>
      </c>
      <c r="H132" t="s">
        <v>148</v>
      </c>
      <c r="I132" t="s">
        <v>60</v>
      </c>
      <c r="J132" t="s">
        <v>29</v>
      </c>
      <c r="K132">
        <v>5</v>
      </c>
      <c r="L132">
        <v>107200</v>
      </c>
      <c r="M132" s="17">
        <f t="shared" si="23"/>
        <v>21440</v>
      </c>
      <c r="O132" s="17">
        <f t="shared" si="20"/>
        <v>27872</v>
      </c>
      <c r="P132" s="17">
        <v>0</v>
      </c>
      <c r="Q132" s="18">
        <v>0.31</v>
      </c>
      <c r="R132" s="17">
        <v>0</v>
      </c>
      <c r="S132" s="19">
        <v>0</v>
      </c>
      <c r="T132" s="17">
        <f t="shared" si="24"/>
        <v>21440</v>
      </c>
      <c r="U132" s="18">
        <v>0.15</v>
      </c>
      <c r="V132" s="17">
        <f t="shared" si="21"/>
        <v>24656</v>
      </c>
      <c r="W132" s="20">
        <f t="shared" si="22"/>
        <v>0.13043478260869565</v>
      </c>
      <c r="X132" s="17">
        <v>0</v>
      </c>
      <c r="Y132" s="18">
        <v>0.15</v>
      </c>
      <c r="Z132" s="17">
        <v>0</v>
      </c>
      <c r="AA132" s="18">
        <v>0</v>
      </c>
      <c r="AB132" s="18">
        <v>0.1</v>
      </c>
    </row>
    <row r="133" spans="1:28">
      <c r="A133">
        <v>2026</v>
      </c>
      <c r="B133" t="s">
        <v>145</v>
      </c>
      <c r="C133" t="s">
        <v>151</v>
      </c>
      <c r="D133" t="s">
        <v>152</v>
      </c>
      <c r="E133">
        <v>603420</v>
      </c>
      <c r="G133" t="s">
        <v>148</v>
      </c>
      <c r="H133" t="s">
        <v>148</v>
      </c>
      <c r="I133" t="s">
        <v>60</v>
      </c>
      <c r="J133" t="s">
        <v>29</v>
      </c>
      <c r="K133">
        <v>5</v>
      </c>
      <c r="L133">
        <v>114900</v>
      </c>
      <c r="M133" s="17">
        <f t="shared" si="23"/>
        <v>22980</v>
      </c>
      <c r="O133" s="17">
        <f t="shared" si="20"/>
        <v>29874</v>
      </c>
      <c r="P133" s="17">
        <v>0</v>
      </c>
      <c r="Q133" s="18">
        <v>0.3</v>
      </c>
      <c r="R133" s="17">
        <v>0</v>
      </c>
      <c r="S133" s="19">
        <v>0</v>
      </c>
      <c r="T133" s="17">
        <f t="shared" si="24"/>
        <v>22980</v>
      </c>
      <c r="U133" s="18">
        <v>0.18</v>
      </c>
      <c r="V133" s="17">
        <f t="shared" si="21"/>
        <v>27116.400000000001</v>
      </c>
      <c r="W133" s="20">
        <f t="shared" si="22"/>
        <v>0.15254237288135597</v>
      </c>
      <c r="X133" s="17">
        <v>0</v>
      </c>
      <c r="Y133" s="18">
        <v>0.18</v>
      </c>
      <c r="Z133" s="17">
        <v>0</v>
      </c>
      <c r="AA133" s="18">
        <v>0</v>
      </c>
      <c r="AB133" s="18">
        <v>0.1</v>
      </c>
    </row>
    <row r="134" spans="1:28">
      <c r="A134">
        <v>2026</v>
      </c>
      <c r="B134" t="s">
        <v>145</v>
      </c>
      <c r="C134" t="s">
        <v>151</v>
      </c>
      <c r="D134" t="s">
        <v>152</v>
      </c>
      <c r="E134">
        <v>603424</v>
      </c>
      <c r="G134" t="s">
        <v>148</v>
      </c>
      <c r="H134" t="s">
        <v>148</v>
      </c>
      <c r="I134" t="s">
        <v>60</v>
      </c>
      <c r="J134" t="s">
        <v>29</v>
      </c>
      <c r="K134">
        <v>5</v>
      </c>
      <c r="L134">
        <v>129400</v>
      </c>
      <c r="M134" s="17">
        <f t="shared" si="23"/>
        <v>25880</v>
      </c>
      <c r="O134" s="17">
        <f t="shared" si="20"/>
        <v>33644</v>
      </c>
      <c r="P134" s="17">
        <v>0</v>
      </c>
      <c r="Q134" s="18">
        <v>0.28000000000000003</v>
      </c>
      <c r="R134" s="17">
        <v>0</v>
      </c>
      <c r="S134" s="19">
        <v>0</v>
      </c>
      <c r="T134" s="17">
        <f t="shared" si="24"/>
        <v>25880</v>
      </c>
      <c r="U134" s="18">
        <v>0.28999999999999998</v>
      </c>
      <c r="V134" s="17">
        <f t="shared" si="21"/>
        <v>33385.199999999997</v>
      </c>
      <c r="W134" s="20">
        <f t="shared" si="22"/>
        <v>0.22480620155038752</v>
      </c>
      <c r="X134" s="17">
        <v>0</v>
      </c>
      <c r="Y134" s="18">
        <v>0.28999999999999998</v>
      </c>
      <c r="Z134" s="17">
        <v>0</v>
      </c>
      <c r="AA134" s="18">
        <v>0</v>
      </c>
      <c r="AB134" s="18">
        <v>0.1</v>
      </c>
    </row>
    <row r="135" spans="1:28">
      <c r="A135">
        <v>2026</v>
      </c>
      <c r="B135" t="s">
        <v>145</v>
      </c>
      <c r="C135" t="s">
        <v>151</v>
      </c>
      <c r="D135" t="s">
        <v>152</v>
      </c>
      <c r="E135">
        <v>583300</v>
      </c>
      <c r="G135" t="s">
        <v>148</v>
      </c>
      <c r="H135" t="s">
        <v>148</v>
      </c>
      <c r="I135" t="s">
        <v>72</v>
      </c>
      <c r="J135" t="s">
        <v>29</v>
      </c>
      <c r="K135">
        <v>5</v>
      </c>
      <c r="L135">
        <v>49000</v>
      </c>
      <c r="M135" s="17">
        <f t="shared" si="23"/>
        <v>9800</v>
      </c>
      <c r="O135" s="17">
        <f t="shared" si="20"/>
        <v>12740</v>
      </c>
      <c r="P135" s="17">
        <v>0</v>
      </c>
      <c r="Q135" s="18">
        <v>0.27</v>
      </c>
      <c r="R135" s="17">
        <v>0</v>
      </c>
      <c r="S135" s="19">
        <v>0</v>
      </c>
      <c r="T135" s="17">
        <f t="shared" si="24"/>
        <v>9800</v>
      </c>
      <c r="U135" s="18">
        <v>0.34</v>
      </c>
      <c r="V135" s="17">
        <f t="shared" si="21"/>
        <v>13132</v>
      </c>
      <c r="W135" s="20">
        <f t="shared" si="22"/>
        <v>0.2537313432835821</v>
      </c>
      <c r="X135" s="17">
        <v>0</v>
      </c>
      <c r="Y135" s="18">
        <v>0.34</v>
      </c>
      <c r="Z135" s="17">
        <v>0</v>
      </c>
      <c r="AA135" s="18">
        <v>0</v>
      </c>
      <c r="AB135" s="18">
        <v>0.1</v>
      </c>
    </row>
    <row r="136" spans="1:28">
      <c r="A136">
        <v>2026</v>
      </c>
      <c r="B136" t="s">
        <v>145</v>
      </c>
      <c r="C136" t="s">
        <v>151</v>
      </c>
      <c r="D136" t="s">
        <v>152</v>
      </c>
      <c r="E136">
        <v>583400</v>
      </c>
      <c r="G136" t="s">
        <v>148</v>
      </c>
      <c r="H136" t="s">
        <v>148</v>
      </c>
      <c r="I136" t="s">
        <v>75</v>
      </c>
      <c r="J136" t="s">
        <v>53</v>
      </c>
      <c r="K136">
        <v>2</v>
      </c>
      <c r="L136">
        <v>386300</v>
      </c>
      <c r="M136" s="17">
        <f t="shared" si="23"/>
        <v>193150</v>
      </c>
      <c r="O136" s="17">
        <f t="shared" si="20"/>
        <v>251095</v>
      </c>
      <c r="P136" s="17">
        <v>0</v>
      </c>
      <c r="Q136" s="18">
        <v>0.17</v>
      </c>
      <c r="R136" s="17">
        <v>0</v>
      </c>
      <c r="S136" s="19">
        <v>0</v>
      </c>
      <c r="T136" s="17">
        <f t="shared" si="24"/>
        <v>193150</v>
      </c>
      <c r="U136" s="18">
        <v>0.25</v>
      </c>
      <c r="V136" s="17">
        <f t="shared" si="21"/>
        <v>241437.5</v>
      </c>
      <c r="W136" s="20">
        <f t="shared" si="22"/>
        <v>0.2</v>
      </c>
      <c r="X136" s="17">
        <v>0</v>
      </c>
      <c r="Y136" s="18">
        <v>0.25</v>
      </c>
      <c r="Z136" s="17">
        <v>0</v>
      </c>
      <c r="AA136" s="18">
        <v>0</v>
      </c>
      <c r="AB136" s="18">
        <v>0.1</v>
      </c>
    </row>
    <row r="137" spans="1:28">
      <c r="A137">
        <v>2026</v>
      </c>
      <c r="B137" t="s">
        <v>145</v>
      </c>
      <c r="C137" t="s">
        <v>151</v>
      </c>
      <c r="D137" t="s">
        <v>152</v>
      </c>
      <c r="E137">
        <v>583500</v>
      </c>
      <c r="G137" t="s">
        <v>148</v>
      </c>
      <c r="H137" t="s">
        <v>148</v>
      </c>
      <c r="I137" t="s">
        <v>78</v>
      </c>
      <c r="J137" t="s">
        <v>22</v>
      </c>
      <c r="K137">
        <v>10</v>
      </c>
      <c r="L137">
        <v>38000</v>
      </c>
      <c r="M137" s="17">
        <f t="shared" si="23"/>
        <v>3800</v>
      </c>
      <c r="O137" s="17">
        <f t="shared" si="20"/>
        <v>4940</v>
      </c>
      <c r="P137" s="17">
        <v>0</v>
      </c>
      <c r="Q137" s="18">
        <v>0.22</v>
      </c>
      <c r="R137" s="17">
        <v>0</v>
      </c>
      <c r="S137" s="19">
        <v>0</v>
      </c>
      <c r="T137" s="17">
        <f t="shared" si="24"/>
        <v>3800</v>
      </c>
      <c r="U137" s="18">
        <v>0.35</v>
      </c>
      <c r="V137" s="17">
        <f t="shared" si="21"/>
        <v>5130</v>
      </c>
      <c r="W137" s="20">
        <f t="shared" si="22"/>
        <v>0.25925925925925924</v>
      </c>
      <c r="X137" s="17">
        <v>0</v>
      </c>
      <c r="Y137" s="18">
        <v>0.35</v>
      </c>
      <c r="Z137" s="17">
        <v>0</v>
      </c>
      <c r="AA137" s="18">
        <v>0</v>
      </c>
      <c r="AB137" s="18">
        <v>0.1</v>
      </c>
    </row>
    <row r="138" spans="1:28">
      <c r="A138">
        <v>2026</v>
      </c>
      <c r="B138" t="s">
        <v>145</v>
      </c>
      <c r="C138" t="s">
        <v>151</v>
      </c>
      <c r="D138" t="s">
        <v>152</v>
      </c>
      <c r="E138">
        <v>595200</v>
      </c>
      <c r="G138" t="s">
        <v>148</v>
      </c>
      <c r="H138" t="s">
        <v>148</v>
      </c>
      <c r="I138" t="s">
        <v>78</v>
      </c>
      <c r="J138" t="s">
        <v>22</v>
      </c>
      <c r="K138">
        <v>10</v>
      </c>
      <c r="L138">
        <v>39800</v>
      </c>
      <c r="M138" s="17">
        <f t="shared" si="23"/>
        <v>3980</v>
      </c>
      <c r="O138" s="17">
        <f t="shared" si="20"/>
        <v>5174</v>
      </c>
      <c r="P138" s="17">
        <v>0</v>
      </c>
      <c r="Q138" s="18">
        <v>0.12</v>
      </c>
      <c r="R138" s="17">
        <v>0</v>
      </c>
      <c r="S138" s="19">
        <v>0</v>
      </c>
      <c r="T138" s="17">
        <f t="shared" si="24"/>
        <v>3980</v>
      </c>
      <c r="U138" s="18">
        <v>0.12</v>
      </c>
      <c r="V138" s="17">
        <f t="shared" si="21"/>
        <v>4457.6000000000004</v>
      </c>
      <c r="W138" s="20">
        <f t="shared" si="22"/>
        <v>0.10714285714285722</v>
      </c>
      <c r="X138" s="17">
        <v>0</v>
      </c>
      <c r="Y138" s="18">
        <v>0.12</v>
      </c>
      <c r="Z138" s="17">
        <v>0</v>
      </c>
      <c r="AA138" s="18">
        <v>0</v>
      </c>
      <c r="AB138" s="18">
        <v>0.1</v>
      </c>
    </row>
    <row r="139" spans="1:28">
      <c r="A139">
        <v>2026</v>
      </c>
      <c r="B139" t="s">
        <v>145</v>
      </c>
      <c r="C139" t="s">
        <v>151</v>
      </c>
      <c r="D139" t="s">
        <v>152</v>
      </c>
      <c r="E139">
        <v>595300</v>
      </c>
      <c r="G139" t="s">
        <v>148</v>
      </c>
      <c r="H139" t="s">
        <v>148</v>
      </c>
      <c r="I139" t="s">
        <v>78</v>
      </c>
      <c r="J139" t="s">
        <v>22</v>
      </c>
      <c r="K139">
        <v>10</v>
      </c>
      <c r="L139">
        <v>42200</v>
      </c>
      <c r="M139" s="17">
        <f t="shared" si="23"/>
        <v>4220</v>
      </c>
      <c r="O139" s="17">
        <f t="shared" si="20"/>
        <v>5486</v>
      </c>
      <c r="P139" s="17">
        <v>0</v>
      </c>
      <c r="Q139" s="18">
        <v>0.15</v>
      </c>
      <c r="R139" s="17">
        <v>0</v>
      </c>
      <c r="S139" s="19">
        <v>0</v>
      </c>
      <c r="T139" s="17">
        <f t="shared" si="24"/>
        <v>4220</v>
      </c>
      <c r="U139" s="18">
        <v>0.25</v>
      </c>
      <c r="V139" s="17">
        <f t="shared" si="21"/>
        <v>5275</v>
      </c>
      <c r="W139" s="20">
        <f t="shared" si="22"/>
        <v>0.2</v>
      </c>
      <c r="X139" s="17">
        <v>0</v>
      </c>
      <c r="Y139" s="18">
        <v>0.25</v>
      </c>
      <c r="Z139" s="17">
        <v>0</v>
      </c>
      <c r="AA139" s="18">
        <v>0</v>
      </c>
      <c r="AB139" s="18">
        <v>0.1</v>
      </c>
    </row>
    <row r="140" spans="1:28">
      <c r="A140">
        <v>2026</v>
      </c>
      <c r="B140" t="s">
        <v>145</v>
      </c>
      <c r="C140" t="s">
        <v>151</v>
      </c>
      <c r="D140" t="s">
        <v>152</v>
      </c>
      <c r="E140">
        <v>595400</v>
      </c>
      <c r="G140" t="s">
        <v>148</v>
      </c>
      <c r="H140" t="s">
        <v>148</v>
      </c>
      <c r="I140" t="s">
        <v>78</v>
      </c>
      <c r="J140" t="s">
        <v>22</v>
      </c>
      <c r="K140">
        <v>10</v>
      </c>
      <c r="L140">
        <v>51600</v>
      </c>
      <c r="M140" s="17">
        <f t="shared" si="23"/>
        <v>5160</v>
      </c>
      <c r="O140" s="17">
        <f t="shared" si="20"/>
        <v>6708</v>
      </c>
      <c r="P140" s="17">
        <v>0</v>
      </c>
      <c r="Q140" s="18">
        <v>0.18</v>
      </c>
      <c r="R140" s="17">
        <v>0</v>
      </c>
      <c r="S140" s="19">
        <v>0</v>
      </c>
      <c r="T140" s="17">
        <f t="shared" si="24"/>
        <v>5160</v>
      </c>
      <c r="U140" s="18">
        <v>0.1</v>
      </c>
      <c r="V140" s="17">
        <f t="shared" si="21"/>
        <v>5676</v>
      </c>
      <c r="W140" s="20">
        <f t="shared" si="22"/>
        <v>9.0909090909090912E-2</v>
      </c>
      <c r="X140" s="17">
        <v>0</v>
      </c>
      <c r="Y140" s="18">
        <v>0.1</v>
      </c>
      <c r="Z140" s="17">
        <v>0</v>
      </c>
      <c r="AA140" s="18">
        <v>0</v>
      </c>
      <c r="AB140" s="18">
        <v>0.1</v>
      </c>
    </row>
    <row r="141" spans="1:28">
      <c r="A141">
        <v>2026</v>
      </c>
      <c r="B141" t="s">
        <v>145</v>
      </c>
      <c r="C141" t="s">
        <v>151</v>
      </c>
      <c r="D141" t="s">
        <v>152</v>
      </c>
      <c r="E141">
        <v>595600</v>
      </c>
      <c r="G141" t="s">
        <v>148</v>
      </c>
      <c r="H141" t="s">
        <v>148</v>
      </c>
      <c r="I141" t="s">
        <v>95</v>
      </c>
      <c r="J141" t="s">
        <v>12</v>
      </c>
      <c r="K141">
        <v>1</v>
      </c>
      <c r="L141">
        <v>43500</v>
      </c>
      <c r="M141" s="17">
        <f t="shared" si="23"/>
        <v>43500</v>
      </c>
      <c r="O141" s="17">
        <f t="shared" si="20"/>
        <v>56550</v>
      </c>
      <c r="P141" s="17">
        <v>0</v>
      </c>
      <c r="Q141" s="18">
        <v>0.28999999999999998</v>
      </c>
      <c r="R141" s="17">
        <v>0</v>
      </c>
      <c r="S141" s="19">
        <v>0</v>
      </c>
      <c r="T141" s="17">
        <f t="shared" si="24"/>
        <v>43500</v>
      </c>
      <c r="U141" s="18">
        <v>0.35</v>
      </c>
      <c r="V141" s="17">
        <f t="shared" si="21"/>
        <v>58725</v>
      </c>
      <c r="W141" s="20">
        <f t="shared" si="22"/>
        <v>0.25925925925925924</v>
      </c>
      <c r="X141" s="17">
        <v>0</v>
      </c>
      <c r="Y141" s="18">
        <v>0.35</v>
      </c>
      <c r="Z141" s="17">
        <v>0</v>
      </c>
      <c r="AA141" s="18">
        <v>0</v>
      </c>
      <c r="AB141" s="18">
        <v>0.1</v>
      </c>
    </row>
    <row r="142" spans="1:28">
      <c r="A142">
        <v>2026</v>
      </c>
      <c r="B142" t="s">
        <v>145</v>
      </c>
      <c r="C142" t="s">
        <v>151</v>
      </c>
      <c r="D142" t="s">
        <v>152</v>
      </c>
      <c r="E142">
        <v>581011</v>
      </c>
      <c r="G142" t="s">
        <v>148</v>
      </c>
      <c r="H142" t="s">
        <v>148</v>
      </c>
      <c r="I142" t="s">
        <v>100</v>
      </c>
      <c r="J142" t="s">
        <v>12</v>
      </c>
      <c r="K142">
        <v>1</v>
      </c>
      <c r="L142">
        <v>89500</v>
      </c>
      <c r="M142" s="17">
        <f t="shared" si="23"/>
        <v>89500</v>
      </c>
      <c r="O142" s="17">
        <f t="shared" si="20"/>
        <v>116350</v>
      </c>
      <c r="P142" s="17">
        <v>0</v>
      </c>
      <c r="Q142" s="18">
        <v>0.34</v>
      </c>
      <c r="R142" s="17">
        <v>0</v>
      </c>
      <c r="S142" s="19">
        <v>0</v>
      </c>
      <c r="T142" s="17">
        <f t="shared" si="24"/>
        <v>89500</v>
      </c>
      <c r="U142" s="18">
        <v>0.33</v>
      </c>
      <c r="V142" s="17">
        <f t="shared" si="21"/>
        <v>119035</v>
      </c>
      <c r="W142" s="20">
        <f t="shared" si="22"/>
        <v>0.24812030075187969</v>
      </c>
      <c r="X142" s="17">
        <v>0</v>
      </c>
      <c r="Y142" s="18">
        <v>0.33</v>
      </c>
      <c r="Z142" s="17">
        <v>0</v>
      </c>
      <c r="AA142" s="18">
        <v>0</v>
      </c>
      <c r="AB142" s="18">
        <v>0.1</v>
      </c>
    </row>
    <row r="143" spans="1:28">
      <c r="A143">
        <v>2026</v>
      </c>
      <c r="B143" t="s">
        <v>145</v>
      </c>
      <c r="C143" t="s">
        <v>151</v>
      </c>
      <c r="D143" t="s">
        <v>152</v>
      </c>
      <c r="E143">
        <v>581100</v>
      </c>
      <c r="G143" t="s">
        <v>148</v>
      </c>
      <c r="H143" t="s">
        <v>148</v>
      </c>
      <c r="I143" t="s">
        <v>100</v>
      </c>
      <c r="J143" t="s">
        <v>12</v>
      </c>
      <c r="K143">
        <v>1</v>
      </c>
      <c r="L143">
        <v>67900</v>
      </c>
      <c r="M143" s="17">
        <f t="shared" si="23"/>
        <v>67900</v>
      </c>
      <c r="O143" s="17">
        <f t="shared" si="20"/>
        <v>88270</v>
      </c>
      <c r="P143" s="17">
        <v>0</v>
      </c>
      <c r="Q143" s="18">
        <v>0.25</v>
      </c>
      <c r="R143" s="17">
        <v>0</v>
      </c>
      <c r="S143" s="19">
        <v>0</v>
      </c>
      <c r="T143" s="17">
        <f t="shared" si="24"/>
        <v>67900</v>
      </c>
      <c r="U143" s="18">
        <v>0.31</v>
      </c>
      <c r="V143" s="17">
        <f t="shared" si="21"/>
        <v>88949</v>
      </c>
      <c r="W143" s="20">
        <f t="shared" si="22"/>
        <v>0.23664122137404581</v>
      </c>
      <c r="X143" s="17">
        <v>0</v>
      </c>
      <c r="Y143" s="18">
        <v>0.31</v>
      </c>
      <c r="Z143" s="17">
        <v>0</v>
      </c>
      <c r="AA143" s="18">
        <v>0</v>
      </c>
      <c r="AB143" s="18">
        <v>0.1</v>
      </c>
    </row>
    <row r="144" spans="1:28">
      <c r="A144">
        <v>2026</v>
      </c>
      <c r="B144" t="s">
        <v>145</v>
      </c>
      <c r="C144" t="s">
        <v>151</v>
      </c>
      <c r="D144" t="s">
        <v>152</v>
      </c>
      <c r="E144">
        <v>581200</v>
      </c>
      <c r="G144" t="s">
        <v>148</v>
      </c>
      <c r="H144" t="s">
        <v>148</v>
      </c>
      <c r="I144" t="s">
        <v>100</v>
      </c>
      <c r="J144" t="s">
        <v>12</v>
      </c>
      <c r="K144">
        <v>1</v>
      </c>
      <c r="L144">
        <v>50300</v>
      </c>
      <c r="M144" s="17">
        <f t="shared" si="23"/>
        <v>50300</v>
      </c>
      <c r="O144" s="17">
        <f t="shared" si="20"/>
        <v>65390</v>
      </c>
      <c r="P144" s="17">
        <v>0</v>
      </c>
      <c r="Q144" s="18">
        <v>0.35</v>
      </c>
      <c r="R144" s="17">
        <v>0</v>
      </c>
      <c r="S144" s="19">
        <v>0</v>
      </c>
      <c r="T144" s="17">
        <f t="shared" si="24"/>
        <v>50300</v>
      </c>
      <c r="U144" s="18">
        <v>0.3</v>
      </c>
      <c r="V144" s="17">
        <f t="shared" si="21"/>
        <v>65390</v>
      </c>
      <c r="W144" s="20">
        <f t="shared" si="22"/>
        <v>0.23076923076923078</v>
      </c>
      <c r="X144" s="17">
        <v>0</v>
      </c>
      <c r="Y144" s="18">
        <v>0.3</v>
      </c>
      <c r="Z144" s="17">
        <v>0</v>
      </c>
      <c r="AA144" s="18">
        <v>0</v>
      </c>
      <c r="AB144" s="18">
        <v>0.1</v>
      </c>
    </row>
    <row r="145" spans="1:28">
      <c r="A145">
        <v>2026</v>
      </c>
      <c r="B145" t="s">
        <v>145</v>
      </c>
      <c r="C145" t="s">
        <v>151</v>
      </c>
      <c r="D145" t="s">
        <v>152</v>
      </c>
      <c r="E145">
        <v>581300</v>
      </c>
      <c r="G145" t="s">
        <v>148</v>
      </c>
      <c r="H145" t="s">
        <v>148</v>
      </c>
      <c r="I145" t="s">
        <v>100</v>
      </c>
      <c r="J145" t="s">
        <v>12</v>
      </c>
      <c r="K145">
        <v>1</v>
      </c>
      <c r="L145">
        <v>53300</v>
      </c>
      <c r="M145" s="17">
        <f t="shared" si="23"/>
        <v>53300</v>
      </c>
      <c r="O145" s="17">
        <f t="shared" si="20"/>
        <v>69290</v>
      </c>
      <c r="P145" s="17">
        <v>0</v>
      </c>
      <c r="Q145" s="18">
        <v>0.12</v>
      </c>
      <c r="R145" s="17">
        <v>0</v>
      </c>
      <c r="S145" s="19">
        <v>0</v>
      </c>
      <c r="T145" s="17">
        <f t="shared" si="24"/>
        <v>53300</v>
      </c>
      <c r="U145" s="18">
        <v>0.28000000000000003</v>
      </c>
      <c r="V145" s="17">
        <f t="shared" si="21"/>
        <v>68224</v>
      </c>
      <c r="W145" s="20">
        <f t="shared" si="22"/>
        <v>0.21875</v>
      </c>
      <c r="X145" s="17">
        <v>0</v>
      </c>
      <c r="Y145" s="18">
        <v>0.28000000000000003</v>
      </c>
      <c r="Z145" s="17">
        <v>0</v>
      </c>
      <c r="AA145" s="18">
        <v>0</v>
      </c>
      <c r="AB145" s="18">
        <v>0.1</v>
      </c>
    </row>
    <row r="146" spans="1:28" ht="15">
      <c r="A146" s="11" t="s">
        <v>117</v>
      </c>
      <c r="B146" s="11" t="s">
        <v>118</v>
      </c>
      <c r="C146" s="11" t="s">
        <v>119</v>
      </c>
      <c r="D146" s="11" t="s">
        <v>120</v>
      </c>
      <c r="E146" s="11" t="s">
        <v>121</v>
      </c>
      <c r="F146" s="11" t="s">
        <v>122</v>
      </c>
      <c r="G146" s="11" t="s">
        <v>123</v>
      </c>
      <c r="H146" s="11" t="s">
        <v>124</v>
      </c>
      <c r="I146" s="11" t="s">
        <v>125</v>
      </c>
      <c r="J146" s="11" t="s">
        <v>126</v>
      </c>
      <c r="K146" s="11" t="s">
        <v>127</v>
      </c>
      <c r="L146" s="11" t="s">
        <v>128</v>
      </c>
      <c r="M146" s="12" t="s">
        <v>129</v>
      </c>
      <c r="N146" s="11" t="s">
        <v>130</v>
      </c>
      <c r="O146" s="11" t="s">
        <v>131</v>
      </c>
      <c r="P146" s="11" t="s">
        <v>132</v>
      </c>
      <c r="Q146" s="13" t="s">
        <v>133</v>
      </c>
      <c r="R146" s="14" t="s">
        <v>134</v>
      </c>
      <c r="S146" s="15" t="s">
        <v>135</v>
      </c>
      <c r="T146" s="16" t="s">
        <v>136</v>
      </c>
      <c r="U146" s="16" t="s">
        <v>137</v>
      </c>
      <c r="V146" s="16" t="s">
        <v>138</v>
      </c>
      <c r="W146" s="13" t="s">
        <v>139</v>
      </c>
      <c r="X146" s="16" t="s">
        <v>140</v>
      </c>
      <c r="Y146" s="16" t="s">
        <v>141</v>
      </c>
      <c r="Z146" s="16" t="s">
        <v>142</v>
      </c>
      <c r="AA146" s="13" t="s">
        <v>143</v>
      </c>
      <c r="AB146" s="14" t="s">
        <v>144</v>
      </c>
    </row>
    <row r="147" spans="1:28">
      <c r="A147">
        <v>2026</v>
      </c>
      <c r="B147" t="s">
        <v>145</v>
      </c>
      <c r="C147" t="s">
        <v>151</v>
      </c>
      <c r="D147" t="s">
        <v>152</v>
      </c>
      <c r="E147">
        <v>360001</v>
      </c>
      <c r="G147" t="s">
        <v>148</v>
      </c>
      <c r="H147" t="s">
        <v>148</v>
      </c>
      <c r="I147" t="s">
        <v>9</v>
      </c>
      <c r="J147" t="s">
        <v>12</v>
      </c>
      <c r="K147">
        <v>1</v>
      </c>
      <c r="L147">
        <v>893800</v>
      </c>
      <c r="M147" s="17">
        <f>L147/K147</f>
        <v>893800</v>
      </c>
      <c r="O147" s="17">
        <f t="shared" ref="O147:O174" si="25">M147+(M147*30%)</f>
        <v>1161940</v>
      </c>
      <c r="P147" s="17">
        <v>0</v>
      </c>
      <c r="Q147" s="18">
        <v>0.17</v>
      </c>
      <c r="R147" s="17">
        <v>0</v>
      </c>
      <c r="S147" s="19">
        <v>0</v>
      </c>
      <c r="T147" s="17">
        <f>IF(C147="Mediana Complejidad",M147,0)</f>
        <v>893800</v>
      </c>
      <c r="U147" s="18">
        <v>0.27</v>
      </c>
      <c r="V147" s="17">
        <f t="shared" ref="V147:V174" si="26">T147+(T147*U147)</f>
        <v>1135126</v>
      </c>
      <c r="W147" s="20">
        <f t="shared" ref="W147:W174" si="27">IFERROR(((V147-T147)/V147),0)</f>
        <v>0.2125984251968504</v>
      </c>
      <c r="X147" s="17">
        <v>0</v>
      </c>
      <c r="Y147" s="18">
        <v>0.28000000000000003</v>
      </c>
      <c r="Z147" s="17">
        <v>0</v>
      </c>
      <c r="AA147" s="18">
        <v>0</v>
      </c>
      <c r="AB147" s="18">
        <v>0.1</v>
      </c>
    </row>
    <row r="148" spans="1:28">
      <c r="A148">
        <v>2026</v>
      </c>
      <c r="B148" t="s">
        <v>145</v>
      </c>
      <c r="C148" t="s">
        <v>151</v>
      </c>
      <c r="D148" t="s">
        <v>152</v>
      </c>
      <c r="E148">
        <v>360102</v>
      </c>
      <c r="G148" t="s">
        <v>148</v>
      </c>
      <c r="H148" t="s">
        <v>148</v>
      </c>
      <c r="I148" t="s">
        <v>19</v>
      </c>
      <c r="J148" t="s">
        <v>22</v>
      </c>
      <c r="K148">
        <v>10</v>
      </c>
      <c r="L148">
        <v>13500</v>
      </c>
      <c r="M148" s="17">
        <f t="shared" ref="M148:M174" si="28">L148/K148</f>
        <v>1350</v>
      </c>
      <c r="O148" s="17">
        <f t="shared" si="25"/>
        <v>1755</v>
      </c>
      <c r="P148" s="17">
        <v>0</v>
      </c>
      <c r="Q148" s="18">
        <v>0.22</v>
      </c>
      <c r="R148" s="17">
        <v>0</v>
      </c>
      <c r="S148" s="19">
        <v>0</v>
      </c>
      <c r="T148" s="17">
        <f t="shared" ref="T148:T174" si="29">IF(C148="Mediana Complejidad",M148,0)</f>
        <v>1350</v>
      </c>
      <c r="U148" s="18">
        <v>0.17</v>
      </c>
      <c r="V148" s="17">
        <f t="shared" si="26"/>
        <v>1579.5</v>
      </c>
      <c r="W148" s="20">
        <f t="shared" si="27"/>
        <v>0.14529914529914531</v>
      </c>
      <c r="X148" s="17">
        <v>0</v>
      </c>
      <c r="Y148" s="18">
        <v>0.27</v>
      </c>
      <c r="Z148" s="17">
        <v>0</v>
      </c>
      <c r="AA148" s="18">
        <v>0</v>
      </c>
      <c r="AB148" s="18">
        <v>0.1</v>
      </c>
    </row>
    <row r="149" spans="1:28">
      <c r="A149">
        <v>2026</v>
      </c>
      <c r="B149" t="s">
        <v>145</v>
      </c>
      <c r="C149" t="s">
        <v>151</v>
      </c>
      <c r="D149" t="s">
        <v>152</v>
      </c>
      <c r="E149">
        <v>360104</v>
      </c>
      <c r="G149" t="s">
        <v>148</v>
      </c>
      <c r="H149" t="s">
        <v>148</v>
      </c>
      <c r="I149" t="s">
        <v>19</v>
      </c>
      <c r="J149" t="s">
        <v>22</v>
      </c>
      <c r="K149">
        <v>10</v>
      </c>
      <c r="L149">
        <v>28800</v>
      </c>
      <c r="M149" s="17">
        <f t="shared" si="28"/>
        <v>2880</v>
      </c>
      <c r="O149" s="17">
        <f t="shared" si="25"/>
        <v>3744</v>
      </c>
      <c r="P149" s="17">
        <v>0</v>
      </c>
      <c r="Q149" s="18">
        <v>0.12</v>
      </c>
      <c r="R149" s="17">
        <v>0</v>
      </c>
      <c r="S149" s="19">
        <v>0</v>
      </c>
      <c r="T149" s="17">
        <f t="shared" si="29"/>
        <v>2880</v>
      </c>
      <c r="U149" s="18">
        <v>0.22</v>
      </c>
      <c r="V149" s="17">
        <f t="shared" si="26"/>
        <v>3513.6</v>
      </c>
      <c r="W149" s="20">
        <f t="shared" si="27"/>
        <v>0.18032786885245899</v>
      </c>
      <c r="X149" s="17">
        <v>0</v>
      </c>
      <c r="Y149" s="18">
        <v>0.17</v>
      </c>
      <c r="Z149" s="17">
        <v>0</v>
      </c>
      <c r="AA149" s="18">
        <v>0</v>
      </c>
      <c r="AB149" s="18">
        <v>0.1</v>
      </c>
    </row>
    <row r="150" spans="1:28">
      <c r="A150">
        <v>2026</v>
      </c>
      <c r="B150" t="s">
        <v>145</v>
      </c>
      <c r="C150" t="s">
        <v>151</v>
      </c>
      <c r="D150" t="s">
        <v>152</v>
      </c>
      <c r="E150">
        <v>360100</v>
      </c>
      <c r="G150" t="s">
        <v>148</v>
      </c>
      <c r="H150" t="s">
        <v>148</v>
      </c>
      <c r="I150" t="s">
        <v>19</v>
      </c>
      <c r="J150" t="s">
        <v>22</v>
      </c>
      <c r="K150">
        <v>10</v>
      </c>
      <c r="L150">
        <v>63400</v>
      </c>
      <c r="M150" s="17">
        <f t="shared" si="28"/>
        <v>6340</v>
      </c>
      <c r="O150" s="17">
        <f t="shared" si="25"/>
        <v>8242</v>
      </c>
      <c r="P150" s="17">
        <v>0</v>
      </c>
      <c r="Q150" s="18">
        <v>0.15</v>
      </c>
      <c r="R150" s="17">
        <v>0</v>
      </c>
      <c r="S150" s="19">
        <v>0</v>
      </c>
      <c r="T150" s="17">
        <f t="shared" si="29"/>
        <v>6340</v>
      </c>
      <c r="U150" s="18">
        <v>0.12</v>
      </c>
      <c r="V150" s="17">
        <f t="shared" si="26"/>
        <v>7100.8</v>
      </c>
      <c r="W150" s="20">
        <f t="shared" si="27"/>
        <v>0.10714285714285716</v>
      </c>
      <c r="X150" s="17">
        <v>0</v>
      </c>
      <c r="Y150" s="18">
        <v>0.22</v>
      </c>
      <c r="Z150" s="17">
        <v>0</v>
      </c>
      <c r="AA150" s="18">
        <v>0</v>
      </c>
      <c r="AB150" s="18">
        <v>0.1</v>
      </c>
    </row>
    <row r="151" spans="1:28">
      <c r="A151">
        <v>2026</v>
      </c>
      <c r="B151" t="s">
        <v>145</v>
      </c>
      <c r="C151" t="s">
        <v>151</v>
      </c>
      <c r="D151" t="s">
        <v>152</v>
      </c>
      <c r="E151">
        <v>360150</v>
      </c>
      <c r="G151" t="s">
        <v>148</v>
      </c>
      <c r="H151" t="s">
        <v>148</v>
      </c>
      <c r="I151" t="s">
        <v>30</v>
      </c>
      <c r="J151" t="s">
        <v>22</v>
      </c>
      <c r="K151">
        <v>10</v>
      </c>
      <c r="L151">
        <v>24200</v>
      </c>
      <c r="M151" s="17">
        <f t="shared" si="28"/>
        <v>2420</v>
      </c>
      <c r="O151" s="17">
        <f t="shared" si="25"/>
        <v>3146</v>
      </c>
      <c r="P151" s="17">
        <v>0</v>
      </c>
      <c r="Q151" s="18">
        <v>0.18</v>
      </c>
      <c r="R151" s="17">
        <v>0</v>
      </c>
      <c r="S151" s="19">
        <v>0</v>
      </c>
      <c r="T151" s="17">
        <f t="shared" si="29"/>
        <v>2420</v>
      </c>
      <c r="U151" s="18">
        <v>0.15</v>
      </c>
      <c r="V151" s="17">
        <f t="shared" si="26"/>
        <v>2783</v>
      </c>
      <c r="W151" s="20">
        <f t="shared" si="27"/>
        <v>0.13043478260869565</v>
      </c>
      <c r="X151" s="17">
        <v>0</v>
      </c>
      <c r="Y151" s="18">
        <v>0.12</v>
      </c>
      <c r="Z151" s="17">
        <v>0</v>
      </c>
      <c r="AA151" s="18">
        <v>0</v>
      </c>
      <c r="AB151" s="18">
        <v>0.1</v>
      </c>
    </row>
    <row r="152" spans="1:28">
      <c r="A152">
        <v>2026</v>
      </c>
      <c r="B152" t="s">
        <v>145</v>
      </c>
      <c r="C152" t="s">
        <v>151</v>
      </c>
      <c r="D152" t="s">
        <v>152</v>
      </c>
      <c r="E152">
        <v>360101</v>
      </c>
      <c r="G152" t="s">
        <v>148</v>
      </c>
      <c r="H152" t="s">
        <v>148</v>
      </c>
      <c r="I152" t="s">
        <v>30</v>
      </c>
      <c r="J152" t="s">
        <v>22</v>
      </c>
      <c r="K152">
        <v>10</v>
      </c>
      <c r="L152">
        <v>36700</v>
      </c>
      <c r="M152" s="17">
        <f t="shared" si="28"/>
        <v>3670</v>
      </c>
      <c r="O152" s="17">
        <f t="shared" si="25"/>
        <v>4771</v>
      </c>
      <c r="P152" s="17">
        <v>0</v>
      </c>
      <c r="Q152" s="18">
        <v>0.28999999999999998</v>
      </c>
      <c r="R152" s="17">
        <v>0</v>
      </c>
      <c r="S152" s="19">
        <v>0</v>
      </c>
      <c r="T152" s="17">
        <f t="shared" si="29"/>
        <v>3670</v>
      </c>
      <c r="U152" s="18">
        <v>0.18</v>
      </c>
      <c r="V152" s="17">
        <f t="shared" si="26"/>
        <v>4330.6000000000004</v>
      </c>
      <c r="W152" s="20">
        <f t="shared" si="27"/>
        <v>0.152542372881356</v>
      </c>
      <c r="X152" s="17">
        <v>0</v>
      </c>
      <c r="Y152" s="18">
        <v>0.15</v>
      </c>
      <c r="Z152" s="17">
        <v>0</v>
      </c>
      <c r="AA152" s="18">
        <v>0</v>
      </c>
      <c r="AB152" s="18">
        <v>0.1</v>
      </c>
    </row>
    <row r="153" spans="1:28">
      <c r="A153">
        <v>2026</v>
      </c>
      <c r="B153" t="s">
        <v>145</v>
      </c>
      <c r="C153" t="s">
        <v>151</v>
      </c>
      <c r="D153" t="s">
        <v>152</v>
      </c>
      <c r="E153">
        <v>360103</v>
      </c>
      <c r="G153" t="s">
        <v>148</v>
      </c>
      <c r="H153" t="s">
        <v>148</v>
      </c>
      <c r="I153" t="s">
        <v>30</v>
      </c>
      <c r="J153" t="s">
        <v>22</v>
      </c>
      <c r="K153">
        <v>10</v>
      </c>
      <c r="L153">
        <v>91800</v>
      </c>
      <c r="M153" s="17">
        <f t="shared" si="28"/>
        <v>9180</v>
      </c>
      <c r="O153" s="17">
        <f t="shared" si="25"/>
        <v>11934</v>
      </c>
      <c r="P153" s="17">
        <v>0</v>
      </c>
      <c r="Q153" s="18">
        <v>0.34</v>
      </c>
      <c r="R153" s="17">
        <v>0</v>
      </c>
      <c r="S153" s="19">
        <v>0</v>
      </c>
      <c r="T153" s="17">
        <f t="shared" si="29"/>
        <v>9180</v>
      </c>
      <c r="U153" s="18">
        <v>0.28999999999999998</v>
      </c>
      <c r="V153" s="17">
        <f t="shared" si="26"/>
        <v>11842.2</v>
      </c>
      <c r="W153" s="20">
        <f t="shared" si="27"/>
        <v>0.22480620155038764</v>
      </c>
      <c r="X153" s="17">
        <v>0</v>
      </c>
      <c r="Y153" s="18">
        <v>0.18</v>
      </c>
      <c r="Z153" s="17">
        <v>0</v>
      </c>
      <c r="AA153" s="18">
        <v>0</v>
      </c>
      <c r="AB153" s="18">
        <v>0.1</v>
      </c>
    </row>
    <row r="154" spans="1:28">
      <c r="A154">
        <v>2026</v>
      </c>
      <c r="B154" t="s">
        <v>145</v>
      </c>
      <c r="C154" t="s">
        <v>151</v>
      </c>
      <c r="D154" t="s">
        <v>152</v>
      </c>
      <c r="E154">
        <v>709900</v>
      </c>
      <c r="G154" t="s">
        <v>148</v>
      </c>
      <c r="H154" t="s">
        <v>148</v>
      </c>
      <c r="I154" t="s">
        <v>44</v>
      </c>
      <c r="J154" t="s">
        <v>29</v>
      </c>
      <c r="K154">
        <v>5</v>
      </c>
      <c r="L154">
        <v>17300</v>
      </c>
      <c r="M154" s="17">
        <f t="shared" si="28"/>
        <v>3460</v>
      </c>
      <c r="O154" s="17">
        <f t="shared" si="25"/>
        <v>4498</v>
      </c>
      <c r="P154" s="17">
        <v>0</v>
      </c>
      <c r="Q154" s="18">
        <v>0.25</v>
      </c>
      <c r="R154" s="17">
        <v>0</v>
      </c>
      <c r="S154" s="19">
        <v>0</v>
      </c>
      <c r="T154" s="17">
        <f t="shared" si="29"/>
        <v>3460</v>
      </c>
      <c r="U154" s="18">
        <v>0.34</v>
      </c>
      <c r="V154" s="17">
        <f t="shared" si="26"/>
        <v>4636.3999999999996</v>
      </c>
      <c r="W154" s="20">
        <f t="shared" si="27"/>
        <v>0.25373134328358204</v>
      </c>
      <c r="X154" s="17">
        <v>0</v>
      </c>
      <c r="Y154" s="18">
        <v>0.28999999999999998</v>
      </c>
      <c r="Z154" s="17">
        <v>0</v>
      </c>
      <c r="AA154" s="18">
        <v>0</v>
      </c>
      <c r="AB154" s="18">
        <v>0.1</v>
      </c>
    </row>
    <row r="155" spans="1:28">
      <c r="A155">
        <v>2026</v>
      </c>
      <c r="B155" t="s">
        <v>145</v>
      </c>
      <c r="C155" t="s">
        <v>151</v>
      </c>
      <c r="D155" t="s">
        <v>152</v>
      </c>
      <c r="E155">
        <v>709902</v>
      </c>
      <c r="G155" t="s">
        <v>148</v>
      </c>
      <c r="H155" t="s">
        <v>148</v>
      </c>
      <c r="I155" t="s">
        <v>44</v>
      </c>
      <c r="J155" t="s">
        <v>29</v>
      </c>
      <c r="K155">
        <v>5</v>
      </c>
      <c r="L155">
        <v>29000</v>
      </c>
      <c r="M155" s="17">
        <f t="shared" si="28"/>
        <v>5800</v>
      </c>
      <c r="O155" s="17">
        <f t="shared" si="25"/>
        <v>7540</v>
      </c>
      <c r="P155" s="17">
        <v>0</v>
      </c>
      <c r="Q155" s="18">
        <v>0.35</v>
      </c>
      <c r="R155" s="17">
        <v>0</v>
      </c>
      <c r="S155" s="19">
        <v>0</v>
      </c>
      <c r="T155" s="17">
        <f t="shared" si="29"/>
        <v>5800</v>
      </c>
      <c r="U155" s="18">
        <v>0.25</v>
      </c>
      <c r="V155" s="17">
        <f t="shared" si="26"/>
        <v>7250</v>
      </c>
      <c r="W155" s="20">
        <f t="shared" si="27"/>
        <v>0.2</v>
      </c>
      <c r="X155" s="17">
        <v>0</v>
      </c>
      <c r="Y155" s="18">
        <v>0.34</v>
      </c>
      <c r="Z155" s="17">
        <v>0</v>
      </c>
      <c r="AA155" s="18">
        <v>0</v>
      </c>
      <c r="AB155" s="18">
        <v>0.1</v>
      </c>
    </row>
    <row r="156" spans="1:28">
      <c r="A156">
        <v>2026</v>
      </c>
      <c r="B156" t="s">
        <v>145</v>
      </c>
      <c r="C156" t="s">
        <v>151</v>
      </c>
      <c r="D156" t="s">
        <v>152</v>
      </c>
      <c r="E156">
        <v>709903</v>
      </c>
      <c r="G156" t="s">
        <v>148</v>
      </c>
      <c r="H156" t="s">
        <v>148</v>
      </c>
      <c r="I156" t="s">
        <v>44</v>
      </c>
      <c r="J156" t="s">
        <v>29</v>
      </c>
      <c r="K156">
        <v>5</v>
      </c>
      <c r="L156">
        <v>36700</v>
      </c>
      <c r="M156" s="17">
        <f t="shared" si="28"/>
        <v>7340</v>
      </c>
      <c r="O156" s="17">
        <f t="shared" si="25"/>
        <v>9542</v>
      </c>
      <c r="P156" s="17">
        <v>0</v>
      </c>
      <c r="Q156" s="18">
        <v>0.12</v>
      </c>
      <c r="R156" s="17">
        <v>0</v>
      </c>
      <c r="S156" s="19">
        <v>0</v>
      </c>
      <c r="T156" s="17">
        <f t="shared" si="29"/>
        <v>7340</v>
      </c>
      <c r="U156" s="18">
        <v>0.35</v>
      </c>
      <c r="V156" s="17">
        <f t="shared" si="26"/>
        <v>9909</v>
      </c>
      <c r="W156" s="20">
        <f t="shared" si="27"/>
        <v>0.25925925925925924</v>
      </c>
      <c r="X156" s="17">
        <v>0</v>
      </c>
      <c r="Y156" s="18">
        <v>0.25</v>
      </c>
      <c r="Z156" s="17">
        <v>0</v>
      </c>
      <c r="AA156" s="18">
        <v>0</v>
      </c>
      <c r="AB156" s="18">
        <v>0.1</v>
      </c>
    </row>
    <row r="157" spans="1:28">
      <c r="A157">
        <v>2026</v>
      </c>
      <c r="B157" t="s">
        <v>145</v>
      </c>
      <c r="C157" t="s">
        <v>151</v>
      </c>
      <c r="D157" t="s">
        <v>152</v>
      </c>
      <c r="E157">
        <v>709909</v>
      </c>
      <c r="G157" t="s">
        <v>148</v>
      </c>
      <c r="H157" t="s">
        <v>148</v>
      </c>
      <c r="I157" t="s">
        <v>44</v>
      </c>
      <c r="J157" t="s">
        <v>29</v>
      </c>
      <c r="K157">
        <v>5</v>
      </c>
      <c r="L157">
        <v>75900</v>
      </c>
      <c r="M157" s="17">
        <f t="shared" si="28"/>
        <v>15180</v>
      </c>
      <c r="O157" s="17">
        <f t="shared" si="25"/>
        <v>19734</v>
      </c>
      <c r="P157" s="17">
        <v>0</v>
      </c>
      <c r="Q157" s="18">
        <v>0.25</v>
      </c>
      <c r="R157" s="17">
        <v>0</v>
      </c>
      <c r="S157" s="19">
        <v>0</v>
      </c>
      <c r="T157" s="17">
        <f t="shared" si="29"/>
        <v>15180</v>
      </c>
      <c r="U157" s="18">
        <v>0.12</v>
      </c>
      <c r="V157" s="17">
        <f t="shared" si="26"/>
        <v>17001.599999999999</v>
      </c>
      <c r="W157" s="20">
        <f t="shared" si="27"/>
        <v>0.10714285714285707</v>
      </c>
      <c r="X157" s="17">
        <v>0</v>
      </c>
      <c r="Y157" s="18">
        <v>0.35</v>
      </c>
      <c r="Z157" s="17">
        <v>0</v>
      </c>
      <c r="AA157" s="18">
        <v>0</v>
      </c>
      <c r="AB157" s="18">
        <v>0.1</v>
      </c>
    </row>
    <row r="158" spans="1:28">
      <c r="A158">
        <v>2026</v>
      </c>
      <c r="B158" t="s">
        <v>145</v>
      </c>
      <c r="C158" t="s">
        <v>151</v>
      </c>
      <c r="D158" t="s">
        <v>152</v>
      </c>
      <c r="E158">
        <v>709904</v>
      </c>
      <c r="G158" t="s">
        <v>148</v>
      </c>
      <c r="H158" t="s">
        <v>148</v>
      </c>
      <c r="I158" t="s">
        <v>55</v>
      </c>
      <c r="J158" t="s">
        <v>29</v>
      </c>
      <c r="K158">
        <v>5</v>
      </c>
      <c r="L158">
        <v>16900</v>
      </c>
      <c r="M158" s="17">
        <f t="shared" si="28"/>
        <v>3380</v>
      </c>
      <c r="O158" s="17">
        <f t="shared" si="25"/>
        <v>4394</v>
      </c>
      <c r="P158" s="17">
        <v>0</v>
      </c>
      <c r="Q158" s="18">
        <v>0.1</v>
      </c>
      <c r="R158" s="17">
        <v>0</v>
      </c>
      <c r="S158" s="19">
        <v>0</v>
      </c>
      <c r="T158" s="17">
        <f t="shared" si="29"/>
        <v>3380</v>
      </c>
      <c r="U158" s="18">
        <v>0.25</v>
      </c>
      <c r="V158" s="17">
        <f t="shared" si="26"/>
        <v>4225</v>
      </c>
      <c r="W158" s="20">
        <f t="shared" si="27"/>
        <v>0.2</v>
      </c>
      <c r="X158" s="17">
        <v>0</v>
      </c>
      <c r="Y158" s="18">
        <v>0.12</v>
      </c>
      <c r="Z158" s="17">
        <v>0</v>
      </c>
      <c r="AA158" s="18">
        <v>0</v>
      </c>
      <c r="AB158" s="18">
        <v>0.1</v>
      </c>
    </row>
    <row r="159" spans="1:28">
      <c r="A159">
        <v>2026</v>
      </c>
      <c r="B159" t="s">
        <v>145</v>
      </c>
      <c r="C159" t="s">
        <v>151</v>
      </c>
      <c r="D159" t="s">
        <v>152</v>
      </c>
      <c r="E159">
        <v>603421</v>
      </c>
      <c r="G159" t="s">
        <v>148</v>
      </c>
      <c r="H159" t="s">
        <v>148</v>
      </c>
      <c r="I159" t="s">
        <v>55</v>
      </c>
      <c r="J159" t="s">
        <v>29</v>
      </c>
      <c r="K159">
        <v>5</v>
      </c>
      <c r="L159">
        <v>21900</v>
      </c>
      <c r="M159" s="17">
        <f t="shared" si="28"/>
        <v>4380</v>
      </c>
      <c r="O159" s="17">
        <f t="shared" si="25"/>
        <v>5694</v>
      </c>
      <c r="P159" s="17">
        <v>0</v>
      </c>
      <c r="Q159" s="18">
        <v>0.35</v>
      </c>
      <c r="R159" s="17">
        <v>0</v>
      </c>
      <c r="S159" s="19">
        <v>0</v>
      </c>
      <c r="T159" s="17">
        <f t="shared" si="29"/>
        <v>4380</v>
      </c>
      <c r="U159" s="18">
        <v>0.1</v>
      </c>
      <c r="V159" s="17">
        <f t="shared" si="26"/>
        <v>4818</v>
      </c>
      <c r="W159" s="20">
        <f t="shared" si="27"/>
        <v>9.0909090909090912E-2</v>
      </c>
      <c r="X159" s="17">
        <v>0</v>
      </c>
      <c r="Y159" s="18">
        <v>0.22</v>
      </c>
      <c r="Z159" s="17">
        <v>0</v>
      </c>
      <c r="AA159" s="18">
        <v>0</v>
      </c>
      <c r="AB159" s="18">
        <v>0.1</v>
      </c>
    </row>
    <row r="160" spans="1:28">
      <c r="A160">
        <v>2026</v>
      </c>
      <c r="B160" t="s">
        <v>145</v>
      </c>
      <c r="C160" t="s">
        <v>151</v>
      </c>
      <c r="D160" t="s">
        <v>152</v>
      </c>
      <c r="E160">
        <v>603422</v>
      </c>
      <c r="G160" t="s">
        <v>148</v>
      </c>
      <c r="H160" t="s">
        <v>148</v>
      </c>
      <c r="I160" t="s">
        <v>60</v>
      </c>
      <c r="J160" t="s">
        <v>29</v>
      </c>
      <c r="K160">
        <v>5</v>
      </c>
      <c r="L160">
        <v>38600</v>
      </c>
      <c r="M160" s="17">
        <f t="shared" si="28"/>
        <v>7720</v>
      </c>
      <c r="O160" s="17">
        <f t="shared" si="25"/>
        <v>10036</v>
      </c>
      <c r="P160" s="17">
        <v>0</v>
      </c>
      <c r="Q160" s="18">
        <v>0.33</v>
      </c>
      <c r="R160" s="17">
        <v>0</v>
      </c>
      <c r="S160" s="19">
        <v>0</v>
      </c>
      <c r="T160" s="17">
        <f t="shared" si="29"/>
        <v>7720</v>
      </c>
      <c r="U160" s="18">
        <v>0.12</v>
      </c>
      <c r="V160" s="17">
        <f t="shared" si="26"/>
        <v>8646.4</v>
      </c>
      <c r="W160" s="20">
        <f t="shared" si="27"/>
        <v>0.10714285714285711</v>
      </c>
      <c r="X160" s="17">
        <v>0</v>
      </c>
      <c r="Y160" s="18">
        <v>0.12</v>
      </c>
      <c r="Z160" s="17">
        <v>0</v>
      </c>
      <c r="AA160" s="18">
        <v>0</v>
      </c>
      <c r="AB160" s="18">
        <v>0.1</v>
      </c>
    </row>
    <row r="161" spans="1:28">
      <c r="A161">
        <v>2026</v>
      </c>
      <c r="B161" t="s">
        <v>145</v>
      </c>
      <c r="C161" t="s">
        <v>151</v>
      </c>
      <c r="D161" t="s">
        <v>152</v>
      </c>
      <c r="E161">
        <v>603423</v>
      </c>
      <c r="G161" t="s">
        <v>148</v>
      </c>
      <c r="H161" t="s">
        <v>148</v>
      </c>
      <c r="I161" t="s">
        <v>60</v>
      </c>
      <c r="J161" t="s">
        <v>29</v>
      </c>
      <c r="K161">
        <v>5</v>
      </c>
      <c r="L161">
        <v>107200</v>
      </c>
      <c r="M161" s="17">
        <f t="shared" si="28"/>
        <v>21440</v>
      </c>
      <c r="O161" s="17">
        <f t="shared" si="25"/>
        <v>27872</v>
      </c>
      <c r="P161" s="17">
        <v>0</v>
      </c>
      <c r="Q161" s="18">
        <v>0.31</v>
      </c>
      <c r="R161" s="17">
        <v>0</v>
      </c>
      <c r="S161" s="19">
        <v>0</v>
      </c>
      <c r="T161" s="17">
        <f t="shared" si="29"/>
        <v>21440</v>
      </c>
      <c r="U161" s="18">
        <v>0.15</v>
      </c>
      <c r="V161" s="17">
        <f t="shared" si="26"/>
        <v>24656</v>
      </c>
      <c r="W161" s="20">
        <f t="shared" si="27"/>
        <v>0.13043478260869565</v>
      </c>
      <c r="X161" s="17">
        <v>0</v>
      </c>
      <c r="Y161" s="18">
        <v>0.15</v>
      </c>
      <c r="Z161" s="17">
        <v>0</v>
      </c>
      <c r="AA161" s="18">
        <v>0</v>
      </c>
      <c r="AB161" s="18">
        <v>0.1</v>
      </c>
    </row>
    <row r="162" spans="1:28">
      <c r="A162">
        <v>2026</v>
      </c>
      <c r="B162" t="s">
        <v>145</v>
      </c>
      <c r="C162" t="s">
        <v>151</v>
      </c>
      <c r="D162" t="s">
        <v>152</v>
      </c>
      <c r="E162">
        <v>603420</v>
      </c>
      <c r="G162" t="s">
        <v>148</v>
      </c>
      <c r="H162" t="s">
        <v>148</v>
      </c>
      <c r="I162" t="s">
        <v>60</v>
      </c>
      <c r="J162" t="s">
        <v>29</v>
      </c>
      <c r="K162">
        <v>5</v>
      </c>
      <c r="L162">
        <v>114900</v>
      </c>
      <c r="M162" s="17">
        <f t="shared" si="28"/>
        <v>22980</v>
      </c>
      <c r="O162" s="17">
        <f t="shared" si="25"/>
        <v>29874</v>
      </c>
      <c r="P162" s="17">
        <v>0</v>
      </c>
      <c r="Q162" s="18">
        <v>0.3</v>
      </c>
      <c r="R162" s="17">
        <v>0</v>
      </c>
      <c r="S162" s="19">
        <v>0</v>
      </c>
      <c r="T162" s="17">
        <f t="shared" si="29"/>
        <v>22980</v>
      </c>
      <c r="U162" s="18">
        <v>0.18</v>
      </c>
      <c r="V162" s="17">
        <f t="shared" si="26"/>
        <v>27116.400000000001</v>
      </c>
      <c r="W162" s="20">
        <f t="shared" si="27"/>
        <v>0.15254237288135597</v>
      </c>
      <c r="X162" s="17">
        <v>0</v>
      </c>
      <c r="Y162" s="18">
        <v>0.18</v>
      </c>
      <c r="Z162" s="17">
        <v>0</v>
      </c>
      <c r="AA162" s="18">
        <v>0</v>
      </c>
      <c r="AB162" s="18">
        <v>0.1</v>
      </c>
    </row>
    <row r="163" spans="1:28">
      <c r="A163">
        <v>2026</v>
      </c>
      <c r="B163" t="s">
        <v>145</v>
      </c>
      <c r="C163" t="s">
        <v>151</v>
      </c>
      <c r="D163" t="s">
        <v>152</v>
      </c>
      <c r="E163">
        <v>603424</v>
      </c>
      <c r="G163" t="s">
        <v>148</v>
      </c>
      <c r="H163" t="s">
        <v>148</v>
      </c>
      <c r="I163" t="s">
        <v>60</v>
      </c>
      <c r="J163" t="s">
        <v>29</v>
      </c>
      <c r="K163">
        <v>5</v>
      </c>
      <c r="L163">
        <v>129400</v>
      </c>
      <c r="M163" s="17">
        <f t="shared" si="28"/>
        <v>25880</v>
      </c>
      <c r="O163" s="17">
        <f t="shared" si="25"/>
        <v>33644</v>
      </c>
      <c r="P163" s="17">
        <v>0</v>
      </c>
      <c r="Q163" s="18">
        <v>0.28000000000000003</v>
      </c>
      <c r="R163" s="17">
        <v>0</v>
      </c>
      <c r="S163" s="19">
        <v>0</v>
      </c>
      <c r="T163" s="17">
        <f t="shared" si="29"/>
        <v>25880</v>
      </c>
      <c r="U163" s="18">
        <v>0.28999999999999998</v>
      </c>
      <c r="V163" s="17">
        <f t="shared" si="26"/>
        <v>33385.199999999997</v>
      </c>
      <c r="W163" s="20">
        <f t="shared" si="27"/>
        <v>0.22480620155038752</v>
      </c>
      <c r="X163" s="17">
        <v>0</v>
      </c>
      <c r="Y163" s="18">
        <v>0.28999999999999998</v>
      </c>
      <c r="Z163" s="17">
        <v>0</v>
      </c>
      <c r="AA163" s="18">
        <v>0</v>
      </c>
      <c r="AB163" s="18">
        <v>0.1</v>
      </c>
    </row>
    <row r="164" spans="1:28">
      <c r="A164">
        <v>2026</v>
      </c>
      <c r="B164" t="s">
        <v>145</v>
      </c>
      <c r="C164" t="s">
        <v>151</v>
      </c>
      <c r="D164" t="s">
        <v>152</v>
      </c>
      <c r="E164">
        <v>583300</v>
      </c>
      <c r="G164" t="s">
        <v>148</v>
      </c>
      <c r="H164" t="s">
        <v>148</v>
      </c>
      <c r="I164" t="s">
        <v>72</v>
      </c>
      <c r="J164" t="s">
        <v>29</v>
      </c>
      <c r="K164">
        <v>5</v>
      </c>
      <c r="L164">
        <v>49000</v>
      </c>
      <c r="M164" s="17">
        <f t="shared" si="28"/>
        <v>9800</v>
      </c>
      <c r="O164" s="17">
        <f t="shared" si="25"/>
        <v>12740</v>
      </c>
      <c r="P164" s="17">
        <v>0</v>
      </c>
      <c r="Q164" s="18">
        <v>0.27</v>
      </c>
      <c r="R164" s="17">
        <v>0</v>
      </c>
      <c r="S164" s="19">
        <v>0</v>
      </c>
      <c r="T164" s="17">
        <f t="shared" si="29"/>
        <v>9800</v>
      </c>
      <c r="U164" s="18">
        <v>0.34</v>
      </c>
      <c r="V164" s="17">
        <f t="shared" si="26"/>
        <v>13132</v>
      </c>
      <c r="W164" s="20">
        <f t="shared" si="27"/>
        <v>0.2537313432835821</v>
      </c>
      <c r="X164" s="17">
        <v>0</v>
      </c>
      <c r="Y164" s="18">
        <v>0.34</v>
      </c>
      <c r="Z164" s="17">
        <v>0</v>
      </c>
      <c r="AA164" s="18">
        <v>0</v>
      </c>
      <c r="AB164" s="18">
        <v>0.1</v>
      </c>
    </row>
    <row r="165" spans="1:28">
      <c r="A165">
        <v>2026</v>
      </c>
      <c r="B165" t="s">
        <v>145</v>
      </c>
      <c r="C165" t="s">
        <v>151</v>
      </c>
      <c r="D165" t="s">
        <v>152</v>
      </c>
      <c r="E165">
        <v>583400</v>
      </c>
      <c r="G165" t="s">
        <v>148</v>
      </c>
      <c r="H165" t="s">
        <v>148</v>
      </c>
      <c r="I165" t="s">
        <v>75</v>
      </c>
      <c r="J165" t="s">
        <v>53</v>
      </c>
      <c r="K165">
        <v>2</v>
      </c>
      <c r="L165">
        <v>386300</v>
      </c>
      <c r="M165" s="17">
        <f t="shared" si="28"/>
        <v>193150</v>
      </c>
      <c r="O165" s="17">
        <f t="shared" si="25"/>
        <v>251095</v>
      </c>
      <c r="P165" s="17">
        <v>0</v>
      </c>
      <c r="Q165" s="18">
        <v>0.17</v>
      </c>
      <c r="R165" s="17">
        <v>0</v>
      </c>
      <c r="S165" s="19">
        <v>0</v>
      </c>
      <c r="T165" s="17">
        <f t="shared" si="29"/>
        <v>193150</v>
      </c>
      <c r="U165" s="18">
        <v>0.25</v>
      </c>
      <c r="V165" s="17">
        <f t="shared" si="26"/>
        <v>241437.5</v>
      </c>
      <c r="W165" s="20">
        <f t="shared" si="27"/>
        <v>0.2</v>
      </c>
      <c r="X165" s="17">
        <v>0</v>
      </c>
      <c r="Y165" s="18">
        <v>0.25</v>
      </c>
      <c r="Z165" s="17">
        <v>0</v>
      </c>
      <c r="AA165" s="18">
        <v>0</v>
      </c>
      <c r="AB165" s="18">
        <v>0.1</v>
      </c>
    </row>
    <row r="166" spans="1:28">
      <c r="A166">
        <v>2026</v>
      </c>
      <c r="B166" t="s">
        <v>145</v>
      </c>
      <c r="C166" t="s">
        <v>151</v>
      </c>
      <c r="D166" t="s">
        <v>152</v>
      </c>
      <c r="E166">
        <v>583500</v>
      </c>
      <c r="G166" t="s">
        <v>148</v>
      </c>
      <c r="H166" t="s">
        <v>148</v>
      </c>
      <c r="I166" t="s">
        <v>78</v>
      </c>
      <c r="J166" t="s">
        <v>22</v>
      </c>
      <c r="K166">
        <v>10</v>
      </c>
      <c r="L166">
        <v>38000</v>
      </c>
      <c r="M166" s="17">
        <f t="shared" si="28"/>
        <v>3800</v>
      </c>
      <c r="O166" s="17">
        <f t="shared" si="25"/>
        <v>4940</v>
      </c>
      <c r="P166" s="17">
        <v>0</v>
      </c>
      <c r="Q166" s="18">
        <v>0.22</v>
      </c>
      <c r="R166" s="17">
        <v>0</v>
      </c>
      <c r="S166" s="19">
        <v>0</v>
      </c>
      <c r="T166" s="17">
        <f t="shared" si="29"/>
        <v>3800</v>
      </c>
      <c r="U166" s="18">
        <v>0.35</v>
      </c>
      <c r="V166" s="17">
        <f t="shared" si="26"/>
        <v>5130</v>
      </c>
      <c r="W166" s="20">
        <f t="shared" si="27"/>
        <v>0.25925925925925924</v>
      </c>
      <c r="X166" s="17">
        <v>0</v>
      </c>
      <c r="Y166" s="18">
        <v>0.35</v>
      </c>
      <c r="Z166" s="17">
        <v>0</v>
      </c>
      <c r="AA166" s="18">
        <v>0</v>
      </c>
      <c r="AB166" s="18">
        <v>0.1</v>
      </c>
    </row>
    <row r="167" spans="1:28">
      <c r="A167">
        <v>2026</v>
      </c>
      <c r="B167" t="s">
        <v>145</v>
      </c>
      <c r="C167" t="s">
        <v>151</v>
      </c>
      <c r="D167" t="s">
        <v>152</v>
      </c>
      <c r="E167">
        <v>595200</v>
      </c>
      <c r="G167" t="s">
        <v>148</v>
      </c>
      <c r="H167" t="s">
        <v>148</v>
      </c>
      <c r="I167" t="s">
        <v>78</v>
      </c>
      <c r="J167" t="s">
        <v>22</v>
      </c>
      <c r="K167">
        <v>10</v>
      </c>
      <c r="L167">
        <v>39800</v>
      </c>
      <c r="M167" s="17">
        <f t="shared" si="28"/>
        <v>3980</v>
      </c>
      <c r="O167" s="17">
        <f t="shared" si="25"/>
        <v>5174</v>
      </c>
      <c r="P167" s="17">
        <v>0</v>
      </c>
      <c r="Q167" s="18">
        <v>0.12</v>
      </c>
      <c r="R167" s="17">
        <v>0</v>
      </c>
      <c r="S167" s="19">
        <v>0</v>
      </c>
      <c r="T167" s="17">
        <f t="shared" si="29"/>
        <v>3980</v>
      </c>
      <c r="U167" s="18">
        <v>0.12</v>
      </c>
      <c r="V167" s="17">
        <f t="shared" si="26"/>
        <v>4457.6000000000004</v>
      </c>
      <c r="W167" s="20">
        <f t="shared" si="27"/>
        <v>0.10714285714285722</v>
      </c>
      <c r="X167" s="17">
        <v>0</v>
      </c>
      <c r="Y167" s="18">
        <v>0.12</v>
      </c>
      <c r="Z167" s="17">
        <v>0</v>
      </c>
      <c r="AA167" s="18">
        <v>0</v>
      </c>
      <c r="AB167" s="18">
        <v>0.1</v>
      </c>
    </row>
    <row r="168" spans="1:28">
      <c r="A168">
        <v>2026</v>
      </c>
      <c r="B168" t="s">
        <v>145</v>
      </c>
      <c r="C168" t="s">
        <v>151</v>
      </c>
      <c r="D168" t="s">
        <v>152</v>
      </c>
      <c r="E168">
        <v>595300</v>
      </c>
      <c r="G168" t="s">
        <v>148</v>
      </c>
      <c r="H168" t="s">
        <v>148</v>
      </c>
      <c r="I168" t="s">
        <v>78</v>
      </c>
      <c r="J168" t="s">
        <v>22</v>
      </c>
      <c r="K168">
        <v>10</v>
      </c>
      <c r="L168">
        <v>42200</v>
      </c>
      <c r="M168" s="17">
        <f t="shared" si="28"/>
        <v>4220</v>
      </c>
      <c r="O168" s="17">
        <f t="shared" si="25"/>
        <v>5486</v>
      </c>
      <c r="P168" s="17">
        <v>0</v>
      </c>
      <c r="Q168" s="18">
        <v>0.15</v>
      </c>
      <c r="R168" s="17">
        <v>0</v>
      </c>
      <c r="S168" s="19">
        <v>0</v>
      </c>
      <c r="T168" s="17">
        <f t="shared" si="29"/>
        <v>4220</v>
      </c>
      <c r="U168" s="18">
        <v>0.25</v>
      </c>
      <c r="V168" s="17">
        <f t="shared" si="26"/>
        <v>5275</v>
      </c>
      <c r="W168" s="20">
        <f t="shared" si="27"/>
        <v>0.2</v>
      </c>
      <c r="X168" s="17">
        <v>0</v>
      </c>
      <c r="Y168" s="18">
        <v>0.25</v>
      </c>
      <c r="Z168" s="17">
        <v>0</v>
      </c>
      <c r="AA168" s="18">
        <v>0</v>
      </c>
      <c r="AB168" s="18">
        <v>0.1</v>
      </c>
    </row>
    <row r="169" spans="1:28">
      <c r="A169">
        <v>2026</v>
      </c>
      <c r="B169" t="s">
        <v>145</v>
      </c>
      <c r="C169" t="s">
        <v>151</v>
      </c>
      <c r="D169" t="s">
        <v>152</v>
      </c>
      <c r="E169">
        <v>595400</v>
      </c>
      <c r="G169" t="s">
        <v>148</v>
      </c>
      <c r="H169" t="s">
        <v>148</v>
      </c>
      <c r="I169" t="s">
        <v>78</v>
      </c>
      <c r="J169" t="s">
        <v>22</v>
      </c>
      <c r="K169">
        <v>10</v>
      </c>
      <c r="L169">
        <v>51600</v>
      </c>
      <c r="M169" s="17">
        <f t="shared" si="28"/>
        <v>5160</v>
      </c>
      <c r="O169" s="17">
        <f t="shared" si="25"/>
        <v>6708</v>
      </c>
      <c r="P169" s="17">
        <v>0</v>
      </c>
      <c r="Q169" s="18">
        <v>0.18</v>
      </c>
      <c r="R169" s="17">
        <v>0</v>
      </c>
      <c r="S169" s="19">
        <v>0</v>
      </c>
      <c r="T169" s="17">
        <f t="shared" si="29"/>
        <v>5160</v>
      </c>
      <c r="U169" s="18">
        <v>0.1</v>
      </c>
      <c r="V169" s="17">
        <f t="shared" si="26"/>
        <v>5676</v>
      </c>
      <c r="W169" s="20">
        <f t="shared" si="27"/>
        <v>9.0909090909090912E-2</v>
      </c>
      <c r="X169" s="17">
        <v>0</v>
      </c>
      <c r="Y169" s="18">
        <v>0.1</v>
      </c>
      <c r="Z169" s="17">
        <v>0</v>
      </c>
      <c r="AA169" s="18">
        <v>0</v>
      </c>
      <c r="AB169" s="18">
        <v>0.1</v>
      </c>
    </row>
    <row r="170" spans="1:28">
      <c r="A170">
        <v>2026</v>
      </c>
      <c r="B170" t="s">
        <v>145</v>
      </c>
      <c r="C170" t="s">
        <v>151</v>
      </c>
      <c r="D170" t="s">
        <v>152</v>
      </c>
      <c r="E170">
        <v>595600</v>
      </c>
      <c r="G170" t="s">
        <v>148</v>
      </c>
      <c r="H170" t="s">
        <v>148</v>
      </c>
      <c r="I170" t="s">
        <v>95</v>
      </c>
      <c r="J170" t="s">
        <v>12</v>
      </c>
      <c r="K170">
        <v>1</v>
      </c>
      <c r="L170">
        <v>43500</v>
      </c>
      <c r="M170" s="17">
        <f t="shared" si="28"/>
        <v>43500</v>
      </c>
      <c r="O170" s="17">
        <f t="shared" si="25"/>
        <v>56550</v>
      </c>
      <c r="P170" s="17">
        <v>0</v>
      </c>
      <c r="Q170" s="18">
        <v>0.28999999999999998</v>
      </c>
      <c r="R170" s="17">
        <v>0</v>
      </c>
      <c r="S170" s="19">
        <v>0</v>
      </c>
      <c r="T170" s="17">
        <f t="shared" si="29"/>
        <v>43500</v>
      </c>
      <c r="U170" s="18">
        <v>0.35</v>
      </c>
      <c r="V170" s="17">
        <f t="shared" si="26"/>
        <v>58725</v>
      </c>
      <c r="W170" s="20">
        <f t="shared" si="27"/>
        <v>0.25925925925925924</v>
      </c>
      <c r="X170" s="17">
        <v>0</v>
      </c>
      <c r="Y170" s="18">
        <v>0.35</v>
      </c>
      <c r="Z170" s="17">
        <v>0</v>
      </c>
      <c r="AA170" s="18">
        <v>0</v>
      </c>
      <c r="AB170" s="18">
        <v>0.1</v>
      </c>
    </row>
    <row r="171" spans="1:28">
      <c r="A171">
        <v>2026</v>
      </c>
      <c r="B171" t="s">
        <v>145</v>
      </c>
      <c r="C171" t="s">
        <v>151</v>
      </c>
      <c r="D171" t="s">
        <v>152</v>
      </c>
      <c r="E171">
        <v>581011</v>
      </c>
      <c r="G171" t="s">
        <v>148</v>
      </c>
      <c r="H171" t="s">
        <v>148</v>
      </c>
      <c r="I171" t="s">
        <v>100</v>
      </c>
      <c r="J171" t="s">
        <v>12</v>
      </c>
      <c r="K171">
        <v>1</v>
      </c>
      <c r="L171">
        <v>89500</v>
      </c>
      <c r="M171" s="17">
        <f t="shared" si="28"/>
        <v>89500</v>
      </c>
      <c r="O171" s="17">
        <f t="shared" si="25"/>
        <v>116350</v>
      </c>
      <c r="P171" s="17">
        <v>0</v>
      </c>
      <c r="Q171" s="18">
        <v>0.34</v>
      </c>
      <c r="R171" s="17">
        <v>0</v>
      </c>
      <c r="S171" s="19">
        <v>0</v>
      </c>
      <c r="T171" s="17">
        <f t="shared" si="29"/>
        <v>89500</v>
      </c>
      <c r="U171" s="18">
        <v>0.33</v>
      </c>
      <c r="V171" s="17">
        <f t="shared" si="26"/>
        <v>119035</v>
      </c>
      <c r="W171" s="20">
        <f t="shared" si="27"/>
        <v>0.24812030075187969</v>
      </c>
      <c r="X171" s="17">
        <v>0</v>
      </c>
      <c r="Y171" s="18">
        <v>0.33</v>
      </c>
      <c r="Z171" s="17">
        <v>0</v>
      </c>
      <c r="AA171" s="18">
        <v>0</v>
      </c>
      <c r="AB171" s="18">
        <v>0.1</v>
      </c>
    </row>
    <row r="172" spans="1:28">
      <c r="A172">
        <v>2026</v>
      </c>
      <c r="B172" t="s">
        <v>145</v>
      </c>
      <c r="C172" t="s">
        <v>151</v>
      </c>
      <c r="D172" t="s">
        <v>152</v>
      </c>
      <c r="E172">
        <v>581100</v>
      </c>
      <c r="G172" t="s">
        <v>148</v>
      </c>
      <c r="H172" t="s">
        <v>148</v>
      </c>
      <c r="I172" t="s">
        <v>100</v>
      </c>
      <c r="J172" t="s">
        <v>12</v>
      </c>
      <c r="K172">
        <v>1</v>
      </c>
      <c r="L172">
        <v>67900</v>
      </c>
      <c r="M172" s="17">
        <f t="shared" si="28"/>
        <v>67900</v>
      </c>
      <c r="O172" s="17">
        <f t="shared" si="25"/>
        <v>88270</v>
      </c>
      <c r="P172" s="17">
        <v>0</v>
      </c>
      <c r="Q172" s="18">
        <v>0.25</v>
      </c>
      <c r="R172" s="17">
        <v>0</v>
      </c>
      <c r="S172" s="19">
        <v>0</v>
      </c>
      <c r="T172" s="17">
        <f t="shared" si="29"/>
        <v>67900</v>
      </c>
      <c r="U172" s="18">
        <v>0.31</v>
      </c>
      <c r="V172" s="17">
        <f t="shared" si="26"/>
        <v>88949</v>
      </c>
      <c r="W172" s="20">
        <f t="shared" si="27"/>
        <v>0.23664122137404581</v>
      </c>
      <c r="X172" s="17">
        <v>0</v>
      </c>
      <c r="Y172" s="18">
        <v>0.31</v>
      </c>
      <c r="Z172" s="17">
        <v>0</v>
      </c>
      <c r="AA172" s="18">
        <v>0</v>
      </c>
      <c r="AB172" s="18">
        <v>0.1</v>
      </c>
    </row>
    <row r="173" spans="1:28">
      <c r="A173">
        <v>2026</v>
      </c>
      <c r="B173" t="s">
        <v>145</v>
      </c>
      <c r="C173" t="s">
        <v>151</v>
      </c>
      <c r="D173" t="s">
        <v>152</v>
      </c>
      <c r="E173">
        <v>581200</v>
      </c>
      <c r="G173" t="s">
        <v>148</v>
      </c>
      <c r="H173" t="s">
        <v>148</v>
      </c>
      <c r="I173" t="s">
        <v>100</v>
      </c>
      <c r="J173" t="s">
        <v>12</v>
      </c>
      <c r="K173">
        <v>1</v>
      </c>
      <c r="L173">
        <v>50300</v>
      </c>
      <c r="M173" s="17">
        <f t="shared" si="28"/>
        <v>50300</v>
      </c>
      <c r="O173" s="17">
        <f t="shared" si="25"/>
        <v>65390</v>
      </c>
      <c r="P173" s="17">
        <v>0</v>
      </c>
      <c r="Q173" s="18">
        <v>0.35</v>
      </c>
      <c r="R173" s="17">
        <v>0</v>
      </c>
      <c r="S173" s="19">
        <v>0</v>
      </c>
      <c r="T173" s="17">
        <f t="shared" si="29"/>
        <v>50300</v>
      </c>
      <c r="U173" s="18">
        <v>0.3</v>
      </c>
      <c r="V173" s="17">
        <f t="shared" si="26"/>
        <v>65390</v>
      </c>
      <c r="W173" s="20">
        <f t="shared" si="27"/>
        <v>0.23076923076923078</v>
      </c>
      <c r="X173" s="17">
        <v>0</v>
      </c>
      <c r="Y173" s="18">
        <v>0.3</v>
      </c>
      <c r="Z173" s="17">
        <v>0</v>
      </c>
      <c r="AA173" s="18">
        <v>0</v>
      </c>
      <c r="AB173" s="18">
        <v>0.1</v>
      </c>
    </row>
    <row r="174" spans="1:28">
      <c r="A174">
        <v>2026</v>
      </c>
      <c r="B174" t="s">
        <v>145</v>
      </c>
      <c r="C174" t="s">
        <v>151</v>
      </c>
      <c r="D174" t="s">
        <v>152</v>
      </c>
      <c r="E174">
        <v>581300</v>
      </c>
      <c r="G174" t="s">
        <v>148</v>
      </c>
      <c r="H174" t="s">
        <v>148</v>
      </c>
      <c r="I174" t="s">
        <v>100</v>
      </c>
      <c r="J174" t="s">
        <v>12</v>
      </c>
      <c r="K174">
        <v>1</v>
      </c>
      <c r="L174">
        <v>53300</v>
      </c>
      <c r="M174" s="17">
        <f t="shared" si="28"/>
        <v>53300</v>
      </c>
      <c r="O174" s="17">
        <f t="shared" si="25"/>
        <v>69290</v>
      </c>
      <c r="P174" s="17">
        <v>0</v>
      </c>
      <c r="Q174" s="18">
        <v>0.12</v>
      </c>
      <c r="R174" s="17">
        <v>0</v>
      </c>
      <c r="S174" s="19">
        <v>0</v>
      </c>
      <c r="T174" s="17">
        <f t="shared" si="29"/>
        <v>53300</v>
      </c>
      <c r="U174" s="18">
        <v>0.28000000000000003</v>
      </c>
      <c r="V174" s="17">
        <f t="shared" si="26"/>
        <v>68224</v>
      </c>
      <c r="W174" s="20">
        <f t="shared" si="27"/>
        <v>0.21875</v>
      </c>
      <c r="X174" s="17">
        <v>0</v>
      </c>
      <c r="Y174" s="18">
        <v>0.28000000000000003</v>
      </c>
      <c r="Z174" s="17">
        <v>0</v>
      </c>
      <c r="AA174" s="18">
        <v>0</v>
      </c>
      <c r="AB174" s="18">
        <v>0.1</v>
      </c>
    </row>
    <row r="175" spans="1:28" ht="15">
      <c r="A175" s="11" t="s">
        <v>117</v>
      </c>
      <c r="B175" s="11" t="s">
        <v>118</v>
      </c>
      <c r="C175" s="11" t="s">
        <v>119</v>
      </c>
      <c r="D175" s="11" t="s">
        <v>120</v>
      </c>
      <c r="E175" s="11" t="s">
        <v>121</v>
      </c>
      <c r="F175" s="11" t="s">
        <v>122</v>
      </c>
      <c r="G175" s="11" t="s">
        <v>123</v>
      </c>
      <c r="H175" s="11" t="s">
        <v>124</v>
      </c>
      <c r="I175" s="11" t="s">
        <v>125</v>
      </c>
      <c r="J175" s="11" t="s">
        <v>126</v>
      </c>
      <c r="K175" s="11" t="s">
        <v>127</v>
      </c>
      <c r="L175" s="11" t="s">
        <v>128</v>
      </c>
      <c r="M175" s="12" t="s">
        <v>129</v>
      </c>
      <c r="N175" s="11" t="s">
        <v>130</v>
      </c>
      <c r="O175" s="11" t="s">
        <v>131</v>
      </c>
      <c r="P175" s="11" t="s">
        <v>132</v>
      </c>
      <c r="Q175" s="13" t="s">
        <v>133</v>
      </c>
      <c r="R175" s="14" t="s">
        <v>134</v>
      </c>
      <c r="S175" s="15" t="s">
        <v>135</v>
      </c>
      <c r="T175" s="16" t="s">
        <v>136</v>
      </c>
      <c r="U175" s="16" t="s">
        <v>137</v>
      </c>
      <c r="V175" s="16" t="s">
        <v>138</v>
      </c>
      <c r="W175" s="13" t="s">
        <v>139</v>
      </c>
      <c r="X175" s="16" t="s">
        <v>140</v>
      </c>
      <c r="Y175" s="16" t="s">
        <v>141</v>
      </c>
      <c r="Z175" s="16" t="s">
        <v>142</v>
      </c>
      <c r="AA175" s="13" t="s">
        <v>143</v>
      </c>
      <c r="AB175" s="14" t="s">
        <v>144</v>
      </c>
    </row>
    <row r="176" spans="1:28">
      <c r="A176">
        <v>2026</v>
      </c>
      <c r="B176" t="s">
        <v>145</v>
      </c>
      <c r="C176" t="s">
        <v>151</v>
      </c>
      <c r="D176" t="s">
        <v>152</v>
      </c>
      <c r="E176">
        <v>360001</v>
      </c>
      <c r="G176" t="s">
        <v>148</v>
      </c>
      <c r="H176" t="s">
        <v>148</v>
      </c>
      <c r="I176" t="s">
        <v>9</v>
      </c>
      <c r="J176" t="s">
        <v>12</v>
      </c>
      <c r="K176">
        <v>1</v>
      </c>
      <c r="L176">
        <v>893800</v>
      </c>
      <c r="M176" s="17">
        <f>L176/K176</f>
        <v>893800</v>
      </c>
      <c r="O176" s="17">
        <f t="shared" ref="O176:O203" si="30">M176+(M176*30%)</f>
        <v>1161940</v>
      </c>
      <c r="P176" s="17">
        <v>0</v>
      </c>
      <c r="Q176" s="18">
        <v>0.17</v>
      </c>
      <c r="R176" s="17">
        <v>0</v>
      </c>
      <c r="S176" s="19">
        <v>0</v>
      </c>
      <c r="T176" s="17">
        <f>IF(C176="Mediana Complejidad",M176,0)</f>
        <v>893800</v>
      </c>
      <c r="U176" s="18">
        <v>0.27</v>
      </c>
      <c r="V176" s="17">
        <f t="shared" ref="V176:V203" si="31">T176+(T176*U176)</f>
        <v>1135126</v>
      </c>
      <c r="W176" s="20">
        <f t="shared" ref="W176:W203" si="32">IFERROR(((V176-T176)/V176),0)</f>
        <v>0.2125984251968504</v>
      </c>
      <c r="X176" s="17">
        <v>0</v>
      </c>
      <c r="Y176" s="18">
        <v>0.28000000000000003</v>
      </c>
      <c r="Z176" s="17">
        <v>0</v>
      </c>
      <c r="AA176" s="18">
        <v>0</v>
      </c>
      <c r="AB176" s="18">
        <v>0.1</v>
      </c>
    </row>
    <row r="177" spans="1:28">
      <c r="A177">
        <v>2026</v>
      </c>
      <c r="B177" t="s">
        <v>145</v>
      </c>
      <c r="C177" t="s">
        <v>151</v>
      </c>
      <c r="D177" t="s">
        <v>152</v>
      </c>
      <c r="E177">
        <v>360102</v>
      </c>
      <c r="G177" t="s">
        <v>148</v>
      </c>
      <c r="H177" t="s">
        <v>148</v>
      </c>
      <c r="I177" t="s">
        <v>19</v>
      </c>
      <c r="J177" t="s">
        <v>22</v>
      </c>
      <c r="K177">
        <v>10</v>
      </c>
      <c r="L177">
        <v>13500</v>
      </c>
      <c r="M177" s="17">
        <f t="shared" ref="M177:M203" si="33">L177/K177</f>
        <v>1350</v>
      </c>
      <c r="O177" s="17">
        <f t="shared" si="30"/>
        <v>1755</v>
      </c>
      <c r="P177" s="17">
        <v>0</v>
      </c>
      <c r="Q177" s="18">
        <v>0.22</v>
      </c>
      <c r="R177" s="17">
        <v>0</v>
      </c>
      <c r="S177" s="19">
        <v>0</v>
      </c>
      <c r="T177" s="17">
        <f t="shared" ref="T177:T203" si="34">IF(C177="Mediana Complejidad",M177,0)</f>
        <v>1350</v>
      </c>
      <c r="U177" s="18">
        <v>0.17</v>
      </c>
      <c r="V177" s="17">
        <f t="shared" si="31"/>
        <v>1579.5</v>
      </c>
      <c r="W177" s="20">
        <f t="shared" si="32"/>
        <v>0.14529914529914531</v>
      </c>
      <c r="X177" s="17">
        <v>0</v>
      </c>
      <c r="Y177" s="18">
        <v>0.27</v>
      </c>
      <c r="Z177" s="17">
        <v>0</v>
      </c>
      <c r="AA177" s="18">
        <v>0</v>
      </c>
      <c r="AB177" s="18">
        <v>0.1</v>
      </c>
    </row>
    <row r="178" spans="1:28">
      <c r="A178">
        <v>2026</v>
      </c>
      <c r="B178" t="s">
        <v>145</v>
      </c>
      <c r="C178" t="s">
        <v>151</v>
      </c>
      <c r="D178" t="s">
        <v>152</v>
      </c>
      <c r="E178">
        <v>360104</v>
      </c>
      <c r="G178" t="s">
        <v>148</v>
      </c>
      <c r="H178" t="s">
        <v>148</v>
      </c>
      <c r="I178" t="s">
        <v>19</v>
      </c>
      <c r="J178" t="s">
        <v>22</v>
      </c>
      <c r="K178">
        <v>10</v>
      </c>
      <c r="L178">
        <v>28800</v>
      </c>
      <c r="M178" s="17">
        <f t="shared" si="33"/>
        <v>2880</v>
      </c>
      <c r="O178" s="17">
        <f t="shared" si="30"/>
        <v>3744</v>
      </c>
      <c r="P178" s="17">
        <v>0</v>
      </c>
      <c r="Q178" s="18">
        <v>0.12</v>
      </c>
      <c r="R178" s="17">
        <v>0</v>
      </c>
      <c r="S178" s="19">
        <v>0</v>
      </c>
      <c r="T178" s="17">
        <f t="shared" si="34"/>
        <v>2880</v>
      </c>
      <c r="U178" s="18">
        <v>0.22</v>
      </c>
      <c r="V178" s="17">
        <f t="shared" si="31"/>
        <v>3513.6</v>
      </c>
      <c r="W178" s="20">
        <f t="shared" si="32"/>
        <v>0.18032786885245899</v>
      </c>
      <c r="X178" s="17">
        <v>0</v>
      </c>
      <c r="Y178" s="18">
        <v>0.17</v>
      </c>
      <c r="Z178" s="17">
        <v>0</v>
      </c>
      <c r="AA178" s="18">
        <v>0</v>
      </c>
      <c r="AB178" s="18">
        <v>0.1</v>
      </c>
    </row>
    <row r="179" spans="1:28">
      <c r="A179">
        <v>2026</v>
      </c>
      <c r="B179" t="s">
        <v>145</v>
      </c>
      <c r="C179" t="s">
        <v>151</v>
      </c>
      <c r="D179" t="s">
        <v>152</v>
      </c>
      <c r="E179">
        <v>360100</v>
      </c>
      <c r="G179" t="s">
        <v>148</v>
      </c>
      <c r="H179" t="s">
        <v>148</v>
      </c>
      <c r="I179" t="s">
        <v>19</v>
      </c>
      <c r="J179" t="s">
        <v>22</v>
      </c>
      <c r="K179">
        <v>10</v>
      </c>
      <c r="L179">
        <v>63400</v>
      </c>
      <c r="M179" s="17">
        <f t="shared" si="33"/>
        <v>6340</v>
      </c>
      <c r="O179" s="17">
        <f t="shared" si="30"/>
        <v>8242</v>
      </c>
      <c r="P179" s="17">
        <v>0</v>
      </c>
      <c r="Q179" s="18">
        <v>0.15</v>
      </c>
      <c r="R179" s="17">
        <v>0</v>
      </c>
      <c r="S179" s="19">
        <v>0</v>
      </c>
      <c r="T179" s="17">
        <f t="shared" si="34"/>
        <v>6340</v>
      </c>
      <c r="U179" s="18">
        <v>0.12</v>
      </c>
      <c r="V179" s="17">
        <f t="shared" si="31"/>
        <v>7100.8</v>
      </c>
      <c r="W179" s="20">
        <f t="shared" si="32"/>
        <v>0.10714285714285716</v>
      </c>
      <c r="X179" s="17">
        <v>0</v>
      </c>
      <c r="Y179" s="18">
        <v>0.22</v>
      </c>
      <c r="Z179" s="17">
        <v>0</v>
      </c>
      <c r="AA179" s="18">
        <v>0</v>
      </c>
      <c r="AB179" s="18">
        <v>0.1</v>
      </c>
    </row>
    <row r="180" spans="1:28">
      <c r="A180">
        <v>2026</v>
      </c>
      <c r="B180" t="s">
        <v>145</v>
      </c>
      <c r="C180" t="s">
        <v>151</v>
      </c>
      <c r="D180" t="s">
        <v>152</v>
      </c>
      <c r="E180">
        <v>360150</v>
      </c>
      <c r="G180" t="s">
        <v>148</v>
      </c>
      <c r="H180" t="s">
        <v>148</v>
      </c>
      <c r="I180" t="s">
        <v>30</v>
      </c>
      <c r="J180" t="s">
        <v>22</v>
      </c>
      <c r="K180">
        <v>10</v>
      </c>
      <c r="L180">
        <v>24200</v>
      </c>
      <c r="M180" s="17">
        <f t="shared" si="33"/>
        <v>2420</v>
      </c>
      <c r="O180" s="17">
        <f t="shared" si="30"/>
        <v>3146</v>
      </c>
      <c r="P180" s="17">
        <v>0</v>
      </c>
      <c r="Q180" s="18">
        <v>0.18</v>
      </c>
      <c r="R180" s="17">
        <v>0</v>
      </c>
      <c r="S180" s="19">
        <v>0</v>
      </c>
      <c r="T180" s="17">
        <f t="shared" si="34"/>
        <v>2420</v>
      </c>
      <c r="U180" s="18">
        <v>0.15</v>
      </c>
      <c r="V180" s="17">
        <f t="shared" si="31"/>
        <v>2783</v>
      </c>
      <c r="W180" s="20">
        <f t="shared" si="32"/>
        <v>0.13043478260869565</v>
      </c>
      <c r="X180" s="17">
        <v>0</v>
      </c>
      <c r="Y180" s="18">
        <v>0.12</v>
      </c>
      <c r="Z180" s="17">
        <v>0</v>
      </c>
      <c r="AA180" s="18">
        <v>0</v>
      </c>
      <c r="AB180" s="18">
        <v>0.1</v>
      </c>
    </row>
    <row r="181" spans="1:28">
      <c r="A181">
        <v>2026</v>
      </c>
      <c r="B181" t="s">
        <v>145</v>
      </c>
      <c r="C181" t="s">
        <v>151</v>
      </c>
      <c r="D181" t="s">
        <v>152</v>
      </c>
      <c r="E181">
        <v>360101</v>
      </c>
      <c r="G181" t="s">
        <v>148</v>
      </c>
      <c r="H181" t="s">
        <v>148</v>
      </c>
      <c r="I181" t="s">
        <v>30</v>
      </c>
      <c r="J181" t="s">
        <v>22</v>
      </c>
      <c r="K181">
        <v>10</v>
      </c>
      <c r="L181">
        <v>36700</v>
      </c>
      <c r="M181" s="17">
        <f t="shared" si="33"/>
        <v>3670</v>
      </c>
      <c r="O181" s="17">
        <f t="shared" si="30"/>
        <v>4771</v>
      </c>
      <c r="P181" s="17">
        <v>0</v>
      </c>
      <c r="Q181" s="18">
        <v>0.28999999999999998</v>
      </c>
      <c r="R181" s="17">
        <v>0</v>
      </c>
      <c r="S181" s="19">
        <v>0</v>
      </c>
      <c r="T181" s="17">
        <f t="shared" si="34"/>
        <v>3670</v>
      </c>
      <c r="U181" s="18">
        <v>0.18</v>
      </c>
      <c r="V181" s="17">
        <f t="shared" si="31"/>
        <v>4330.6000000000004</v>
      </c>
      <c r="W181" s="20">
        <f t="shared" si="32"/>
        <v>0.152542372881356</v>
      </c>
      <c r="X181" s="17">
        <v>0</v>
      </c>
      <c r="Y181" s="18">
        <v>0.15</v>
      </c>
      <c r="Z181" s="17">
        <v>0</v>
      </c>
      <c r="AA181" s="18">
        <v>0</v>
      </c>
      <c r="AB181" s="18">
        <v>0.1</v>
      </c>
    </row>
    <row r="182" spans="1:28">
      <c r="A182">
        <v>2026</v>
      </c>
      <c r="B182" t="s">
        <v>145</v>
      </c>
      <c r="C182" t="s">
        <v>151</v>
      </c>
      <c r="D182" t="s">
        <v>152</v>
      </c>
      <c r="E182">
        <v>360103</v>
      </c>
      <c r="G182" t="s">
        <v>148</v>
      </c>
      <c r="H182" t="s">
        <v>148</v>
      </c>
      <c r="I182" t="s">
        <v>30</v>
      </c>
      <c r="J182" t="s">
        <v>22</v>
      </c>
      <c r="K182">
        <v>10</v>
      </c>
      <c r="L182">
        <v>91800</v>
      </c>
      <c r="M182" s="17">
        <f t="shared" si="33"/>
        <v>9180</v>
      </c>
      <c r="O182" s="17">
        <f t="shared" si="30"/>
        <v>11934</v>
      </c>
      <c r="P182" s="17">
        <v>0</v>
      </c>
      <c r="Q182" s="18">
        <v>0.34</v>
      </c>
      <c r="R182" s="17">
        <v>0</v>
      </c>
      <c r="S182" s="19">
        <v>0</v>
      </c>
      <c r="T182" s="17">
        <f t="shared" si="34"/>
        <v>9180</v>
      </c>
      <c r="U182" s="18">
        <v>0.28999999999999998</v>
      </c>
      <c r="V182" s="17">
        <f t="shared" si="31"/>
        <v>11842.2</v>
      </c>
      <c r="W182" s="20">
        <f t="shared" si="32"/>
        <v>0.22480620155038764</v>
      </c>
      <c r="X182" s="17">
        <v>0</v>
      </c>
      <c r="Y182" s="18">
        <v>0.18</v>
      </c>
      <c r="Z182" s="17">
        <v>0</v>
      </c>
      <c r="AA182" s="18">
        <v>0</v>
      </c>
      <c r="AB182" s="18">
        <v>0.1</v>
      </c>
    </row>
    <row r="183" spans="1:28">
      <c r="A183">
        <v>2026</v>
      </c>
      <c r="B183" t="s">
        <v>145</v>
      </c>
      <c r="C183" t="s">
        <v>151</v>
      </c>
      <c r="D183" t="s">
        <v>152</v>
      </c>
      <c r="E183">
        <v>709900</v>
      </c>
      <c r="G183" t="s">
        <v>148</v>
      </c>
      <c r="H183" t="s">
        <v>148</v>
      </c>
      <c r="I183" t="s">
        <v>44</v>
      </c>
      <c r="J183" t="s">
        <v>29</v>
      </c>
      <c r="K183">
        <v>5</v>
      </c>
      <c r="L183">
        <v>17300</v>
      </c>
      <c r="M183" s="17">
        <f t="shared" si="33"/>
        <v>3460</v>
      </c>
      <c r="O183" s="17">
        <f t="shared" si="30"/>
        <v>4498</v>
      </c>
      <c r="P183" s="17">
        <v>0</v>
      </c>
      <c r="Q183" s="18">
        <v>0.25</v>
      </c>
      <c r="R183" s="17">
        <v>0</v>
      </c>
      <c r="S183" s="19">
        <v>0</v>
      </c>
      <c r="T183" s="17">
        <f t="shared" si="34"/>
        <v>3460</v>
      </c>
      <c r="U183" s="18">
        <v>0.34</v>
      </c>
      <c r="V183" s="17">
        <f t="shared" si="31"/>
        <v>4636.3999999999996</v>
      </c>
      <c r="W183" s="20">
        <f t="shared" si="32"/>
        <v>0.25373134328358204</v>
      </c>
      <c r="X183" s="17">
        <v>0</v>
      </c>
      <c r="Y183" s="18">
        <v>0.28999999999999998</v>
      </c>
      <c r="Z183" s="17">
        <v>0</v>
      </c>
      <c r="AA183" s="18">
        <v>0</v>
      </c>
      <c r="AB183" s="18">
        <v>0.1</v>
      </c>
    </row>
    <row r="184" spans="1:28">
      <c r="A184">
        <v>2026</v>
      </c>
      <c r="B184" t="s">
        <v>145</v>
      </c>
      <c r="C184" t="s">
        <v>151</v>
      </c>
      <c r="D184" t="s">
        <v>152</v>
      </c>
      <c r="E184">
        <v>709902</v>
      </c>
      <c r="G184" t="s">
        <v>148</v>
      </c>
      <c r="H184" t="s">
        <v>148</v>
      </c>
      <c r="I184" t="s">
        <v>44</v>
      </c>
      <c r="J184" t="s">
        <v>29</v>
      </c>
      <c r="K184">
        <v>5</v>
      </c>
      <c r="L184">
        <v>29000</v>
      </c>
      <c r="M184" s="17">
        <f t="shared" si="33"/>
        <v>5800</v>
      </c>
      <c r="O184" s="17">
        <f t="shared" si="30"/>
        <v>7540</v>
      </c>
      <c r="P184" s="17">
        <v>0</v>
      </c>
      <c r="Q184" s="18">
        <v>0.35</v>
      </c>
      <c r="R184" s="17">
        <v>0</v>
      </c>
      <c r="S184" s="19">
        <v>0</v>
      </c>
      <c r="T184" s="17">
        <f t="shared" si="34"/>
        <v>5800</v>
      </c>
      <c r="U184" s="18">
        <v>0.25</v>
      </c>
      <c r="V184" s="17">
        <f t="shared" si="31"/>
        <v>7250</v>
      </c>
      <c r="W184" s="20">
        <f t="shared" si="32"/>
        <v>0.2</v>
      </c>
      <c r="X184" s="17">
        <v>0</v>
      </c>
      <c r="Y184" s="18">
        <v>0.34</v>
      </c>
      <c r="Z184" s="17">
        <v>0</v>
      </c>
      <c r="AA184" s="18">
        <v>0</v>
      </c>
      <c r="AB184" s="18">
        <v>0.1</v>
      </c>
    </row>
    <row r="185" spans="1:28">
      <c r="A185">
        <v>2026</v>
      </c>
      <c r="B185" t="s">
        <v>145</v>
      </c>
      <c r="C185" t="s">
        <v>151</v>
      </c>
      <c r="D185" t="s">
        <v>152</v>
      </c>
      <c r="E185">
        <v>709903</v>
      </c>
      <c r="G185" t="s">
        <v>148</v>
      </c>
      <c r="H185" t="s">
        <v>148</v>
      </c>
      <c r="I185" t="s">
        <v>44</v>
      </c>
      <c r="J185" t="s">
        <v>29</v>
      </c>
      <c r="K185">
        <v>5</v>
      </c>
      <c r="L185">
        <v>36700</v>
      </c>
      <c r="M185" s="17">
        <f t="shared" si="33"/>
        <v>7340</v>
      </c>
      <c r="O185" s="17">
        <f t="shared" si="30"/>
        <v>9542</v>
      </c>
      <c r="P185" s="17">
        <v>0</v>
      </c>
      <c r="Q185" s="18">
        <v>0.12</v>
      </c>
      <c r="R185" s="17">
        <v>0</v>
      </c>
      <c r="S185" s="19">
        <v>0</v>
      </c>
      <c r="T185" s="17">
        <f t="shared" si="34"/>
        <v>7340</v>
      </c>
      <c r="U185" s="18">
        <v>0.35</v>
      </c>
      <c r="V185" s="17">
        <f t="shared" si="31"/>
        <v>9909</v>
      </c>
      <c r="W185" s="20">
        <f t="shared" si="32"/>
        <v>0.25925925925925924</v>
      </c>
      <c r="X185" s="17">
        <v>0</v>
      </c>
      <c r="Y185" s="18">
        <v>0.25</v>
      </c>
      <c r="Z185" s="17">
        <v>0</v>
      </c>
      <c r="AA185" s="18">
        <v>0</v>
      </c>
      <c r="AB185" s="18">
        <v>0.1</v>
      </c>
    </row>
    <row r="186" spans="1:28">
      <c r="A186">
        <v>2026</v>
      </c>
      <c r="B186" t="s">
        <v>145</v>
      </c>
      <c r="C186" t="s">
        <v>151</v>
      </c>
      <c r="D186" t="s">
        <v>152</v>
      </c>
      <c r="E186">
        <v>709909</v>
      </c>
      <c r="G186" t="s">
        <v>148</v>
      </c>
      <c r="H186" t="s">
        <v>148</v>
      </c>
      <c r="I186" t="s">
        <v>44</v>
      </c>
      <c r="J186" t="s">
        <v>29</v>
      </c>
      <c r="K186">
        <v>5</v>
      </c>
      <c r="L186">
        <v>75900</v>
      </c>
      <c r="M186" s="17">
        <f t="shared" si="33"/>
        <v>15180</v>
      </c>
      <c r="O186" s="17">
        <f t="shared" si="30"/>
        <v>19734</v>
      </c>
      <c r="P186" s="17">
        <v>0</v>
      </c>
      <c r="Q186" s="18">
        <v>0.25</v>
      </c>
      <c r="R186" s="17">
        <v>0</v>
      </c>
      <c r="S186" s="19">
        <v>0</v>
      </c>
      <c r="T186" s="17">
        <f t="shared" si="34"/>
        <v>15180</v>
      </c>
      <c r="U186" s="18">
        <v>0.12</v>
      </c>
      <c r="V186" s="17">
        <f t="shared" si="31"/>
        <v>17001.599999999999</v>
      </c>
      <c r="W186" s="20">
        <f t="shared" si="32"/>
        <v>0.10714285714285707</v>
      </c>
      <c r="X186" s="17">
        <v>0</v>
      </c>
      <c r="Y186" s="18">
        <v>0.35</v>
      </c>
      <c r="Z186" s="17">
        <v>0</v>
      </c>
      <c r="AA186" s="18">
        <v>0</v>
      </c>
      <c r="AB186" s="18">
        <v>0.1</v>
      </c>
    </row>
    <row r="187" spans="1:28">
      <c r="A187">
        <v>2026</v>
      </c>
      <c r="B187" t="s">
        <v>145</v>
      </c>
      <c r="C187" t="s">
        <v>151</v>
      </c>
      <c r="D187" t="s">
        <v>152</v>
      </c>
      <c r="E187">
        <v>709904</v>
      </c>
      <c r="G187" t="s">
        <v>148</v>
      </c>
      <c r="H187" t="s">
        <v>148</v>
      </c>
      <c r="I187" t="s">
        <v>55</v>
      </c>
      <c r="J187" t="s">
        <v>29</v>
      </c>
      <c r="K187">
        <v>5</v>
      </c>
      <c r="L187">
        <v>16900</v>
      </c>
      <c r="M187" s="17">
        <f t="shared" si="33"/>
        <v>3380</v>
      </c>
      <c r="O187" s="17">
        <f t="shared" si="30"/>
        <v>4394</v>
      </c>
      <c r="P187" s="17">
        <v>0</v>
      </c>
      <c r="Q187" s="18">
        <v>0.1</v>
      </c>
      <c r="R187" s="17">
        <v>0</v>
      </c>
      <c r="S187" s="19">
        <v>0</v>
      </c>
      <c r="T187" s="17">
        <f t="shared" si="34"/>
        <v>3380</v>
      </c>
      <c r="U187" s="18">
        <v>0.25</v>
      </c>
      <c r="V187" s="17">
        <f t="shared" si="31"/>
        <v>4225</v>
      </c>
      <c r="W187" s="20">
        <f t="shared" si="32"/>
        <v>0.2</v>
      </c>
      <c r="X187" s="17">
        <v>0</v>
      </c>
      <c r="Y187" s="18">
        <v>0.12</v>
      </c>
      <c r="Z187" s="17">
        <v>0</v>
      </c>
      <c r="AA187" s="18">
        <v>0</v>
      </c>
      <c r="AB187" s="18">
        <v>0.1</v>
      </c>
    </row>
    <row r="188" spans="1:28">
      <c r="A188">
        <v>2026</v>
      </c>
      <c r="B188" t="s">
        <v>145</v>
      </c>
      <c r="C188" t="s">
        <v>151</v>
      </c>
      <c r="D188" t="s">
        <v>152</v>
      </c>
      <c r="E188">
        <v>603421</v>
      </c>
      <c r="G188" t="s">
        <v>148</v>
      </c>
      <c r="H188" t="s">
        <v>148</v>
      </c>
      <c r="I188" t="s">
        <v>55</v>
      </c>
      <c r="J188" t="s">
        <v>29</v>
      </c>
      <c r="K188">
        <v>5</v>
      </c>
      <c r="L188">
        <v>21900</v>
      </c>
      <c r="M188" s="17">
        <f t="shared" si="33"/>
        <v>4380</v>
      </c>
      <c r="O188" s="17">
        <f t="shared" si="30"/>
        <v>5694</v>
      </c>
      <c r="P188" s="17">
        <v>0</v>
      </c>
      <c r="Q188" s="18">
        <v>0.35</v>
      </c>
      <c r="R188" s="17">
        <v>0</v>
      </c>
      <c r="S188" s="19">
        <v>0</v>
      </c>
      <c r="T188" s="17">
        <f t="shared" si="34"/>
        <v>4380</v>
      </c>
      <c r="U188" s="18">
        <v>0.1</v>
      </c>
      <c r="V188" s="17">
        <f t="shared" si="31"/>
        <v>4818</v>
      </c>
      <c r="W188" s="20">
        <f t="shared" si="32"/>
        <v>9.0909090909090912E-2</v>
      </c>
      <c r="X188" s="17">
        <v>0</v>
      </c>
      <c r="Y188" s="18">
        <v>0.22</v>
      </c>
      <c r="Z188" s="17">
        <v>0</v>
      </c>
      <c r="AA188" s="18">
        <v>0</v>
      </c>
      <c r="AB188" s="18">
        <v>0.1</v>
      </c>
    </row>
    <row r="189" spans="1:28">
      <c r="A189">
        <v>2026</v>
      </c>
      <c r="B189" t="s">
        <v>145</v>
      </c>
      <c r="C189" t="s">
        <v>151</v>
      </c>
      <c r="D189" t="s">
        <v>152</v>
      </c>
      <c r="E189">
        <v>603422</v>
      </c>
      <c r="G189" t="s">
        <v>148</v>
      </c>
      <c r="H189" t="s">
        <v>148</v>
      </c>
      <c r="I189" t="s">
        <v>60</v>
      </c>
      <c r="J189" t="s">
        <v>29</v>
      </c>
      <c r="K189">
        <v>5</v>
      </c>
      <c r="L189">
        <v>38600</v>
      </c>
      <c r="M189" s="17">
        <f t="shared" si="33"/>
        <v>7720</v>
      </c>
      <c r="O189" s="17">
        <f t="shared" si="30"/>
        <v>10036</v>
      </c>
      <c r="P189" s="17">
        <v>0</v>
      </c>
      <c r="Q189" s="18">
        <v>0.33</v>
      </c>
      <c r="R189" s="17">
        <v>0</v>
      </c>
      <c r="S189" s="19">
        <v>0</v>
      </c>
      <c r="T189" s="17">
        <f t="shared" si="34"/>
        <v>7720</v>
      </c>
      <c r="U189" s="18">
        <v>0.12</v>
      </c>
      <c r="V189" s="17">
        <f t="shared" si="31"/>
        <v>8646.4</v>
      </c>
      <c r="W189" s="20">
        <f t="shared" si="32"/>
        <v>0.10714285714285711</v>
      </c>
      <c r="X189" s="17">
        <v>0</v>
      </c>
      <c r="Y189" s="18">
        <v>0.12</v>
      </c>
      <c r="Z189" s="17">
        <v>0</v>
      </c>
      <c r="AA189" s="18">
        <v>0</v>
      </c>
      <c r="AB189" s="18">
        <v>0.1</v>
      </c>
    </row>
    <row r="190" spans="1:28">
      <c r="A190">
        <v>2026</v>
      </c>
      <c r="B190" t="s">
        <v>145</v>
      </c>
      <c r="C190" t="s">
        <v>151</v>
      </c>
      <c r="D190" t="s">
        <v>152</v>
      </c>
      <c r="E190">
        <v>603423</v>
      </c>
      <c r="G190" t="s">
        <v>148</v>
      </c>
      <c r="H190" t="s">
        <v>148</v>
      </c>
      <c r="I190" t="s">
        <v>60</v>
      </c>
      <c r="J190" t="s">
        <v>29</v>
      </c>
      <c r="K190">
        <v>5</v>
      </c>
      <c r="L190">
        <v>107200</v>
      </c>
      <c r="M190" s="17">
        <f t="shared" si="33"/>
        <v>21440</v>
      </c>
      <c r="O190" s="17">
        <f t="shared" si="30"/>
        <v>27872</v>
      </c>
      <c r="P190" s="17">
        <v>0</v>
      </c>
      <c r="Q190" s="18">
        <v>0.31</v>
      </c>
      <c r="R190" s="17">
        <v>0</v>
      </c>
      <c r="S190" s="19">
        <v>0</v>
      </c>
      <c r="T190" s="17">
        <f t="shared" si="34"/>
        <v>21440</v>
      </c>
      <c r="U190" s="18">
        <v>0.15</v>
      </c>
      <c r="V190" s="17">
        <f t="shared" si="31"/>
        <v>24656</v>
      </c>
      <c r="W190" s="20">
        <f t="shared" si="32"/>
        <v>0.13043478260869565</v>
      </c>
      <c r="X190" s="17">
        <v>0</v>
      </c>
      <c r="Y190" s="18">
        <v>0.15</v>
      </c>
      <c r="Z190" s="17">
        <v>0</v>
      </c>
      <c r="AA190" s="18">
        <v>0</v>
      </c>
      <c r="AB190" s="18">
        <v>0.1</v>
      </c>
    </row>
    <row r="191" spans="1:28">
      <c r="A191">
        <v>2026</v>
      </c>
      <c r="B191" t="s">
        <v>145</v>
      </c>
      <c r="C191" t="s">
        <v>151</v>
      </c>
      <c r="D191" t="s">
        <v>152</v>
      </c>
      <c r="E191">
        <v>603420</v>
      </c>
      <c r="G191" t="s">
        <v>148</v>
      </c>
      <c r="H191" t="s">
        <v>148</v>
      </c>
      <c r="I191" t="s">
        <v>60</v>
      </c>
      <c r="J191" t="s">
        <v>29</v>
      </c>
      <c r="K191">
        <v>5</v>
      </c>
      <c r="L191">
        <v>114900</v>
      </c>
      <c r="M191" s="17">
        <f t="shared" si="33"/>
        <v>22980</v>
      </c>
      <c r="O191" s="17">
        <f t="shared" si="30"/>
        <v>29874</v>
      </c>
      <c r="P191" s="17">
        <v>0</v>
      </c>
      <c r="Q191" s="18">
        <v>0.3</v>
      </c>
      <c r="R191" s="17">
        <v>0</v>
      </c>
      <c r="S191" s="19">
        <v>0</v>
      </c>
      <c r="T191" s="17">
        <f t="shared" si="34"/>
        <v>22980</v>
      </c>
      <c r="U191" s="18">
        <v>0.18</v>
      </c>
      <c r="V191" s="17">
        <f t="shared" si="31"/>
        <v>27116.400000000001</v>
      </c>
      <c r="W191" s="20">
        <f t="shared" si="32"/>
        <v>0.15254237288135597</v>
      </c>
      <c r="X191" s="17">
        <v>0</v>
      </c>
      <c r="Y191" s="18">
        <v>0.18</v>
      </c>
      <c r="Z191" s="17">
        <v>0</v>
      </c>
      <c r="AA191" s="18">
        <v>0</v>
      </c>
      <c r="AB191" s="18">
        <v>0.1</v>
      </c>
    </row>
    <row r="192" spans="1:28">
      <c r="A192">
        <v>2026</v>
      </c>
      <c r="B192" t="s">
        <v>145</v>
      </c>
      <c r="C192" t="s">
        <v>151</v>
      </c>
      <c r="D192" t="s">
        <v>152</v>
      </c>
      <c r="E192">
        <v>603424</v>
      </c>
      <c r="G192" t="s">
        <v>148</v>
      </c>
      <c r="H192" t="s">
        <v>148</v>
      </c>
      <c r="I192" t="s">
        <v>60</v>
      </c>
      <c r="J192" t="s">
        <v>29</v>
      </c>
      <c r="K192">
        <v>5</v>
      </c>
      <c r="L192">
        <v>129400</v>
      </c>
      <c r="M192" s="17">
        <f t="shared" si="33"/>
        <v>25880</v>
      </c>
      <c r="O192" s="17">
        <f t="shared" si="30"/>
        <v>33644</v>
      </c>
      <c r="P192" s="17">
        <v>0</v>
      </c>
      <c r="Q192" s="18">
        <v>0.28000000000000003</v>
      </c>
      <c r="R192" s="17">
        <v>0</v>
      </c>
      <c r="S192" s="19">
        <v>0</v>
      </c>
      <c r="T192" s="17">
        <f t="shared" si="34"/>
        <v>25880</v>
      </c>
      <c r="U192" s="18">
        <v>0.28999999999999998</v>
      </c>
      <c r="V192" s="17">
        <f t="shared" si="31"/>
        <v>33385.199999999997</v>
      </c>
      <c r="W192" s="20">
        <f t="shared" si="32"/>
        <v>0.22480620155038752</v>
      </c>
      <c r="X192" s="17">
        <v>0</v>
      </c>
      <c r="Y192" s="18">
        <v>0.28999999999999998</v>
      </c>
      <c r="Z192" s="17">
        <v>0</v>
      </c>
      <c r="AA192" s="18">
        <v>0</v>
      </c>
      <c r="AB192" s="18">
        <v>0.1</v>
      </c>
    </row>
    <row r="193" spans="1:28">
      <c r="A193">
        <v>2026</v>
      </c>
      <c r="B193" t="s">
        <v>145</v>
      </c>
      <c r="C193" t="s">
        <v>151</v>
      </c>
      <c r="D193" t="s">
        <v>152</v>
      </c>
      <c r="E193">
        <v>583300</v>
      </c>
      <c r="G193" t="s">
        <v>148</v>
      </c>
      <c r="H193" t="s">
        <v>148</v>
      </c>
      <c r="I193" t="s">
        <v>72</v>
      </c>
      <c r="J193" t="s">
        <v>29</v>
      </c>
      <c r="K193">
        <v>5</v>
      </c>
      <c r="L193">
        <v>49000</v>
      </c>
      <c r="M193" s="17">
        <f t="shared" si="33"/>
        <v>9800</v>
      </c>
      <c r="O193" s="17">
        <f t="shared" si="30"/>
        <v>12740</v>
      </c>
      <c r="P193" s="17">
        <v>0</v>
      </c>
      <c r="Q193" s="18">
        <v>0.27</v>
      </c>
      <c r="R193" s="17">
        <v>0</v>
      </c>
      <c r="S193" s="19">
        <v>0</v>
      </c>
      <c r="T193" s="17">
        <f t="shared" si="34"/>
        <v>9800</v>
      </c>
      <c r="U193" s="18">
        <v>0.34</v>
      </c>
      <c r="V193" s="17">
        <f t="shared" si="31"/>
        <v>13132</v>
      </c>
      <c r="W193" s="20">
        <f t="shared" si="32"/>
        <v>0.2537313432835821</v>
      </c>
      <c r="X193" s="17">
        <v>0</v>
      </c>
      <c r="Y193" s="18">
        <v>0.34</v>
      </c>
      <c r="Z193" s="17">
        <v>0</v>
      </c>
      <c r="AA193" s="18">
        <v>0</v>
      </c>
      <c r="AB193" s="18">
        <v>0.1</v>
      </c>
    </row>
    <row r="194" spans="1:28">
      <c r="A194">
        <v>2026</v>
      </c>
      <c r="B194" t="s">
        <v>145</v>
      </c>
      <c r="C194" t="s">
        <v>151</v>
      </c>
      <c r="D194" t="s">
        <v>152</v>
      </c>
      <c r="E194">
        <v>583400</v>
      </c>
      <c r="G194" t="s">
        <v>148</v>
      </c>
      <c r="H194" t="s">
        <v>148</v>
      </c>
      <c r="I194" t="s">
        <v>75</v>
      </c>
      <c r="J194" t="s">
        <v>53</v>
      </c>
      <c r="K194">
        <v>2</v>
      </c>
      <c r="L194">
        <v>386300</v>
      </c>
      <c r="M194" s="17">
        <f t="shared" si="33"/>
        <v>193150</v>
      </c>
      <c r="O194" s="17">
        <f t="shared" si="30"/>
        <v>251095</v>
      </c>
      <c r="P194" s="17">
        <v>0</v>
      </c>
      <c r="Q194" s="18">
        <v>0.17</v>
      </c>
      <c r="R194" s="17">
        <v>0</v>
      </c>
      <c r="S194" s="19">
        <v>0</v>
      </c>
      <c r="T194" s="17">
        <f t="shared" si="34"/>
        <v>193150</v>
      </c>
      <c r="U194" s="18">
        <v>0.25</v>
      </c>
      <c r="V194" s="17">
        <f t="shared" si="31"/>
        <v>241437.5</v>
      </c>
      <c r="W194" s="20">
        <f t="shared" si="32"/>
        <v>0.2</v>
      </c>
      <c r="X194" s="17">
        <v>0</v>
      </c>
      <c r="Y194" s="18">
        <v>0.25</v>
      </c>
      <c r="Z194" s="17">
        <v>0</v>
      </c>
      <c r="AA194" s="18">
        <v>0</v>
      </c>
      <c r="AB194" s="18">
        <v>0.1</v>
      </c>
    </row>
    <row r="195" spans="1:28">
      <c r="A195">
        <v>2026</v>
      </c>
      <c r="B195" t="s">
        <v>145</v>
      </c>
      <c r="C195" t="s">
        <v>151</v>
      </c>
      <c r="D195" t="s">
        <v>152</v>
      </c>
      <c r="E195">
        <v>583500</v>
      </c>
      <c r="G195" t="s">
        <v>148</v>
      </c>
      <c r="H195" t="s">
        <v>148</v>
      </c>
      <c r="I195" t="s">
        <v>78</v>
      </c>
      <c r="J195" t="s">
        <v>22</v>
      </c>
      <c r="K195">
        <v>10</v>
      </c>
      <c r="L195">
        <v>38000</v>
      </c>
      <c r="M195" s="17">
        <f t="shared" si="33"/>
        <v>3800</v>
      </c>
      <c r="O195" s="17">
        <f t="shared" si="30"/>
        <v>4940</v>
      </c>
      <c r="P195" s="17">
        <v>0</v>
      </c>
      <c r="Q195" s="18">
        <v>0.22</v>
      </c>
      <c r="R195" s="17">
        <v>0</v>
      </c>
      <c r="S195" s="19">
        <v>0</v>
      </c>
      <c r="T195" s="17">
        <f t="shared" si="34"/>
        <v>3800</v>
      </c>
      <c r="U195" s="18">
        <v>0.35</v>
      </c>
      <c r="V195" s="17">
        <f t="shared" si="31"/>
        <v>5130</v>
      </c>
      <c r="W195" s="20">
        <f t="shared" si="32"/>
        <v>0.25925925925925924</v>
      </c>
      <c r="X195" s="17">
        <v>0</v>
      </c>
      <c r="Y195" s="18">
        <v>0.35</v>
      </c>
      <c r="Z195" s="17">
        <v>0</v>
      </c>
      <c r="AA195" s="18">
        <v>0</v>
      </c>
      <c r="AB195" s="18">
        <v>0.1</v>
      </c>
    </row>
    <row r="196" spans="1:28">
      <c r="A196">
        <v>2026</v>
      </c>
      <c r="B196" t="s">
        <v>145</v>
      </c>
      <c r="C196" t="s">
        <v>151</v>
      </c>
      <c r="D196" t="s">
        <v>152</v>
      </c>
      <c r="E196">
        <v>595200</v>
      </c>
      <c r="G196" t="s">
        <v>148</v>
      </c>
      <c r="H196" t="s">
        <v>148</v>
      </c>
      <c r="I196" t="s">
        <v>78</v>
      </c>
      <c r="J196" t="s">
        <v>22</v>
      </c>
      <c r="K196">
        <v>10</v>
      </c>
      <c r="L196">
        <v>39800</v>
      </c>
      <c r="M196" s="17">
        <f t="shared" si="33"/>
        <v>3980</v>
      </c>
      <c r="O196" s="17">
        <f t="shared" si="30"/>
        <v>5174</v>
      </c>
      <c r="P196" s="17">
        <v>0</v>
      </c>
      <c r="Q196" s="18">
        <v>0.12</v>
      </c>
      <c r="R196" s="17">
        <v>0</v>
      </c>
      <c r="S196" s="19">
        <v>0</v>
      </c>
      <c r="T196" s="17">
        <f t="shared" si="34"/>
        <v>3980</v>
      </c>
      <c r="U196" s="18">
        <v>0.12</v>
      </c>
      <c r="V196" s="17">
        <f t="shared" si="31"/>
        <v>4457.6000000000004</v>
      </c>
      <c r="W196" s="20">
        <f t="shared" si="32"/>
        <v>0.10714285714285722</v>
      </c>
      <c r="X196" s="17">
        <v>0</v>
      </c>
      <c r="Y196" s="18">
        <v>0.12</v>
      </c>
      <c r="Z196" s="17">
        <v>0</v>
      </c>
      <c r="AA196" s="18">
        <v>0</v>
      </c>
      <c r="AB196" s="18">
        <v>0.1</v>
      </c>
    </row>
    <row r="197" spans="1:28">
      <c r="A197">
        <v>2026</v>
      </c>
      <c r="B197" t="s">
        <v>145</v>
      </c>
      <c r="C197" t="s">
        <v>151</v>
      </c>
      <c r="D197" t="s">
        <v>152</v>
      </c>
      <c r="E197">
        <v>595300</v>
      </c>
      <c r="G197" t="s">
        <v>148</v>
      </c>
      <c r="H197" t="s">
        <v>148</v>
      </c>
      <c r="I197" t="s">
        <v>78</v>
      </c>
      <c r="J197" t="s">
        <v>22</v>
      </c>
      <c r="K197">
        <v>10</v>
      </c>
      <c r="L197">
        <v>42200</v>
      </c>
      <c r="M197" s="17">
        <f t="shared" si="33"/>
        <v>4220</v>
      </c>
      <c r="O197" s="17">
        <f t="shared" si="30"/>
        <v>5486</v>
      </c>
      <c r="P197" s="17">
        <v>0</v>
      </c>
      <c r="Q197" s="18">
        <v>0.15</v>
      </c>
      <c r="R197" s="17">
        <v>0</v>
      </c>
      <c r="S197" s="19">
        <v>0</v>
      </c>
      <c r="T197" s="17">
        <f t="shared" si="34"/>
        <v>4220</v>
      </c>
      <c r="U197" s="18">
        <v>0.25</v>
      </c>
      <c r="V197" s="17">
        <f t="shared" si="31"/>
        <v>5275</v>
      </c>
      <c r="W197" s="20">
        <f t="shared" si="32"/>
        <v>0.2</v>
      </c>
      <c r="X197" s="17">
        <v>0</v>
      </c>
      <c r="Y197" s="18">
        <v>0.25</v>
      </c>
      <c r="Z197" s="17">
        <v>0</v>
      </c>
      <c r="AA197" s="18">
        <v>0</v>
      </c>
      <c r="AB197" s="18">
        <v>0.1</v>
      </c>
    </row>
    <row r="198" spans="1:28">
      <c r="A198">
        <v>2026</v>
      </c>
      <c r="B198" t="s">
        <v>145</v>
      </c>
      <c r="C198" t="s">
        <v>151</v>
      </c>
      <c r="D198" t="s">
        <v>152</v>
      </c>
      <c r="E198">
        <v>595400</v>
      </c>
      <c r="G198" t="s">
        <v>148</v>
      </c>
      <c r="H198" t="s">
        <v>148</v>
      </c>
      <c r="I198" t="s">
        <v>78</v>
      </c>
      <c r="J198" t="s">
        <v>22</v>
      </c>
      <c r="K198">
        <v>10</v>
      </c>
      <c r="L198">
        <v>51600</v>
      </c>
      <c r="M198" s="17">
        <f t="shared" si="33"/>
        <v>5160</v>
      </c>
      <c r="O198" s="17">
        <f t="shared" si="30"/>
        <v>6708</v>
      </c>
      <c r="P198" s="17">
        <v>0</v>
      </c>
      <c r="Q198" s="18">
        <v>0.18</v>
      </c>
      <c r="R198" s="17">
        <v>0</v>
      </c>
      <c r="S198" s="19">
        <v>0</v>
      </c>
      <c r="T198" s="17">
        <f t="shared" si="34"/>
        <v>5160</v>
      </c>
      <c r="U198" s="18">
        <v>0.1</v>
      </c>
      <c r="V198" s="17">
        <f t="shared" si="31"/>
        <v>5676</v>
      </c>
      <c r="W198" s="20">
        <f t="shared" si="32"/>
        <v>9.0909090909090912E-2</v>
      </c>
      <c r="X198" s="17">
        <v>0</v>
      </c>
      <c r="Y198" s="18">
        <v>0.1</v>
      </c>
      <c r="Z198" s="17">
        <v>0</v>
      </c>
      <c r="AA198" s="18">
        <v>0</v>
      </c>
      <c r="AB198" s="18">
        <v>0.1</v>
      </c>
    </row>
    <row r="199" spans="1:28">
      <c r="A199">
        <v>2026</v>
      </c>
      <c r="B199" t="s">
        <v>145</v>
      </c>
      <c r="C199" t="s">
        <v>151</v>
      </c>
      <c r="D199" t="s">
        <v>152</v>
      </c>
      <c r="E199">
        <v>595600</v>
      </c>
      <c r="G199" t="s">
        <v>148</v>
      </c>
      <c r="H199" t="s">
        <v>148</v>
      </c>
      <c r="I199" t="s">
        <v>95</v>
      </c>
      <c r="J199" t="s">
        <v>12</v>
      </c>
      <c r="K199">
        <v>1</v>
      </c>
      <c r="L199">
        <v>43500</v>
      </c>
      <c r="M199" s="17">
        <f t="shared" si="33"/>
        <v>43500</v>
      </c>
      <c r="O199" s="17">
        <f t="shared" si="30"/>
        <v>56550</v>
      </c>
      <c r="P199" s="17">
        <v>0</v>
      </c>
      <c r="Q199" s="18">
        <v>0.28999999999999998</v>
      </c>
      <c r="R199" s="17">
        <v>0</v>
      </c>
      <c r="S199" s="19">
        <v>0</v>
      </c>
      <c r="T199" s="17">
        <f t="shared" si="34"/>
        <v>43500</v>
      </c>
      <c r="U199" s="18">
        <v>0.35</v>
      </c>
      <c r="V199" s="17">
        <f t="shared" si="31"/>
        <v>58725</v>
      </c>
      <c r="W199" s="20">
        <f t="shared" si="32"/>
        <v>0.25925925925925924</v>
      </c>
      <c r="X199" s="17">
        <v>0</v>
      </c>
      <c r="Y199" s="18">
        <v>0.35</v>
      </c>
      <c r="Z199" s="17">
        <v>0</v>
      </c>
      <c r="AA199" s="18">
        <v>0</v>
      </c>
      <c r="AB199" s="18">
        <v>0.1</v>
      </c>
    </row>
    <row r="200" spans="1:28">
      <c r="A200">
        <v>2026</v>
      </c>
      <c r="B200" t="s">
        <v>145</v>
      </c>
      <c r="C200" t="s">
        <v>151</v>
      </c>
      <c r="D200" t="s">
        <v>152</v>
      </c>
      <c r="E200">
        <v>581011</v>
      </c>
      <c r="G200" t="s">
        <v>148</v>
      </c>
      <c r="H200" t="s">
        <v>148</v>
      </c>
      <c r="I200" t="s">
        <v>100</v>
      </c>
      <c r="J200" t="s">
        <v>12</v>
      </c>
      <c r="K200">
        <v>1</v>
      </c>
      <c r="L200">
        <v>89500</v>
      </c>
      <c r="M200" s="17">
        <f t="shared" si="33"/>
        <v>89500</v>
      </c>
      <c r="O200" s="17">
        <f t="shared" si="30"/>
        <v>116350</v>
      </c>
      <c r="P200" s="17">
        <v>0</v>
      </c>
      <c r="Q200" s="18">
        <v>0.34</v>
      </c>
      <c r="R200" s="17">
        <v>0</v>
      </c>
      <c r="S200" s="19">
        <v>0</v>
      </c>
      <c r="T200" s="17">
        <f t="shared" si="34"/>
        <v>89500</v>
      </c>
      <c r="U200" s="18">
        <v>0.33</v>
      </c>
      <c r="V200" s="17">
        <f t="shared" si="31"/>
        <v>119035</v>
      </c>
      <c r="W200" s="20">
        <f t="shared" si="32"/>
        <v>0.24812030075187969</v>
      </c>
      <c r="X200" s="17">
        <v>0</v>
      </c>
      <c r="Y200" s="18">
        <v>0.33</v>
      </c>
      <c r="Z200" s="17">
        <v>0</v>
      </c>
      <c r="AA200" s="18">
        <v>0</v>
      </c>
      <c r="AB200" s="18">
        <v>0.1</v>
      </c>
    </row>
    <row r="201" spans="1:28">
      <c r="A201">
        <v>2026</v>
      </c>
      <c r="B201" t="s">
        <v>145</v>
      </c>
      <c r="C201" t="s">
        <v>151</v>
      </c>
      <c r="D201" t="s">
        <v>152</v>
      </c>
      <c r="E201">
        <v>581100</v>
      </c>
      <c r="G201" t="s">
        <v>148</v>
      </c>
      <c r="H201" t="s">
        <v>148</v>
      </c>
      <c r="I201" t="s">
        <v>100</v>
      </c>
      <c r="J201" t="s">
        <v>12</v>
      </c>
      <c r="K201">
        <v>1</v>
      </c>
      <c r="L201">
        <v>67900</v>
      </c>
      <c r="M201" s="17">
        <f t="shared" si="33"/>
        <v>67900</v>
      </c>
      <c r="O201" s="17">
        <f t="shared" si="30"/>
        <v>88270</v>
      </c>
      <c r="P201" s="17">
        <v>0</v>
      </c>
      <c r="Q201" s="18">
        <v>0.25</v>
      </c>
      <c r="R201" s="17">
        <v>0</v>
      </c>
      <c r="S201" s="19">
        <v>0</v>
      </c>
      <c r="T201" s="17">
        <f t="shared" si="34"/>
        <v>67900</v>
      </c>
      <c r="U201" s="18">
        <v>0.31</v>
      </c>
      <c r="V201" s="17">
        <f t="shared" si="31"/>
        <v>88949</v>
      </c>
      <c r="W201" s="20">
        <f t="shared" si="32"/>
        <v>0.23664122137404581</v>
      </c>
      <c r="X201" s="17">
        <v>0</v>
      </c>
      <c r="Y201" s="18">
        <v>0.31</v>
      </c>
      <c r="Z201" s="17">
        <v>0</v>
      </c>
      <c r="AA201" s="18">
        <v>0</v>
      </c>
      <c r="AB201" s="18">
        <v>0.1</v>
      </c>
    </row>
    <row r="202" spans="1:28">
      <c r="A202">
        <v>2026</v>
      </c>
      <c r="B202" t="s">
        <v>145</v>
      </c>
      <c r="C202" t="s">
        <v>151</v>
      </c>
      <c r="D202" t="s">
        <v>152</v>
      </c>
      <c r="E202">
        <v>581200</v>
      </c>
      <c r="G202" t="s">
        <v>148</v>
      </c>
      <c r="H202" t="s">
        <v>148</v>
      </c>
      <c r="I202" t="s">
        <v>100</v>
      </c>
      <c r="J202" t="s">
        <v>12</v>
      </c>
      <c r="K202">
        <v>1</v>
      </c>
      <c r="L202">
        <v>50300</v>
      </c>
      <c r="M202" s="17">
        <f t="shared" si="33"/>
        <v>50300</v>
      </c>
      <c r="O202" s="17">
        <f t="shared" si="30"/>
        <v>65390</v>
      </c>
      <c r="P202" s="17">
        <v>0</v>
      </c>
      <c r="Q202" s="18">
        <v>0.35</v>
      </c>
      <c r="R202" s="17">
        <v>0</v>
      </c>
      <c r="S202" s="19">
        <v>0</v>
      </c>
      <c r="T202" s="17">
        <f t="shared" si="34"/>
        <v>50300</v>
      </c>
      <c r="U202" s="18">
        <v>0.3</v>
      </c>
      <c r="V202" s="17">
        <f t="shared" si="31"/>
        <v>65390</v>
      </c>
      <c r="W202" s="20">
        <f t="shared" si="32"/>
        <v>0.23076923076923078</v>
      </c>
      <c r="X202" s="17">
        <v>0</v>
      </c>
      <c r="Y202" s="18">
        <v>0.3</v>
      </c>
      <c r="Z202" s="17">
        <v>0</v>
      </c>
      <c r="AA202" s="18">
        <v>0</v>
      </c>
      <c r="AB202" s="18">
        <v>0.1</v>
      </c>
    </row>
    <row r="203" spans="1:28">
      <c r="A203">
        <v>2026</v>
      </c>
      <c r="B203" t="s">
        <v>145</v>
      </c>
      <c r="C203" t="s">
        <v>151</v>
      </c>
      <c r="D203" t="s">
        <v>152</v>
      </c>
      <c r="E203">
        <v>581300</v>
      </c>
      <c r="G203" t="s">
        <v>148</v>
      </c>
      <c r="H203" t="s">
        <v>148</v>
      </c>
      <c r="I203" t="s">
        <v>100</v>
      </c>
      <c r="J203" t="s">
        <v>12</v>
      </c>
      <c r="K203">
        <v>1</v>
      </c>
      <c r="L203">
        <v>53300</v>
      </c>
      <c r="M203" s="17">
        <f t="shared" si="33"/>
        <v>53300</v>
      </c>
      <c r="O203" s="17">
        <f t="shared" si="30"/>
        <v>69290</v>
      </c>
      <c r="P203" s="17">
        <v>0</v>
      </c>
      <c r="Q203" s="18">
        <v>0.12</v>
      </c>
      <c r="R203" s="17">
        <v>0</v>
      </c>
      <c r="S203" s="19">
        <v>0</v>
      </c>
      <c r="T203" s="17">
        <f t="shared" si="34"/>
        <v>53300</v>
      </c>
      <c r="U203" s="18">
        <v>0.28000000000000003</v>
      </c>
      <c r="V203" s="17">
        <f t="shared" si="31"/>
        <v>68224</v>
      </c>
      <c r="W203" s="20">
        <f t="shared" si="32"/>
        <v>0.21875</v>
      </c>
      <c r="X203" s="17">
        <v>0</v>
      </c>
      <c r="Y203" s="18">
        <v>0.28000000000000003</v>
      </c>
      <c r="Z203" s="17">
        <v>0</v>
      </c>
      <c r="AA203" s="18">
        <v>0</v>
      </c>
      <c r="AB203" s="18">
        <v>0.1</v>
      </c>
    </row>
    <row r="204" spans="1:28" ht="15">
      <c r="A204" s="11" t="s">
        <v>117</v>
      </c>
      <c r="B204" s="11" t="s">
        <v>118</v>
      </c>
      <c r="C204" s="11" t="s">
        <v>119</v>
      </c>
      <c r="D204" s="11" t="s">
        <v>120</v>
      </c>
      <c r="E204" s="11" t="s">
        <v>121</v>
      </c>
      <c r="F204" s="11" t="s">
        <v>122</v>
      </c>
      <c r="G204" s="11" t="s">
        <v>123</v>
      </c>
      <c r="H204" s="11" t="s">
        <v>124</v>
      </c>
      <c r="I204" s="11" t="s">
        <v>125</v>
      </c>
      <c r="J204" s="11" t="s">
        <v>126</v>
      </c>
      <c r="K204" s="11" t="s">
        <v>127</v>
      </c>
      <c r="L204" s="11" t="s">
        <v>128</v>
      </c>
      <c r="M204" s="12" t="s">
        <v>129</v>
      </c>
      <c r="N204" s="11" t="s">
        <v>130</v>
      </c>
      <c r="O204" s="11" t="s">
        <v>131</v>
      </c>
      <c r="P204" s="11" t="s">
        <v>132</v>
      </c>
      <c r="Q204" s="13" t="s">
        <v>133</v>
      </c>
      <c r="R204" s="14" t="s">
        <v>134</v>
      </c>
      <c r="S204" s="15" t="s">
        <v>135</v>
      </c>
      <c r="T204" s="16" t="s">
        <v>136</v>
      </c>
      <c r="U204" s="16" t="s">
        <v>137</v>
      </c>
      <c r="V204" s="16" t="s">
        <v>138</v>
      </c>
      <c r="W204" s="13" t="s">
        <v>139</v>
      </c>
      <c r="X204" s="16" t="s">
        <v>140</v>
      </c>
      <c r="Y204" s="16" t="s">
        <v>141</v>
      </c>
      <c r="Z204" s="16" t="s">
        <v>142</v>
      </c>
      <c r="AA204" s="13" t="s">
        <v>143</v>
      </c>
      <c r="AB204" s="14" t="s">
        <v>144</v>
      </c>
    </row>
    <row r="205" spans="1:28">
      <c r="A205">
        <v>2026</v>
      </c>
      <c r="B205" t="s">
        <v>145</v>
      </c>
      <c r="C205" t="s">
        <v>151</v>
      </c>
      <c r="D205" t="s">
        <v>152</v>
      </c>
      <c r="E205">
        <v>360001</v>
      </c>
      <c r="G205" t="s">
        <v>148</v>
      </c>
      <c r="H205" t="s">
        <v>148</v>
      </c>
      <c r="I205" t="s">
        <v>9</v>
      </c>
      <c r="J205" t="s">
        <v>12</v>
      </c>
      <c r="K205">
        <v>1</v>
      </c>
      <c r="L205">
        <v>893800</v>
      </c>
      <c r="M205" s="17">
        <f>L205/K205</f>
        <v>893800</v>
      </c>
      <c r="O205" s="17">
        <f t="shared" ref="O205:O232" si="35">M205+(M205*30%)</f>
        <v>1161940</v>
      </c>
      <c r="P205" s="17">
        <v>0</v>
      </c>
      <c r="Q205" s="18">
        <v>0.17</v>
      </c>
      <c r="R205" s="17">
        <v>0</v>
      </c>
      <c r="S205" s="19">
        <v>0</v>
      </c>
      <c r="T205" s="17">
        <f>IF(C205="Mediana Complejidad",M205,0)</f>
        <v>893800</v>
      </c>
      <c r="U205" s="18">
        <v>0.27</v>
      </c>
      <c r="V205" s="17">
        <f t="shared" ref="V205:V232" si="36">T205+(T205*U205)</f>
        <v>1135126</v>
      </c>
      <c r="W205" s="20">
        <f t="shared" ref="W205:W232" si="37">IFERROR(((V205-T205)/V205),0)</f>
        <v>0.2125984251968504</v>
      </c>
      <c r="X205" s="17">
        <v>0</v>
      </c>
      <c r="Y205" s="18">
        <v>0.28000000000000003</v>
      </c>
      <c r="Z205" s="17">
        <v>0</v>
      </c>
      <c r="AA205" s="18">
        <v>0</v>
      </c>
      <c r="AB205" s="18">
        <v>0.1</v>
      </c>
    </row>
    <row r="206" spans="1:28">
      <c r="A206">
        <v>2026</v>
      </c>
      <c r="B206" t="s">
        <v>145</v>
      </c>
      <c r="C206" t="s">
        <v>151</v>
      </c>
      <c r="D206" t="s">
        <v>152</v>
      </c>
      <c r="E206">
        <v>360102</v>
      </c>
      <c r="G206" t="s">
        <v>148</v>
      </c>
      <c r="H206" t="s">
        <v>148</v>
      </c>
      <c r="I206" t="s">
        <v>19</v>
      </c>
      <c r="J206" t="s">
        <v>22</v>
      </c>
      <c r="K206">
        <v>10</v>
      </c>
      <c r="L206">
        <v>13500</v>
      </c>
      <c r="M206" s="17">
        <f t="shared" ref="M206:M232" si="38">L206/K206</f>
        <v>1350</v>
      </c>
      <c r="O206" s="17">
        <f t="shared" si="35"/>
        <v>1755</v>
      </c>
      <c r="P206" s="17">
        <v>0</v>
      </c>
      <c r="Q206" s="18">
        <v>0.22</v>
      </c>
      <c r="R206" s="17">
        <v>0</v>
      </c>
      <c r="S206" s="19">
        <v>0</v>
      </c>
      <c r="T206" s="17">
        <f t="shared" ref="T206:T232" si="39">IF(C206="Mediana Complejidad",M206,0)</f>
        <v>1350</v>
      </c>
      <c r="U206" s="18">
        <v>0.17</v>
      </c>
      <c r="V206" s="17">
        <f t="shared" si="36"/>
        <v>1579.5</v>
      </c>
      <c r="W206" s="20">
        <f t="shared" si="37"/>
        <v>0.14529914529914531</v>
      </c>
      <c r="X206" s="17">
        <v>0</v>
      </c>
      <c r="Y206" s="18">
        <v>0.27</v>
      </c>
      <c r="Z206" s="17">
        <v>0</v>
      </c>
      <c r="AA206" s="18">
        <v>0</v>
      </c>
      <c r="AB206" s="18">
        <v>0.1</v>
      </c>
    </row>
    <row r="207" spans="1:28">
      <c r="A207">
        <v>2026</v>
      </c>
      <c r="B207" t="s">
        <v>145</v>
      </c>
      <c r="C207" t="s">
        <v>151</v>
      </c>
      <c r="D207" t="s">
        <v>152</v>
      </c>
      <c r="E207">
        <v>360104</v>
      </c>
      <c r="G207" t="s">
        <v>148</v>
      </c>
      <c r="H207" t="s">
        <v>148</v>
      </c>
      <c r="I207" t="s">
        <v>19</v>
      </c>
      <c r="J207" t="s">
        <v>22</v>
      </c>
      <c r="K207">
        <v>10</v>
      </c>
      <c r="L207">
        <v>28800</v>
      </c>
      <c r="M207" s="17">
        <f t="shared" si="38"/>
        <v>2880</v>
      </c>
      <c r="O207" s="17">
        <f t="shared" si="35"/>
        <v>3744</v>
      </c>
      <c r="P207" s="17">
        <v>0</v>
      </c>
      <c r="Q207" s="18">
        <v>0.12</v>
      </c>
      <c r="R207" s="17">
        <v>0</v>
      </c>
      <c r="S207" s="19">
        <v>0</v>
      </c>
      <c r="T207" s="17">
        <f t="shared" si="39"/>
        <v>2880</v>
      </c>
      <c r="U207" s="18">
        <v>0.22</v>
      </c>
      <c r="V207" s="17">
        <f t="shared" si="36"/>
        <v>3513.6</v>
      </c>
      <c r="W207" s="20">
        <f t="shared" si="37"/>
        <v>0.18032786885245899</v>
      </c>
      <c r="X207" s="17">
        <v>0</v>
      </c>
      <c r="Y207" s="18">
        <v>0.17</v>
      </c>
      <c r="Z207" s="17">
        <v>0</v>
      </c>
      <c r="AA207" s="18">
        <v>0</v>
      </c>
      <c r="AB207" s="18">
        <v>0.1</v>
      </c>
    </row>
    <row r="208" spans="1:28">
      <c r="A208">
        <v>2026</v>
      </c>
      <c r="B208" t="s">
        <v>145</v>
      </c>
      <c r="C208" t="s">
        <v>151</v>
      </c>
      <c r="D208" t="s">
        <v>152</v>
      </c>
      <c r="E208">
        <v>360100</v>
      </c>
      <c r="G208" t="s">
        <v>148</v>
      </c>
      <c r="H208" t="s">
        <v>148</v>
      </c>
      <c r="I208" t="s">
        <v>19</v>
      </c>
      <c r="J208" t="s">
        <v>22</v>
      </c>
      <c r="K208">
        <v>10</v>
      </c>
      <c r="L208">
        <v>63400</v>
      </c>
      <c r="M208" s="17">
        <f t="shared" si="38"/>
        <v>6340</v>
      </c>
      <c r="O208" s="17">
        <f t="shared" si="35"/>
        <v>8242</v>
      </c>
      <c r="P208" s="17">
        <v>0</v>
      </c>
      <c r="Q208" s="18">
        <v>0.15</v>
      </c>
      <c r="R208" s="17">
        <v>0</v>
      </c>
      <c r="S208" s="19">
        <v>0</v>
      </c>
      <c r="T208" s="17">
        <f t="shared" si="39"/>
        <v>6340</v>
      </c>
      <c r="U208" s="18">
        <v>0.12</v>
      </c>
      <c r="V208" s="17">
        <f t="shared" si="36"/>
        <v>7100.8</v>
      </c>
      <c r="W208" s="20">
        <f t="shared" si="37"/>
        <v>0.10714285714285716</v>
      </c>
      <c r="X208" s="17">
        <v>0</v>
      </c>
      <c r="Y208" s="18">
        <v>0.22</v>
      </c>
      <c r="Z208" s="17">
        <v>0</v>
      </c>
      <c r="AA208" s="18">
        <v>0</v>
      </c>
      <c r="AB208" s="18">
        <v>0.1</v>
      </c>
    </row>
    <row r="209" spans="1:28">
      <c r="A209">
        <v>2026</v>
      </c>
      <c r="B209" t="s">
        <v>145</v>
      </c>
      <c r="C209" t="s">
        <v>151</v>
      </c>
      <c r="D209" t="s">
        <v>152</v>
      </c>
      <c r="E209">
        <v>360150</v>
      </c>
      <c r="G209" t="s">
        <v>148</v>
      </c>
      <c r="H209" t="s">
        <v>148</v>
      </c>
      <c r="I209" t="s">
        <v>30</v>
      </c>
      <c r="J209" t="s">
        <v>22</v>
      </c>
      <c r="K209">
        <v>10</v>
      </c>
      <c r="L209">
        <v>24200</v>
      </c>
      <c r="M209" s="17">
        <f t="shared" si="38"/>
        <v>2420</v>
      </c>
      <c r="O209" s="17">
        <f t="shared" si="35"/>
        <v>3146</v>
      </c>
      <c r="P209" s="17">
        <v>0</v>
      </c>
      <c r="Q209" s="18">
        <v>0.18</v>
      </c>
      <c r="R209" s="17">
        <v>0</v>
      </c>
      <c r="S209" s="19">
        <v>0</v>
      </c>
      <c r="T209" s="17">
        <f t="shared" si="39"/>
        <v>2420</v>
      </c>
      <c r="U209" s="18">
        <v>0.15</v>
      </c>
      <c r="V209" s="17">
        <f t="shared" si="36"/>
        <v>2783</v>
      </c>
      <c r="W209" s="20">
        <f t="shared" si="37"/>
        <v>0.13043478260869565</v>
      </c>
      <c r="X209" s="17">
        <v>0</v>
      </c>
      <c r="Y209" s="18">
        <v>0.12</v>
      </c>
      <c r="Z209" s="17">
        <v>0</v>
      </c>
      <c r="AA209" s="18">
        <v>0</v>
      </c>
      <c r="AB209" s="18">
        <v>0.1</v>
      </c>
    </row>
    <row r="210" spans="1:28">
      <c r="A210">
        <v>2026</v>
      </c>
      <c r="B210" t="s">
        <v>145</v>
      </c>
      <c r="C210" t="s">
        <v>151</v>
      </c>
      <c r="D210" t="s">
        <v>152</v>
      </c>
      <c r="E210">
        <v>360101</v>
      </c>
      <c r="G210" t="s">
        <v>148</v>
      </c>
      <c r="H210" t="s">
        <v>148</v>
      </c>
      <c r="I210" t="s">
        <v>30</v>
      </c>
      <c r="J210" t="s">
        <v>22</v>
      </c>
      <c r="K210">
        <v>10</v>
      </c>
      <c r="L210">
        <v>36700</v>
      </c>
      <c r="M210" s="17">
        <f t="shared" si="38"/>
        <v>3670</v>
      </c>
      <c r="O210" s="17">
        <f t="shared" si="35"/>
        <v>4771</v>
      </c>
      <c r="P210" s="17">
        <v>0</v>
      </c>
      <c r="Q210" s="18">
        <v>0.28999999999999998</v>
      </c>
      <c r="R210" s="17">
        <v>0</v>
      </c>
      <c r="S210" s="19">
        <v>0</v>
      </c>
      <c r="T210" s="17">
        <f t="shared" si="39"/>
        <v>3670</v>
      </c>
      <c r="U210" s="18">
        <v>0.18</v>
      </c>
      <c r="V210" s="17">
        <f t="shared" si="36"/>
        <v>4330.6000000000004</v>
      </c>
      <c r="W210" s="20">
        <f t="shared" si="37"/>
        <v>0.152542372881356</v>
      </c>
      <c r="X210" s="17">
        <v>0</v>
      </c>
      <c r="Y210" s="18">
        <v>0.15</v>
      </c>
      <c r="Z210" s="17">
        <v>0</v>
      </c>
      <c r="AA210" s="18">
        <v>0</v>
      </c>
      <c r="AB210" s="18">
        <v>0.1</v>
      </c>
    </row>
    <row r="211" spans="1:28">
      <c r="A211">
        <v>2026</v>
      </c>
      <c r="B211" t="s">
        <v>145</v>
      </c>
      <c r="C211" t="s">
        <v>151</v>
      </c>
      <c r="D211" t="s">
        <v>152</v>
      </c>
      <c r="E211">
        <v>360103</v>
      </c>
      <c r="G211" t="s">
        <v>148</v>
      </c>
      <c r="H211" t="s">
        <v>148</v>
      </c>
      <c r="I211" t="s">
        <v>30</v>
      </c>
      <c r="J211" t="s">
        <v>22</v>
      </c>
      <c r="K211">
        <v>10</v>
      </c>
      <c r="L211">
        <v>91800</v>
      </c>
      <c r="M211" s="17">
        <f t="shared" si="38"/>
        <v>9180</v>
      </c>
      <c r="O211" s="17">
        <f t="shared" si="35"/>
        <v>11934</v>
      </c>
      <c r="P211" s="17">
        <v>0</v>
      </c>
      <c r="Q211" s="18">
        <v>0.34</v>
      </c>
      <c r="R211" s="17">
        <v>0</v>
      </c>
      <c r="S211" s="19">
        <v>0</v>
      </c>
      <c r="T211" s="17">
        <f t="shared" si="39"/>
        <v>9180</v>
      </c>
      <c r="U211" s="18">
        <v>0.28999999999999998</v>
      </c>
      <c r="V211" s="17">
        <f t="shared" si="36"/>
        <v>11842.2</v>
      </c>
      <c r="W211" s="20">
        <f t="shared" si="37"/>
        <v>0.22480620155038764</v>
      </c>
      <c r="X211" s="17">
        <v>0</v>
      </c>
      <c r="Y211" s="18">
        <v>0.18</v>
      </c>
      <c r="Z211" s="17">
        <v>0</v>
      </c>
      <c r="AA211" s="18">
        <v>0</v>
      </c>
      <c r="AB211" s="18">
        <v>0.1</v>
      </c>
    </row>
    <row r="212" spans="1:28">
      <c r="A212">
        <v>2026</v>
      </c>
      <c r="B212" t="s">
        <v>145</v>
      </c>
      <c r="C212" t="s">
        <v>151</v>
      </c>
      <c r="D212" t="s">
        <v>152</v>
      </c>
      <c r="E212">
        <v>709900</v>
      </c>
      <c r="G212" t="s">
        <v>148</v>
      </c>
      <c r="H212" t="s">
        <v>148</v>
      </c>
      <c r="I212" t="s">
        <v>44</v>
      </c>
      <c r="J212" t="s">
        <v>29</v>
      </c>
      <c r="K212">
        <v>5</v>
      </c>
      <c r="L212">
        <v>17300</v>
      </c>
      <c r="M212" s="17">
        <f t="shared" si="38"/>
        <v>3460</v>
      </c>
      <c r="O212" s="17">
        <f t="shared" si="35"/>
        <v>4498</v>
      </c>
      <c r="P212" s="17">
        <v>0</v>
      </c>
      <c r="Q212" s="18">
        <v>0.25</v>
      </c>
      <c r="R212" s="17">
        <v>0</v>
      </c>
      <c r="S212" s="19">
        <v>0</v>
      </c>
      <c r="T212" s="17">
        <f t="shared" si="39"/>
        <v>3460</v>
      </c>
      <c r="U212" s="18">
        <v>0.34</v>
      </c>
      <c r="V212" s="17">
        <f t="shared" si="36"/>
        <v>4636.3999999999996</v>
      </c>
      <c r="W212" s="20">
        <f t="shared" si="37"/>
        <v>0.25373134328358204</v>
      </c>
      <c r="X212" s="17">
        <v>0</v>
      </c>
      <c r="Y212" s="18">
        <v>0.28999999999999998</v>
      </c>
      <c r="Z212" s="17">
        <v>0</v>
      </c>
      <c r="AA212" s="18">
        <v>0</v>
      </c>
      <c r="AB212" s="18">
        <v>0.1</v>
      </c>
    </row>
    <row r="213" spans="1:28">
      <c r="A213">
        <v>2026</v>
      </c>
      <c r="B213" t="s">
        <v>145</v>
      </c>
      <c r="C213" t="s">
        <v>151</v>
      </c>
      <c r="D213" t="s">
        <v>152</v>
      </c>
      <c r="E213">
        <v>709902</v>
      </c>
      <c r="G213" t="s">
        <v>148</v>
      </c>
      <c r="H213" t="s">
        <v>148</v>
      </c>
      <c r="I213" t="s">
        <v>44</v>
      </c>
      <c r="J213" t="s">
        <v>29</v>
      </c>
      <c r="K213">
        <v>5</v>
      </c>
      <c r="L213">
        <v>29000</v>
      </c>
      <c r="M213" s="17">
        <f t="shared" si="38"/>
        <v>5800</v>
      </c>
      <c r="O213" s="17">
        <f t="shared" si="35"/>
        <v>7540</v>
      </c>
      <c r="P213" s="17">
        <v>0</v>
      </c>
      <c r="Q213" s="18">
        <v>0.35</v>
      </c>
      <c r="R213" s="17">
        <v>0</v>
      </c>
      <c r="S213" s="19">
        <v>0</v>
      </c>
      <c r="T213" s="17">
        <f t="shared" si="39"/>
        <v>5800</v>
      </c>
      <c r="U213" s="18">
        <v>0.25</v>
      </c>
      <c r="V213" s="17">
        <f t="shared" si="36"/>
        <v>7250</v>
      </c>
      <c r="W213" s="20">
        <f t="shared" si="37"/>
        <v>0.2</v>
      </c>
      <c r="X213" s="17">
        <v>0</v>
      </c>
      <c r="Y213" s="18">
        <v>0.34</v>
      </c>
      <c r="Z213" s="17">
        <v>0</v>
      </c>
      <c r="AA213" s="18">
        <v>0</v>
      </c>
      <c r="AB213" s="18">
        <v>0.1</v>
      </c>
    </row>
    <row r="214" spans="1:28">
      <c r="A214">
        <v>2026</v>
      </c>
      <c r="B214" t="s">
        <v>145</v>
      </c>
      <c r="C214" t="s">
        <v>151</v>
      </c>
      <c r="D214" t="s">
        <v>152</v>
      </c>
      <c r="E214">
        <v>709903</v>
      </c>
      <c r="G214" t="s">
        <v>148</v>
      </c>
      <c r="H214" t="s">
        <v>148</v>
      </c>
      <c r="I214" t="s">
        <v>44</v>
      </c>
      <c r="J214" t="s">
        <v>29</v>
      </c>
      <c r="K214">
        <v>5</v>
      </c>
      <c r="L214">
        <v>36700</v>
      </c>
      <c r="M214" s="17">
        <f t="shared" si="38"/>
        <v>7340</v>
      </c>
      <c r="O214" s="17">
        <f t="shared" si="35"/>
        <v>9542</v>
      </c>
      <c r="P214" s="17">
        <v>0</v>
      </c>
      <c r="Q214" s="18">
        <v>0.12</v>
      </c>
      <c r="R214" s="17">
        <v>0</v>
      </c>
      <c r="S214" s="19">
        <v>0</v>
      </c>
      <c r="T214" s="17">
        <f t="shared" si="39"/>
        <v>7340</v>
      </c>
      <c r="U214" s="18">
        <v>0.35</v>
      </c>
      <c r="V214" s="17">
        <f t="shared" si="36"/>
        <v>9909</v>
      </c>
      <c r="W214" s="20">
        <f t="shared" si="37"/>
        <v>0.25925925925925924</v>
      </c>
      <c r="X214" s="17">
        <v>0</v>
      </c>
      <c r="Y214" s="18">
        <v>0.25</v>
      </c>
      <c r="Z214" s="17">
        <v>0</v>
      </c>
      <c r="AA214" s="18">
        <v>0</v>
      </c>
      <c r="AB214" s="18">
        <v>0.1</v>
      </c>
    </row>
    <row r="215" spans="1:28">
      <c r="A215">
        <v>2026</v>
      </c>
      <c r="B215" t="s">
        <v>145</v>
      </c>
      <c r="C215" t="s">
        <v>151</v>
      </c>
      <c r="D215" t="s">
        <v>152</v>
      </c>
      <c r="E215">
        <v>709909</v>
      </c>
      <c r="G215" t="s">
        <v>148</v>
      </c>
      <c r="H215" t="s">
        <v>148</v>
      </c>
      <c r="I215" t="s">
        <v>44</v>
      </c>
      <c r="J215" t="s">
        <v>29</v>
      </c>
      <c r="K215">
        <v>5</v>
      </c>
      <c r="L215">
        <v>75900</v>
      </c>
      <c r="M215" s="17">
        <f t="shared" si="38"/>
        <v>15180</v>
      </c>
      <c r="O215" s="17">
        <f t="shared" si="35"/>
        <v>19734</v>
      </c>
      <c r="P215" s="17">
        <v>0</v>
      </c>
      <c r="Q215" s="18">
        <v>0.25</v>
      </c>
      <c r="R215" s="17">
        <v>0</v>
      </c>
      <c r="S215" s="19">
        <v>0</v>
      </c>
      <c r="T215" s="17">
        <f t="shared" si="39"/>
        <v>15180</v>
      </c>
      <c r="U215" s="18">
        <v>0.12</v>
      </c>
      <c r="V215" s="17">
        <f t="shared" si="36"/>
        <v>17001.599999999999</v>
      </c>
      <c r="W215" s="20">
        <f t="shared" si="37"/>
        <v>0.10714285714285707</v>
      </c>
      <c r="X215" s="17">
        <v>0</v>
      </c>
      <c r="Y215" s="18">
        <v>0.35</v>
      </c>
      <c r="Z215" s="17">
        <v>0</v>
      </c>
      <c r="AA215" s="18">
        <v>0</v>
      </c>
      <c r="AB215" s="18">
        <v>0.1</v>
      </c>
    </row>
    <row r="216" spans="1:28">
      <c r="A216">
        <v>2026</v>
      </c>
      <c r="B216" t="s">
        <v>145</v>
      </c>
      <c r="C216" t="s">
        <v>151</v>
      </c>
      <c r="D216" t="s">
        <v>152</v>
      </c>
      <c r="E216">
        <v>709904</v>
      </c>
      <c r="G216" t="s">
        <v>148</v>
      </c>
      <c r="H216" t="s">
        <v>148</v>
      </c>
      <c r="I216" t="s">
        <v>55</v>
      </c>
      <c r="J216" t="s">
        <v>29</v>
      </c>
      <c r="K216">
        <v>5</v>
      </c>
      <c r="L216">
        <v>16900</v>
      </c>
      <c r="M216" s="17">
        <f t="shared" si="38"/>
        <v>3380</v>
      </c>
      <c r="O216" s="17">
        <f t="shared" si="35"/>
        <v>4394</v>
      </c>
      <c r="P216" s="17">
        <v>0</v>
      </c>
      <c r="Q216" s="18">
        <v>0.1</v>
      </c>
      <c r="R216" s="17">
        <v>0</v>
      </c>
      <c r="S216" s="19">
        <v>0</v>
      </c>
      <c r="T216" s="17">
        <f t="shared" si="39"/>
        <v>3380</v>
      </c>
      <c r="U216" s="18">
        <v>0.25</v>
      </c>
      <c r="V216" s="17">
        <f t="shared" si="36"/>
        <v>4225</v>
      </c>
      <c r="W216" s="20">
        <f t="shared" si="37"/>
        <v>0.2</v>
      </c>
      <c r="X216" s="17">
        <v>0</v>
      </c>
      <c r="Y216" s="18">
        <v>0.12</v>
      </c>
      <c r="Z216" s="17">
        <v>0</v>
      </c>
      <c r="AA216" s="18">
        <v>0</v>
      </c>
      <c r="AB216" s="18">
        <v>0.1</v>
      </c>
    </row>
    <row r="217" spans="1:28">
      <c r="A217">
        <v>2026</v>
      </c>
      <c r="B217" t="s">
        <v>145</v>
      </c>
      <c r="C217" t="s">
        <v>151</v>
      </c>
      <c r="D217" t="s">
        <v>152</v>
      </c>
      <c r="E217">
        <v>603421</v>
      </c>
      <c r="G217" t="s">
        <v>148</v>
      </c>
      <c r="H217" t="s">
        <v>148</v>
      </c>
      <c r="I217" t="s">
        <v>55</v>
      </c>
      <c r="J217" t="s">
        <v>29</v>
      </c>
      <c r="K217">
        <v>5</v>
      </c>
      <c r="L217">
        <v>21900</v>
      </c>
      <c r="M217" s="17">
        <f t="shared" si="38"/>
        <v>4380</v>
      </c>
      <c r="O217" s="17">
        <f t="shared" si="35"/>
        <v>5694</v>
      </c>
      <c r="P217" s="17">
        <v>0</v>
      </c>
      <c r="Q217" s="18">
        <v>0.35</v>
      </c>
      <c r="R217" s="17">
        <v>0</v>
      </c>
      <c r="S217" s="19">
        <v>0</v>
      </c>
      <c r="T217" s="17">
        <f t="shared" si="39"/>
        <v>4380</v>
      </c>
      <c r="U217" s="18">
        <v>0.1</v>
      </c>
      <c r="V217" s="17">
        <f t="shared" si="36"/>
        <v>4818</v>
      </c>
      <c r="W217" s="20">
        <f t="shared" si="37"/>
        <v>9.0909090909090912E-2</v>
      </c>
      <c r="X217" s="17">
        <v>0</v>
      </c>
      <c r="Y217" s="18">
        <v>0.22</v>
      </c>
      <c r="Z217" s="17">
        <v>0</v>
      </c>
      <c r="AA217" s="18">
        <v>0</v>
      </c>
      <c r="AB217" s="18">
        <v>0.1</v>
      </c>
    </row>
    <row r="218" spans="1:28">
      <c r="A218">
        <v>2026</v>
      </c>
      <c r="B218" t="s">
        <v>145</v>
      </c>
      <c r="C218" t="s">
        <v>151</v>
      </c>
      <c r="D218" t="s">
        <v>152</v>
      </c>
      <c r="E218">
        <v>603422</v>
      </c>
      <c r="G218" t="s">
        <v>148</v>
      </c>
      <c r="H218" t="s">
        <v>148</v>
      </c>
      <c r="I218" t="s">
        <v>60</v>
      </c>
      <c r="J218" t="s">
        <v>29</v>
      </c>
      <c r="K218">
        <v>5</v>
      </c>
      <c r="L218">
        <v>38600</v>
      </c>
      <c r="M218" s="17">
        <f t="shared" si="38"/>
        <v>7720</v>
      </c>
      <c r="O218" s="17">
        <f t="shared" si="35"/>
        <v>10036</v>
      </c>
      <c r="P218" s="17">
        <v>0</v>
      </c>
      <c r="Q218" s="18">
        <v>0.33</v>
      </c>
      <c r="R218" s="17">
        <v>0</v>
      </c>
      <c r="S218" s="19">
        <v>0</v>
      </c>
      <c r="T218" s="17">
        <f t="shared" si="39"/>
        <v>7720</v>
      </c>
      <c r="U218" s="18">
        <v>0.12</v>
      </c>
      <c r="V218" s="17">
        <f t="shared" si="36"/>
        <v>8646.4</v>
      </c>
      <c r="W218" s="20">
        <f t="shared" si="37"/>
        <v>0.10714285714285711</v>
      </c>
      <c r="X218" s="17">
        <v>0</v>
      </c>
      <c r="Y218" s="18">
        <v>0.12</v>
      </c>
      <c r="Z218" s="17">
        <v>0</v>
      </c>
      <c r="AA218" s="18">
        <v>0</v>
      </c>
      <c r="AB218" s="18">
        <v>0.1</v>
      </c>
    </row>
    <row r="219" spans="1:28">
      <c r="A219">
        <v>2026</v>
      </c>
      <c r="B219" t="s">
        <v>145</v>
      </c>
      <c r="C219" t="s">
        <v>151</v>
      </c>
      <c r="D219" t="s">
        <v>152</v>
      </c>
      <c r="E219">
        <v>603423</v>
      </c>
      <c r="G219" t="s">
        <v>148</v>
      </c>
      <c r="H219" t="s">
        <v>148</v>
      </c>
      <c r="I219" t="s">
        <v>60</v>
      </c>
      <c r="J219" t="s">
        <v>29</v>
      </c>
      <c r="K219">
        <v>5</v>
      </c>
      <c r="L219">
        <v>107200</v>
      </c>
      <c r="M219" s="17">
        <f t="shared" si="38"/>
        <v>21440</v>
      </c>
      <c r="O219" s="17">
        <f t="shared" si="35"/>
        <v>27872</v>
      </c>
      <c r="P219" s="17">
        <v>0</v>
      </c>
      <c r="Q219" s="18">
        <v>0.31</v>
      </c>
      <c r="R219" s="17">
        <v>0</v>
      </c>
      <c r="S219" s="19">
        <v>0</v>
      </c>
      <c r="T219" s="17">
        <f t="shared" si="39"/>
        <v>21440</v>
      </c>
      <c r="U219" s="18">
        <v>0.15</v>
      </c>
      <c r="V219" s="17">
        <f t="shared" si="36"/>
        <v>24656</v>
      </c>
      <c r="W219" s="20">
        <f t="shared" si="37"/>
        <v>0.13043478260869565</v>
      </c>
      <c r="X219" s="17">
        <v>0</v>
      </c>
      <c r="Y219" s="18">
        <v>0.15</v>
      </c>
      <c r="Z219" s="17">
        <v>0</v>
      </c>
      <c r="AA219" s="18">
        <v>0</v>
      </c>
      <c r="AB219" s="18">
        <v>0.1</v>
      </c>
    </row>
    <row r="220" spans="1:28">
      <c r="A220">
        <v>2026</v>
      </c>
      <c r="B220" t="s">
        <v>145</v>
      </c>
      <c r="C220" t="s">
        <v>151</v>
      </c>
      <c r="D220" t="s">
        <v>152</v>
      </c>
      <c r="E220">
        <v>603420</v>
      </c>
      <c r="G220" t="s">
        <v>148</v>
      </c>
      <c r="H220" t="s">
        <v>148</v>
      </c>
      <c r="I220" t="s">
        <v>60</v>
      </c>
      <c r="J220" t="s">
        <v>29</v>
      </c>
      <c r="K220">
        <v>5</v>
      </c>
      <c r="L220">
        <v>114900</v>
      </c>
      <c r="M220" s="17">
        <f t="shared" si="38"/>
        <v>22980</v>
      </c>
      <c r="O220" s="17">
        <f t="shared" si="35"/>
        <v>29874</v>
      </c>
      <c r="P220" s="17">
        <v>0</v>
      </c>
      <c r="Q220" s="18">
        <v>0.3</v>
      </c>
      <c r="R220" s="17">
        <v>0</v>
      </c>
      <c r="S220" s="19">
        <v>0</v>
      </c>
      <c r="T220" s="17">
        <f t="shared" si="39"/>
        <v>22980</v>
      </c>
      <c r="U220" s="18">
        <v>0.18</v>
      </c>
      <c r="V220" s="17">
        <f t="shared" si="36"/>
        <v>27116.400000000001</v>
      </c>
      <c r="W220" s="20">
        <f t="shared" si="37"/>
        <v>0.15254237288135597</v>
      </c>
      <c r="X220" s="17">
        <v>0</v>
      </c>
      <c r="Y220" s="18">
        <v>0.18</v>
      </c>
      <c r="Z220" s="17">
        <v>0</v>
      </c>
      <c r="AA220" s="18">
        <v>0</v>
      </c>
      <c r="AB220" s="18">
        <v>0.1</v>
      </c>
    </row>
    <row r="221" spans="1:28">
      <c r="A221">
        <v>2026</v>
      </c>
      <c r="B221" t="s">
        <v>145</v>
      </c>
      <c r="C221" t="s">
        <v>151</v>
      </c>
      <c r="D221" t="s">
        <v>152</v>
      </c>
      <c r="E221">
        <v>603424</v>
      </c>
      <c r="G221" t="s">
        <v>148</v>
      </c>
      <c r="H221" t="s">
        <v>148</v>
      </c>
      <c r="I221" t="s">
        <v>60</v>
      </c>
      <c r="J221" t="s">
        <v>29</v>
      </c>
      <c r="K221">
        <v>5</v>
      </c>
      <c r="L221">
        <v>129400</v>
      </c>
      <c r="M221" s="17">
        <f t="shared" si="38"/>
        <v>25880</v>
      </c>
      <c r="O221" s="17">
        <f t="shared" si="35"/>
        <v>33644</v>
      </c>
      <c r="P221" s="17">
        <v>0</v>
      </c>
      <c r="Q221" s="18">
        <v>0.28000000000000003</v>
      </c>
      <c r="R221" s="17">
        <v>0</v>
      </c>
      <c r="S221" s="19">
        <v>0</v>
      </c>
      <c r="T221" s="17">
        <f t="shared" si="39"/>
        <v>25880</v>
      </c>
      <c r="U221" s="18">
        <v>0.28999999999999998</v>
      </c>
      <c r="V221" s="17">
        <f t="shared" si="36"/>
        <v>33385.199999999997</v>
      </c>
      <c r="W221" s="20">
        <f t="shared" si="37"/>
        <v>0.22480620155038752</v>
      </c>
      <c r="X221" s="17">
        <v>0</v>
      </c>
      <c r="Y221" s="18">
        <v>0.28999999999999998</v>
      </c>
      <c r="Z221" s="17">
        <v>0</v>
      </c>
      <c r="AA221" s="18">
        <v>0</v>
      </c>
      <c r="AB221" s="18">
        <v>0.1</v>
      </c>
    </row>
    <row r="222" spans="1:28">
      <c r="A222">
        <v>2026</v>
      </c>
      <c r="B222" t="s">
        <v>145</v>
      </c>
      <c r="C222" t="s">
        <v>151</v>
      </c>
      <c r="D222" t="s">
        <v>152</v>
      </c>
      <c r="E222">
        <v>583300</v>
      </c>
      <c r="G222" t="s">
        <v>148</v>
      </c>
      <c r="H222" t="s">
        <v>148</v>
      </c>
      <c r="I222" t="s">
        <v>72</v>
      </c>
      <c r="J222" t="s">
        <v>29</v>
      </c>
      <c r="K222">
        <v>5</v>
      </c>
      <c r="L222">
        <v>49000</v>
      </c>
      <c r="M222" s="17">
        <f t="shared" si="38"/>
        <v>9800</v>
      </c>
      <c r="O222" s="17">
        <f t="shared" si="35"/>
        <v>12740</v>
      </c>
      <c r="P222" s="17">
        <v>0</v>
      </c>
      <c r="Q222" s="18">
        <v>0.27</v>
      </c>
      <c r="R222" s="17">
        <v>0</v>
      </c>
      <c r="S222" s="19">
        <v>0</v>
      </c>
      <c r="T222" s="17">
        <f t="shared" si="39"/>
        <v>9800</v>
      </c>
      <c r="U222" s="18">
        <v>0.34</v>
      </c>
      <c r="V222" s="17">
        <f t="shared" si="36"/>
        <v>13132</v>
      </c>
      <c r="W222" s="20">
        <f t="shared" si="37"/>
        <v>0.2537313432835821</v>
      </c>
      <c r="X222" s="17">
        <v>0</v>
      </c>
      <c r="Y222" s="18">
        <v>0.34</v>
      </c>
      <c r="Z222" s="17">
        <v>0</v>
      </c>
      <c r="AA222" s="18">
        <v>0</v>
      </c>
      <c r="AB222" s="18">
        <v>0.1</v>
      </c>
    </row>
    <row r="223" spans="1:28">
      <c r="A223">
        <v>2026</v>
      </c>
      <c r="B223" t="s">
        <v>145</v>
      </c>
      <c r="C223" t="s">
        <v>151</v>
      </c>
      <c r="D223" t="s">
        <v>152</v>
      </c>
      <c r="E223">
        <v>583400</v>
      </c>
      <c r="G223" t="s">
        <v>148</v>
      </c>
      <c r="H223" t="s">
        <v>148</v>
      </c>
      <c r="I223" t="s">
        <v>75</v>
      </c>
      <c r="J223" t="s">
        <v>53</v>
      </c>
      <c r="K223">
        <v>2</v>
      </c>
      <c r="L223">
        <v>386300</v>
      </c>
      <c r="M223" s="17">
        <f t="shared" si="38"/>
        <v>193150</v>
      </c>
      <c r="O223" s="17">
        <f t="shared" si="35"/>
        <v>251095</v>
      </c>
      <c r="P223" s="17">
        <v>0</v>
      </c>
      <c r="Q223" s="18">
        <v>0.17</v>
      </c>
      <c r="R223" s="17">
        <v>0</v>
      </c>
      <c r="S223" s="19">
        <v>0</v>
      </c>
      <c r="T223" s="17">
        <f t="shared" si="39"/>
        <v>193150</v>
      </c>
      <c r="U223" s="18">
        <v>0.25</v>
      </c>
      <c r="V223" s="17">
        <f t="shared" si="36"/>
        <v>241437.5</v>
      </c>
      <c r="W223" s="20">
        <f t="shared" si="37"/>
        <v>0.2</v>
      </c>
      <c r="X223" s="17">
        <v>0</v>
      </c>
      <c r="Y223" s="18">
        <v>0.25</v>
      </c>
      <c r="Z223" s="17">
        <v>0</v>
      </c>
      <c r="AA223" s="18">
        <v>0</v>
      </c>
      <c r="AB223" s="18">
        <v>0.1</v>
      </c>
    </row>
    <row r="224" spans="1:28">
      <c r="A224">
        <v>2026</v>
      </c>
      <c r="B224" t="s">
        <v>145</v>
      </c>
      <c r="C224" t="s">
        <v>151</v>
      </c>
      <c r="D224" t="s">
        <v>152</v>
      </c>
      <c r="E224">
        <v>583500</v>
      </c>
      <c r="G224" t="s">
        <v>148</v>
      </c>
      <c r="H224" t="s">
        <v>148</v>
      </c>
      <c r="I224" t="s">
        <v>78</v>
      </c>
      <c r="J224" t="s">
        <v>22</v>
      </c>
      <c r="K224">
        <v>10</v>
      </c>
      <c r="L224">
        <v>38000</v>
      </c>
      <c r="M224" s="17">
        <f t="shared" si="38"/>
        <v>3800</v>
      </c>
      <c r="O224" s="17">
        <f t="shared" si="35"/>
        <v>4940</v>
      </c>
      <c r="P224" s="17">
        <v>0</v>
      </c>
      <c r="Q224" s="18">
        <v>0.22</v>
      </c>
      <c r="R224" s="17">
        <v>0</v>
      </c>
      <c r="S224" s="19">
        <v>0</v>
      </c>
      <c r="T224" s="17">
        <f t="shared" si="39"/>
        <v>3800</v>
      </c>
      <c r="U224" s="18">
        <v>0.35</v>
      </c>
      <c r="V224" s="17">
        <f t="shared" si="36"/>
        <v>5130</v>
      </c>
      <c r="W224" s="20">
        <f t="shared" si="37"/>
        <v>0.25925925925925924</v>
      </c>
      <c r="X224" s="17">
        <v>0</v>
      </c>
      <c r="Y224" s="18">
        <v>0.35</v>
      </c>
      <c r="Z224" s="17">
        <v>0</v>
      </c>
      <c r="AA224" s="18">
        <v>0</v>
      </c>
      <c r="AB224" s="18">
        <v>0.1</v>
      </c>
    </row>
    <row r="225" spans="1:28">
      <c r="A225">
        <v>2026</v>
      </c>
      <c r="B225" t="s">
        <v>145</v>
      </c>
      <c r="C225" t="s">
        <v>151</v>
      </c>
      <c r="D225" t="s">
        <v>152</v>
      </c>
      <c r="E225">
        <v>595200</v>
      </c>
      <c r="G225" t="s">
        <v>148</v>
      </c>
      <c r="H225" t="s">
        <v>148</v>
      </c>
      <c r="I225" t="s">
        <v>78</v>
      </c>
      <c r="J225" t="s">
        <v>22</v>
      </c>
      <c r="K225">
        <v>10</v>
      </c>
      <c r="L225">
        <v>39800</v>
      </c>
      <c r="M225" s="17">
        <f t="shared" si="38"/>
        <v>3980</v>
      </c>
      <c r="O225" s="17">
        <f t="shared" si="35"/>
        <v>5174</v>
      </c>
      <c r="P225" s="17">
        <v>0</v>
      </c>
      <c r="Q225" s="18">
        <v>0.12</v>
      </c>
      <c r="R225" s="17">
        <v>0</v>
      </c>
      <c r="S225" s="19">
        <v>0</v>
      </c>
      <c r="T225" s="17">
        <f t="shared" si="39"/>
        <v>3980</v>
      </c>
      <c r="U225" s="18">
        <v>0.12</v>
      </c>
      <c r="V225" s="17">
        <f t="shared" si="36"/>
        <v>4457.6000000000004</v>
      </c>
      <c r="W225" s="20">
        <f t="shared" si="37"/>
        <v>0.10714285714285722</v>
      </c>
      <c r="X225" s="17">
        <v>0</v>
      </c>
      <c r="Y225" s="18">
        <v>0.12</v>
      </c>
      <c r="Z225" s="17">
        <v>0</v>
      </c>
      <c r="AA225" s="18">
        <v>0</v>
      </c>
      <c r="AB225" s="18">
        <v>0.1</v>
      </c>
    </row>
    <row r="226" spans="1:28">
      <c r="A226">
        <v>2026</v>
      </c>
      <c r="B226" t="s">
        <v>145</v>
      </c>
      <c r="C226" t="s">
        <v>151</v>
      </c>
      <c r="D226" t="s">
        <v>152</v>
      </c>
      <c r="E226">
        <v>595300</v>
      </c>
      <c r="G226" t="s">
        <v>148</v>
      </c>
      <c r="H226" t="s">
        <v>148</v>
      </c>
      <c r="I226" t="s">
        <v>78</v>
      </c>
      <c r="J226" t="s">
        <v>22</v>
      </c>
      <c r="K226">
        <v>10</v>
      </c>
      <c r="L226">
        <v>42200</v>
      </c>
      <c r="M226" s="17">
        <f t="shared" si="38"/>
        <v>4220</v>
      </c>
      <c r="O226" s="17">
        <f t="shared" si="35"/>
        <v>5486</v>
      </c>
      <c r="P226" s="17">
        <v>0</v>
      </c>
      <c r="Q226" s="18">
        <v>0.15</v>
      </c>
      <c r="R226" s="17">
        <v>0</v>
      </c>
      <c r="S226" s="19">
        <v>0</v>
      </c>
      <c r="T226" s="17">
        <f t="shared" si="39"/>
        <v>4220</v>
      </c>
      <c r="U226" s="18">
        <v>0.25</v>
      </c>
      <c r="V226" s="17">
        <f t="shared" si="36"/>
        <v>5275</v>
      </c>
      <c r="W226" s="20">
        <f t="shared" si="37"/>
        <v>0.2</v>
      </c>
      <c r="X226" s="17">
        <v>0</v>
      </c>
      <c r="Y226" s="18">
        <v>0.25</v>
      </c>
      <c r="Z226" s="17">
        <v>0</v>
      </c>
      <c r="AA226" s="18">
        <v>0</v>
      </c>
      <c r="AB226" s="18">
        <v>0.1</v>
      </c>
    </row>
    <row r="227" spans="1:28">
      <c r="A227">
        <v>2026</v>
      </c>
      <c r="B227" t="s">
        <v>145</v>
      </c>
      <c r="C227" t="s">
        <v>151</v>
      </c>
      <c r="D227" t="s">
        <v>152</v>
      </c>
      <c r="E227">
        <v>595400</v>
      </c>
      <c r="G227" t="s">
        <v>148</v>
      </c>
      <c r="H227" t="s">
        <v>148</v>
      </c>
      <c r="I227" t="s">
        <v>78</v>
      </c>
      <c r="J227" t="s">
        <v>22</v>
      </c>
      <c r="K227">
        <v>10</v>
      </c>
      <c r="L227">
        <v>51600</v>
      </c>
      <c r="M227" s="17">
        <f t="shared" si="38"/>
        <v>5160</v>
      </c>
      <c r="O227" s="17">
        <f t="shared" si="35"/>
        <v>6708</v>
      </c>
      <c r="P227" s="17">
        <v>0</v>
      </c>
      <c r="Q227" s="18">
        <v>0.18</v>
      </c>
      <c r="R227" s="17">
        <v>0</v>
      </c>
      <c r="S227" s="19">
        <v>0</v>
      </c>
      <c r="T227" s="17">
        <f t="shared" si="39"/>
        <v>5160</v>
      </c>
      <c r="U227" s="18">
        <v>0.1</v>
      </c>
      <c r="V227" s="17">
        <f t="shared" si="36"/>
        <v>5676</v>
      </c>
      <c r="W227" s="20">
        <f t="shared" si="37"/>
        <v>9.0909090909090912E-2</v>
      </c>
      <c r="X227" s="17">
        <v>0</v>
      </c>
      <c r="Y227" s="18">
        <v>0.1</v>
      </c>
      <c r="Z227" s="17">
        <v>0</v>
      </c>
      <c r="AA227" s="18">
        <v>0</v>
      </c>
      <c r="AB227" s="18">
        <v>0.1</v>
      </c>
    </row>
    <row r="228" spans="1:28">
      <c r="A228">
        <v>2026</v>
      </c>
      <c r="B228" t="s">
        <v>145</v>
      </c>
      <c r="C228" t="s">
        <v>151</v>
      </c>
      <c r="D228" t="s">
        <v>152</v>
      </c>
      <c r="E228">
        <v>595600</v>
      </c>
      <c r="G228" t="s">
        <v>148</v>
      </c>
      <c r="H228" t="s">
        <v>148</v>
      </c>
      <c r="I228" t="s">
        <v>95</v>
      </c>
      <c r="J228" t="s">
        <v>12</v>
      </c>
      <c r="K228">
        <v>1</v>
      </c>
      <c r="L228">
        <v>43500</v>
      </c>
      <c r="M228" s="17">
        <f t="shared" si="38"/>
        <v>43500</v>
      </c>
      <c r="O228" s="17">
        <f t="shared" si="35"/>
        <v>56550</v>
      </c>
      <c r="P228" s="17">
        <v>0</v>
      </c>
      <c r="Q228" s="18">
        <v>0.28999999999999998</v>
      </c>
      <c r="R228" s="17">
        <v>0</v>
      </c>
      <c r="S228" s="19">
        <v>0</v>
      </c>
      <c r="T228" s="17">
        <f t="shared" si="39"/>
        <v>43500</v>
      </c>
      <c r="U228" s="18">
        <v>0.35</v>
      </c>
      <c r="V228" s="17">
        <f t="shared" si="36"/>
        <v>58725</v>
      </c>
      <c r="W228" s="20">
        <f t="shared" si="37"/>
        <v>0.25925925925925924</v>
      </c>
      <c r="X228" s="17">
        <v>0</v>
      </c>
      <c r="Y228" s="18">
        <v>0.35</v>
      </c>
      <c r="Z228" s="17">
        <v>0</v>
      </c>
      <c r="AA228" s="18">
        <v>0</v>
      </c>
      <c r="AB228" s="18">
        <v>0.1</v>
      </c>
    </row>
    <row r="229" spans="1:28">
      <c r="A229">
        <v>2026</v>
      </c>
      <c r="B229" t="s">
        <v>145</v>
      </c>
      <c r="C229" t="s">
        <v>151</v>
      </c>
      <c r="D229" t="s">
        <v>152</v>
      </c>
      <c r="E229">
        <v>581011</v>
      </c>
      <c r="G229" t="s">
        <v>148</v>
      </c>
      <c r="H229" t="s">
        <v>148</v>
      </c>
      <c r="I229" t="s">
        <v>100</v>
      </c>
      <c r="J229" t="s">
        <v>12</v>
      </c>
      <c r="K229">
        <v>1</v>
      </c>
      <c r="L229">
        <v>89500</v>
      </c>
      <c r="M229" s="17">
        <f t="shared" si="38"/>
        <v>89500</v>
      </c>
      <c r="O229" s="17">
        <f t="shared" si="35"/>
        <v>116350</v>
      </c>
      <c r="P229" s="17">
        <v>0</v>
      </c>
      <c r="Q229" s="18">
        <v>0.34</v>
      </c>
      <c r="R229" s="17">
        <v>0</v>
      </c>
      <c r="S229" s="19">
        <v>0</v>
      </c>
      <c r="T229" s="17">
        <f t="shared" si="39"/>
        <v>89500</v>
      </c>
      <c r="U229" s="18">
        <v>0.33</v>
      </c>
      <c r="V229" s="17">
        <f t="shared" si="36"/>
        <v>119035</v>
      </c>
      <c r="W229" s="20">
        <f t="shared" si="37"/>
        <v>0.24812030075187969</v>
      </c>
      <c r="X229" s="17">
        <v>0</v>
      </c>
      <c r="Y229" s="18">
        <v>0.33</v>
      </c>
      <c r="Z229" s="17">
        <v>0</v>
      </c>
      <c r="AA229" s="18">
        <v>0</v>
      </c>
      <c r="AB229" s="18">
        <v>0.1</v>
      </c>
    </row>
    <row r="230" spans="1:28">
      <c r="A230">
        <v>2026</v>
      </c>
      <c r="B230" t="s">
        <v>145</v>
      </c>
      <c r="C230" t="s">
        <v>151</v>
      </c>
      <c r="D230" t="s">
        <v>152</v>
      </c>
      <c r="E230">
        <v>581100</v>
      </c>
      <c r="G230" t="s">
        <v>148</v>
      </c>
      <c r="H230" t="s">
        <v>148</v>
      </c>
      <c r="I230" t="s">
        <v>100</v>
      </c>
      <c r="J230" t="s">
        <v>12</v>
      </c>
      <c r="K230">
        <v>1</v>
      </c>
      <c r="L230">
        <v>67900</v>
      </c>
      <c r="M230" s="17">
        <f t="shared" si="38"/>
        <v>67900</v>
      </c>
      <c r="O230" s="17">
        <f t="shared" si="35"/>
        <v>88270</v>
      </c>
      <c r="P230" s="17">
        <v>0</v>
      </c>
      <c r="Q230" s="18">
        <v>0.25</v>
      </c>
      <c r="R230" s="17">
        <v>0</v>
      </c>
      <c r="S230" s="19">
        <v>0</v>
      </c>
      <c r="T230" s="17">
        <f t="shared" si="39"/>
        <v>67900</v>
      </c>
      <c r="U230" s="18">
        <v>0.31</v>
      </c>
      <c r="V230" s="17">
        <f t="shared" si="36"/>
        <v>88949</v>
      </c>
      <c r="W230" s="20">
        <f t="shared" si="37"/>
        <v>0.23664122137404581</v>
      </c>
      <c r="X230" s="17">
        <v>0</v>
      </c>
      <c r="Y230" s="18">
        <v>0.31</v>
      </c>
      <c r="Z230" s="17">
        <v>0</v>
      </c>
      <c r="AA230" s="18">
        <v>0</v>
      </c>
      <c r="AB230" s="18">
        <v>0.1</v>
      </c>
    </row>
    <row r="231" spans="1:28">
      <c r="A231">
        <v>2026</v>
      </c>
      <c r="B231" t="s">
        <v>145</v>
      </c>
      <c r="C231" t="s">
        <v>151</v>
      </c>
      <c r="D231" t="s">
        <v>152</v>
      </c>
      <c r="E231">
        <v>581200</v>
      </c>
      <c r="G231" t="s">
        <v>148</v>
      </c>
      <c r="H231" t="s">
        <v>148</v>
      </c>
      <c r="I231" t="s">
        <v>100</v>
      </c>
      <c r="J231" t="s">
        <v>12</v>
      </c>
      <c r="K231">
        <v>1</v>
      </c>
      <c r="L231">
        <v>50300</v>
      </c>
      <c r="M231" s="17">
        <f t="shared" si="38"/>
        <v>50300</v>
      </c>
      <c r="O231" s="17">
        <f t="shared" si="35"/>
        <v>65390</v>
      </c>
      <c r="P231" s="17">
        <v>0</v>
      </c>
      <c r="Q231" s="18">
        <v>0.35</v>
      </c>
      <c r="R231" s="17">
        <v>0</v>
      </c>
      <c r="S231" s="19">
        <v>0</v>
      </c>
      <c r="T231" s="17">
        <f t="shared" si="39"/>
        <v>50300</v>
      </c>
      <c r="U231" s="18">
        <v>0.3</v>
      </c>
      <c r="V231" s="17">
        <f t="shared" si="36"/>
        <v>65390</v>
      </c>
      <c r="W231" s="20">
        <f t="shared" si="37"/>
        <v>0.23076923076923078</v>
      </c>
      <c r="X231" s="17">
        <v>0</v>
      </c>
      <c r="Y231" s="18">
        <v>0.3</v>
      </c>
      <c r="Z231" s="17">
        <v>0</v>
      </c>
      <c r="AA231" s="18">
        <v>0</v>
      </c>
      <c r="AB231" s="18">
        <v>0.1</v>
      </c>
    </row>
    <row r="232" spans="1:28">
      <c r="A232">
        <v>2026</v>
      </c>
      <c r="B232" t="s">
        <v>145</v>
      </c>
      <c r="C232" t="s">
        <v>151</v>
      </c>
      <c r="D232" t="s">
        <v>152</v>
      </c>
      <c r="E232">
        <v>581300</v>
      </c>
      <c r="G232" t="s">
        <v>148</v>
      </c>
      <c r="H232" t="s">
        <v>148</v>
      </c>
      <c r="I232" t="s">
        <v>100</v>
      </c>
      <c r="J232" t="s">
        <v>12</v>
      </c>
      <c r="K232">
        <v>1</v>
      </c>
      <c r="L232">
        <v>53300</v>
      </c>
      <c r="M232" s="17">
        <f t="shared" si="38"/>
        <v>53300</v>
      </c>
      <c r="O232" s="17">
        <f t="shared" si="35"/>
        <v>69290</v>
      </c>
      <c r="P232" s="17">
        <v>0</v>
      </c>
      <c r="Q232" s="18">
        <v>0.12</v>
      </c>
      <c r="R232" s="17">
        <v>0</v>
      </c>
      <c r="S232" s="19">
        <v>0</v>
      </c>
      <c r="T232" s="17">
        <f t="shared" si="39"/>
        <v>53300</v>
      </c>
      <c r="U232" s="18">
        <v>0.28000000000000003</v>
      </c>
      <c r="V232" s="17">
        <f t="shared" si="36"/>
        <v>68224</v>
      </c>
      <c r="W232" s="20">
        <f t="shared" si="37"/>
        <v>0.21875</v>
      </c>
      <c r="X232" s="17">
        <v>0</v>
      </c>
      <c r="Y232" s="18">
        <v>0.28000000000000003</v>
      </c>
      <c r="Z232" s="17">
        <v>0</v>
      </c>
      <c r="AA232" s="18">
        <v>0</v>
      </c>
      <c r="AB232" s="18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opLeftCell="A3" zoomScaleNormal="150" zoomScaleSheetLayoutView="100" workbookViewId="0">
      <selection activeCell="D14" sqref="D14"/>
    </sheetView>
  </sheetViews>
  <sheetFormatPr baseColWidth="10" defaultColWidth="9" defaultRowHeight="14.25"/>
  <cols>
    <col min="1" max="1" width="55" customWidth="1"/>
    <col min="2" max="2" width="20" customWidth="1"/>
    <col min="3" max="3" width="22" customWidth="1"/>
    <col min="4" max="5" width="20" customWidth="1"/>
  </cols>
  <sheetData>
    <row r="1" spans="1:5" ht="15">
      <c r="A1" s="1" t="s">
        <v>110</v>
      </c>
      <c r="B1" s="1" t="s">
        <v>111</v>
      </c>
      <c r="C1" s="1"/>
      <c r="D1" s="1"/>
    </row>
    <row r="2" spans="1:5" ht="15">
      <c r="A2" s="3" t="s">
        <v>112</v>
      </c>
      <c r="B2" s="3">
        <v>95</v>
      </c>
      <c r="C2" s="3"/>
      <c r="D2" s="3"/>
    </row>
    <row r="3" spans="1:5" ht="15">
      <c r="A3" s="3" t="s">
        <v>113</v>
      </c>
      <c r="B3" s="9">
        <f>MIN('Referencias digitalizadas'!I2:I29)</f>
        <v>13500</v>
      </c>
      <c r="C3" s="3"/>
      <c r="D3" s="3"/>
    </row>
    <row r="4" spans="1:5" ht="15">
      <c r="A4" s="3" t="s">
        <v>114</v>
      </c>
      <c r="B4" s="9">
        <f>MAX('Referencias digitalizadas'!I2:I29)</f>
        <v>893800</v>
      </c>
      <c r="C4" s="3"/>
      <c r="D4" s="3"/>
    </row>
    <row r="5" spans="1:5" ht="15">
      <c r="A5" s="3" t="s">
        <v>115</v>
      </c>
      <c r="B5" s="9">
        <f>AVERAGE('Referencias digitalizadas'!I2:I29)</f>
        <v>94692.857142857145</v>
      </c>
      <c r="C5" s="3"/>
      <c r="D5" s="3"/>
    </row>
    <row r="8" spans="1:5" ht="15">
      <c r="A8" s="10" t="s">
        <v>1</v>
      </c>
      <c r="B8" s="10" t="s">
        <v>116</v>
      </c>
      <c r="D8" s="10" t="s">
        <v>7</v>
      </c>
      <c r="E8" s="10" t="s">
        <v>116</v>
      </c>
    </row>
    <row r="9" spans="1:5" ht="15">
      <c r="A9" t="s">
        <v>78</v>
      </c>
      <c r="B9">
        <v>6</v>
      </c>
      <c r="D9" t="s">
        <v>99</v>
      </c>
      <c r="E9">
        <v>6</v>
      </c>
    </row>
    <row r="10" spans="1:5" ht="15">
      <c r="A10" t="s">
        <v>72</v>
      </c>
      <c r="B10">
        <v>2</v>
      </c>
      <c r="D10" t="s">
        <v>14</v>
      </c>
      <c r="E10">
        <v>34</v>
      </c>
    </row>
    <row r="11" spans="1:5" ht="15">
      <c r="A11" t="s">
        <v>75</v>
      </c>
      <c r="B11">
        <v>3</v>
      </c>
      <c r="D11" t="s">
        <v>89</v>
      </c>
      <c r="E11">
        <v>17</v>
      </c>
    </row>
    <row r="12" spans="1:5" ht="15">
      <c r="A12" t="s">
        <v>44</v>
      </c>
      <c r="B12">
        <v>5</v>
      </c>
      <c r="D12" t="s">
        <v>24</v>
      </c>
      <c r="E12">
        <v>38</v>
      </c>
    </row>
    <row r="13" spans="1:5" ht="15">
      <c r="A13" t="s">
        <v>55</v>
      </c>
      <c r="B13">
        <v>4</v>
      </c>
    </row>
    <row r="14" spans="1:5" ht="15">
      <c r="A14" t="s">
        <v>60</v>
      </c>
      <c r="B14">
        <v>5</v>
      </c>
    </row>
    <row r="15" spans="1:5" ht="15">
      <c r="A15" t="s">
        <v>54</v>
      </c>
      <c r="B15">
        <v>1</v>
      </c>
    </row>
    <row r="16" spans="1:5" ht="15">
      <c r="A16" t="s">
        <v>41</v>
      </c>
      <c r="B16">
        <v>5</v>
      </c>
    </row>
    <row r="17" spans="1:2" ht="15">
      <c r="A17" t="s">
        <v>38</v>
      </c>
      <c r="B17">
        <v>3</v>
      </c>
    </row>
    <row r="18" spans="1:2" ht="15">
      <c r="A18" t="s">
        <v>43</v>
      </c>
      <c r="B18">
        <v>2</v>
      </c>
    </row>
    <row r="19" spans="1:2" ht="15">
      <c r="A19" t="s">
        <v>42</v>
      </c>
      <c r="B19">
        <v>1</v>
      </c>
    </row>
    <row r="20" spans="1:2" ht="15">
      <c r="A20" t="s">
        <v>40</v>
      </c>
      <c r="B20">
        <v>4</v>
      </c>
    </row>
    <row r="21" spans="1:2" ht="15">
      <c r="A21" t="s">
        <v>70</v>
      </c>
      <c r="B21">
        <v>7</v>
      </c>
    </row>
    <row r="22" spans="1:2" ht="15">
      <c r="A22" t="s">
        <v>71</v>
      </c>
      <c r="B22">
        <v>2</v>
      </c>
    </row>
    <row r="23" spans="1:2" ht="15">
      <c r="A23" t="s">
        <v>93</v>
      </c>
      <c r="B23">
        <v>5</v>
      </c>
    </row>
    <row r="24" spans="1:2" ht="15">
      <c r="A24" t="s">
        <v>94</v>
      </c>
      <c r="B24">
        <v>5</v>
      </c>
    </row>
    <row r="25" spans="1:2" ht="15">
      <c r="A25" t="s">
        <v>19</v>
      </c>
      <c r="B25">
        <v>5</v>
      </c>
    </row>
    <row r="26" spans="1:2" ht="15">
      <c r="A26" t="s">
        <v>30</v>
      </c>
      <c r="B26">
        <v>5</v>
      </c>
    </row>
    <row r="27" spans="1:2">
      <c r="A27" t="s">
        <v>90</v>
      </c>
      <c r="B27">
        <v>2</v>
      </c>
    </row>
    <row r="28" spans="1:2">
      <c r="A28" t="s">
        <v>9</v>
      </c>
      <c r="B28">
        <v>1</v>
      </c>
    </row>
    <row r="29" spans="1:2">
      <c r="A29" t="s">
        <v>88</v>
      </c>
      <c r="B29">
        <v>2</v>
      </c>
    </row>
    <row r="30" spans="1:2">
      <c r="A30" t="s">
        <v>91</v>
      </c>
      <c r="B30">
        <v>4</v>
      </c>
    </row>
    <row r="31" spans="1:2">
      <c r="A31" t="s">
        <v>92</v>
      </c>
      <c r="B31">
        <v>4</v>
      </c>
    </row>
    <row r="32" spans="1:2">
      <c r="A32" t="s">
        <v>15</v>
      </c>
      <c r="B32">
        <v>6</v>
      </c>
    </row>
    <row r="33" spans="1:2">
      <c r="A33" t="s">
        <v>100</v>
      </c>
      <c r="B33">
        <v>5</v>
      </c>
    </row>
    <row r="34" spans="1:2">
      <c r="A34" t="s">
        <v>95</v>
      </c>
      <c r="B34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Referencias digitalizadas</vt:lpstr>
      <vt:lpstr>Alta complejidad</vt:lpstr>
      <vt:lpstr>Baja complejidad</vt:lpstr>
      <vt:lpstr>Meidiana complejidad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Lorin Acero Quimbayo</dc:creator>
  <cp:lastModifiedBy>DANIEL EDUARDO GONZALEZ BUITRAGO</cp:lastModifiedBy>
  <dcterms:created xsi:type="dcterms:W3CDTF">2026-05-30T10:23:28Z</dcterms:created>
  <dcterms:modified xsi:type="dcterms:W3CDTF">2026-06-01T04:30:20Z</dcterms:modified>
</cp:coreProperties>
</file>