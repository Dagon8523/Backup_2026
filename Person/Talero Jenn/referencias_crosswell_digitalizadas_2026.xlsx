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gonzalez\Documents\2026\Backup_2026\Person\Talero Jenn\"/>
    </mc:Choice>
  </mc:AlternateContent>
  <xr:revisionPtr revIDLastSave="0" documentId="13_ncr:1_{BC25C750-F7E3-43E1-8BD4-ABD84904B93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ferencias digitalizadas" sheetId="1" r:id="rId1"/>
    <sheet name="Resu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2" l="1"/>
  <c r="B4" i="2"/>
  <c r="B3" i="2"/>
</calcChain>
</file>

<file path=xl/sharedStrings.xml><?xml version="1.0" encoding="utf-8"?>
<sst xmlns="http://schemas.openxmlformats.org/spreadsheetml/2006/main" count="619" uniqueCount="255">
  <si>
    <t>Página</t>
  </si>
  <si>
    <t>Categoría</t>
  </si>
  <si>
    <t>Código</t>
  </si>
  <si>
    <t>Descripción</t>
  </si>
  <si>
    <t>Unidad de empaque</t>
  </si>
  <si>
    <t>Registro sanitario</t>
  </si>
  <si>
    <t>Vencimiento registro</t>
  </si>
  <si>
    <t>Riesgo</t>
  </si>
  <si>
    <t>Precio unitario público</t>
  </si>
  <si>
    <t>Hemoglobina Tópica</t>
  </si>
  <si>
    <t>360001</t>
  </si>
  <si>
    <t>Granulox Hemoglobina Spray</t>
  </si>
  <si>
    <t>Unidad</t>
  </si>
  <si>
    <t>2019DM-0020921</t>
  </si>
  <si>
    <t>III</t>
  </si>
  <si>
    <t>Solución de irrigación para limpieza y enjuague</t>
  </si>
  <si>
    <t>360102</t>
  </si>
  <si>
    <t>Granudacyn Solución 1000 ml</t>
  </si>
  <si>
    <t>2023DM-0027387</t>
  </si>
  <si>
    <t>360104</t>
  </si>
  <si>
    <t>Granudacyn Solución 1000 ml NPWT</t>
  </si>
  <si>
    <t>360100</t>
  </si>
  <si>
    <t>Granudacyn Solución 250 ml Spray</t>
  </si>
  <si>
    <t>360150</t>
  </si>
  <si>
    <t>Granudacyn Solución 50 ml Spray</t>
  </si>
  <si>
    <t>360101</t>
  </si>
  <si>
    <t>Granudacyn Solución 500 ml</t>
  </si>
  <si>
    <t>360103</t>
  </si>
  <si>
    <t>Granudacyn Solución 500 ml NPWT</t>
  </si>
  <si>
    <t>Apósito de Fibras Gelificantes de PVA</t>
  </si>
  <si>
    <t>709900</t>
  </si>
  <si>
    <t>Exufiber 5 x 5 cm</t>
  </si>
  <si>
    <t>Caja X 10</t>
  </si>
  <si>
    <t>2019DM-0020382</t>
  </si>
  <si>
    <t>IIb</t>
  </si>
  <si>
    <t>709902</t>
  </si>
  <si>
    <t>Exufiber 10 x 12 cm</t>
  </si>
  <si>
    <t>709903</t>
  </si>
  <si>
    <t>Exufiber 15 x 15 cm</t>
  </si>
  <si>
    <t>709909</t>
  </si>
  <si>
    <t>Exufiber 2 x 45 cm</t>
  </si>
  <si>
    <t>Caja X 5</t>
  </si>
  <si>
    <t>709904</t>
  </si>
  <si>
    <t>Exufiber 20 x 30 cm</t>
  </si>
  <si>
    <t>Apósito de Fibras Gelificantes de PVA y Tecnología Hydrolock® y Acción Antimicrobiana</t>
  </si>
  <si>
    <t>603421</t>
  </si>
  <si>
    <t>Exufiber Ag+ 5 x 5 cm</t>
  </si>
  <si>
    <t>2019DM-0020271</t>
  </si>
  <si>
    <t>603422</t>
  </si>
  <si>
    <t>Exufiber Ag+ 10 x 12 cm</t>
  </si>
  <si>
    <t>603423</t>
  </si>
  <si>
    <t>Exufiber Ag+ 15 x 15 cm</t>
  </si>
  <si>
    <t>603420</t>
  </si>
  <si>
    <t>Exufiber Ag+ 2 x 45 cm</t>
  </si>
  <si>
    <t>603424</t>
  </si>
  <si>
    <t>Exufiber Ag+ 20 x 30 cm</t>
  </si>
  <si>
    <t>Apósito Multicapa (5 capas) Oval con Bordes Autoadherentes - Tecnología Exclusiva Flex</t>
  </si>
  <si>
    <t>583300</t>
  </si>
  <si>
    <t>Mepilex Border Flex 13 x 16 cm Oval</t>
  </si>
  <si>
    <t>Caja x 5</t>
  </si>
  <si>
    <t>2020DM-0021620</t>
  </si>
  <si>
    <t>583400</t>
  </si>
  <si>
    <t>Mepilex Border Flex 15 x 19 cm Oval</t>
  </si>
  <si>
    <t>583500</t>
  </si>
  <si>
    <t>Mepilex Border Flex 7.8 x 10 cm Oval</t>
  </si>
  <si>
    <t>Apósito Multicapa (5 capas) con Bordes Autoadherentes - Tecnología Exclusiva Flex</t>
  </si>
  <si>
    <t>595200</t>
  </si>
  <si>
    <t>Mepilex Border Flex 7.5 x 7.5 cm</t>
  </si>
  <si>
    <t>595300</t>
  </si>
  <si>
    <t>Mepilex Border Flex 10 x 10 cm</t>
  </si>
  <si>
    <t>595400</t>
  </si>
  <si>
    <t>Mepilex Border Flex 15 x 15 cm</t>
  </si>
  <si>
    <t>595600</t>
  </si>
  <si>
    <t>Mepilex Border Flex 15 x 20 cm</t>
  </si>
  <si>
    <t>Apósito Multicapa (4 capas) Extrafino con Bordes Autoadherentes - Tecnología Exclusiva Flex</t>
  </si>
  <si>
    <t>581011</t>
  </si>
  <si>
    <t>Mepilex Border Flex Lite de 4 x 5 cm</t>
  </si>
  <si>
    <t>581100</t>
  </si>
  <si>
    <t>Mepilex Border Flex Lite 5 x 12.5 cm</t>
  </si>
  <si>
    <t>581200</t>
  </si>
  <si>
    <t>Mepilex Border Flex Lite 7.5 x 7.5 cm</t>
  </si>
  <si>
    <t>581300</t>
  </si>
  <si>
    <t>Mepilex Border Flex Lite 10 x 10 cm</t>
  </si>
  <si>
    <t>581500</t>
  </si>
  <si>
    <t>Mepilex Border Flex Lite 15 x 15 cm</t>
  </si>
  <si>
    <t>Apósito Multicapa (5 capas) Oval con Bordes Autoadherentes para el Talón y los Maléolos</t>
  </si>
  <si>
    <t>282790</t>
  </si>
  <si>
    <t>Mepilex Border Heel 22 x 23 cm</t>
  </si>
  <si>
    <t>Caja x 10</t>
  </si>
  <si>
    <t>Apósito Multicapa (5 capas) Oval con Bordes Autoadherentes para el Sacro</t>
  </si>
  <si>
    <t>282055</t>
  </si>
  <si>
    <t>Mepilex Border Sacrum 16 x 20 cm</t>
  </si>
  <si>
    <t>282455</t>
  </si>
  <si>
    <t>Mepilex Border Sacrum 22 x 25 cm</t>
  </si>
  <si>
    <t>Apósito Espumas de Poliuretano</t>
  </si>
  <si>
    <t>294199</t>
  </si>
  <si>
    <t>Mepilex 10 x 10 cm</t>
  </si>
  <si>
    <t>294299</t>
  </si>
  <si>
    <t>Mepilex 10 x 20 cm</t>
  </si>
  <si>
    <t>294399</t>
  </si>
  <si>
    <t>Mepilex 15 x 15 cm</t>
  </si>
  <si>
    <t>294499</t>
  </si>
  <si>
    <t>Mepilex 20 x 20 cm</t>
  </si>
  <si>
    <t>294500</t>
  </si>
  <si>
    <t>Mepilex 20 x 50 cm</t>
  </si>
  <si>
    <t>Caja X 2</t>
  </si>
  <si>
    <t>Apósito Espumas de Poliuretano para el talón</t>
  </si>
  <si>
    <t>288100</t>
  </si>
  <si>
    <t>Mepilex Heel 13 x 20 cm</t>
  </si>
  <si>
    <t>Apósito Espumas de Poliuretano Extrafino</t>
  </si>
  <si>
    <t>284090</t>
  </si>
  <si>
    <t>Mepilex Lite 6 x 8.5 cm</t>
  </si>
  <si>
    <t>284190</t>
  </si>
  <si>
    <t>Mepilex Lite 10 x 10 cm</t>
  </si>
  <si>
    <t>284390</t>
  </si>
  <si>
    <t>Mepilex Lite 15 x 15 cm</t>
  </si>
  <si>
    <t>284599</t>
  </si>
  <si>
    <t>Mepilex Lite 20 x 50 cm</t>
  </si>
  <si>
    <t>Caja X 4</t>
  </si>
  <si>
    <t>Apósito Espumas de Poliuretano con Acción Antimicrobiana</t>
  </si>
  <si>
    <t>287100</t>
  </si>
  <si>
    <t>Mepilex Ag 10 x 10 cm</t>
  </si>
  <si>
    <t>2020DM-0021561</t>
  </si>
  <si>
    <t>287200</t>
  </si>
  <si>
    <t>Mepilex Ag 10 x 20 cm</t>
  </si>
  <si>
    <t>287300</t>
  </si>
  <si>
    <t>Mepilex Ag 15 x 15 cm</t>
  </si>
  <si>
    <t>287400</t>
  </si>
  <si>
    <t>Mepilex Ag 20 x 20 cm</t>
  </si>
  <si>
    <t>287500</t>
  </si>
  <si>
    <t>Mepilex Ag 20 x 50 cm</t>
  </si>
  <si>
    <t>Apósito Multicapa (5 capas) con Bordes Autoadherentes con Efecto Antimicrobiano</t>
  </si>
  <si>
    <t>395290</t>
  </si>
  <si>
    <t>Mepilex Border Ag 7.5 x 7.5 cm</t>
  </si>
  <si>
    <t>395390</t>
  </si>
  <si>
    <t>Mepilex Border Ag 10 x 10 cm</t>
  </si>
  <si>
    <t>395890</t>
  </si>
  <si>
    <t>Mepilex Border Ag 10 x 20 cm</t>
  </si>
  <si>
    <t>395790</t>
  </si>
  <si>
    <t>Mepilex Border Ag 10 x 25 cm</t>
  </si>
  <si>
    <t>395990</t>
  </si>
  <si>
    <t>Mepilex Border Ag 10 x 30 cm</t>
  </si>
  <si>
    <t>395490</t>
  </si>
  <si>
    <t>Mepilex Border Ag 15 x 15 cm</t>
  </si>
  <si>
    <t>395690</t>
  </si>
  <si>
    <t>Mepilex Border Ag 15 x 20 cm</t>
  </si>
  <si>
    <t>Apósito Multicapa (5 capas) con Bordes Autoadherentes con Efecto Antimicrobiano para el Sacro</t>
  </si>
  <si>
    <t>382090</t>
  </si>
  <si>
    <t>Mepilex Border Sacrum Ag 18 x 18 cm</t>
  </si>
  <si>
    <t>382490</t>
  </si>
  <si>
    <t>Mepilex Border Sacrum Ag 23 x 23 cm</t>
  </si>
  <si>
    <t>Apósito Espuma de Poliuretano Transferencia de Exudado</t>
  </si>
  <si>
    <t>294899</t>
  </si>
  <si>
    <t>Mepilex Transfer 15 x 20 cm</t>
  </si>
  <si>
    <t>294599</t>
  </si>
  <si>
    <t>Mepilex Transfer 20 x 50 cm</t>
  </si>
  <si>
    <t>Apósito Espuma de Poliuretano Transferencia de Exudado con Acción Antimicrobiana</t>
  </si>
  <si>
    <t>394190</t>
  </si>
  <si>
    <t>Mepilex Transfer Ag 10 x 12.5 cm</t>
  </si>
  <si>
    <t>394890</t>
  </si>
  <si>
    <t>Mepilex Transfer Ag 15 x 20 cm</t>
  </si>
  <si>
    <t>394590</t>
  </si>
  <si>
    <t>Mepilex Transfer Ag 20 x 50 cm</t>
  </si>
  <si>
    <t>Aposito Superabsorbente con Revestimiento Repelente de Fluidos</t>
  </si>
  <si>
    <t>610000</t>
  </si>
  <si>
    <t>Mextra Superabsorbent 12.5x12.5 cm</t>
  </si>
  <si>
    <t>2023DM-0027509</t>
  </si>
  <si>
    <t>610100</t>
  </si>
  <si>
    <t>Mextra Superabsorbent 12.5x17.5 cm</t>
  </si>
  <si>
    <t>610200</t>
  </si>
  <si>
    <t>Mextra Superabsorbent 12.5x22.5 cm</t>
  </si>
  <si>
    <t>610300</t>
  </si>
  <si>
    <t>Mextra Superabsorbent 17.5x22.5 cm</t>
  </si>
  <si>
    <t>610400</t>
  </si>
  <si>
    <t>Mextra Superabsorbent 22.5x27.5 cm</t>
  </si>
  <si>
    <t>610500</t>
  </si>
  <si>
    <t>Mextra Superabsorbent 22.5x32.5 cm</t>
  </si>
  <si>
    <t>Lámina de Silicona para el Tratamiento de Cicatrices Hipertróficas y Queloides</t>
  </si>
  <si>
    <t>293499</t>
  </si>
  <si>
    <t>Mepiform 10 x 18 cm</t>
  </si>
  <si>
    <t>2021DM-0007550-R1</t>
  </si>
  <si>
    <t>IIa</t>
  </si>
  <si>
    <t>293299</t>
  </si>
  <si>
    <t>Mepiform 5 x 7.5 cm</t>
  </si>
  <si>
    <t>Cinta Adhesiva de Fijación</t>
  </si>
  <si>
    <t>298300</t>
  </si>
  <si>
    <t>Mepitac 2 cm x 3 m</t>
  </si>
  <si>
    <t>Caja X 1</t>
  </si>
  <si>
    <t>298400</t>
  </si>
  <si>
    <t>Mepitac 4 cm x 1.5 m</t>
  </si>
  <si>
    <t>Láminas de Contacto Porosa con Micro adherencia Selectiva por las dos Caras</t>
  </si>
  <si>
    <t>290799</t>
  </si>
  <si>
    <t>Mepitel 7.5 x 10 cm</t>
  </si>
  <si>
    <t>291099</t>
  </si>
  <si>
    <t>Mepitel 10 x 18 cm</t>
  </si>
  <si>
    <t>292005</t>
  </si>
  <si>
    <t>Mepitel 20 x 30 cm</t>
  </si>
  <si>
    <t>290599</t>
  </si>
  <si>
    <t>Mepitel 5 x 7.5 cm</t>
  </si>
  <si>
    <t>Láminas de Contacto Porosa con Micro adherencia por una Cara</t>
  </si>
  <si>
    <t>289500</t>
  </si>
  <si>
    <t>Mepitel One 10 x 18 cm</t>
  </si>
  <si>
    <t>289700</t>
  </si>
  <si>
    <t>Mepitel One 17 x 25 cm</t>
  </si>
  <si>
    <t>289100</t>
  </si>
  <si>
    <t>Mepitel One 5 x 7.5 cm</t>
  </si>
  <si>
    <t>289300</t>
  </si>
  <si>
    <t>Mepitel One 7.5 x 10 cm</t>
  </si>
  <si>
    <t>Apósito Post Quirúrgico de 4 Capas</t>
  </si>
  <si>
    <t>496300</t>
  </si>
  <si>
    <t>Mepilex Border Post Op 10 x 15 cm</t>
  </si>
  <si>
    <t>2018DM-0018798</t>
  </si>
  <si>
    <t>496405</t>
  </si>
  <si>
    <t>Mepilex Border Post Op 10 x 20 cm</t>
  </si>
  <si>
    <t>496455</t>
  </si>
  <si>
    <t>Mepilex Border Post Op 10 x 25 cm</t>
  </si>
  <si>
    <t>496605</t>
  </si>
  <si>
    <t>Mepilex Border Post Op 10 x 30 cm</t>
  </si>
  <si>
    <t>496650</t>
  </si>
  <si>
    <t>Mepilex Border Post Op 10 x 35 cm</t>
  </si>
  <si>
    <t>Apósito Post Quirúrgico de 5 Capas con Efecto Antimicrobiano</t>
  </si>
  <si>
    <t>498300</t>
  </si>
  <si>
    <t>Mepilex Border Post-Op Ag 10 x 15 cm</t>
  </si>
  <si>
    <t>498400</t>
  </si>
  <si>
    <t>Mepilex Border Post-Op Ag 10 x 20 cm</t>
  </si>
  <si>
    <t>498450</t>
  </si>
  <si>
    <t>Mepilex Border Post-Op Ag 10 x 25 cm</t>
  </si>
  <si>
    <t>498600</t>
  </si>
  <si>
    <t>Mepilex Border Post-Op Ag 10 x 30 cm</t>
  </si>
  <si>
    <t>498650</t>
  </si>
  <si>
    <t>Mepilex Border Post-Op Ag 10 × 35 cm</t>
  </si>
  <si>
    <t>Vendaje de Media y Alta Compresión Graduada</t>
  </si>
  <si>
    <t>3505</t>
  </si>
  <si>
    <t>Setopress 10 cm x 3.5 m Relaxed x 12</t>
  </si>
  <si>
    <t>2022DM-0026232</t>
  </si>
  <si>
    <t>I</t>
  </si>
  <si>
    <t>Vendaje Tubular con Elasticidad Radial y Longitudinal - Fijación de Apósitos</t>
  </si>
  <si>
    <t>2440</t>
  </si>
  <si>
    <t>Tubifast 10m Amarillo</t>
  </si>
  <si>
    <t>2018DM-0018813</t>
  </si>
  <si>
    <t>2438</t>
  </si>
  <si>
    <t>Tubifast 10m Azul</t>
  </si>
  <si>
    <t>2434</t>
  </si>
  <si>
    <t>Tubifast 10m Rojo</t>
  </si>
  <si>
    <t>2436</t>
  </si>
  <si>
    <t>Tubifast 10m Verde</t>
  </si>
  <si>
    <t>2444</t>
  </si>
  <si>
    <t>Tubifast 10m Violeta</t>
  </si>
  <si>
    <t>Indicador</t>
  </si>
  <si>
    <t>Valor</t>
  </si>
  <si>
    <t>Total referencias</t>
  </si>
  <si>
    <t>Precio mínimo</t>
  </si>
  <si>
    <t>Precio máximo</t>
  </si>
  <si>
    <t>Precio promedio</t>
  </si>
  <si>
    <t>Cantidad referencias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</si>
</sst>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\$\ #,##0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2F4F24"/>
      </patternFill>
    </fill>
    <fill>
      <patternFill patternType="solid">
        <fgColor rgb="FF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vertical="center" wrapText="1"/>
    </xf>
    <xf numFmtId="1" fontId="0" fillId="0" borderId="0" xfId="0" applyNumberFormat="1" applyFont="1" applyFill="1" applyBorder="1" applyAlignment="1">
      <alignment vertical="center" wrapText="1"/>
    </xf>
    <xf numFmtId="49" fontId="0" fillId="0" borderId="0" xfId="0" applyNumberFormat="1" applyFont="1" applyFill="1" applyBorder="1" applyAlignment="1">
      <alignment vertical="center" wrapText="1"/>
    </xf>
    <xf numFmtId="164" fontId="0" fillId="0" borderId="0" xfId="0" applyNumberFormat="1" applyFont="1" applyFill="1" applyBorder="1" applyAlignment="1">
      <alignment vertical="center" wrapText="1"/>
    </xf>
    <xf numFmtId="165" fontId="0" fillId="0" borderId="0" xfId="0" applyNumberFormat="1" applyFont="1" applyFill="1" applyBorder="1" applyAlignment="1">
      <alignment vertical="center" wrapText="1"/>
    </xf>
    <xf numFmtId="165" fontId="0" fillId="0" borderId="0" xfId="0" applyNumberFormat="1" applyFont="1" applyFill="1" applyBorder="1" applyAlignment="1">
      <alignment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ReferenciasCrosswell" displayName="TablaReferenciasCrosswell" ref="A1:I96">
  <tableColumns count="9">
    <tableColumn id="1" xr3:uid="{00000000-0010-0000-0000-000001000000}" name="Página"/>
    <tableColumn id="2" xr3:uid="{00000000-0010-0000-0000-000002000000}" name="Categoría"/>
    <tableColumn id="3" xr3:uid="{00000000-0010-0000-0000-000003000000}" name="Código"/>
    <tableColumn id="4" xr3:uid="{00000000-0010-0000-0000-000004000000}" name="Descripción"/>
    <tableColumn id="5" xr3:uid="{00000000-0010-0000-0000-000005000000}" name="Unidad de empaque"/>
    <tableColumn id="6" xr3:uid="{00000000-0010-0000-0000-000006000000}" name="Registro sanitario"/>
    <tableColumn id="7" xr3:uid="{00000000-0010-0000-0000-000007000000}" name="Vencimiento registro"/>
    <tableColumn id="8" xr3:uid="{00000000-0010-0000-0000-000008000000}" name="Riesgo"/>
    <tableColumn id="9" xr3:uid="{00000000-0010-0000-0000-000009000000}" name="Precio unitario públic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sumenCategorias" displayName="ResumenCategorias" ref="A8:B34">
  <tableColumns count="2">
    <tableColumn id="1" xr3:uid="{00000000-0010-0000-0100-000001000000}" name="Categoría"/>
    <tableColumn id="2" xr3:uid="{00000000-0010-0000-0100-000002000000}" name="Cantidad referenci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sumenRiesgos" displayName="ResumenRiesgos" ref="D8:E12">
  <tableColumns count="2">
    <tableColumn id="1" xr3:uid="{00000000-0010-0000-0200-000001000000}" name="Riesgo"/>
    <tableColumn id="2" xr3:uid="{00000000-0010-0000-0200-000002000000}" name="Cantidad referenc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6"/>
  <sheetViews>
    <sheetView tabSelected="1" zoomScale="67" workbookViewId="0">
      <selection activeCell="C1" sqref="C1"/>
    </sheetView>
  </sheetViews>
  <sheetFormatPr baseColWidth="10" defaultColWidth="9" defaultRowHeight="14.25"/>
  <cols>
    <col min="1" max="1" width="10" customWidth="1"/>
    <col min="2" max="2" width="42" customWidth="1"/>
    <col min="3" max="3" width="12" customWidth="1"/>
    <col min="4" max="4" width="40" customWidth="1"/>
    <col min="5" max="5" width="18" customWidth="1"/>
    <col min="6" max="6" width="22" customWidth="1"/>
    <col min="7" max="7" width="18" customWidth="1"/>
    <col min="8" max="8" width="10" customWidth="1"/>
    <col min="9" max="9" width="20" customWidth="1"/>
  </cols>
  <sheetData>
    <row r="1" spans="1:9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5">
        <v>1</v>
      </c>
      <c r="B2" s="4" t="s">
        <v>9</v>
      </c>
      <c r="C2" s="6" t="s">
        <v>10</v>
      </c>
      <c r="D2" s="4" t="s">
        <v>11</v>
      </c>
      <c r="E2" s="4" t="s">
        <v>12</v>
      </c>
      <c r="F2" s="4" t="s">
        <v>13</v>
      </c>
      <c r="G2" s="7">
        <v>47051</v>
      </c>
      <c r="H2" s="4" t="s">
        <v>14</v>
      </c>
      <c r="I2" s="8">
        <v>893800</v>
      </c>
    </row>
    <row r="3" spans="1:9">
      <c r="A3" s="5">
        <v>1</v>
      </c>
      <c r="B3" s="4" t="s">
        <v>15</v>
      </c>
      <c r="C3" s="6" t="s">
        <v>16</v>
      </c>
      <c r="D3" s="4" t="s">
        <v>17</v>
      </c>
      <c r="E3" s="4" t="s">
        <v>12</v>
      </c>
      <c r="F3" s="4" t="s">
        <v>18</v>
      </c>
      <c r="G3" s="7">
        <v>48792</v>
      </c>
      <c r="H3" s="4" t="s">
        <v>14</v>
      </c>
      <c r="I3" s="8">
        <v>251100</v>
      </c>
    </row>
    <row r="4" spans="1:9">
      <c r="A4" s="5">
        <v>1</v>
      </c>
      <c r="B4" s="4" t="s">
        <v>15</v>
      </c>
      <c r="C4" s="6" t="s">
        <v>19</v>
      </c>
      <c r="D4" s="4" t="s">
        <v>20</v>
      </c>
      <c r="E4" s="4" t="s">
        <v>12</v>
      </c>
      <c r="F4" s="4" t="s">
        <v>18</v>
      </c>
      <c r="G4" s="7">
        <v>48792</v>
      </c>
      <c r="H4" s="4" t="s">
        <v>14</v>
      </c>
      <c r="I4" s="8">
        <v>261100</v>
      </c>
    </row>
    <row r="5" spans="1:9">
      <c r="A5" s="5">
        <v>1</v>
      </c>
      <c r="B5" s="4" t="s">
        <v>15</v>
      </c>
      <c r="C5" s="6" t="s">
        <v>21</v>
      </c>
      <c r="D5" s="4" t="s">
        <v>22</v>
      </c>
      <c r="E5" s="4" t="s">
        <v>12</v>
      </c>
      <c r="F5" s="4" t="s">
        <v>18</v>
      </c>
      <c r="G5" s="7">
        <v>48792</v>
      </c>
      <c r="H5" s="4" t="s">
        <v>14</v>
      </c>
      <c r="I5" s="8">
        <v>80300</v>
      </c>
    </row>
    <row r="6" spans="1:9">
      <c r="A6" s="5">
        <v>1</v>
      </c>
      <c r="B6" s="4" t="s">
        <v>15</v>
      </c>
      <c r="C6" s="6" t="s">
        <v>23</v>
      </c>
      <c r="D6" s="4" t="s">
        <v>24</v>
      </c>
      <c r="E6" s="4" t="s">
        <v>12</v>
      </c>
      <c r="F6" s="4" t="s">
        <v>18</v>
      </c>
      <c r="G6" s="7">
        <v>48792</v>
      </c>
      <c r="H6" s="4" t="s">
        <v>14</v>
      </c>
      <c r="I6" s="8">
        <v>76800</v>
      </c>
    </row>
    <row r="7" spans="1:9">
      <c r="A7" s="5">
        <v>1</v>
      </c>
      <c r="B7" s="4" t="s">
        <v>15</v>
      </c>
      <c r="C7" s="6" t="s">
        <v>25</v>
      </c>
      <c r="D7" s="4" t="s">
        <v>26</v>
      </c>
      <c r="E7" s="4" t="s">
        <v>12</v>
      </c>
      <c r="F7" s="4" t="s">
        <v>18</v>
      </c>
      <c r="G7" s="7">
        <v>48792</v>
      </c>
      <c r="H7" s="4" t="s">
        <v>14</v>
      </c>
      <c r="I7" s="8">
        <v>140600</v>
      </c>
    </row>
    <row r="8" spans="1:9">
      <c r="A8" s="5">
        <v>1</v>
      </c>
      <c r="B8" s="4" t="s">
        <v>15</v>
      </c>
      <c r="C8" s="6" t="s">
        <v>27</v>
      </c>
      <c r="D8" s="4" t="s">
        <v>28</v>
      </c>
      <c r="E8" s="4" t="s">
        <v>12</v>
      </c>
      <c r="F8" s="4" t="s">
        <v>18</v>
      </c>
      <c r="G8" s="7">
        <v>48792</v>
      </c>
      <c r="H8" s="4" t="s">
        <v>14</v>
      </c>
      <c r="I8" s="8">
        <v>150600</v>
      </c>
    </row>
    <row r="9" spans="1:9">
      <c r="A9" s="5">
        <v>1</v>
      </c>
      <c r="B9" s="4" t="s">
        <v>29</v>
      </c>
      <c r="C9" s="6" t="s">
        <v>30</v>
      </c>
      <c r="D9" s="4" t="s">
        <v>31</v>
      </c>
      <c r="E9" s="4" t="s">
        <v>32</v>
      </c>
      <c r="F9" s="4" t="s">
        <v>33</v>
      </c>
      <c r="G9" s="7">
        <v>47359</v>
      </c>
      <c r="H9" s="4" t="s">
        <v>34</v>
      </c>
      <c r="I9" s="8">
        <v>13500</v>
      </c>
    </row>
    <row r="10" spans="1:9">
      <c r="A10" s="5">
        <v>1</v>
      </c>
      <c r="B10" s="4" t="s">
        <v>29</v>
      </c>
      <c r="C10" s="6" t="s">
        <v>35</v>
      </c>
      <c r="D10" s="4" t="s">
        <v>36</v>
      </c>
      <c r="E10" s="4" t="s">
        <v>32</v>
      </c>
      <c r="F10" s="4" t="s">
        <v>33</v>
      </c>
      <c r="G10" s="7">
        <v>47359</v>
      </c>
      <c r="H10" s="4" t="s">
        <v>34</v>
      </c>
      <c r="I10" s="8">
        <v>28800</v>
      </c>
    </row>
    <row r="11" spans="1:9">
      <c r="A11" s="5">
        <v>1</v>
      </c>
      <c r="B11" s="4" t="s">
        <v>29</v>
      </c>
      <c r="C11" s="6" t="s">
        <v>37</v>
      </c>
      <c r="D11" s="4" t="s">
        <v>38</v>
      </c>
      <c r="E11" s="4" t="s">
        <v>32</v>
      </c>
      <c r="F11" s="4" t="s">
        <v>33</v>
      </c>
      <c r="G11" s="7">
        <v>47359</v>
      </c>
      <c r="H11" s="4" t="s">
        <v>34</v>
      </c>
      <c r="I11" s="8">
        <v>63400</v>
      </c>
    </row>
    <row r="12" spans="1:9">
      <c r="A12" s="5">
        <v>1</v>
      </c>
      <c r="B12" s="4" t="s">
        <v>29</v>
      </c>
      <c r="C12" s="6" t="s">
        <v>39</v>
      </c>
      <c r="D12" s="4" t="s">
        <v>40</v>
      </c>
      <c r="E12" s="4" t="s">
        <v>41</v>
      </c>
      <c r="F12" s="4" t="s">
        <v>33</v>
      </c>
      <c r="G12" s="7">
        <v>47359</v>
      </c>
      <c r="H12" s="4" t="s">
        <v>34</v>
      </c>
      <c r="I12" s="8">
        <v>38400</v>
      </c>
    </row>
    <row r="13" spans="1:9">
      <c r="A13" s="5">
        <v>1</v>
      </c>
      <c r="B13" s="4" t="s">
        <v>29</v>
      </c>
      <c r="C13" s="6" t="s">
        <v>42</v>
      </c>
      <c r="D13" s="4" t="s">
        <v>43</v>
      </c>
      <c r="E13" s="4" t="s">
        <v>41</v>
      </c>
      <c r="F13" s="4" t="s">
        <v>33</v>
      </c>
      <c r="G13" s="7">
        <v>47359</v>
      </c>
      <c r="H13" s="4" t="s">
        <v>34</v>
      </c>
      <c r="I13" s="8">
        <v>169000</v>
      </c>
    </row>
    <row r="14" spans="1:9" ht="28.5">
      <c r="A14" s="5">
        <v>1</v>
      </c>
      <c r="B14" s="4" t="s">
        <v>44</v>
      </c>
      <c r="C14" s="6" t="s">
        <v>45</v>
      </c>
      <c r="D14" s="4" t="s">
        <v>46</v>
      </c>
      <c r="E14" s="4" t="s">
        <v>32</v>
      </c>
      <c r="F14" s="4" t="s">
        <v>47</v>
      </c>
      <c r="G14" s="7">
        <v>47336</v>
      </c>
      <c r="H14" s="4" t="s">
        <v>14</v>
      </c>
      <c r="I14" s="8">
        <v>24200</v>
      </c>
    </row>
    <row r="15" spans="1:9" ht="28.5">
      <c r="A15" s="5">
        <v>1</v>
      </c>
      <c r="B15" s="4" t="s">
        <v>44</v>
      </c>
      <c r="C15" s="6" t="s">
        <v>48</v>
      </c>
      <c r="D15" s="4" t="s">
        <v>49</v>
      </c>
      <c r="E15" s="4" t="s">
        <v>32</v>
      </c>
      <c r="F15" s="4" t="s">
        <v>47</v>
      </c>
      <c r="G15" s="7">
        <v>47336</v>
      </c>
      <c r="H15" s="4" t="s">
        <v>14</v>
      </c>
      <c r="I15" s="8">
        <v>36700</v>
      </c>
    </row>
    <row r="16" spans="1:9" ht="28.5">
      <c r="A16" s="5">
        <v>1</v>
      </c>
      <c r="B16" s="4" t="s">
        <v>44</v>
      </c>
      <c r="C16" s="6" t="s">
        <v>50</v>
      </c>
      <c r="D16" s="4" t="s">
        <v>51</v>
      </c>
      <c r="E16" s="4" t="s">
        <v>32</v>
      </c>
      <c r="F16" s="4" t="s">
        <v>47</v>
      </c>
      <c r="G16" s="7">
        <v>47336</v>
      </c>
      <c r="H16" s="4" t="s">
        <v>14</v>
      </c>
      <c r="I16" s="8">
        <v>91800</v>
      </c>
    </row>
    <row r="17" spans="1:9" ht="28.5">
      <c r="A17" s="5">
        <v>1</v>
      </c>
      <c r="B17" s="4" t="s">
        <v>44</v>
      </c>
      <c r="C17" s="6" t="s">
        <v>52</v>
      </c>
      <c r="D17" s="4" t="s">
        <v>53</v>
      </c>
      <c r="E17" s="4" t="s">
        <v>41</v>
      </c>
      <c r="F17" s="4" t="s">
        <v>47</v>
      </c>
      <c r="G17" s="7">
        <v>47336</v>
      </c>
      <c r="H17" s="4" t="s">
        <v>14</v>
      </c>
      <c r="I17" s="8">
        <v>72300</v>
      </c>
    </row>
    <row r="18" spans="1:9" ht="28.5">
      <c r="A18" s="5">
        <v>1</v>
      </c>
      <c r="B18" s="4" t="s">
        <v>44</v>
      </c>
      <c r="C18" s="6" t="s">
        <v>54</v>
      </c>
      <c r="D18" s="4" t="s">
        <v>55</v>
      </c>
      <c r="E18" s="4" t="s">
        <v>41</v>
      </c>
      <c r="F18" s="4" t="s">
        <v>47</v>
      </c>
      <c r="G18" s="7">
        <v>47336</v>
      </c>
      <c r="H18" s="4" t="s">
        <v>14</v>
      </c>
      <c r="I18" s="8">
        <v>215000</v>
      </c>
    </row>
    <row r="19" spans="1:9" ht="28.5">
      <c r="A19" s="5">
        <v>1</v>
      </c>
      <c r="B19" s="4" t="s">
        <v>56</v>
      </c>
      <c r="C19" s="6" t="s">
        <v>57</v>
      </c>
      <c r="D19" s="4" t="s">
        <v>58</v>
      </c>
      <c r="E19" s="4" t="s">
        <v>59</v>
      </c>
      <c r="F19" s="4" t="s">
        <v>60</v>
      </c>
      <c r="G19" s="7">
        <v>47622</v>
      </c>
      <c r="H19" s="4" t="s">
        <v>34</v>
      </c>
      <c r="I19" s="8">
        <v>37700</v>
      </c>
    </row>
    <row r="20" spans="1:9" ht="28.5">
      <c r="A20" s="5">
        <v>1</v>
      </c>
      <c r="B20" s="4" t="s">
        <v>56</v>
      </c>
      <c r="C20" s="6" t="s">
        <v>61</v>
      </c>
      <c r="D20" s="4" t="s">
        <v>62</v>
      </c>
      <c r="E20" s="4" t="s">
        <v>59</v>
      </c>
      <c r="F20" s="4" t="s">
        <v>60</v>
      </c>
      <c r="G20" s="7">
        <v>47622</v>
      </c>
      <c r="H20" s="4" t="s">
        <v>34</v>
      </c>
      <c r="I20" s="8">
        <v>38600</v>
      </c>
    </row>
    <row r="21" spans="1:9" ht="28.5">
      <c r="A21" s="5">
        <v>1</v>
      </c>
      <c r="B21" s="4" t="s">
        <v>56</v>
      </c>
      <c r="C21" s="6" t="s">
        <v>63</v>
      </c>
      <c r="D21" s="4" t="s">
        <v>64</v>
      </c>
      <c r="E21" s="4" t="s">
        <v>59</v>
      </c>
      <c r="F21" s="4" t="s">
        <v>60</v>
      </c>
      <c r="G21" s="7">
        <v>47622</v>
      </c>
      <c r="H21" s="4" t="s">
        <v>34</v>
      </c>
      <c r="I21" s="8">
        <v>17300</v>
      </c>
    </row>
    <row r="22" spans="1:9" ht="28.5">
      <c r="A22" s="5">
        <v>1</v>
      </c>
      <c r="B22" s="4" t="s">
        <v>65</v>
      </c>
      <c r="C22" s="6" t="s">
        <v>66</v>
      </c>
      <c r="D22" s="4" t="s">
        <v>67</v>
      </c>
      <c r="E22" s="4" t="s">
        <v>59</v>
      </c>
      <c r="F22" s="4" t="s">
        <v>60</v>
      </c>
      <c r="G22" s="7">
        <v>47622</v>
      </c>
      <c r="H22" s="4" t="s">
        <v>34</v>
      </c>
      <c r="I22" s="8">
        <v>16200</v>
      </c>
    </row>
    <row r="23" spans="1:9" ht="28.5">
      <c r="A23" s="5">
        <v>1</v>
      </c>
      <c r="B23" s="4" t="s">
        <v>65</v>
      </c>
      <c r="C23" s="6" t="s">
        <v>68</v>
      </c>
      <c r="D23" s="4" t="s">
        <v>69</v>
      </c>
      <c r="E23" s="4" t="s">
        <v>59</v>
      </c>
      <c r="F23" s="4" t="s">
        <v>60</v>
      </c>
      <c r="G23" s="7">
        <v>47622</v>
      </c>
      <c r="H23" s="4" t="s">
        <v>34</v>
      </c>
      <c r="I23" s="8">
        <v>20300</v>
      </c>
    </row>
    <row r="24" spans="1:9" ht="28.5">
      <c r="A24" s="5">
        <v>1</v>
      </c>
      <c r="B24" s="4" t="s">
        <v>65</v>
      </c>
      <c r="C24" s="6" t="s">
        <v>70</v>
      </c>
      <c r="D24" s="4" t="s">
        <v>71</v>
      </c>
      <c r="E24" s="4" t="s">
        <v>59</v>
      </c>
      <c r="F24" s="4" t="s">
        <v>60</v>
      </c>
      <c r="G24" s="7">
        <v>47622</v>
      </c>
      <c r="H24" s="4" t="s">
        <v>34</v>
      </c>
      <c r="I24" s="8">
        <v>29900</v>
      </c>
    </row>
    <row r="25" spans="1:9" ht="28.5">
      <c r="A25" s="5">
        <v>1</v>
      </c>
      <c r="B25" s="4" t="s">
        <v>65</v>
      </c>
      <c r="C25" s="6" t="s">
        <v>72</v>
      </c>
      <c r="D25" s="4" t="s">
        <v>73</v>
      </c>
      <c r="E25" s="4" t="s">
        <v>59</v>
      </c>
      <c r="F25" s="4" t="s">
        <v>60</v>
      </c>
      <c r="G25" s="7">
        <v>47622</v>
      </c>
      <c r="H25" s="4" t="s">
        <v>34</v>
      </c>
      <c r="I25" s="8">
        <v>50800</v>
      </c>
    </row>
    <row r="26" spans="1:9" ht="28.5">
      <c r="A26" s="5">
        <v>2</v>
      </c>
      <c r="B26" s="4" t="s">
        <v>74</v>
      </c>
      <c r="C26" s="6" t="s">
        <v>75</v>
      </c>
      <c r="D26" s="4" t="s">
        <v>76</v>
      </c>
      <c r="E26" s="4" t="s">
        <v>32</v>
      </c>
      <c r="F26" s="4" t="s">
        <v>60</v>
      </c>
      <c r="G26" s="7">
        <v>47622</v>
      </c>
      <c r="H26" s="4" t="s">
        <v>34</v>
      </c>
      <c r="I26" s="8">
        <v>4300</v>
      </c>
    </row>
    <row r="27" spans="1:9" ht="28.5">
      <c r="A27" s="5">
        <v>2</v>
      </c>
      <c r="B27" s="4" t="s">
        <v>74</v>
      </c>
      <c r="C27" s="6" t="s">
        <v>77</v>
      </c>
      <c r="D27" s="4" t="s">
        <v>78</v>
      </c>
      <c r="E27" s="4" t="s">
        <v>32</v>
      </c>
      <c r="F27" s="4" t="s">
        <v>60</v>
      </c>
      <c r="G27" s="7">
        <v>47622</v>
      </c>
      <c r="H27" s="4" t="s">
        <v>34</v>
      </c>
      <c r="I27" s="8">
        <v>16400</v>
      </c>
    </row>
    <row r="28" spans="1:9" ht="28.5">
      <c r="A28" s="5">
        <v>2</v>
      </c>
      <c r="B28" s="4" t="s">
        <v>74</v>
      </c>
      <c r="C28" s="6" t="s">
        <v>79</v>
      </c>
      <c r="D28" s="4" t="s">
        <v>80</v>
      </c>
      <c r="E28" s="4" t="s">
        <v>41</v>
      </c>
      <c r="F28" s="4" t="s">
        <v>60</v>
      </c>
      <c r="G28" s="7">
        <v>47622</v>
      </c>
      <c r="H28" s="4" t="s">
        <v>34</v>
      </c>
      <c r="I28" s="8">
        <v>13500</v>
      </c>
    </row>
    <row r="29" spans="1:9" ht="28.5">
      <c r="A29" s="5">
        <v>2</v>
      </c>
      <c r="B29" s="4" t="s">
        <v>74</v>
      </c>
      <c r="C29" s="6" t="s">
        <v>81</v>
      </c>
      <c r="D29" s="4" t="s">
        <v>82</v>
      </c>
      <c r="E29" s="4" t="s">
        <v>41</v>
      </c>
      <c r="F29" s="4" t="s">
        <v>60</v>
      </c>
      <c r="G29" s="7">
        <v>47622</v>
      </c>
      <c r="H29" s="4" t="s">
        <v>34</v>
      </c>
      <c r="I29" s="8">
        <v>16400</v>
      </c>
    </row>
    <row r="30" spans="1:9" ht="28.5">
      <c r="A30" s="5">
        <v>2</v>
      </c>
      <c r="B30" s="4" t="s">
        <v>74</v>
      </c>
      <c r="C30" s="6" t="s">
        <v>83</v>
      </c>
      <c r="D30" s="4" t="s">
        <v>84</v>
      </c>
      <c r="E30" s="4" t="s">
        <v>41</v>
      </c>
      <c r="F30" s="4" t="s">
        <v>60</v>
      </c>
      <c r="G30" s="7">
        <v>47622</v>
      </c>
      <c r="H30" s="4" t="s">
        <v>34</v>
      </c>
      <c r="I30" s="8">
        <v>28000</v>
      </c>
    </row>
    <row r="31" spans="1:9" ht="28.5">
      <c r="A31" s="5">
        <v>2</v>
      </c>
      <c r="B31" s="4" t="s">
        <v>85</v>
      </c>
      <c r="C31" s="6" t="s">
        <v>86</v>
      </c>
      <c r="D31" s="4" t="s">
        <v>87</v>
      </c>
      <c r="E31" s="4" t="s">
        <v>88</v>
      </c>
      <c r="F31" s="4" t="s">
        <v>60</v>
      </c>
      <c r="G31" s="7">
        <v>47622</v>
      </c>
      <c r="H31" s="4" t="s">
        <v>34</v>
      </c>
      <c r="I31" s="8">
        <v>87800</v>
      </c>
    </row>
    <row r="32" spans="1:9" ht="28.5">
      <c r="A32" s="5">
        <v>2</v>
      </c>
      <c r="B32" s="4" t="s">
        <v>89</v>
      </c>
      <c r="C32" s="6" t="s">
        <v>90</v>
      </c>
      <c r="D32" s="4" t="s">
        <v>91</v>
      </c>
      <c r="E32" s="4" t="s">
        <v>32</v>
      </c>
      <c r="F32" s="4" t="s">
        <v>60</v>
      </c>
      <c r="G32" s="7">
        <v>47622</v>
      </c>
      <c r="H32" s="4" t="s">
        <v>34</v>
      </c>
      <c r="I32" s="8">
        <v>62200</v>
      </c>
    </row>
    <row r="33" spans="1:9" ht="28.5">
      <c r="A33" s="5">
        <v>2</v>
      </c>
      <c r="B33" s="4" t="s">
        <v>89</v>
      </c>
      <c r="C33" s="6" t="s">
        <v>92</v>
      </c>
      <c r="D33" s="4" t="s">
        <v>93</v>
      </c>
      <c r="E33" s="4" t="s">
        <v>32</v>
      </c>
      <c r="F33" s="4" t="s">
        <v>60</v>
      </c>
      <c r="G33" s="7">
        <v>47622</v>
      </c>
      <c r="H33" s="4" t="s">
        <v>34</v>
      </c>
      <c r="I33" s="8">
        <v>100100</v>
      </c>
    </row>
    <row r="34" spans="1:9">
      <c r="A34" s="5">
        <v>2</v>
      </c>
      <c r="B34" s="4" t="s">
        <v>94</v>
      </c>
      <c r="C34" s="6" t="s">
        <v>95</v>
      </c>
      <c r="D34" s="4" t="s">
        <v>96</v>
      </c>
      <c r="E34" s="4" t="s">
        <v>41</v>
      </c>
      <c r="F34" s="4" t="s">
        <v>60</v>
      </c>
      <c r="G34" s="7">
        <v>47622</v>
      </c>
      <c r="H34" s="4" t="s">
        <v>34</v>
      </c>
      <c r="I34" s="8">
        <v>17300</v>
      </c>
    </row>
    <row r="35" spans="1:9">
      <c r="A35" s="5">
        <v>2</v>
      </c>
      <c r="B35" s="4" t="s">
        <v>94</v>
      </c>
      <c r="C35" s="6" t="s">
        <v>97</v>
      </c>
      <c r="D35" s="4" t="s">
        <v>98</v>
      </c>
      <c r="E35" s="4" t="s">
        <v>41</v>
      </c>
      <c r="F35" s="4" t="s">
        <v>60</v>
      </c>
      <c r="G35" s="7">
        <v>47622</v>
      </c>
      <c r="H35" s="4" t="s">
        <v>34</v>
      </c>
      <c r="I35" s="8">
        <v>29000</v>
      </c>
    </row>
    <row r="36" spans="1:9">
      <c r="A36" s="5">
        <v>2</v>
      </c>
      <c r="B36" s="4" t="s">
        <v>94</v>
      </c>
      <c r="C36" s="6" t="s">
        <v>99</v>
      </c>
      <c r="D36" s="4" t="s">
        <v>100</v>
      </c>
      <c r="E36" s="4" t="s">
        <v>41</v>
      </c>
      <c r="F36" s="4" t="s">
        <v>60</v>
      </c>
      <c r="G36" s="7">
        <v>47622</v>
      </c>
      <c r="H36" s="4" t="s">
        <v>34</v>
      </c>
      <c r="I36" s="8">
        <v>36700</v>
      </c>
    </row>
    <row r="37" spans="1:9">
      <c r="A37" s="5">
        <v>2</v>
      </c>
      <c r="B37" s="4" t="s">
        <v>94</v>
      </c>
      <c r="C37" s="6" t="s">
        <v>101</v>
      </c>
      <c r="D37" s="4" t="s">
        <v>102</v>
      </c>
      <c r="E37" s="4" t="s">
        <v>41</v>
      </c>
      <c r="F37" s="4" t="s">
        <v>60</v>
      </c>
      <c r="G37" s="7">
        <v>47622</v>
      </c>
      <c r="H37" s="4" t="s">
        <v>34</v>
      </c>
      <c r="I37" s="8">
        <v>75900</v>
      </c>
    </row>
    <row r="38" spans="1:9">
      <c r="A38" s="5">
        <v>2</v>
      </c>
      <c r="B38" s="4" t="s">
        <v>94</v>
      </c>
      <c r="C38" s="6" t="s">
        <v>103</v>
      </c>
      <c r="D38" s="4" t="s">
        <v>104</v>
      </c>
      <c r="E38" s="4" t="s">
        <v>105</v>
      </c>
      <c r="F38" s="4" t="s">
        <v>60</v>
      </c>
      <c r="G38" s="7">
        <v>47622</v>
      </c>
      <c r="H38" s="4" t="s">
        <v>34</v>
      </c>
      <c r="I38" s="8">
        <v>164200</v>
      </c>
    </row>
    <row r="39" spans="1:9">
      <c r="A39" s="5">
        <v>2</v>
      </c>
      <c r="B39" s="4" t="s">
        <v>106</v>
      </c>
      <c r="C39" s="6" t="s">
        <v>107</v>
      </c>
      <c r="D39" s="4" t="s">
        <v>108</v>
      </c>
      <c r="E39" s="4" t="s">
        <v>41</v>
      </c>
      <c r="F39" s="4" t="s">
        <v>60</v>
      </c>
      <c r="G39" s="7">
        <v>47622</v>
      </c>
      <c r="H39" s="4" t="s">
        <v>34</v>
      </c>
      <c r="I39" s="8">
        <v>62800</v>
      </c>
    </row>
    <row r="40" spans="1:9">
      <c r="A40" s="5">
        <v>2</v>
      </c>
      <c r="B40" s="4" t="s">
        <v>109</v>
      </c>
      <c r="C40" s="6" t="s">
        <v>110</v>
      </c>
      <c r="D40" s="4" t="s">
        <v>111</v>
      </c>
      <c r="E40" s="4" t="s">
        <v>41</v>
      </c>
      <c r="F40" s="4" t="s">
        <v>60</v>
      </c>
      <c r="G40" s="7">
        <v>47622</v>
      </c>
      <c r="H40" s="4" t="s">
        <v>34</v>
      </c>
      <c r="I40" s="8">
        <v>15900</v>
      </c>
    </row>
    <row r="41" spans="1:9">
      <c r="A41" s="5">
        <v>2</v>
      </c>
      <c r="B41" s="4" t="s">
        <v>109</v>
      </c>
      <c r="C41" s="6" t="s">
        <v>112</v>
      </c>
      <c r="D41" s="4" t="s">
        <v>113</v>
      </c>
      <c r="E41" s="4" t="s">
        <v>41</v>
      </c>
      <c r="F41" s="4" t="s">
        <v>60</v>
      </c>
      <c r="G41" s="7">
        <v>47622</v>
      </c>
      <c r="H41" s="4" t="s">
        <v>34</v>
      </c>
      <c r="I41" s="8">
        <v>16900</v>
      </c>
    </row>
    <row r="42" spans="1:9">
      <c r="A42" s="5">
        <v>2</v>
      </c>
      <c r="B42" s="4" t="s">
        <v>109</v>
      </c>
      <c r="C42" s="6" t="s">
        <v>114</v>
      </c>
      <c r="D42" s="4" t="s">
        <v>115</v>
      </c>
      <c r="E42" s="4" t="s">
        <v>41</v>
      </c>
      <c r="F42" s="4" t="s">
        <v>60</v>
      </c>
      <c r="G42" s="7">
        <v>47622</v>
      </c>
      <c r="H42" s="4" t="s">
        <v>34</v>
      </c>
      <c r="I42" s="8">
        <v>21900</v>
      </c>
    </row>
    <row r="43" spans="1:9">
      <c r="A43" s="5">
        <v>2</v>
      </c>
      <c r="B43" s="4" t="s">
        <v>109</v>
      </c>
      <c r="C43" s="6" t="s">
        <v>116</v>
      </c>
      <c r="D43" s="4" t="s">
        <v>117</v>
      </c>
      <c r="E43" s="4" t="s">
        <v>118</v>
      </c>
      <c r="F43" s="4" t="s">
        <v>60</v>
      </c>
      <c r="G43" s="7">
        <v>47622</v>
      </c>
      <c r="H43" s="4" t="s">
        <v>34</v>
      </c>
      <c r="I43" s="8">
        <v>125300</v>
      </c>
    </row>
    <row r="44" spans="1:9" ht="28.5">
      <c r="A44" s="5">
        <v>2</v>
      </c>
      <c r="B44" s="4" t="s">
        <v>119</v>
      </c>
      <c r="C44" s="6" t="s">
        <v>120</v>
      </c>
      <c r="D44" s="4" t="s">
        <v>121</v>
      </c>
      <c r="E44" s="4" t="s">
        <v>41</v>
      </c>
      <c r="F44" s="4" t="s">
        <v>122</v>
      </c>
      <c r="G44" s="7">
        <v>47600</v>
      </c>
      <c r="H44" s="4" t="s">
        <v>14</v>
      </c>
      <c r="I44" s="8">
        <v>38600</v>
      </c>
    </row>
    <row r="45" spans="1:9" ht="28.5">
      <c r="A45" s="5">
        <v>2</v>
      </c>
      <c r="B45" s="4" t="s">
        <v>119</v>
      </c>
      <c r="C45" s="6" t="s">
        <v>123</v>
      </c>
      <c r="D45" s="4" t="s">
        <v>124</v>
      </c>
      <c r="E45" s="4" t="s">
        <v>41</v>
      </c>
      <c r="F45" s="4" t="s">
        <v>122</v>
      </c>
      <c r="G45" s="7">
        <v>47600</v>
      </c>
      <c r="H45" s="4" t="s">
        <v>14</v>
      </c>
      <c r="I45" s="8">
        <v>107200</v>
      </c>
    </row>
    <row r="46" spans="1:9" ht="28.5">
      <c r="A46" s="5">
        <v>2</v>
      </c>
      <c r="B46" s="4" t="s">
        <v>119</v>
      </c>
      <c r="C46" s="6" t="s">
        <v>125</v>
      </c>
      <c r="D46" s="4" t="s">
        <v>126</v>
      </c>
      <c r="E46" s="4" t="s">
        <v>41</v>
      </c>
      <c r="F46" s="4" t="s">
        <v>122</v>
      </c>
      <c r="G46" s="7">
        <v>47600</v>
      </c>
      <c r="H46" s="4" t="s">
        <v>14</v>
      </c>
      <c r="I46" s="8">
        <v>114900</v>
      </c>
    </row>
    <row r="47" spans="1:9" ht="28.5">
      <c r="A47" s="5">
        <v>2</v>
      </c>
      <c r="B47" s="4" t="s">
        <v>119</v>
      </c>
      <c r="C47" s="6" t="s">
        <v>127</v>
      </c>
      <c r="D47" s="4" t="s">
        <v>128</v>
      </c>
      <c r="E47" s="4" t="s">
        <v>41</v>
      </c>
      <c r="F47" s="4" t="s">
        <v>122</v>
      </c>
      <c r="G47" s="7">
        <v>47600</v>
      </c>
      <c r="H47" s="4" t="s">
        <v>14</v>
      </c>
      <c r="I47" s="8">
        <v>129400</v>
      </c>
    </row>
    <row r="48" spans="1:9" ht="28.5">
      <c r="A48" s="5">
        <v>2</v>
      </c>
      <c r="B48" s="4" t="s">
        <v>119</v>
      </c>
      <c r="C48" s="6" t="s">
        <v>129</v>
      </c>
      <c r="D48" s="4" t="s">
        <v>130</v>
      </c>
      <c r="E48" s="4" t="s">
        <v>105</v>
      </c>
      <c r="F48" s="4" t="s">
        <v>122</v>
      </c>
      <c r="G48" s="7">
        <v>47600</v>
      </c>
      <c r="H48" s="4" t="s">
        <v>14</v>
      </c>
      <c r="I48" s="8">
        <v>338000</v>
      </c>
    </row>
    <row r="49" spans="1:9" ht="28.5">
      <c r="A49" s="5">
        <v>3</v>
      </c>
      <c r="B49" s="4" t="s">
        <v>131</v>
      </c>
      <c r="C49" s="6" t="s">
        <v>132</v>
      </c>
      <c r="D49" s="4" t="s">
        <v>133</v>
      </c>
      <c r="E49" s="4" t="s">
        <v>41</v>
      </c>
      <c r="F49" s="4" t="s">
        <v>122</v>
      </c>
      <c r="G49" s="7">
        <v>47600</v>
      </c>
      <c r="H49" s="4" t="s">
        <v>14</v>
      </c>
      <c r="I49" s="8">
        <v>28000</v>
      </c>
    </row>
    <row r="50" spans="1:9" ht="28.5">
      <c r="A50" s="5">
        <v>3</v>
      </c>
      <c r="B50" s="4" t="s">
        <v>131</v>
      </c>
      <c r="C50" s="6" t="s">
        <v>134</v>
      </c>
      <c r="D50" s="4" t="s">
        <v>135</v>
      </c>
      <c r="E50" s="4" t="s">
        <v>41</v>
      </c>
      <c r="F50" s="4" t="s">
        <v>122</v>
      </c>
      <c r="G50" s="7">
        <v>47600</v>
      </c>
      <c r="H50" s="4" t="s">
        <v>14</v>
      </c>
      <c r="I50" s="8">
        <v>49200</v>
      </c>
    </row>
    <row r="51" spans="1:9" ht="28.5">
      <c r="A51" s="5">
        <v>3</v>
      </c>
      <c r="B51" s="4" t="s">
        <v>131</v>
      </c>
      <c r="C51" s="6" t="s">
        <v>136</v>
      </c>
      <c r="D51" s="4" t="s">
        <v>137</v>
      </c>
      <c r="E51" s="4" t="s">
        <v>41</v>
      </c>
      <c r="F51" s="4" t="s">
        <v>122</v>
      </c>
      <c r="G51" s="7">
        <v>47600</v>
      </c>
      <c r="H51" s="4" t="s">
        <v>14</v>
      </c>
      <c r="I51" s="8">
        <v>141600</v>
      </c>
    </row>
    <row r="52" spans="1:9" ht="28.5">
      <c r="A52" s="5">
        <v>3</v>
      </c>
      <c r="B52" s="4" t="s">
        <v>131</v>
      </c>
      <c r="C52" s="6" t="s">
        <v>138</v>
      </c>
      <c r="D52" s="4" t="s">
        <v>139</v>
      </c>
      <c r="E52" s="4" t="s">
        <v>41</v>
      </c>
      <c r="F52" s="4" t="s">
        <v>122</v>
      </c>
      <c r="G52" s="7">
        <v>47600</v>
      </c>
      <c r="H52" s="4" t="s">
        <v>14</v>
      </c>
      <c r="I52" s="8">
        <v>174700</v>
      </c>
    </row>
    <row r="53" spans="1:9" ht="28.5">
      <c r="A53" s="5">
        <v>3</v>
      </c>
      <c r="B53" s="4" t="s">
        <v>131</v>
      </c>
      <c r="C53" s="6" t="s">
        <v>140</v>
      </c>
      <c r="D53" s="4" t="s">
        <v>141</v>
      </c>
      <c r="E53" s="4" t="s">
        <v>41</v>
      </c>
      <c r="F53" s="4" t="s">
        <v>122</v>
      </c>
      <c r="G53" s="7">
        <v>47600</v>
      </c>
      <c r="H53" s="4" t="s">
        <v>14</v>
      </c>
      <c r="I53" s="8">
        <v>204000</v>
      </c>
    </row>
    <row r="54" spans="1:9" ht="28.5">
      <c r="A54" s="5">
        <v>3</v>
      </c>
      <c r="B54" s="4" t="s">
        <v>131</v>
      </c>
      <c r="C54" s="6" t="s">
        <v>142</v>
      </c>
      <c r="D54" s="4" t="s">
        <v>143</v>
      </c>
      <c r="E54" s="4" t="s">
        <v>41</v>
      </c>
      <c r="F54" s="4" t="s">
        <v>122</v>
      </c>
      <c r="G54" s="7">
        <v>47600</v>
      </c>
      <c r="H54" s="4" t="s">
        <v>14</v>
      </c>
      <c r="I54" s="8">
        <v>97500</v>
      </c>
    </row>
    <row r="55" spans="1:9" ht="28.5">
      <c r="A55" s="5">
        <v>3</v>
      </c>
      <c r="B55" s="4" t="s">
        <v>131</v>
      </c>
      <c r="C55" s="6" t="s">
        <v>144</v>
      </c>
      <c r="D55" s="4" t="s">
        <v>145</v>
      </c>
      <c r="E55" s="4" t="s">
        <v>41</v>
      </c>
      <c r="F55" s="4" t="s">
        <v>122</v>
      </c>
      <c r="G55" s="7">
        <v>47600</v>
      </c>
      <c r="H55" s="4" t="s">
        <v>14</v>
      </c>
      <c r="I55" s="8">
        <v>183500</v>
      </c>
    </row>
    <row r="56" spans="1:9" ht="42.75">
      <c r="A56" s="5">
        <v>3</v>
      </c>
      <c r="B56" s="4" t="s">
        <v>146</v>
      </c>
      <c r="C56" s="6" t="s">
        <v>147</v>
      </c>
      <c r="D56" s="4" t="s">
        <v>148</v>
      </c>
      <c r="E56" s="4" t="s">
        <v>41</v>
      </c>
      <c r="F56" s="4" t="s">
        <v>122</v>
      </c>
      <c r="G56" s="7">
        <v>47600</v>
      </c>
      <c r="H56" s="4" t="s">
        <v>14</v>
      </c>
      <c r="I56" s="8">
        <v>208400</v>
      </c>
    </row>
    <row r="57" spans="1:9" ht="42.75">
      <c r="A57" s="5">
        <v>3</v>
      </c>
      <c r="B57" s="4" t="s">
        <v>146</v>
      </c>
      <c r="C57" s="6" t="s">
        <v>149</v>
      </c>
      <c r="D57" s="4" t="s">
        <v>150</v>
      </c>
      <c r="E57" s="4" t="s">
        <v>41</v>
      </c>
      <c r="F57" s="4" t="s">
        <v>122</v>
      </c>
      <c r="G57" s="7">
        <v>47600</v>
      </c>
      <c r="H57" s="4" t="s">
        <v>14</v>
      </c>
      <c r="I57" s="8">
        <v>241400</v>
      </c>
    </row>
    <row r="58" spans="1:9" ht="28.5">
      <c r="A58" s="5">
        <v>3</v>
      </c>
      <c r="B58" s="4" t="s">
        <v>151</v>
      </c>
      <c r="C58" s="6" t="s">
        <v>152</v>
      </c>
      <c r="D58" s="4" t="s">
        <v>153</v>
      </c>
      <c r="E58" s="4" t="s">
        <v>41</v>
      </c>
      <c r="F58" s="4" t="s">
        <v>60</v>
      </c>
      <c r="G58" s="7">
        <v>47622</v>
      </c>
      <c r="H58" s="4" t="s">
        <v>34</v>
      </c>
      <c r="I58" s="8">
        <v>49000</v>
      </c>
    </row>
    <row r="59" spans="1:9" ht="28.5">
      <c r="A59" s="5">
        <v>3</v>
      </c>
      <c r="B59" s="4" t="s">
        <v>151</v>
      </c>
      <c r="C59" s="6" t="s">
        <v>154</v>
      </c>
      <c r="D59" s="4" t="s">
        <v>155</v>
      </c>
      <c r="E59" s="4" t="s">
        <v>118</v>
      </c>
      <c r="F59" s="4" t="s">
        <v>60</v>
      </c>
      <c r="G59" s="7">
        <v>47622</v>
      </c>
      <c r="H59" s="4" t="s">
        <v>34</v>
      </c>
      <c r="I59" s="8">
        <v>125000</v>
      </c>
    </row>
    <row r="60" spans="1:9" ht="28.5">
      <c r="A60" s="5">
        <v>3</v>
      </c>
      <c r="B60" s="4" t="s">
        <v>156</v>
      </c>
      <c r="C60" s="6" t="s">
        <v>157</v>
      </c>
      <c r="D60" s="4" t="s">
        <v>158</v>
      </c>
      <c r="E60" s="4" t="s">
        <v>41</v>
      </c>
      <c r="F60" s="4" t="s">
        <v>122</v>
      </c>
      <c r="G60" s="7">
        <v>47600</v>
      </c>
      <c r="H60" s="4" t="s">
        <v>14</v>
      </c>
      <c r="I60" s="8">
        <v>114900</v>
      </c>
    </row>
    <row r="61" spans="1:9" ht="28.5">
      <c r="A61" s="5">
        <v>3</v>
      </c>
      <c r="B61" s="4" t="s">
        <v>156</v>
      </c>
      <c r="C61" s="6" t="s">
        <v>159</v>
      </c>
      <c r="D61" s="4" t="s">
        <v>160</v>
      </c>
      <c r="E61" s="4" t="s">
        <v>32</v>
      </c>
      <c r="F61" s="4" t="s">
        <v>122</v>
      </c>
      <c r="G61" s="7">
        <v>47600</v>
      </c>
      <c r="H61" s="4" t="s">
        <v>14</v>
      </c>
      <c r="I61" s="8">
        <v>224100</v>
      </c>
    </row>
    <row r="62" spans="1:9" ht="28.5">
      <c r="A62" s="5">
        <v>3</v>
      </c>
      <c r="B62" s="4" t="s">
        <v>156</v>
      </c>
      <c r="C62" s="6" t="s">
        <v>161</v>
      </c>
      <c r="D62" s="4" t="s">
        <v>162</v>
      </c>
      <c r="E62" s="4" t="s">
        <v>105</v>
      </c>
      <c r="F62" s="4" t="s">
        <v>122</v>
      </c>
      <c r="G62" s="7">
        <v>47600</v>
      </c>
      <c r="H62" s="4" t="s">
        <v>14</v>
      </c>
      <c r="I62" s="8">
        <v>386300</v>
      </c>
    </row>
    <row r="63" spans="1:9" ht="28.5">
      <c r="A63" s="5">
        <v>3</v>
      </c>
      <c r="B63" s="4" t="s">
        <v>163</v>
      </c>
      <c r="C63" s="6" t="s">
        <v>164</v>
      </c>
      <c r="D63" s="4" t="s">
        <v>165</v>
      </c>
      <c r="E63" s="4" t="s">
        <v>32</v>
      </c>
      <c r="F63" s="4" t="s">
        <v>166</v>
      </c>
      <c r="G63" s="7">
        <v>48816</v>
      </c>
      <c r="H63" s="4" t="s">
        <v>34</v>
      </c>
      <c r="I63" s="8">
        <v>23000</v>
      </c>
    </row>
    <row r="64" spans="1:9" ht="28.5">
      <c r="A64" s="5">
        <v>3</v>
      </c>
      <c r="B64" s="4" t="s">
        <v>163</v>
      </c>
      <c r="C64" s="6" t="s">
        <v>167</v>
      </c>
      <c r="D64" s="4" t="s">
        <v>168</v>
      </c>
      <c r="E64" s="4" t="s">
        <v>32</v>
      </c>
      <c r="F64" s="4" t="s">
        <v>166</v>
      </c>
      <c r="G64" s="7">
        <v>48816</v>
      </c>
      <c r="H64" s="4" t="s">
        <v>34</v>
      </c>
      <c r="I64" s="8">
        <v>27300</v>
      </c>
    </row>
    <row r="65" spans="1:9" ht="28.5">
      <c r="A65" s="5">
        <v>3</v>
      </c>
      <c r="B65" s="4" t="s">
        <v>163</v>
      </c>
      <c r="C65" s="6" t="s">
        <v>169</v>
      </c>
      <c r="D65" s="4" t="s">
        <v>170</v>
      </c>
      <c r="E65" s="4" t="s">
        <v>32</v>
      </c>
      <c r="F65" s="4" t="s">
        <v>166</v>
      </c>
      <c r="G65" s="7">
        <v>48816</v>
      </c>
      <c r="H65" s="4" t="s">
        <v>34</v>
      </c>
      <c r="I65" s="8">
        <v>38000</v>
      </c>
    </row>
    <row r="66" spans="1:9" ht="28.5">
      <c r="A66" s="5">
        <v>3</v>
      </c>
      <c r="B66" s="4" t="s">
        <v>163</v>
      </c>
      <c r="C66" s="6" t="s">
        <v>171</v>
      </c>
      <c r="D66" s="4" t="s">
        <v>172</v>
      </c>
      <c r="E66" s="4" t="s">
        <v>32</v>
      </c>
      <c r="F66" s="4" t="s">
        <v>166</v>
      </c>
      <c r="G66" s="7">
        <v>48816</v>
      </c>
      <c r="H66" s="4" t="s">
        <v>34</v>
      </c>
      <c r="I66" s="8">
        <v>39800</v>
      </c>
    </row>
    <row r="67" spans="1:9" ht="28.5">
      <c r="A67" s="5">
        <v>3</v>
      </c>
      <c r="B67" s="4" t="s">
        <v>163</v>
      </c>
      <c r="C67" s="6" t="s">
        <v>173</v>
      </c>
      <c r="D67" s="4" t="s">
        <v>174</v>
      </c>
      <c r="E67" s="4" t="s">
        <v>32</v>
      </c>
      <c r="F67" s="4" t="s">
        <v>166</v>
      </c>
      <c r="G67" s="7">
        <v>48816</v>
      </c>
      <c r="H67" s="4" t="s">
        <v>34</v>
      </c>
      <c r="I67" s="8">
        <v>42200</v>
      </c>
    </row>
    <row r="68" spans="1:9" ht="28.5">
      <c r="A68" s="5">
        <v>3</v>
      </c>
      <c r="B68" s="4" t="s">
        <v>163</v>
      </c>
      <c r="C68" s="6" t="s">
        <v>175</v>
      </c>
      <c r="D68" s="4" t="s">
        <v>176</v>
      </c>
      <c r="E68" s="4" t="s">
        <v>32</v>
      </c>
      <c r="F68" s="4" t="s">
        <v>166</v>
      </c>
      <c r="G68" s="7">
        <v>48816</v>
      </c>
      <c r="H68" s="4" t="s">
        <v>34</v>
      </c>
      <c r="I68" s="8">
        <v>51600</v>
      </c>
    </row>
    <row r="69" spans="1:9" ht="28.5">
      <c r="A69" s="5">
        <v>3</v>
      </c>
      <c r="B69" s="4" t="s">
        <v>177</v>
      </c>
      <c r="C69" s="6" t="s">
        <v>178</v>
      </c>
      <c r="D69" s="4" t="s">
        <v>179</v>
      </c>
      <c r="E69" s="4" t="s">
        <v>41</v>
      </c>
      <c r="F69" s="4" t="s">
        <v>180</v>
      </c>
      <c r="G69" s="7">
        <v>47978</v>
      </c>
      <c r="H69" s="4" t="s">
        <v>181</v>
      </c>
      <c r="I69" s="8">
        <v>77300</v>
      </c>
    </row>
    <row r="70" spans="1:9" ht="28.5">
      <c r="A70" s="5">
        <v>3</v>
      </c>
      <c r="B70" s="4" t="s">
        <v>177</v>
      </c>
      <c r="C70" s="6" t="s">
        <v>182</v>
      </c>
      <c r="D70" s="4" t="s">
        <v>183</v>
      </c>
      <c r="E70" s="4" t="s">
        <v>41</v>
      </c>
      <c r="F70" s="4" t="s">
        <v>180</v>
      </c>
      <c r="G70" s="7">
        <v>47978</v>
      </c>
      <c r="H70" s="4" t="s">
        <v>181</v>
      </c>
      <c r="I70" s="8">
        <v>38600</v>
      </c>
    </row>
    <row r="71" spans="1:9">
      <c r="A71" s="5">
        <v>4</v>
      </c>
      <c r="B71" s="4" t="s">
        <v>184</v>
      </c>
      <c r="C71" s="6" t="s">
        <v>185</v>
      </c>
      <c r="D71" s="4" t="s">
        <v>186</v>
      </c>
      <c r="E71" s="4" t="s">
        <v>187</v>
      </c>
      <c r="F71" s="4" t="s">
        <v>180</v>
      </c>
      <c r="G71" s="7">
        <v>47978</v>
      </c>
      <c r="H71" s="4" t="s">
        <v>181</v>
      </c>
      <c r="I71" s="8">
        <v>70700</v>
      </c>
    </row>
    <row r="72" spans="1:9">
      <c r="A72" s="5">
        <v>4</v>
      </c>
      <c r="B72" s="4" t="s">
        <v>184</v>
      </c>
      <c r="C72" s="6" t="s">
        <v>188</v>
      </c>
      <c r="D72" s="4" t="s">
        <v>189</v>
      </c>
      <c r="E72" s="4" t="s">
        <v>187</v>
      </c>
      <c r="F72" s="4" t="s">
        <v>180</v>
      </c>
      <c r="G72" s="7">
        <v>47978</v>
      </c>
      <c r="H72" s="4" t="s">
        <v>181</v>
      </c>
      <c r="I72" s="8">
        <v>64900</v>
      </c>
    </row>
    <row r="73" spans="1:9" ht="28.5">
      <c r="A73" s="5">
        <v>4</v>
      </c>
      <c r="B73" s="4" t="s">
        <v>190</v>
      </c>
      <c r="C73" s="6" t="s">
        <v>191</v>
      </c>
      <c r="D73" s="4" t="s">
        <v>192</v>
      </c>
      <c r="E73" s="4" t="s">
        <v>32</v>
      </c>
      <c r="F73" s="4" t="s">
        <v>180</v>
      </c>
      <c r="G73" s="7">
        <v>47978</v>
      </c>
      <c r="H73" s="4" t="s">
        <v>181</v>
      </c>
      <c r="I73" s="8">
        <v>24200</v>
      </c>
    </row>
    <row r="74" spans="1:9" ht="28.5">
      <c r="A74" s="5">
        <v>4</v>
      </c>
      <c r="B74" s="4" t="s">
        <v>190</v>
      </c>
      <c r="C74" s="6" t="s">
        <v>193</v>
      </c>
      <c r="D74" s="4" t="s">
        <v>194</v>
      </c>
      <c r="E74" s="4" t="s">
        <v>32</v>
      </c>
      <c r="F74" s="4" t="s">
        <v>180</v>
      </c>
      <c r="G74" s="7">
        <v>47978</v>
      </c>
      <c r="H74" s="4" t="s">
        <v>181</v>
      </c>
      <c r="I74" s="8">
        <v>50300</v>
      </c>
    </row>
    <row r="75" spans="1:9" ht="28.5">
      <c r="A75" s="5">
        <v>4</v>
      </c>
      <c r="B75" s="4" t="s">
        <v>190</v>
      </c>
      <c r="C75" s="6" t="s">
        <v>195</v>
      </c>
      <c r="D75" s="4" t="s">
        <v>196</v>
      </c>
      <c r="E75" s="4" t="s">
        <v>41</v>
      </c>
      <c r="F75" s="4" t="s">
        <v>180</v>
      </c>
      <c r="G75" s="7">
        <v>47978</v>
      </c>
      <c r="H75" s="4" t="s">
        <v>181</v>
      </c>
      <c r="I75" s="8">
        <v>144800</v>
      </c>
    </row>
    <row r="76" spans="1:9" ht="28.5">
      <c r="A76" s="5">
        <v>4</v>
      </c>
      <c r="B76" s="4" t="s">
        <v>190</v>
      </c>
      <c r="C76" s="6" t="s">
        <v>197</v>
      </c>
      <c r="D76" s="4" t="s">
        <v>198</v>
      </c>
      <c r="E76" s="4" t="s">
        <v>32</v>
      </c>
      <c r="F76" s="4" t="s">
        <v>180</v>
      </c>
      <c r="G76" s="7">
        <v>47978</v>
      </c>
      <c r="H76" s="4" t="s">
        <v>181</v>
      </c>
      <c r="I76" s="8">
        <v>14500</v>
      </c>
    </row>
    <row r="77" spans="1:9" ht="28.5">
      <c r="A77" s="5">
        <v>4</v>
      </c>
      <c r="B77" s="4" t="s">
        <v>199</v>
      </c>
      <c r="C77" s="6" t="s">
        <v>200</v>
      </c>
      <c r="D77" s="4" t="s">
        <v>201</v>
      </c>
      <c r="E77" s="4" t="s">
        <v>32</v>
      </c>
      <c r="F77" s="4" t="s">
        <v>180</v>
      </c>
      <c r="G77" s="7">
        <v>47978</v>
      </c>
      <c r="H77" s="4" t="s">
        <v>181</v>
      </c>
      <c r="I77" s="8">
        <v>50300</v>
      </c>
    </row>
    <row r="78" spans="1:9" ht="28.5">
      <c r="A78" s="5">
        <v>4</v>
      </c>
      <c r="B78" s="4" t="s">
        <v>199</v>
      </c>
      <c r="C78" s="6" t="s">
        <v>202</v>
      </c>
      <c r="D78" s="4" t="s">
        <v>203</v>
      </c>
      <c r="E78" s="4" t="s">
        <v>41</v>
      </c>
      <c r="F78" s="4" t="s">
        <v>180</v>
      </c>
      <c r="G78" s="7">
        <v>47978</v>
      </c>
      <c r="H78" s="4" t="s">
        <v>181</v>
      </c>
      <c r="I78" s="8">
        <v>115900</v>
      </c>
    </row>
    <row r="79" spans="1:9" ht="28.5">
      <c r="A79" s="5">
        <v>4</v>
      </c>
      <c r="B79" s="4" t="s">
        <v>199</v>
      </c>
      <c r="C79" s="6" t="s">
        <v>204</v>
      </c>
      <c r="D79" s="4" t="s">
        <v>205</v>
      </c>
      <c r="E79" s="4" t="s">
        <v>32</v>
      </c>
      <c r="F79" s="4" t="s">
        <v>180</v>
      </c>
      <c r="G79" s="7">
        <v>47978</v>
      </c>
      <c r="H79" s="4" t="s">
        <v>181</v>
      </c>
      <c r="I79" s="8">
        <v>21900</v>
      </c>
    </row>
    <row r="80" spans="1:9" ht="28.5">
      <c r="A80" s="5">
        <v>4</v>
      </c>
      <c r="B80" s="4" t="s">
        <v>199</v>
      </c>
      <c r="C80" s="6" t="s">
        <v>206</v>
      </c>
      <c r="D80" s="4" t="s">
        <v>207</v>
      </c>
      <c r="E80" s="4" t="s">
        <v>32</v>
      </c>
      <c r="F80" s="4" t="s">
        <v>180</v>
      </c>
      <c r="G80" s="7">
        <v>47978</v>
      </c>
      <c r="H80" s="4" t="s">
        <v>181</v>
      </c>
      <c r="I80" s="8">
        <v>27000</v>
      </c>
    </row>
    <row r="81" spans="1:9">
      <c r="A81" s="5">
        <v>4</v>
      </c>
      <c r="B81" s="4" t="s">
        <v>208</v>
      </c>
      <c r="C81" s="6" t="s">
        <v>209</v>
      </c>
      <c r="D81" s="4" t="s">
        <v>210</v>
      </c>
      <c r="E81" s="4" t="s">
        <v>32</v>
      </c>
      <c r="F81" s="4" t="s">
        <v>211</v>
      </c>
      <c r="G81" s="7">
        <v>47051</v>
      </c>
      <c r="H81" s="4" t="s">
        <v>181</v>
      </c>
      <c r="I81" s="8">
        <v>26750</v>
      </c>
    </row>
    <row r="82" spans="1:9">
      <c r="A82" s="5">
        <v>4</v>
      </c>
      <c r="B82" s="4" t="s">
        <v>208</v>
      </c>
      <c r="C82" s="6" t="s">
        <v>212</v>
      </c>
      <c r="D82" s="4" t="s">
        <v>213</v>
      </c>
      <c r="E82" s="4" t="s">
        <v>41</v>
      </c>
      <c r="F82" s="4" t="s">
        <v>211</v>
      </c>
      <c r="G82" s="7">
        <v>47051</v>
      </c>
      <c r="H82" s="4" t="s">
        <v>181</v>
      </c>
      <c r="I82" s="8">
        <v>31750</v>
      </c>
    </row>
    <row r="83" spans="1:9">
      <c r="A83" s="5">
        <v>4</v>
      </c>
      <c r="B83" s="4" t="s">
        <v>208</v>
      </c>
      <c r="C83" s="6" t="s">
        <v>214</v>
      </c>
      <c r="D83" s="4" t="s">
        <v>215</v>
      </c>
      <c r="E83" s="4" t="s">
        <v>41</v>
      </c>
      <c r="F83" s="4" t="s">
        <v>211</v>
      </c>
      <c r="G83" s="7">
        <v>47051</v>
      </c>
      <c r="H83" s="4" t="s">
        <v>181</v>
      </c>
      <c r="I83" s="8">
        <v>36750</v>
      </c>
    </row>
    <row r="84" spans="1:9">
      <c r="A84" s="5">
        <v>4</v>
      </c>
      <c r="B84" s="4" t="s">
        <v>208</v>
      </c>
      <c r="C84" s="6" t="s">
        <v>216</v>
      </c>
      <c r="D84" s="4" t="s">
        <v>217</v>
      </c>
      <c r="E84" s="4" t="s">
        <v>41</v>
      </c>
      <c r="F84" s="4" t="s">
        <v>211</v>
      </c>
      <c r="G84" s="7">
        <v>47051</v>
      </c>
      <c r="H84" s="4" t="s">
        <v>181</v>
      </c>
      <c r="I84" s="8">
        <v>41750</v>
      </c>
    </row>
    <row r="85" spans="1:9">
      <c r="A85" s="5">
        <v>4</v>
      </c>
      <c r="B85" s="4" t="s">
        <v>208</v>
      </c>
      <c r="C85" s="6" t="s">
        <v>218</v>
      </c>
      <c r="D85" s="4" t="s">
        <v>219</v>
      </c>
      <c r="E85" s="4" t="s">
        <v>41</v>
      </c>
      <c r="F85" s="4" t="s">
        <v>211</v>
      </c>
      <c r="G85" s="7">
        <v>47051</v>
      </c>
      <c r="H85" s="4" t="s">
        <v>181</v>
      </c>
      <c r="I85" s="8">
        <v>46750</v>
      </c>
    </row>
    <row r="86" spans="1:9" ht="28.5">
      <c r="A86" s="5">
        <v>4</v>
      </c>
      <c r="B86" s="4" t="s">
        <v>220</v>
      </c>
      <c r="C86" s="6" t="s">
        <v>221</v>
      </c>
      <c r="D86" s="4" t="s">
        <v>222</v>
      </c>
      <c r="E86" s="4" t="s">
        <v>41</v>
      </c>
      <c r="F86" s="4" t="s">
        <v>122</v>
      </c>
      <c r="G86" s="7">
        <v>47600</v>
      </c>
      <c r="H86" s="4" t="s">
        <v>14</v>
      </c>
      <c r="I86" s="8">
        <v>107000</v>
      </c>
    </row>
    <row r="87" spans="1:9" ht="28.5">
      <c r="A87" s="5">
        <v>4</v>
      </c>
      <c r="B87" s="4" t="s">
        <v>220</v>
      </c>
      <c r="C87" s="6" t="s">
        <v>223</v>
      </c>
      <c r="D87" s="4" t="s">
        <v>224</v>
      </c>
      <c r="E87" s="4" t="s">
        <v>41</v>
      </c>
      <c r="F87" s="4" t="s">
        <v>122</v>
      </c>
      <c r="G87" s="7">
        <v>47600</v>
      </c>
      <c r="H87" s="4" t="s">
        <v>14</v>
      </c>
      <c r="I87" s="8">
        <v>117700</v>
      </c>
    </row>
    <row r="88" spans="1:9" ht="28.5">
      <c r="A88" s="5">
        <v>4</v>
      </c>
      <c r="B88" s="4" t="s">
        <v>220</v>
      </c>
      <c r="C88" s="6" t="s">
        <v>225</v>
      </c>
      <c r="D88" s="4" t="s">
        <v>226</v>
      </c>
      <c r="E88" s="4" t="s">
        <v>41</v>
      </c>
      <c r="F88" s="4" t="s">
        <v>122</v>
      </c>
      <c r="G88" s="7">
        <v>47600</v>
      </c>
      <c r="H88" s="4" t="s">
        <v>14</v>
      </c>
      <c r="I88" s="8">
        <v>144450</v>
      </c>
    </row>
    <row r="89" spans="1:9" ht="28.5">
      <c r="A89" s="5">
        <v>4</v>
      </c>
      <c r="B89" s="4" t="s">
        <v>220</v>
      </c>
      <c r="C89" s="6" t="s">
        <v>227</v>
      </c>
      <c r="D89" s="4" t="s">
        <v>228</v>
      </c>
      <c r="E89" s="4" t="s">
        <v>41</v>
      </c>
      <c r="F89" s="4" t="s">
        <v>122</v>
      </c>
      <c r="G89" s="7">
        <v>47600</v>
      </c>
      <c r="H89" s="4" t="s">
        <v>14</v>
      </c>
      <c r="I89" s="8">
        <v>149800</v>
      </c>
    </row>
    <row r="90" spans="1:9" ht="28.5">
      <c r="A90" s="5">
        <v>4</v>
      </c>
      <c r="B90" s="4" t="s">
        <v>220</v>
      </c>
      <c r="C90" s="6" t="s">
        <v>229</v>
      </c>
      <c r="D90" s="4" t="s">
        <v>230</v>
      </c>
      <c r="E90" s="4" t="s">
        <v>41</v>
      </c>
      <c r="F90" s="4" t="s">
        <v>122</v>
      </c>
      <c r="G90" s="7">
        <v>47600</v>
      </c>
      <c r="H90" s="4" t="s">
        <v>14</v>
      </c>
      <c r="I90" s="8">
        <v>160500</v>
      </c>
    </row>
    <row r="91" spans="1:9">
      <c r="A91" s="5">
        <v>4</v>
      </c>
      <c r="B91" s="4" t="s">
        <v>231</v>
      </c>
      <c r="C91" s="6" t="s">
        <v>232</v>
      </c>
      <c r="D91" s="4" t="s">
        <v>233</v>
      </c>
      <c r="E91" s="4" t="s">
        <v>12</v>
      </c>
      <c r="F91" s="4" t="s">
        <v>234</v>
      </c>
      <c r="G91" s="7">
        <v>48561</v>
      </c>
      <c r="H91" s="4" t="s">
        <v>235</v>
      </c>
      <c r="I91" s="8">
        <v>43500</v>
      </c>
    </row>
    <row r="92" spans="1:9" ht="28.5">
      <c r="A92" s="5">
        <v>5</v>
      </c>
      <c r="B92" s="4" t="s">
        <v>236</v>
      </c>
      <c r="C92" s="6" t="s">
        <v>237</v>
      </c>
      <c r="D92" s="4" t="s">
        <v>238</v>
      </c>
      <c r="E92" s="4" t="s">
        <v>12</v>
      </c>
      <c r="F92" s="4" t="s">
        <v>239</v>
      </c>
      <c r="G92" s="7">
        <v>47051</v>
      </c>
      <c r="H92" s="4" t="s">
        <v>235</v>
      </c>
      <c r="I92" s="8">
        <v>89500</v>
      </c>
    </row>
    <row r="93" spans="1:9" ht="28.5">
      <c r="A93" s="5">
        <v>5</v>
      </c>
      <c r="B93" s="4" t="s">
        <v>236</v>
      </c>
      <c r="C93" s="6" t="s">
        <v>240</v>
      </c>
      <c r="D93" s="4" t="s">
        <v>241</v>
      </c>
      <c r="E93" s="4" t="s">
        <v>12</v>
      </c>
      <c r="F93" s="4" t="s">
        <v>239</v>
      </c>
      <c r="G93" s="7">
        <v>47051</v>
      </c>
      <c r="H93" s="4" t="s">
        <v>235</v>
      </c>
      <c r="I93" s="8">
        <v>67900</v>
      </c>
    </row>
    <row r="94" spans="1:9" ht="28.5">
      <c r="A94" s="5">
        <v>5</v>
      </c>
      <c r="B94" s="4" t="s">
        <v>236</v>
      </c>
      <c r="C94" s="6" t="s">
        <v>242</v>
      </c>
      <c r="D94" s="4" t="s">
        <v>243</v>
      </c>
      <c r="E94" s="4" t="s">
        <v>12</v>
      </c>
      <c r="F94" s="4" t="s">
        <v>239</v>
      </c>
      <c r="G94" s="7">
        <v>47051</v>
      </c>
      <c r="H94" s="4" t="s">
        <v>235</v>
      </c>
      <c r="I94" s="8">
        <v>50300</v>
      </c>
    </row>
    <row r="95" spans="1:9" ht="28.5">
      <c r="A95" s="5">
        <v>5</v>
      </c>
      <c r="B95" s="4" t="s">
        <v>236</v>
      </c>
      <c r="C95" s="6" t="s">
        <v>244</v>
      </c>
      <c r="D95" s="4" t="s">
        <v>245</v>
      </c>
      <c r="E95" s="4" t="s">
        <v>12</v>
      </c>
      <c r="F95" s="4" t="s">
        <v>239</v>
      </c>
      <c r="G95" s="7">
        <v>47051</v>
      </c>
      <c r="H95" s="4" t="s">
        <v>235</v>
      </c>
      <c r="I95" s="8">
        <v>53300</v>
      </c>
    </row>
    <row r="96" spans="1:9" ht="28.5">
      <c r="A96" s="5">
        <v>5</v>
      </c>
      <c r="B96" s="4" t="s">
        <v>236</v>
      </c>
      <c r="C96" s="6" t="s">
        <v>246</v>
      </c>
      <c r="D96" s="4" t="s">
        <v>247</v>
      </c>
      <c r="E96" s="4" t="s">
        <v>12</v>
      </c>
      <c r="F96" s="4" t="s">
        <v>239</v>
      </c>
      <c r="G96" s="7">
        <v>47051</v>
      </c>
      <c r="H96" s="4" t="s">
        <v>235</v>
      </c>
      <c r="I96" s="8">
        <v>200900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4"/>
  <sheetViews>
    <sheetView workbookViewId="0"/>
  </sheetViews>
  <sheetFormatPr baseColWidth="10" defaultColWidth="9" defaultRowHeight="14.25"/>
  <cols>
    <col min="1" max="1" width="55" customWidth="1"/>
    <col min="2" max="2" width="20" customWidth="1"/>
    <col min="3" max="3" width="22" customWidth="1"/>
    <col min="4" max="5" width="20" customWidth="1"/>
  </cols>
  <sheetData>
    <row r="1" spans="1:5" ht="15">
      <c r="A1" s="1" t="s">
        <v>248</v>
      </c>
      <c r="B1" s="1" t="s">
        <v>249</v>
      </c>
      <c r="C1" s="1"/>
      <c r="D1" s="1"/>
    </row>
    <row r="2" spans="1:5">
      <c r="A2" s="3" t="s">
        <v>250</v>
      </c>
      <c r="B2" s="3">
        <v>95</v>
      </c>
      <c r="C2" s="3"/>
      <c r="D2" s="3"/>
    </row>
    <row r="3" spans="1:5">
      <c r="A3" s="3" t="s">
        <v>251</v>
      </c>
      <c r="B3" s="9">
        <f>MIN('Referencias digitalizadas'!I2:I96)</f>
        <v>4300</v>
      </c>
      <c r="C3" s="3"/>
      <c r="D3" s="3"/>
    </row>
    <row r="4" spans="1:5">
      <c r="A4" s="3" t="s">
        <v>252</v>
      </c>
      <c r="B4" s="9">
        <f>MAX('Referencias digitalizadas'!I2:I96)</f>
        <v>893800</v>
      </c>
      <c r="C4" s="3"/>
      <c r="D4" s="3"/>
    </row>
    <row r="5" spans="1:5">
      <c r="A5" s="3" t="s">
        <v>253</v>
      </c>
      <c r="B5" s="9">
        <f>AVERAGE('Referencias digitalizadas'!I2:I96)</f>
        <v>94309.473684210519</v>
      </c>
      <c r="C5" s="3"/>
      <c r="D5" s="3"/>
    </row>
    <row r="8" spans="1:5" ht="15">
      <c r="A8" s="10" t="s">
        <v>1</v>
      </c>
      <c r="B8" s="10" t="s">
        <v>254</v>
      </c>
      <c r="D8" s="10" t="s">
        <v>7</v>
      </c>
      <c r="E8" s="10" t="s">
        <v>254</v>
      </c>
    </row>
    <row r="9" spans="1:5">
      <c r="A9" t="s">
        <v>163</v>
      </c>
      <c r="B9">
        <v>6</v>
      </c>
      <c r="D9" t="s">
        <v>235</v>
      </c>
      <c r="E9">
        <v>6</v>
      </c>
    </row>
    <row r="10" spans="1:5">
      <c r="A10" t="s">
        <v>151</v>
      </c>
      <c r="B10">
        <v>2</v>
      </c>
      <c r="D10" t="s">
        <v>14</v>
      </c>
      <c r="E10">
        <v>34</v>
      </c>
    </row>
    <row r="11" spans="1:5">
      <c r="A11" t="s">
        <v>156</v>
      </c>
      <c r="B11">
        <v>3</v>
      </c>
      <c r="D11" t="s">
        <v>181</v>
      </c>
      <c r="E11">
        <v>17</v>
      </c>
    </row>
    <row r="12" spans="1:5">
      <c r="A12" t="s">
        <v>94</v>
      </c>
      <c r="B12">
        <v>5</v>
      </c>
      <c r="D12" t="s">
        <v>34</v>
      </c>
      <c r="E12">
        <v>38</v>
      </c>
    </row>
    <row r="13" spans="1:5">
      <c r="A13" t="s">
        <v>109</v>
      </c>
      <c r="B13">
        <v>4</v>
      </c>
    </row>
    <row r="14" spans="1:5">
      <c r="A14" t="s">
        <v>119</v>
      </c>
      <c r="B14">
        <v>5</v>
      </c>
    </row>
    <row r="15" spans="1:5">
      <c r="A15" t="s">
        <v>106</v>
      </c>
      <c r="B15">
        <v>1</v>
      </c>
    </row>
    <row r="16" spans="1:5">
      <c r="A16" t="s">
        <v>74</v>
      </c>
      <c r="B16">
        <v>5</v>
      </c>
    </row>
    <row r="17" spans="1:2">
      <c r="A17" t="s">
        <v>56</v>
      </c>
      <c r="B17">
        <v>3</v>
      </c>
    </row>
    <row r="18" spans="1:2">
      <c r="A18" t="s">
        <v>89</v>
      </c>
      <c r="B18">
        <v>2</v>
      </c>
    </row>
    <row r="19" spans="1:2">
      <c r="A19" t="s">
        <v>85</v>
      </c>
      <c r="B19">
        <v>1</v>
      </c>
    </row>
    <row r="20" spans="1:2">
      <c r="A20" t="s">
        <v>65</v>
      </c>
      <c r="B20">
        <v>4</v>
      </c>
    </row>
    <row r="21" spans="1:2">
      <c r="A21" t="s">
        <v>131</v>
      </c>
      <c r="B21">
        <v>7</v>
      </c>
    </row>
    <row r="22" spans="1:2">
      <c r="A22" t="s">
        <v>146</v>
      </c>
      <c r="B22">
        <v>2</v>
      </c>
    </row>
    <row r="23" spans="1:2">
      <c r="A23" t="s">
        <v>208</v>
      </c>
      <c r="B23">
        <v>5</v>
      </c>
    </row>
    <row r="24" spans="1:2">
      <c r="A24" t="s">
        <v>220</v>
      </c>
      <c r="B24">
        <v>5</v>
      </c>
    </row>
    <row r="25" spans="1:2">
      <c r="A25" t="s">
        <v>29</v>
      </c>
      <c r="B25">
        <v>5</v>
      </c>
    </row>
    <row r="26" spans="1:2">
      <c r="A26" t="s">
        <v>44</v>
      </c>
      <c r="B26">
        <v>5</v>
      </c>
    </row>
    <row r="27" spans="1:2">
      <c r="A27" t="s">
        <v>184</v>
      </c>
      <c r="B27">
        <v>2</v>
      </c>
    </row>
    <row r="28" spans="1:2">
      <c r="A28" t="s">
        <v>9</v>
      </c>
      <c r="B28">
        <v>1</v>
      </c>
    </row>
    <row r="29" spans="1:2">
      <c r="A29" t="s">
        <v>177</v>
      </c>
      <c r="B29">
        <v>2</v>
      </c>
    </row>
    <row r="30" spans="1:2">
      <c r="A30" t="s">
        <v>190</v>
      </c>
      <c r="B30">
        <v>4</v>
      </c>
    </row>
    <row r="31" spans="1:2">
      <c r="A31" t="s">
        <v>199</v>
      </c>
      <c r="B31">
        <v>4</v>
      </c>
    </row>
    <row r="32" spans="1:2">
      <c r="A32" t="s">
        <v>15</v>
      </c>
      <c r="B32">
        <v>6</v>
      </c>
    </row>
    <row r="33" spans="1:2">
      <c r="A33" t="s">
        <v>236</v>
      </c>
      <c r="B33">
        <v>5</v>
      </c>
    </row>
    <row r="34" spans="1:2">
      <c r="A34" t="s">
        <v>231</v>
      </c>
      <c r="B34">
        <v>1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Referencias digitalizadas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EDUARDO GONZALEZ BUITRAGO</cp:lastModifiedBy>
  <dcterms:modified xsi:type="dcterms:W3CDTF">2026-05-21T18:26:01Z</dcterms:modified>
</cp:coreProperties>
</file>