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2491b1ca3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ias digitalizadas" sheetId="1" r:id="Rf4a739ca31a94296"/>
    <x:sheet xmlns:r="http://schemas.openxmlformats.org/officeDocument/2006/relationships" name="Resumen" sheetId="2" r:id="Rde19bb647374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dd/mm/yyyy"/>
    <x:numFmt numFmtId="203" formatCode="$ #,##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2F4F24"/>
      </x:patternFill>
    </x:fill>
    <x:fill>
      <x:patternFill patternType="solid">
        <x:fgColor rgb="C6E0B4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db4101867f4cf9" /><Relationship Type="http://schemas.openxmlformats.org/officeDocument/2006/relationships/theme" Target="/xl/theme/theme1.xml" Id="Rf7882ef3c8ca4f94" /><Relationship Type="http://schemas.openxmlformats.org/officeDocument/2006/relationships/sharedStrings" Target="/xl/sharedStrings.xml" Id="R0c947cce09454efa" /><Relationship Type="http://schemas.openxmlformats.org/officeDocument/2006/relationships/worksheet" Target="/xl/worksheets/sheet1.xml" Id="Rf4a739ca31a94296" /><Relationship Type="http://schemas.openxmlformats.org/officeDocument/2006/relationships/worksheet" Target="/xl/worksheets/sheet2.xml" Id="Rde19bb64737447a4" /></Relationships>
</file>

<file path=xl/tables/table1.xml><?xml version="1.0" encoding="utf-8"?>
<x:table xmlns:x="http://schemas.openxmlformats.org/spreadsheetml/2006/main" id="1" name="TablaReferenciasCrosswell" displayName="TablaReferenciasCrosswell" ref="A1:I96" headerRowCount="1">
  <x:tableColumns count="9">
    <x:tableColumn id="1" name="Página"/>
    <x:tableColumn id="2" name="Categoría"/>
    <x:tableColumn id="3" name="Código"/>
    <x:tableColumn id="4" name="Descripción"/>
    <x:tableColumn id="5" name="Unidad de empaque"/>
    <x:tableColumn id="6" name="Registro sanitario"/>
    <x:tableColumn id="7" name="Vencimiento registro"/>
    <x:tableColumn id="8" name="Riesgo"/>
    <x:tableColumn id="9" name="Precio unitario público"/>
  </x:tableColumns>
  <x:tableStyleInfo name="TableStyleMedium2" showRowStripes="1"/>
</x:table>
</file>

<file path=xl/tables/table2.xml><?xml version="1.0" encoding="utf-8"?>
<x:table xmlns:x="http://schemas.openxmlformats.org/spreadsheetml/2006/main" id="2" name="ResumenCategorias" displayName="ResumenCategorias" ref="A8:B34" headerRowCount="1">
  <x:tableColumns count="2">
    <x:tableColumn id="1" name="Categoría"/>
    <x:tableColumn id="2" name="Cantidad referencias"/>
  </x:tableColumns>
  <x:tableStyleInfo name="TableStyleMedium2" showRowStripes="1"/>
</x:table>
</file>

<file path=xl/tables/table3.xml><?xml version="1.0" encoding="utf-8"?>
<x:table xmlns:x="http://schemas.openxmlformats.org/spreadsheetml/2006/main" id="3" name="ResumenRiesgos" displayName="ResumenRiesgos" ref="D8:E12" headerRowCount="1">
  <x:tableColumns count="2">
    <x:tableColumn id="1" name="Riesgo"/>
    <x:tableColumn id="2" name="Cantidad referenci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cf5997c27f45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3a475296054055" /><Relationship Type="http://schemas.openxmlformats.org/officeDocument/2006/relationships/table" Target="/xl/tables/table3.xml" Id="R0655366fbad149d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2" hidden="0" customWidth="1"/>
    <x:col min="4" max="4" width="40" hidden="0" customWidth="1"/>
    <x:col min="5" max="5" width="18" hidden="0" customWidth="1"/>
    <x:col min="6" max="6" width="22" hidden="0" customWidth="1"/>
    <x:col min="7" max="7" width="18" hidden="0" customWidth="1"/>
    <x:col min="8" max="8" width="10" hidden="0" customWidth="1"/>
    <x:col min="9" max="9" width="20" hidden="0" customWidth="1"/>
  </x:cols>
  <x:sheetData>
    <x:row r="1">
      <x:c r="A1" s="6" t="str">
        <x:v>Página</x:v>
      </x:c>
      <x:c r="B1" s="6" t="str">
        <x:v>Categoría</x:v>
      </x:c>
      <x:c r="C1" s="6" t="str">
        <x:v>Código</x:v>
      </x:c>
      <x:c r="D1" s="6" t="str">
        <x:v>Descripción</x:v>
      </x:c>
      <x:c r="E1" s="6" t="str">
        <x:v>Unidad de empaque</x:v>
      </x:c>
      <x:c r="F1" s="6" t="str">
        <x:v>Registro sanitario</x:v>
      </x:c>
      <x:c r="G1" s="6" t="str">
        <x:v>Vencimiento registro</x:v>
      </x:c>
      <x:c r="H1" s="6" t="str">
        <x:v>Riesgo</x:v>
      </x:c>
      <x:c r="I1" s="6" t="str">
        <x:v>Precio unitario público</x:v>
      </x:c>
    </x:row>
    <x:row r="2">
      <x:c r="A2" s="16" t="n">
        <x:v>1</x:v>
      </x:c>
      <x:c r="B2" s="14" t="str">
        <x:v>Hemoglobina Tópica</x:v>
      </x:c>
      <x:c r="C2" s="18" t="str">
        <x:v>360001</x:v>
      </x:c>
      <x:c r="D2" s="14" t="str">
        <x:v>Granulox Hemoglobina Spray</x:v>
      </x:c>
      <x:c r="E2" s="14" t="str">
        <x:v>Unidad</x:v>
      </x:c>
      <x:c r="F2" s="14" t="str">
        <x:v>2019DM-0020921</x:v>
      </x:c>
      <x:c r="G2" s="20" t="n">
        <x:v>47051</x:v>
      </x:c>
      <x:c r="H2" s="14" t="str">
        <x:v>III</x:v>
      </x:c>
      <x:c r="I2" s="22" t="n">
        <x:v>893800</x:v>
      </x:c>
    </x:row>
    <x:row r="3">
      <x:c r="A3" s="16" t="n">
        <x:v>1</x:v>
      </x:c>
      <x:c r="B3" s="14" t="str">
        <x:v>Solución de irrigación para limpieza y enjuague</x:v>
      </x:c>
      <x:c r="C3" s="18" t="str">
        <x:v>360102</x:v>
      </x:c>
      <x:c r="D3" s="14" t="str">
        <x:v>Granudacyn Solución 1000 ml</x:v>
      </x:c>
      <x:c r="E3" s="14" t="str">
        <x:v>Unidad</x:v>
      </x:c>
      <x:c r="F3" s="14" t="str">
        <x:v>2023DM-0027387</x:v>
      </x:c>
      <x:c r="G3" s="20" t="n">
        <x:v>48792</x:v>
      </x:c>
      <x:c r="H3" s="14" t="str">
        <x:v>III</x:v>
      </x:c>
      <x:c r="I3" s="22" t="n">
        <x:v>251100</x:v>
      </x:c>
    </x:row>
    <x:row r="4">
      <x:c r="A4" s="16" t="n">
        <x:v>1</x:v>
      </x:c>
      <x:c r="B4" s="14" t="str">
        <x:v>Solución de irrigación para limpieza y enjuague</x:v>
      </x:c>
      <x:c r="C4" s="18" t="str">
        <x:v>360104</x:v>
      </x:c>
      <x:c r="D4" s="14" t="str">
        <x:v>Granudacyn Solución 1000 ml NPWT</x:v>
      </x:c>
      <x:c r="E4" s="14" t="str">
        <x:v>Unidad</x:v>
      </x:c>
      <x:c r="F4" s="14" t="str">
        <x:v>2023DM-0027387</x:v>
      </x:c>
      <x:c r="G4" s="20" t="n">
        <x:v>48792</x:v>
      </x:c>
      <x:c r="H4" s="14" t="str">
        <x:v>III</x:v>
      </x:c>
      <x:c r="I4" s="22" t="n">
        <x:v>261100</x:v>
      </x:c>
    </x:row>
    <x:row r="5">
      <x:c r="A5" s="16" t="n">
        <x:v>1</x:v>
      </x:c>
      <x:c r="B5" s="14" t="str">
        <x:v>Solución de irrigación para limpieza y enjuague</x:v>
      </x:c>
      <x:c r="C5" s="18" t="str">
        <x:v>360100</x:v>
      </x:c>
      <x:c r="D5" s="14" t="str">
        <x:v>Granudacyn Solución 250 ml Spray</x:v>
      </x:c>
      <x:c r="E5" s="14" t="str">
        <x:v>Unidad</x:v>
      </x:c>
      <x:c r="F5" s="14" t="str">
        <x:v>2023DM-0027387</x:v>
      </x:c>
      <x:c r="G5" s="20" t="n">
        <x:v>48792</x:v>
      </x:c>
      <x:c r="H5" s="14" t="str">
        <x:v>III</x:v>
      </x:c>
      <x:c r="I5" s="22" t="n">
        <x:v>80300</x:v>
      </x:c>
    </x:row>
    <x:row r="6">
      <x:c r="A6" s="16" t="n">
        <x:v>1</x:v>
      </x:c>
      <x:c r="B6" s="14" t="str">
        <x:v>Solución de irrigación para limpieza y enjuague</x:v>
      </x:c>
      <x:c r="C6" s="18" t="str">
        <x:v>360150</x:v>
      </x:c>
      <x:c r="D6" s="14" t="str">
        <x:v>Granudacyn Solución 50 ml Spray</x:v>
      </x:c>
      <x:c r="E6" s="14" t="str">
        <x:v>Unidad</x:v>
      </x:c>
      <x:c r="F6" s="14" t="str">
        <x:v>2023DM-0027387</x:v>
      </x:c>
      <x:c r="G6" s="20" t="n">
        <x:v>48792</x:v>
      </x:c>
      <x:c r="H6" s="14" t="str">
        <x:v>III</x:v>
      </x:c>
      <x:c r="I6" s="22" t="n">
        <x:v>76800</x:v>
      </x:c>
    </x:row>
    <x:row r="7">
      <x:c r="A7" s="16" t="n">
        <x:v>1</x:v>
      </x:c>
      <x:c r="B7" s="14" t="str">
        <x:v>Solución de irrigación para limpieza y enjuague</x:v>
      </x:c>
      <x:c r="C7" s="18" t="str">
        <x:v>360101</x:v>
      </x:c>
      <x:c r="D7" s="14" t="str">
        <x:v>Granudacyn Solución 500 ml</x:v>
      </x:c>
      <x:c r="E7" s="14" t="str">
        <x:v>Unidad</x:v>
      </x:c>
      <x:c r="F7" s="14" t="str">
        <x:v>2023DM-0027387</x:v>
      </x:c>
      <x:c r="G7" s="20" t="n">
        <x:v>48792</x:v>
      </x:c>
      <x:c r="H7" s="14" t="str">
        <x:v>III</x:v>
      </x:c>
      <x:c r="I7" s="22" t="n">
        <x:v>140600</x:v>
      </x:c>
    </x:row>
    <x:row r="8">
      <x:c r="A8" s="16" t="n">
        <x:v>1</x:v>
      </x:c>
      <x:c r="B8" s="14" t="str">
        <x:v>Solución de irrigación para limpieza y enjuague</x:v>
      </x:c>
      <x:c r="C8" s="18" t="str">
        <x:v>360103</x:v>
      </x:c>
      <x:c r="D8" s="14" t="str">
        <x:v>Granudacyn Solución 500 ml NPWT</x:v>
      </x:c>
      <x:c r="E8" s="14" t="str">
        <x:v>Unidad</x:v>
      </x:c>
      <x:c r="F8" s="14" t="str">
        <x:v>2023DM-0027387</x:v>
      </x:c>
      <x:c r="G8" s="20" t="n">
        <x:v>48792</x:v>
      </x:c>
      <x:c r="H8" s="14" t="str">
        <x:v>III</x:v>
      </x:c>
      <x:c r="I8" s="22" t="n">
        <x:v>150600</x:v>
      </x:c>
    </x:row>
    <x:row r="9">
      <x:c r="A9" s="16" t="n">
        <x:v>1</x:v>
      </x:c>
      <x:c r="B9" s="14" t="str">
        <x:v>Apósito de Fibras Gelificantes de PVA</x:v>
      </x:c>
      <x:c r="C9" s="18" t="str">
        <x:v>709900</x:v>
      </x:c>
      <x:c r="D9" s="14" t="str">
        <x:v>Exufiber 5 x 5 cm</x:v>
      </x:c>
      <x:c r="E9" s="14" t="str">
        <x:v>Caja X 10</x:v>
      </x:c>
      <x:c r="F9" s="14" t="str">
        <x:v>2019DM-0020382</x:v>
      </x:c>
      <x:c r="G9" s="20" t="n">
        <x:v>47359</x:v>
      </x:c>
      <x:c r="H9" s="14" t="str">
        <x:v>IIb</x:v>
      </x:c>
      <x:c r="I9" s="22" t="n">
        <x:v>13500</x:v>
      </x:c>
    </x:row>
    <x:row r="10">
      <x:c r="A10" s="16" t="n">
        <x:v>1</x:v>
      </x:c>
      <x:c r="B10" s="14" t="str">
        <x:v>Apósito de Fibras Gelificantes de PVA</x:v>
      </x:c>
      <x:c r="C10" s="18" t="str">
        <x:v>709902</x:v>
      </x:c>
      <x:c r="D10" s="14" t="str">
        <x:v>Exufiber 10 x 12 cm</x:v>
      </x:c>
      <x:c r="E10" s="14" t="str">
        <x:v>Caja X 10</x:v>
      </x:c>
      <x:c r="F10" s="14" t="str">
        <x:v>2019DM-0020382</x:v>
      </x:c>
      <x:c r="G10" s="20" t="n">
        <x:v>47359</x:v>
      </x:c>
      <x:c r="H10" s="14" t="str">
        <x:v>IIb</x:v>
      </x:c>
      <x:c r="I10" s="22" t="n">
        <x:v>28800</x:v>
      </x:c>
    </x:row>
    <x:row r="11">
      <x:c r="A11" s="16" t="n">
        <x:v>1</x:v>
      </x:c>
      <x:c r="B11" s="14" t="str">
        <x:v>Apósito de Fibras Gelificantes de PVA</x:v>
      </x:c>
      <x:c r="C11" s="18" t="str">
        <x:v>709903</x:v>
      </x:c>
      <x:c r="D11" s="14" t="str">
        <x:v>Exufiber 15 x 15 cm</x:v>
      </x:c>
      <x:c r="E11" s="14" t="str">
        <x:v>Caja X 10</x:v>
      </x:c>
      <x:c r="F11" s="14" t="str">
        <x:v>2019DM-0020382</x:v>
      </x:c>
      <x:c r="G11" s="20" t="n">
        <x:v>47359</x:v>
      </x:c>
      <x:c r="H11" s="14" t="str">
        <x:v>IIb</x:v>
      </x:c>
      <x:c r="I11" s="22" t="n">
        <x:v>63400</x:v>
      </x:c>
    </x:row>
    <x:row r="12">
      <x:c r="A12" s="16" t="n">
        <x:v>1</x:v>
      </x:c>
      <x:c r="B12" s="14" t="str">
        <x:v>Apósito de Fibras Gelificantes de PVA</x:v>
      </x:c>
      <x:c r="C12" s="18" t="str">
        <x:v>709909</x:v>
      </x:c>
      <x:c r="D12" s="14" t="str">
        <x:v>Exufiber 2 x 45 cm</x:v>
      </x:c>
      <x:c r="E12" s="14" t="str">
        <x:v>Caja X 5</x:v>
      </x:c>
      <x:c r="F12" s="14" t="str">
        <x:v>2019DM-0020382</x:v>
      </x:c>
      <x:c r="G12" s="20" t="n">
        <x:v>47359</x:v>
      </x:c>
      <x:c r="H12" s="14" t="str">
        <x:v>IIb</x:v>
      </x:c>
      <x:c r="I12" s="22" t="n">
        <x:v>38400</x:v>
      </x:c>
    </x:row>
    <x:row r="13">
      <x:c r="A13" s="16" t="n">
        <x:v>1</x:v>
      </x:c>
      <x:c r="B13" s="14" t="str">
        <x:v>Apósito de Fibras Gelificantes de PVA</x:v>
      </x:c>
      <x:c r="C13" s="18" t="str">
        <x:v>709904</x:v>
      </x:c>
      <x:c r="D13" s="14" t="str">
        <x:v>Exufiber 20 x 30 cm</x:v>
      </x:c>
      <x:c r="E13" s="14" t="str">
        <x:v>Caja X 5</x:v>
      </x:c>
      <x:c r="F13" s="14" t="str">
        <x:v>2019DM-0020382</x:v>
      </x:c>
      <x:c r="G13" s="20" t="n">
        <x:v>47359</x:v>
      </x:c>
      <x:c r="H13" s="14" t="str">
        <x:v>IIb</x:v>
      </x:c>
      <x:c r="I13" s="22" t="n">
        <x:v>169000</x:v>
      </x:c>
    </x:row>
    <x:row r="14">
      <x:c r="A14" s="16" t="n">
        <x:v>1</x:v>
      </x:c>
      <x:c r="B14" s="14" t="str">
        <x:v>Apósito de Fibras Gelificantes de PVA y Tecnología Hydrolock® y Acción Antimicrobiana</x:v>
      </x:c>
      <x:c r="C14" s="18" t="str">
        <x:v>603421</x:v>
      </x:c>
      <x:c r="D14" s="14" t="str">
        <x:v>Exufiber Ag+ 5 x 5 cm</x:v>
      </x:c>
      <x:c r="E14" s="14" t="str">
        <x:v>Caja X 10</x:v>
      </x:c>
      <x:c r="F14" s="14" t="str">
        <x:v>2019DM-0020271</x:v>
      </x:c>
      <x:c r="G14" s="20" t="n">
        <x:v>47336</x:v>
      </x:c>
      <x:c r="H14" s="14" t="str">
        <x:v>III</x:v>
      </x:c>
      <x:c r="I14" s="22" t="n">
        <x:v>24200</x:v>
      </x:c>
    </x:row>
    <x:row r="15">
      <x:c r="A15" s="16" t="n">
        <x:v>1</x:v>
      </x:c>
      <x:c r="B15" s="14" t="str">
        <x:v>Apósito de Fibras Gelificantes de PVA y Tecnología Hydrolock® y Acción Antimicrobiana</x:v>
      </x:c>
      <x:c r="C15" s="18" t="str">
        <x:v>603422</x:v>
      </x:c>
      <x:c r="D15" s="14" t="str">
        <x:v>Exufiber Ag+ 10 x 12 cm</x:v>
      </x:c>
      <x:c r="E15" s="14" t="str">
        <x:v>Caja X 10</x:v>
      </x:c>
      <x:c r="F15" s="14" t="str">
        <x:v>2019DM-0020271</x:v>
      </x:c>
      <x:c r="G15" s="20" t="n">
        <x:v>47336</x:v>
      </x:c>
      <x:c r="H15" s="14" t="str">
        <x:v>III</x:v>
      </x:c>
      <x:c r="I15" s="22" t="n">
        <x:v>36700</x:v>
      </x:c>
    </x:row>
    <x:row r="16">
      <x:c r="A16" s="16" t="n">
        <x:v>1</x:v>
      </x:c>
      <x:c r="B16" s="14" t="str">
        <x:v>Apósito de Fibras Gelificantes de PVA y Tecnología Hydrolock® y Acción Antimicrobiana</x:v>
      </x:c>
      <x:c r="C16" s="18" t="str">
        <x:v>603423</x:v>
      </x:c>
      <x:c r="D16" s="14" t="str">
        <x:v>Exufiber Ag+ 15 x 15 cm</x:v>
      </x:c>
      <x:c r="E16" s="14" t="str">
        <x:v>Caja X 10</x:v>
      </x:c>
      <x:c r="F16" s="14" t="str">
        <x:v>2019DM-0020271</x:v>
      </x:c>
      <x:c r="G16" s="20" t="n">
        <x:v>47336</x:v>
      </x:c>
      <x:c r="H16" s="14" t="str">
        <x:v>III</x:v>
      </x:c>
      <x:c r="I16" s="22" t="n">
        <x:v>91800</x:v>
      </x:c>
    </x:row>
    <x:row r="17">
      <x:c r="A17" s="16" t="n">
        <x:v>1</x:v>
      </x:c>
      <x:c r="B17" s="14" t="str">
        <x:v>Apósito de Fibras Gelificantes de PVA y Tecnología Hydrolock® y Acción Antimicrobiana</x:v>
      </x:c>
      <x:c r="C17" s="18" t="str">
        <x:v>603420</x:v>
      </x:c>
      <x:c r="D17" s="14" t="str">
        <x:v>Exufiber Ag+ 2 x 45 cm</x:v>
      </x:c>
      <x:c r="E17" s="14" t="str">
        <x:v>Caja X 5</x:v>
      </x:c>
      <x:c r="F17" s="14" t="str">
        <x:v>2019DM-0020271</x:v>
      </x:c>
      <x:c r="G17" s="20" t="n">
        <x:v>47336</x:v>
      </x:c>
      <x:c r="H17" s="14" t="str">
        <x:v>III</x:v>
      </x:c>
      <x:c r="I17" s="22" t="n">
        <x:v>72300</x:v>
      </x:c>
    </x:row>
    <x:row r="18">
      <x:c r="A18" s="16" t="n">
        <x:v>1</x:v>
      </x:c>
      <x:c r="B18" s="14" t="str">
        <x:v>Apósito de Fibras Gelificantes de PVA y Tecnología Hydrolock® y Acción Antimicrobiana</x:v>
      </x:c>
      <x:c r="C18" s="18" t="str">
        <x:v>603424</x:v>
      </x:c>
      <x:c r="D18" s="14" t="str">
        <x:v>Exufiber Ag+ 20 x 30 cm</x:v>
      </x:c>
      <x:c r="E18" s="14" t="str">
        <x:v>Caja X 5</x:v>
      </x:c>
      <x:c r="F18" s="14" t="str">
        <x:v>2019DM-0020271</x:v>
      </x:c>
      <x:c r="G18" s="20" t="n">
        <x:v>47336</x:v>
      </x:c>
      <x:c r="H18" s="14" t="str">
        <x:v>III</x:v>
      </x:c>
      <x:c r="I18" s="22" t="n">
        <x:v>215000</x:v>
      </x:c>
    </x:row>
    <x:row r="19">
      <x:c r="A19" s="16" t="n">
        <x:v>1</x:v>
      </x:c>
      <x:c r="B19" s="14" t="str">
        <x:v>Apósito Multicapa (5 capas) Oval con Bordes Autoadherentes - Tecnología Exclusiva Flex</x:v>
      </x:c>
      <x:c r="C19" s="18" t="str">
        <x:v>583300</x:v>
      </x:c>
      <x:c r="D19" s="14" t="str">
        <x:v>Mepilex Border Flex 13 x 16 cm Oval</x:v>
      </x:c>
      <x:c r="E19" s="14" t="str">
        <x:v>Caja x 5</x:v>
      </x:c>
      <x:c r="F19" s="14" t="str">
        <x:v>2020DM-0021620</x:v>
      </x:c>
      <x:c r="G19" s="20" t="n">
        <x:v>47622</x:v>
      </x:c>
      <x:c r="H19" s="14" t="str">
        <x:v>IIb</x:v>
      </x:c>
      <x:c r="I19" s="22" t="n">
        <x:v>37700</x:v>
      </x:c>
    </x:row>
    <x:row r="20">
      <x:c r="A20" s="16" t="n">
        <x:v>1</x:v>
      </x:c>
      <x:c r="B20" s="14" t="str">
        <x:v>Apósito Multicapa (5 capas) Oval con Bordes Autoadherentes - Tecnología Exclusiva Flex</x:v>
      </x:c>
      <x:c r="C20" s="18" t="str">
        <x:v>583400</x:v>
      </x:c>
      <x:c r="D20" s="14" t="str">
        <x:v>Mepilex Border Flex 15 x 19 cm Oval</x:v>
      </x:c>
      <x:c r="E20" s="14" t="str">
        <x:v>Caja x 5</x:v>
      </x:c>
      <x:c r="F20" s="14" t="str">
        <x:v>2020DM-0021620</x:v>
      </x:c>
      <x:c r="G20" s="20" t="n">
        <x:v>47622</x:v>
      </x:c>
      <x:c r="H20" s="14" t="str">
        <x:v>IIb</x:v>
      </x:c>
      <x:c r="I20" s="22" t="n">
        <x:v>38600</x:v>
      </x:c>
    </x:row>
    <x:row r="21">
      <x:c r="A21" s="16" t="n">
        <x:v>1</x:v>
      </x:c>
      <x:c r="B21" s="14" t="str">
        <x:v>Apósito Multicapa (5 capas) Oval con Bordes Autoadherentes - Tecnología Exclusiva Flex</x:v>
      </x:c>
      <x:c r="C21" s="18" t="str">
        <x:v>583500</x:v>
      </x:c>
      <x:c r="D21" s="14" t="str">
        <x:v>Mepilex Border Flex 7.8 x 10 cm Oval</x:v>
      </x:c>
      <x:c r="E21" s="14" t="str">
        <x:v>Caja x 5</x:v>
      </x:c>
      <x:c r="F21" s="14" t="str">
        <x:v>2020DM-0021620</x:v>
      </x:c>
      <x:c r="G21" s="20" t="n">
        <x:v>47622</x:v>
      </x:c>
      <x:c r="H21" s="14" t="str">
        <x:v>IIb</x:v>
      </x:c>
      <x:c r="I21" s="22" t="n">
        <x:v>17300</x:v>
      </x:c>
    </x:row>
    <x:row r="22">
      <x:c r="A22" s="16" t="n">
        <x:v>1</x:v>
      </x:c>
      <x:c r="B22" s="14" t="str">
        <x:v>Apósito Multicapa (5 capas) con Bordes Autoadherentes - Tecnología Exclusiva Flex</x:v>
      </x:c>
      <x:c r="C22" s="18" t="str">
        <x:v>595200</x:v>
      </x:c>
      <x:c r="D22" s="14" t="str">
        <x:v>Mepilex Border Flex 7.5 x 7.5 cm</x:v>
      </x:c>
      <x:c r="E22" s="14" t="str">
        <x:v>Caja x 5</x:v>
      </x:c>
      <x:c r="F22" s="14" t="str">
        <x:v>2020DM-0021620</x:v>
      </x:c>
      <x:c r="G22" s="20" t="n">
        <x:v>47622</x:v>
      </x:c>
      <x:c r="H22" s="14" t="str">
        <x:v>IIb</x:v>
      </x:c>
      <x:c r="I22" s="22" t="n">
        <x:v>16200</x:v>
      </x:c>
    </x:row>
    <x:row r="23">
      <x:c r="A23" s="16" t="n">
        <x:v>1</x:v>
      </x:c>
      <x:c r="B23" s="14" t="str">
        <x:v>Apósito Multicapa (5 capas) con Bordes Autoadherentes - Tecnología Exclusiva Flex</x:v>
      </x:c>
      <x:c r="C23" s="18" t="str">
        <x:v>595300</x:v>
      </x:c>
      <x:c r="D23" s="14" t="str">
        <x:v>Mepilex Border Flex 10 x 10 cm</x:v>
      </x:c>
      <x:c r="E23" s="14" t="str">
        <x:v>Caja x 5</x:v>
      </x:c>
      <x:c r="F23" s="14" t="str">
        <x:v>2020DM-0021620</x:v>
      </x:c>
      <x:c r="G23" s="20" t="n">
        <x:v>47622</x:v>
      </x:c>
      <x:c r="H23" s="14" t="str">
        <x:v>IIb</x:v>
      </x:c>
      <x:c r="I23" s="22" t="n">
        <x:v>20300</x:v>
      </x:c>
    </x:row>
    <x:row r="24">
      <x:c r="A24" s="16" t="n">
        <x:v>1</x:v>
      </x:c>
      <x:c r="B24" s="14" t="str">
        <x:v>Apósito Multicapa (5 capas) con Bordes Autoadherentes - Tecnología Exclusiva Flex</x:v>
      </x:c>
      <x:c r="C24" s="18" t="str">
        <x:v>595400</x:v>
      </x:c>
      <x:c r="D24" s="14" t="str">
        <x:v>Mepilex Border Flex 15 x 15 cm</x:v>
      </x:c>
      <x:c r="E24" s="14" t="str">
        <x:v>Caja x 5</x:v>
      </x:c>
      <x:c r="F24" s="14" t="str">
        <x:v>2020DM-0021620</x:v>
      </x:c>
      <x:c r="G24" s="20" t="n">
        <x:v>47622</x:v>
      </x:c>
      <x:c r="H24" s="14" t="str">
        <x:v>IIb</x:v>
      </x:c>
      <x:c r="I24" s="22" t="n">
        <x:v>29900</x:v>
      </x:c>
    </x:row>
    <x:row r="25">
      <x:c r="A25" s="16" t="n">
        <x:v>1</x:v>
      </x:c>
      <x:c r="B25" s="14" t="str">
        <x:v>Apósito Multicapa (5 capas) con Bordes Autoadherentes - Tecnología Exclusiva Flex</x:v>
      </x:c>
      <x:c r="C25" s="18" t="str">
        <x:v>595600</x:v>
      </x:c>
      <x:c r="D25" s="14" t="str">
        <x:v>Mepilex Border Flex 15 x 20 cm</x:v>
      </x:c>
      <x:c r="E25" s="14" t="str">
        <x:v>Caja x 5</x:v>
      </x:c>
      <x:c r="F25" s="14" t="str">
        <x:v>2020DM-0021620</x:v>
      </x:c>
      <x:c r="G25" s="20" t="n">
        <x:v>47622</x:v>
      </x:c>
      <x:c r="H25" s="14" t="str">
        <x:v>IIb</x:v>
      </x:c>
      <x:c r="I25" s="22" t="n">
        <x:v>50800</x:v>
      </x:c>
    </x:row>
    <x:row r="26">
      <x:c r="A26" s="16" t="n">
        <x:v>2</x:v>
      </x:c>
      <x:c r="B26" s="14" t="str">
        <x:v>Apósito Multicapa (4 capas) Extrafino con Bordes Autoadherentes - Tecnología Exclusiva Flex</x:v>
      </x:c>
      <x:c r="C26" s="18" t="str">
        <x:v>581011</x:v>
      </x:c>
      <x:c r="D26" s="14" t="str">
        <x:v>Mepilex Border Flex Lite de 4 x 5 cm</x:v>
      </x:c>
      <x:c r="E26" s="14" t="str">
        <x:v>Caja X 10</x:v>
      </x:c>
      <x:c r="F26" s="14" t="str">
        <x:v>2020DM-0021620</x:v>
      </x:c>
      <x:c r="G26" s="20" t="n">
        <x:v>47622</x:v>
      </x:c>
      <x:c r="H26" s="14" t="str">
        <x:v>IIb</x:v>
      </x:c>
      <x:c r="I26" s="22" t="n">
        <x:v>4300</x:v>
      </x:c>
    </x:row>
    <x:row r="27">
      <x:c r="A27" s="16" t="n">
        <x:v>2</x:v>
      </x:c>
      <x:c r="B27" s="14" t="str">
        <x:v>Apósito Multicapa (4 capas) Extrafino con Bordes Autoadherentes - Tecnología Exclusiva Flex</x:v>
      </x:c>
      <x:c r="C27" s="18" t="str">
        <x:v>581100</x:v>
      </x:c>
      <x:c r="D27" s="14" t="str">
        <x:v>Mepilex Border Flex Lite 5 x 12.5 cm</x:v>
      </x:c>
      <x:c r="E27" s="14" t="str">
        <x:v>Caja X 10</x:v>
      </x:c>
      <x:c r="F27" s="14" t="str">
        <x:v>2020DM-0021620</x:v>
      </x:c>
      <x:c r="G27" s="20" t="n">
        <x:v>47622</x:v>
      </x:c>
      <x:c r="H27" s="14" t="str">
        <x:v>IIb</x:v>
      </x:c>
      <x:c r="I27" s="22" t="n">
        <x:v>16400</x:v>
      </x:c>
    </x:row>
    <x:row r="28">
      <x:c r="A28" s="16" t="n">
        <x:v>2</x:v>
      </x:c>
      <x:c r="B28" s="14" t="str">
        <x:v>Apósito Multicapa (4 capas) Extrafino con Bordes Autoadherentes - Tecnología Exclusiva Flex</x:v>
      </x:c>
      <x:c r="C28" s="18" t="str">
        <x:v>581200</x:v>
      </x:c>
      <x:c r="D28" s="14" t="str">
        <x:v>Mepilex Border Flex Lite 7.5 x 7.5 cm</x:v>
      </x:c>
      <x:c r="E28" s="14" t="str">
        <x:v>Caja X 5</x:v>
      </x:c>
      <x:c r="F28" s="14" t="str">
        <x:v>2020DM-0021620</x:v>
      </x:c>
      <x:c r="G28" s="20" t="n">
        <x:v>47622</x:v>
      </x:c>
      <x:c r="H28" s="14" t="str">
        <x:v>IIb</x:v>
      </x:c>
      <x:c r="I28" s="22" t="n">
        <x:v>13500</x:v>
      </x:c>
    </x:row>
    <x:row r="29">
      <x:c r="A29" s="16" t="n">
        <x:v>2</x:v>
      </x:c>
      <x:c r="B29" s="14" t="str">
        <x:v>Apósito Multicapa (4 capas) Extrafino con Bordes Autoadherentes - Tecnología Exclusiva Flex</x:v>
      </x:c>
      <x:c r="C29" s="18" t="str">
        <x:v>581300</x:v>
      </x:c>
      <x:c r="D29" s="14" t="str">
        <x:v>Mepilex Border Flex Lite 10 x 10 cm</x:v>
      </x:c>
      <x:c r="E29" s="14" t="str">
        <x:v>Caja X 5</x:v>
      </x:c>
      <x:c r="F29" s="14" t="str">
        <x:v>2020DM-0021620</x:v>
      </x:c>
      <x:c r="G29" s="20" t="n">
        <x:v>47622</x:v>
      </x:c>
      <x:c r="H29" s="14" t="str">
        <x:v>IIb</x:v>
      </x:c>
      <x:c r="I29" s="22" t="n">
        <x:v>16400</x:v>
      </x:c>
    </x:row>
    <x:row r="30">
      <x:c r="A30" s="16" t="n">
        <x:v>2</x:v>
      </x:c>
      <x:c r="B30" s="14" t="str">
        <x:v>Apósito Multicapa (4 capas) Extrafino con Bordes Autoadherentes - Tecnología Exclusiva Flex</x:v>
      </x:c>
      <x:c r="C30" s="18" t="str">
        <x:v>581500</x:v>
      </x:c>
      <x:c r="D30" s="14" t="str">
        <x:v>Mepilex Border Flex Lite 15 x 15 cm</x:v>
      </x:c>
      <x:c r="E30" s="14" t="str">
        <x:v>Caja X 5</x:v>
      </x:c>
      <x:c r="F30" s="14" t="str">
        <x:v>2020DM-0021620</x:v>
      </x:c>
      <x:c r="G30" s="20" t="n">
        <x:v>47622</x:v>
      </x:c>
      <x:c r="H30" s="14" t="str">
        <x:v>IIb</x:v>
      </x:c>
      <x:c r="I30" s="22" t="n">
        <x:v>28000</x:v>
      </x:c>
    </x:row>
    <x:row r="31">
      <x:c r="A31" s="16" t="n">
        <x:v>2</x:v>
      </x:c>
      <x:c r="B31" s="14" t="str">
        <x:v>Apósito Multicapa (5 capas) Oval con Bordes Autoadherentes para el Talón y los Maléolos</x:v>
      </x:c>
      <x:c r="C31" s="18" t="str">
        <x:v>282790</x:v>
      </x:c>
      <x:c r="D31" s="14" t="str">
        <x:v>Mepilex Border Heel 22 x 23 cm</x:v>
      </x:c>
      <x:c r="E31" s="14" t="str">
        <x:v>Caja x 10</x:v>
      </x:c>
      <x:c r="F31" s="14" t="str">
        <x:v>2020DM-0021620</x:v>
      </x:c>
      <x:c r="G31" s="20" t="n">
        <x:v>47622</x:v>
      </x:c>
      <x:c r="H31" s="14" t="str">
        <x:v>IIb</x:v>
      </x:c>
      <x:c r="I31" s="22" t="n">
        <x:v>87800</x:v>
      </x:c>
    </x:row>
    <x:row r="32">
      <x:c r="A32" s="16" t="n">
        <x:v>2</x:v>
      </x:c>
      <x:c r="B32" s="14" t="str">
        <x:v>Apósito Multicapa (5 capas) Oval con Bordes Autoadherentes para el Sacro</x:v>
      </x:c>
      <x:c r="C32" s="18" t="str">
        <x:v>282055</x:v>
      </x:c>
      <x:c r="D32" s="14" t="str">
        <x:v>Mepilex Border Sacrum 16 x 20 cm</x:v>
      </x:c>
      <x:c r="E32" s="14" t="str">
        <x:v>Caja X 10</x:v>
      </x:c>
      <x:c r="F32" s="14" t="str">
        <x:v>2020DM-0021620</x:v>
      </x:c>
      <x:c r="G32" s="20" t="n">
        <x:v>47622</x:v>
      </x:c>
      <x:c r="H32" s="14" t="str">
        <x:v>IIb</x:v>
      </x:c>
      <x:c r="I32" s="22" t="n">
        <x:v>62200</x:v>
      </x:c>
    </x:row>
    <x:row r="33">
      <x:c r="A33" s="16" t="n">
        <x:v>2</x:v>
      </x:c>
      <x:c r="B33" s="14" t="str">
        <x:v>Apósito Multicapa (5 capas) Oval con Bordes Autoadherentes para el Sacro</x:v>
      </x:c>
      <x:c r="C33" s="18" t="str">
        <x:v>282455</x:v>
      </x:c>
      <x:c r="D33" s="14" t="str">
        <x:v>Mepilex Border Sacrum 22 x 25 cm</x:v>
      </x:c>
      <x:c r="E33" s="14" t="str">
        <x:v>Caja X 10</x:v>
      </x:c>
      <x:c r="F33" s="14" t="str">
        <x:v>2020DM-0021620</x:v>
      </x:c>
      <x:c r="G33" s="20" t="n">
        <x:v>47622</x:v>
      </x:c>
      <x:c r="H33" s="14" t="str">
        <x:v>IIb</x:v>
      </x:c>
      <x:c r="I33" s="22" t="n">
        <x:v>100100</x:v>
      </x:c>
    </x:row>
    <x:row r="34">
      <x:c r="A34" s="16" t="n">
        <x:v>2</x:v>
      </x:c>
      <x:c r="B34" s="14" t="str">
        <x:v>Apósito Espumas de Poliuretano</x:v>
      </x:c>
      <x:c r="C34" s="18" t="str">
        <x:v>294199</x:v>
      </x:c>
      <x:c r="D34" s="14" t="str">
        <x:v>Mepilex 10 x 10 cm</x:v>
      </x:c>
      <x:c r="E34" s="14" t="str">
        <x:v>Caja X 5</x:v>
      </x:c>
      <x:c r="F34" s="14" t="str">
        <x:v>2020DM-0021620</x:v>
      </x:c>
      <x:c r="G34" s="20" t="n">
        <x:v>47622</x:v>
      </x:c>
      <x:c r="H34" s="14" t="str">
        <x:v>IIb</x:v>
      </x:c>
      <x:c r="I34" s="22" t="n">
        <x:v>17300</x:v>
      </x:c>
    </x:row>
    <x:row r="35">
      <x:c r="A35" s="16" t="n">
        <x:v>2</x:v>
      </x:c>
      <x:c r="B35" s="14" t="str">
        <x:v>Apósito Espumas de Poliuretano</x:v>
      </x:c>
      <x:c r="C35" s="18" t="str">
        <x:v>294299</x:v>
      </x:c>
      <x:c r="D35" s="14" t="str">
        <x:v>Mepilex 10 x 20 cm</x:v>
      </x:c>
      <x:c r="E35" s="14" t="str">
        <x:v>Caja X 5</x:v>
      </x:c>
      <x:c r="F35" s="14" t="str">
        <x:v>2020DM-0021620</x:v>
      </x:c>
      <x:c r="G35" s="20" t="n">
        <x:v>47622</x:v>
      </x:c>
      <x:c r="H35" s="14" t="str">
        <x:v>IIb</x:v>
      </x:c>
      <x:c r="I35" s="22" t="n">
        <x:v>29000</x:v>
      </x:c>
    </x:row>
    <x:row r="36">
      <x:c r="A36" s="16" t="n">
        <x:v>2</x:v>
      </x:c>
      <x:c r="B36" s="14" t="str">
        <x:v>Apósito Espumas de Poliuretano</x:v>
      </x:c>
      <x:c r="C36" s="18" t="str">
        <x:v>294399</x:v>
      </x:c>
      <x:c r="D36" s="14" t="str">
        <x:v>Mepilex 15 x 15 cm</x:v>
      </x:c>
      <x:c r="E36" s="14" t="str">
        <x:v>Caja X 5</x:v>
      </x:c>
      <x:c r="F36" s="14" t="str">
        <x:v>2020DM-0021620</x:v>
      </x:c>
      <x:c r="G36" s="20" t="n">
        <x:v>47622</x:v>
      </x:c>
      <x:c r="H36" s="14" t="str">
        <x:v>IIb</x:v>
      </x:c>
      <x:c r="I36" s="22" t="n">
        <x:v>36700</x:v>
      </x:c>
    </x:row>
    <x:row r="37">
      <x:c r="A37" s="16" t="n">
        <x:v>2</x:v>
      </x:c>
      <x:c r="B37" s="14" t="str">
        <x:v>Apósito Espumas de Poliuretano</x:v>
      </x:c>
      <x:c r="C37" s="18" t="str">
        <x:v>294499</x:v>
      </x:c>
      <x:c r="D37" s="14" t="str">
        <x:v>Mepilex 20 x 20 cm</x:v>
      </x:c>
      <x:c r="E37" s="14" t="str">
        <x:v>Caja X 5</x:v>
      </x:c>
      <x:c r="F37" s="14" t="str">
        <x:v>2020DM-0021620</x:v>
      </x:c>
      <x:c r="G37" s="20" t="n">
        <x:v>47622</x:v>
      </x:c>
      <x:c r="H37" s="14" t="str">
        <x:v>IIb</x:v>
      </x:c>
      <x:c r="I37" s="22" t="n">
        <x:v>75900</x:v>
      </x:c>
    </x:row>
    <x:row r="38">
      <x:c r="A38" s="16" t="n">
        <x:v>2</x:v>
      </x:c>
      <x:c r="B38" s="14" t="str">
        <x:v>Apósito Espumas de Poliuretano</x:v>
      </x:c>
      <x:c r="C38" s="18" t="str">
        <x:v>294500</x:v>
      </x:c>
      <x:c r="D38" s="14" t="str">
        <x:v>Mepilex 20 x 50 cm</x:v>
      </x:c>
      <x:c r="E38" s="14" t="str">
        <x:v>Caja X 2</x:v>
      </x:c>
      <x:c r="F38" s="14" t="str">
        <x:v>2020DM-0021620</x:v>
      </x:c>
      <x:c r="G38" s="20" t="n">
        <x:v>47622</x:v>
      </x:c>
      <x:c r="H38" s="14" t="str">
        <x:v>IIb</x:v>
      </x:c>
      <x:c r="I38" s="22" t="n">
        <x:v>164200</x:v>
      </x:c>
    </x:row>
    <x:row r="39">
      <x:c r="A39" s="16" t="n">
        <x:v>2</x:v>
      </x:c>
      <x:c r="B39" s="14" t="str">
        <x:v>Apósito Espumas de Poliuretano para el talón</x:v>
      </x:c>
      <x:c r="C39" s="18" t="str">
        <x:v>288100</x:v>
      </x:c>
      <x:c r="D39" s="14" t="str">
        <x:v>Mepilex Heel 13 x 20 cm</x:v>
      </x:c>
      <x:c r="E39" s="14" t="str">
        <x:v>Caja X 5</x:v>
      </x:c>
      <x:c r="F39" s="14" t="str">
        <x:v>2020DM-0021620</x:v>
      </x:c>
      <x:c r="G39" s="20" t="n">
        <x:v>47622</x:v>
      </x:c>
      <x:c r="H39" s="14" t="str">
        <x:v>IIb</x:v>
      </x:c>
      <x:c r="I39" s="22" t="n">
        <x:v>62800</x:v>
      </x:c>
    </x:row>
    <x:row r="40">
      <x:c r="A40" s="16" t="n">
        <x:v>2</x:v>
      </x:c>
      <x:c r="B40" s="14" t="str">
        <x:v>Apósito Espumas de Poliuretano Extrafino</x:v>
      </x:c>
      <x:c r="C40" s="18" t="str">
        <x:v>284090</x:v>
      </x:c>
      <x:c r="D40" s="14" t="str">
        <x:v>Mepilex Lite 6 x 8.5 cm</x:v>
      </x:c>
      <x:c r="E40" s="14" t="str">
        <x:v>Caja X 5</x:v>
      </x:c>
      <x:c r="F40" s="14" t="str">
        <x:v>2020DM-0021620</x:v>
      </x:c>
      <x:c r="G40" s="20" t="n">
        <x:v>47622</x:v>
      </x:c>
      <x:c r="H40" s="14" t="str">
        <x:v>IIb</x:v>
      </x:c>
      <x:c r="I40" s="22" t="n">
        <x:v>15900</x:v>
      </x:c>
    </x:row>
    <x:row r="41">
      <x:c r="A41" s="16" t="n">
        <x:v>2</x:v>
      </x:c>
      <x:c r="B41" s="14" t="str">
        <x:v>Apósito Espumas de Poliuretano Extrafino</x:v>
      </x:c>
      <x:c r="C41" s="18" t="str">
        <x:v>284190</x:v>
      </x:c>
      <x:c r="D41" s="14" t="str">
        <x:v>Mepilex Lite 10 x 10 cm</x:v>
      </x:c>
      <x:c r="E41" s="14" t="str">
        <x:v>Caja X 5</x:v>
      </x:c>
      <x:c r="F41" s="14" t="str">
        <x:v>2020DM-0021620</x:v>
      </x:c>
      <x:c r="G41" s="20" t="n">
        <x:v>47622</x:v>
      </x:c>
      <x:c r="H41" s="14" t="str">
        <x:v>IIb</x:v>
      </x:c>
      <x:c r="I41" s="22" t="n">
        <x:v>16900</x:v>
      </x:c>
    </x:row>
    <x:row r="42">
      <x:c r="A42" s="16" t="n">
        <x:v>2</x:v>
      </x:c>
      <x:c r="B42" s="14" t="str">
        <x:v>Apósito Espumas de Poliuretano Extrafino</x:v>
      </x:c>
      <x:c r="C42" s="18" t="str">
        <x:v>284390</x:v>
      </x:c>
      <x:c r="D42" s="14" t="str">
        <x:v>Mepilex Lite 15 x 15 cm</x:v>
      </x:c>
      <x:c r="E42" s="14" t="str">
        <x:v>Caja X 5</x:v>
      </x:c>
      <x:c r="F42" s="14" t="str">
        <x:v>2020DM-0021620</x:v>
      </x:c>
      <x:c r="G42" s="20" t="n">
        <x:v>47622</x:v>
      </x:c>
      <x:c r="H42" s="14" t="str">
        <x:v>IIb</x:v>
      </x:c>
      <x:c r="I42" s="22" t="n">
        <x:v>21900</x:v>
      </x:c>
    </x:row>
    <x:row r="43">
      <x:c r="A43" s="16" t="n">
        <x:v>2</x:v>
      </x:c>
      <x:c r="B43" s="14" t="str">
        <x:v>Apósito Espumas de Poliuretano Extrafino</x:v>
      </x:c>
      <x:c r="C43" s="18" t="str">
        <x:v>284599</x:v>
      </x:c>
      <x:c r="D43" s="14" t="str">
        <x:v>Mepilex Lite 20 x 50 cm</x:v>
      </x:c>
      <x:c r="E43" s="14" t="str">
        <x:v>Caja X 4</x:v>
      </x:c>
      <x:c r="F43" s="14" t="str">
        <x:v>2020DM-0021620</x:v>
      </x:c>
      <x:c r="G43" s="20" t="n">
        <x:v>47622</x:v>
      </x:c>
      <x:c r="H43" s="14" t="str">
        <x:v>IIb</x:v>
      </x:c>
      <x:c r="I43" s="22" t="n">
        <x:v>125300</x:v>
      </x:c>
    </x:row>
    <x:row r="44">
      <x:c r="A44" s="16" t="n">
        <x:v>2</x:v>
      </x:c>
      <x:c r="B44" s="14" t="str">
        <x:v>Apósito Espumas de Poliuretano con Acción Antimicrobiana</x:v>
      </x:c>
      <x:c r="C44" s="18" t="str">
        <x:v>287100</x:v>
      </x:c>
      <x:c r="D44" s="14" t="str">
        <x:v>Mepilex Ag 10 x 10 cm</x:v>
      </x:c>
      <x:c r="E44" s="14" t="str">
        <x:v>Caja X 5</x:v>
      </x:c>
      <x:c r="F44" s="14" t="str">
        <x:v>2020DM-0021561</x:v>
      </x:c>
      <x:c r="G44" s="20" t="n">
        <x:v>47600</x:v>
      </x:c>
      <x:c r="H44" s="14" t="str">
        <x:v>III</x:v>
      </x:c>
      <x:c r="I44" s="22" t="n">
        <x:v>38600</x:v>
      </x:c>
    </x:row>
    <x:row r="45">
      <x:c r="A45" s="16" t="n">
        <x:v>2</x:v>
      </x:c>
      <x:c r="B45" s="14" t="str">
        <x:v>Apósito Espumas de Poliuretano con Acción Antimicrobiana</x:v>
      </x:c>
      <x:c r="C45" s="18" t="str">
        <x:v>287200</x:v>
      </x:c>
      <x:c r="D45" s="14" t="str">
        <x:v>Mepilex Ag 10 x 20 cm</x:v>
      </x:c>
      <x:c r="E45" s="14" t="str">
        <x:v>Caja X 5</x:v>
      </x:c>
      <x:c r="F45" s="14" t="str">
        <x:v>2020DM-0021561</x:v>
      </x:c>
      <x:c r="G45" s="20" t="n">
        <x:v>47600</x:v>
      </x:c>
      <x:c r="H45" s="14" t="str">
        <x:v>III</x:v>
      </x:c>
      <x:c r="I45" s="22" t="n">
        <x:v>107200</x:v>
      </x:c>
    </x:row>
    <x:row r="46">
      <x:c r="A46" s="16" t="n">
        <x:v>2</x:v>
      </x:c>
      <x:c r="B46" s="14" t="str">
        <x:v>Apósito Espumas de Poliuretano con Acción Antimicrobiana</x:v>
      </x:c>
      <x:c r="C46" s="18" t="str">
        <x:v>287300</x:v>
      </x:c>
      <x:c r="D46" s="14" t="str">
        <x:v>Mepilex Ag 15 x 15 cm</x:v>
      </x:c>
      <x:c r="E46" s="14" t="str">
        <x:v>Caja X 5</x:v>
      </x:c>
      <x:c r="F46" s="14" t="str">
        <x:v>2020DM-0021561</x:v>
      </x:c>
      <x:c r="G46" s="20" t="n">
        <x:v>47600</x:v>
      </x:c>
      <x:c r="H46" s="14" t="str">
        <x:v>III</x:v>
      </x:c>
      <x:c r="I46" s="22" t="n">
        <x:v>114900</x:v>
      </x:c>
    </x:row>
    <x:row r="47">
      <x:c r="A47" s="16" t="n">
        <x:v>2</x:v>
      </x:c>
      <x:c r="B47" s="14" t="str">
        <x:v>Apósito Espumas de Poliuretano con Acción Antimicrobiana</x:v>
      </x:c>
      <x:c r="C47" s="18" t="str">
        <x:v>287400</x:v>
      </x:c>
      <x:c r="D47" s="14" t="str">
        <x:v>Mepilex Ag 20 x 20 cm</x:v>
      </x:c>
      <x:c r="E47" s="14" t="str">
        <x:v>Caja X 5</x:v>
      </x:c>
      <x:c r="F47" s="14" t="str">
        <x:v>2020DM-0021561</x:v>
      </x:c>
      <x:c r="G47" s="20" t="n">
        <x:v>47600</x:v>
      </x:c>
      <x:c r="H47" s="14" t="str">
        <x:v>III</x:v>
      </x:c>
      <x:c r="I47" s="22" t="n">
        <x:v>129400</x:v>
      </x:c>
    </x:row>
    <x:row r="48">
      <x:c r="A48" s="16" t="n">
        <x:v>2</x:v>
      </x:c>
      <x:c r="B48" s="14" t="str">
        <x:v>Apósito Espumas de Poliuretano con Acción Antimicrobiana</x:v>
      </x:c>
      <x:c r="C48" s="18" t="str">
        <x:v>287500</x:v>
      </x:c>
      <x:c r="D48" s="14" t="str">
        <x:v>Mepilex Ag 20 x 50 cm</x:v>
      </x:c>
      <x:c r="E48" s="14" t="str">
        <x:v>Caja X 2</x:v>
      </x:c>
      <x:c r="F48" s="14" t="str">
        <x:v>2020DM-0021561</x:v>
      </x:c>
      <x:c r="G48" s="20" t="n">
        <x:v>47600</x:v>
      </x:c>
      <x:c r="H48" s="14" t="str">
        <x:v>III</x:v>
      </x:c>
      <x:c r="I48" s="22" t="n">
        <x:v>338000</x:v>
      </x:c>
    </x:row>
    <x:row r="49">
      <x:c r="A49" s="16" t="n">
        <x:v>3</x:v>
      </x:c>
      <x:c r="B49" s="14" t="str">
        <x:v>Apósito Multicapa (5 capas) con Bordes Autoadherentes con Efecto Antimicrobiano</x:v>
      </x:c>
      <x:c r="C49" s="18" t="str">
        <x:v>395290</x:v>
      </x:c>
      <x:c r="D49" s="14" t="str">
        <x:v>Mepilex Border Ag 7.5 x 7.5 cm</x:v>
      </x:c>
      <x:c r="E49" s="14" t="str">
        <x:v>Caja X 5</x:v>
      </x:c>
      <x:c r="F49" s="14" t="str">
        <x:v>2020DM-0021561</x:v>
      </x:c>
      <x:c r="G49" s="20" t="n">
        <x:v>47600</x:v>
      </x:c>
      <x:c r="H49" s="14" t="str">
        <x:v>III</x:v>
      </x:c>
      <x:c r="I49" s="22" t="n">
        <x:v>28000</x:v>
      </x:c>
    </x:row>
    <x:row r="50">
      <x:c r="A50" s="16" t="n">
        <x:v>3</x:v>
      </x:c>
      <x:c r="B50" s="14" t="str">
        <x:v>Apósito Multicapa (5 capas) con Bordes Autoadherentes con Efecto Antimicrobiano</x:v>
      </x:c>
      <x:c r="C50" s="18" t="str">
        <x:v>395390</x:v>
      </x:c>
      <x:c r="D50" s="14" t="str">
        <x:v>Mepilex Border Ag 10 x 10 cm</x:v>
      </x:c>
      <x:c r="E50" s="14" t="str">
        <x:v>Caja X 5</x:v>
      </x:c>
      <x:c r="F50" s="14" t="str">
        <x:v>2020DM-0021561</x:v>
      </x:c>
      <x:c r="G50" s="20" t="n">
        <x:v>47600</x:v>
      </x:c>
      <x:c r="H50" s="14" t="str">
        <x:v>III</x:v>
      </x:c>
      <x:c r="I50" s="22" t="n">
        <x:v>49200</x:v>
      </x:c>
    </x:row>
    <x:row r="51">
      <x:c r="A51" s="16" t="n">
        <x:v>3</x:v>
      </x:c>
      <x:c r="B51" s="14" t="str">
        <x:v>Apósito Multicapa (5 capas) con Bordes Autoadherentes con Efecto Antimicrobiano</x:v>
      </x:c>
      <x:c r="C51" s="18" t="str">
        <x:v>395890</x:v>
      </x:c>
      <x:c r="D51" s="14" t="str">
        <x:v>Mepilex Border Ag 10 x 20 cm</x:v>
      </x:c>
      <x:c r="E51" s="14" t="str">
        <x:v>Caja X 5</x:v>
      </x:c>
      <x:c r="F51" s="14" t="str">
        <x:v>2020DM-0021561</x:v>
      </x:c>
      <x:c r="G51" s="20" t="n">
        <x:v>47600</x:v>
      </x:c>
      <x:c r="H51" s="14" t="str">
        <x:v>III</x:v>
      </x:c>
      <x:c r="I51" s="22" t="n">
        <x:v>141600</x:v>
      </x:c>
    </x:row>
    <x:row r="52">
      <x:c r="A52" s="16" t="n">
        <x:v>3</x:v>
      </x:c>
      <x:c r="B52" s="14" t="str">
        <x:v>Apósito Multicapa (5 capas) con Bordes Autoadherentes con Efecto Antimicrobiano</x:v>
      </x:c>
      <x:c r="C52" s="18" t="str">
        <x:v>395790</x:v>
      </x:c>
      <x:c r="D52" s="14" t="str">
        <x:v>Mepilex Border Ag 10 x 25 cm</x:v>
      </x:c>
      <x:c r="E52" s="14" t="str">
        <x:v>Caja X 5</x:v>
      </x:c>
      <x:c r="F52" s="14" t="str">
        <x:v>2020DM-0021561</x:v>
      </x:c>
      <x:c r="G52" s="20" t="n">
        <x:v>47600</x:v>
      </x:c>
      <x:c r="H52" s="14" t="str">
        <x:v>III</x:v>
      </x:c>
      <x:c r="I52" s="22" t="n">
        <x:v>174700</x:v>
      </x:c>
    </x:row>
    <x:row r="53">
      <x:c r="A53" s="16" t="n">
        <x:v>3</x:v>
      </x:c>
      <x:c r="B53" s="14" t="str">
        <x:v>Apósito Multicapa (5 capas) con Bordes Autoadherentes con Efecto Antimicrobiano</x:v>
      </x:c>
      <x:c r="C53" s="18" t="str">
        <x:v>395990</x:v>
      </x:c>
      <x:c r="D53" s="14" t="str">
        <x:v>Mepilex Border Ag 10 x 30 cm</x:v>
      </x:c>
      <x:c r="E53" s="14" t="str">
        <x:v>Caja X 5</x:v>
      </x:c>
      <x:c r="F53" s="14" t="str">
        <x:v>2020DM-0021561</x:v>
      </x:c>
      <x:c r="G53" s="20" t="n">
        <x:v>47600</x:v>
      </x:c>
      <x:c r="H53" s="14" t="str">
        <x:v>III</x:v>
      </x:c>
      <x:c r="I53" s="22" t="n">
        <x:v>204000</x:v>
      </x:c>
    </x:row>
    <x:row r="54">
      <x:c r="A54" s="16" t="n">
        <x:v>3</x:v>
      </x:c>
      <x:c r="B54" s="14" t="str">
        <x:v>Apósito Multicapa (5 capas) con Bordes Autoadherentes con Efecto Antimicrobiano</x:v>
      </x:c>
      <x:c r="C54" s="18" t="str">
        <x:v>395490</x:v>
      </x:c>
      <x:c r="D54" s="14" t="str">
        <x:v>Mepilex Border Ag 15 x 15 cm</x:v>
      </x:c>
      <x:c r="E54" s="14" t="str">
        <x:v>Caja X 5</x:v>
      </x:c>
      <x:c r="F54" s="14" t="str">
        <x:v>2020DM-0021561</x:v>
      </x:c>
      <x:c r="G54" s="20" t="n">
        <x:v>47600</x:v>
      </x:c>
      <x:c r="H54" s="14" t="str">
        <x:v>III</x:v>
      </x:c>
      <x:c r="I54" s="22" t="n">
        <x:v>97500</x:v>
      </x:c>
    </x:row>
    <x:row r="55">
      <x:c r="A55" s="16" t="n">
        <x:v>3</x:v>
      </x:c>
      <x:c r="B55" s="14" t="str">
        <x:v>Apósito Multicapa (5 capas) con Bordes Autoadherentes con Efecto Antimicrobiano</x:v>
      </x:c>
      <x:c r="C55" s="18" t="str">
        <x:v>395690</x:v>
      </x:c>
      <x:c r="D55" s="14" t="str">
        <x:v>Mepilex Border Ag 15 x 20 cm</x:v>
      </x:c>
      <x:c r="E55" s="14" t="str">
        <x:v>Caja X 5</x:v>
      </x:c>
      <x:c r="F55" s="14" t="str">
        <x:v>2020DM-0021561</x:v>
      </x:c>
      <x:c r="G55" s="20" t="n">
        <x:v>47600</x:v>
      </x:c>
      <x:c r="H55" s="14" t="str">
        <x:v>III</x:v>
      </x:c>
      <x:c r="I55" s="22" t="n">
        <x:v>183500</x:v>
      </x:c>
    </x:row>
    <x:row r="56">
      <x:c r="A56" s="16" t="n">
        <x:v>3</x:v>
      </x:c>
      <x:c r="B56" s="14" t="str">
        <x:v>Apósito Multicapa (5 capas) con Bordes Autoadherentes con Efecto Antimicrobiano para el Sacro</x:v>
      </x:c>
      <x:c r="C56" s="18" t="str">
        <x:v>382090</x:v>
      </x:c>
      <x:c r="D56" s="14" t="str">
        <x:v>Mepilex Border Sacrum Ag 18 x 18 cm</x:v>
      </x:c>
      <x:c r="E56" s="14" t="str">
        <x:v>Caja X 5</x:v>
      </x:c>
      <x:c r="F56" s="14" t="str">
        <x:v>2020DM-0021561</x:v>
      </x:c>
      <x:c r="G56" s="20" t="n">
        <x:v>47600</x:v>
      </x:c>
      <x:c r="H56" s="14" t="str">
        <x:v>III</x:v>
      </x:c>
      <x:c r="I56" s="22" t="n">
        <x:v>208400</x:v>
      </x:c>
    </x:row>
    <x:row r="57">
      <x:c r="A57" s="16" t="n">
        <x:v>3</x:v>
      </x:c>
      <x:c r="B57" s="14" t="str">
        <x:v>Apósito Multicapa (5 capas) con Bordes Autoadherentes con Efecto Antimicrobiano para el Sacro</x:v>
      </x:c>
      <x:c r="C57" s="18" t="str">
        <x:v>382490</x:v>
      </x:c>
      <x:c r="D57" s="14" t="str">
        <x:v>Mepilex Border Sacrum Ag 23 x 23 cm</x:v>
      </x:c>
      <x:c r="E57" s="14" t="str">
        <x:v>Caja X 5</x:v>
      </x:c>
      <x:c r="F57" s="14" t="str">
        <x:v>2020DM-0021561</x:v>
      </x:c>
      <x:c r="G57" s="20" t="n">
        <x:v>47600</x:v>
      </x:c>
      <x:c r="H57" s="14" t="str">
        <x:v>III</x:v>
      </x:c>
      <x:c r="I57" s="22" t="n">
        <x:v>241400</x:v>
      </x:c>
    </x:row>
    <x:row r="58">
      <x:c r="A58" s="16" t="n">
        <x:v>3</x:v>
      </x:c>
      <x:c r="B58" s="14" t="str">
        <x:v>Apósito Espuma de Poliuretano Transferencia de Exudado</x:v>
      </x:c>
      <x:c r="C58" s="18" t="str">
        <x:v>294899</x:v>
      </x:c>
      <x:c r="D58" s="14" t="str">
        <x:v>Mepilex Transfer 15 x 20 cm</x:v>
      </x:c>
      <x:c r="E58" s="14" t="str">
        <x:v>Caja X 5</x:v>
      </x:c>
      <x:c r="F58" s="14" t="str">
        <x:v>2020DM-0021620</x:v>
      </x:c>
      <x:c r="G58" s="20" t="n">
        <x:v>47622</x:v>
      </x:c>
      <x:c r="H58" s="14" t="str">
        <x:v>IIb</x:v>
      </x:c>
      <x:c r="I58" s="22" t="n">
        <x:v>49000</x:v>
      </x:c>
    </x:row>
    <x:row r="59">
      <x:c r="A59" s="16" t="n">
        <x:v>3</x:v>
      </x:c>
      <x:c r="B59" s="14" t="str">
        <x:v>Apósito Espuma de Poliuretano Transferencia de Exudado</x:v>
      </x:c>
      <x:c r="C59" s="18" t="str">
        <x:v>294599</x:v>
      </x:c>
      <x:c r="D59" s="14" t="str">
        <x:v>Mepilex Transfer 20 x 50 cm</x:v>
      </x:c>
      <x:c r="E59" s="14" t="str">
        <x:v>Caja X 4</x:v>
      </x:c>
      <x:c r="F59" s="14" t="str">
        <x:v>2020DM-0021620</x:v>
      </x:c>
      <x:c r="G59" s="20" t="n">
        <x:v>47622</x:v>
      </x:c>
      <x:c r="H59" s="14" t="str">
        <x:v>IIb</x:v>
      </x:c>
      <x:c r="I59" s="22" t="n">
        <x:v>125000</x:v>
      </x:c>
    </x:row>
    <x:row r="60">
      <x:c r="A60" s="16" t="n">
        <x:v>3</x:v>
      </x:c>
      <x:c r="B60" s="14" t="str">
        <x:v>Apósito Espuma de Poliuretano Transferencia de Exudado con Acción Antimicrobiana</x:v>
      </x:c>
      <x:c r="C60" s="18" t="str">
        <x:v>394190</x:v>
      </x:c>
      <x:c r="D60" s="14" t="str">
        <x:v>Mepilex Transfer Ag 10 x 12.5 cm</x:v>
      </x:c>
      <x:c r="E60" s="14" t="str">
        <x:v>Caja X 5</x:v>
      </x:c>
      <x:c r="F60" s="14" t="str">
        <x:v>2020DM-0021561</x:v>
      </x:c>
      <x:c r="G60" s="20" t="n">
        <x:v>47600</x:v>
      </x:c>
      <x:c r="H60" s="14" t="str">
        <x:v>III</x:v>
      </x:c>
      <x:c r="I60" s="22" t="n">
        <x:v>114900</x:v>
      </x:c>
    </x:row>
    <x:row r="61">
      <x:c r="A61" s="16" t="n">
        <x:v>3</x:v>
      </x:c>
      <x:c r="B61" s="14" t="str">
        <x:v>Apósito Espuma de Poliuretano Transferencia de Exudado con Acción Antimicrobiana</x:v>
      </x:c>
      <x:c r="C61" s="18" t="str">
        <x:v>394890</x:v>
      </x:c>
      <x:c r="D61" s="14" t="str">
        <x:v>Mepilex Transfer Ag 15 x 20 cm</x:v>
      </x:c>
      <x:c r="E61" s="14" t="str">
        <x:v>Caja X 10</x:v>
      </x:c>
      <x:c r="F61" s="14" t="str">
        <x:v>2020DM-0021561</x:v>
      </x:c>
      <x:c r="G61" s="20" t="n">
        <x:v>47600</x:v>
      </x:c>
      <x:c r="H61" s="14" t="str">
        <x:v>III</x:v>
      </x:c>
      <x:c r="I61" s="22" t="n">
        <x:v>224100</x:v>
      </x:c>
    </x:row>
    <x:row r="62">
      <x:c r="A62" s="16" t="n">
        <x:v>3</x:v>
      </x:c>
      <x:c r="B62" s="14" t="str">
        <x:v>Apósito Espuma de Poliuretano Transferencia de Exudado con Acción Antimicrobiana</x:v>
      </x:c>
      <x:c r="C62" s="18" t="str">
        <x:v>394590</x:v>
      </x:c>
      <x:c r="D62" s="14" t="str">
        <x:v>Mepilex Transfer Ag 20 x 50 cm</x:v>
      </x:c>
      <x:c r="E62" s="14" t="str">
        <x:v>Caja X 2</x:v>
      </x:c>
      <x:c r="F62" s="14" t="str">
        <x:v>2020DM-0021561</x:v>
      </x:c>
      <x:c r="G62" s="20" t="n">
        <x:v>47600</x:v>
      </x:c>
      <x:c r="H62" s="14" t="str">
        <x:v>III</x:v>
      </x:c>
      <x:c r="I62" s="22" t="n">
        <x:v>386300</x:v>
      </x:c>
    </x:row>
    <x:row r="63">
      <x:c r="A63" s="16" t="n">
        <x:v>3</x:v>
      </x:c>
      <x:c r="B63" s="14" t="str">
        <x:v>Aposito Superabsorbente con Revestimiento Repelente de Fluidos</x:v>
      </x:c>
      <x:c r="C63" s="18" t="str">
        <x:v>610000</x:v>
      </x:c>
      <x:c r="D63" s="14" t="str">
        <x:v>Mextra Superabsorbent 12.5x12.5 cm</x:v>
      </x:c>
      <x:c r="E63" s="14" t="str">
        <x:v>Caja X 10</x:v>
      </x:c>
      <x:c r="F63" s="14" t="str">
        <x:v>2023DM-0027509</x:v>
      </x:c>
      <x:c r="G63" s="20" t="n">
        <x:v>48816</x:v>
      </x:c>
      <x:c r="H63" s="14" t="str">
        <x:v>IIb</x:v>
      </x:c>
      <x:c r="I63" s="22" t="n">
        <x:v>23000</x:v>
      </x:c>
    </x:row>
    <x:row r="64">
      <x:c r="A64" s="16" t="n">
        <x:v>3</x:v>
      </x:c>
      <x:c r="B64" s="14" t="str">
        <x:v>Aposito Superabsorbente con Revestimiento Repelente de Fluidos</x:v>
      </x:c>
      <x:c r="C64" s="18" t="str">
        <x:v>610100</x:v>
      </x:c>
      <x:c r="D64" s="14" t="str">
        <x:v>Mextra Superabsorbent 12.5x17.5 cm</x:v>
      </x:c>
      <x:c r="E64" s="14" t="str">
        <x:v>Caja X 10</x:v>
      </x:c>
      <x:c r="F64" s="14" t="str">
        <x:v>2023DM-0027509</x:v>
      </x:c>
      <x:c r="G64" s="20" t="n">
        <x:v>48816</x:v>
      </x:c>
      <x:c r="H64" s="14" t="str">
        <x:v>IIb</x:v>
      </x:c>
      <x:c r="I64" s="22" t="n">
        <x:v>27300</x:v>
      </x:c>
    </x:row>
    <x:row r="65">
      <x:c r="A65" s="16" t="n">
        <x:v>3</x:v>
      </x:c>
      <x:c r="B65" s="14" t="str">
        <x:v>Aposito Superabsorbente con Revestimiento Repelente de Fluidos</x:v>
      </x:c>
      <x:c r="C65" s="18" t="str">
        <x:v>610200</x:v>
      </x:c>
      <x:c r="D65" s="14" t="str">
        <x:v>Mextra Superabsorbent 12.5x22.5 cm</x:v>
      </x:c>
      <x:c r="E65" s="14" t="str">
        <x:v>Caja X 10</x:v>
      </x:c>
      <x:c r="F65" s="14" t="str">
        <x:v>2023DM-0027509</x:v>
      </x:c>
      <x:c r="G65" s="20" t="n">
        <x:v>48816</x:v>
      </x:c>
      <x:c r="H65" s="14" t="str">
        <x:v>IIb</x:v>
      </x:c>
      <x:c r="I65" s="22" t="n">
        <x:v>38000</x:v>
      </x:c>
    </x:row>
    <x:row r="66">
      <x:c r="A66" s="16" t="n">
        <x:v>3</x:v>
      </x:c>
      <x:c r="B66" s="14" t="str">
        <x:v>Aposito Superabsorbente con Revestimiento Repelente de Fluidos</x:v>
      </x:c>
      <x:c r="C66" s="18" t="str">
        <x:v>610300</x:v>
      </x:c>
      <x:c r="D66" s="14" t="str">
        <x:v>Mextra Superabsorbent 17.5x22.5 cm</x:v>
      </x:c>
      <x:c r="E66" s="14" t="str">
        <x:v>Caja X 10</x:v>
      </x:c>
      <x:c r="F66" s="14" t="str">
        <x:v>2023DM-0027509</x:v>
      </x:c>
      <x:c r="G66" s="20" t="n">
        <x:v>48816</x:v>
      </x:c>
      <x:c r="H66" s="14" t="str">
        <x:v>IIb</x:v>
      </x:c>
      <x:c r="I66" s="22" t="n">
        <x:v>39800</x:v>
      </x:c>
    </x:row>
    <x:row r="67">
      <x:c r="A67" s="16" t="n">
        <x:v>3</x:v>
      </x:c>
      <x:c r="B67" s="14" t="str">
        <x:v>Aposito Superabsorbente con Revestimiento Repelente de Fluidos</x:v>
      </x:c>
      <x:c r="C67" s="18" t="str">
        <x:v>610400</x:v>
      </x:c>
      <x:c r="D67" s="14" t="str">
        <x:v>Mextra Superabsorbent 22.5x27.5 cm</x:v>
      </x:c>
      <x:c r="E67" s="14" t="str">
        <x:v>Caja X 10</x:v>
      </x:c>
      <x:c r="F67" s="14" t="str">
        <x:v>2023DM-0027509</x:v>
      </x:c>
      <x:c r="G67" s="20" t="n">
        <x:v>48816</x:v>
      </x:c>
      <x:c r="H67" s="14" t="str">
        <x:v>IIb</x:v>
      </x:c>
      <x:c r="I67" s="22" t="n">
        <x:v>42200</x:v>
      </x:c>
    </x:row>
    <x:row r="68">
      <x:c r="A68" s="16" t="n">
        <x:v>3</x:v>
      </x:c>
      <x:c r="B68" s="14" t="str">
        <x:v>Aposito Superabsorbente con Revestimiento Repelente de Fluidos</x:v>
      </x:c>
      <x:c r="C68" s="18" t="str">
        <x:v>610500</x:v>
      </x:c>
      <x:c r="D68" s="14" t="str">
        <x:v>Mextra Superabsorbent 22.5x32.5 cm</x:v>
      </x:c>
      <x:c r="E68" s="14" t="str">
        <x:v>Caja X 10</x:v>
      </x:c>
      <x:c r="F68" s="14" t="str">
        <x:v>2023DM-0027509</x:v>
      </x:c>
      <x:c r="G68" s="20" t="n">
        <x:v>48816</x:v>
      </x:c>
      <x:c r="H68" s="14" t="str">
        <x:v>IIb</x:v>
      </x:c>
      <x:c r="I68" s="22" t="n">
        <x:v>51600</x:v>
      </x:c>
    </x:row>
    <x:row r="69">
      <x:c r="A69" s="16" t="n">
        <x:v>3</x:v>
      </x:c>
      <x:c r="B69" s="14" t="str">
        <x:v>Lámina de Silicona para el Tratamiento de Cicatrices Hipertróficas y Queloides</x:v>
      </x:c>
      <x:c r="C69" s="18" t="str">
        <x:v>293499</x:v>
      </x:c>
      <x:c r="D69" s="14" t="str">
        <x:v>Mepiform 10 x 18 cm</x:v>
      </x:c>
      <x:c r="E69" s="14" t="str">
        <x:v>Caja X 5</x:v>
      </x:c>
      <x:c r="F69" s="14" t="str">
        <x:v>2021DM-0007550-R1</x:v>
      </x:c>
      <x:c r="G69" s="20" t="n">
        <x:v>47978</x:v>
      </x:c>
      <x:c r="H69" s="14" t="str">
        <x:v>IIa</x:v>
      </x:c>
      <x:c r="I69" s="22" t="n">
        <x:v>77300</x:v>
      </x:c>
    </x:row>
    <x:row r="70">
      <x:c r="A70" s="16" t="n">
        <x:v>3</x:v>
      </x:c>
      <x:c r="B70" s="14" t="str">
        <x:v>Lámina de Silicona para el Tratamiento de Cicatrices Hipertróficas y Queloides</x:v>
      </x:c>
      <x:c r="C70" s="18" t="str">
        <x:v>293299</x:v>
      </x:c>
      <x:c r="D70" s="14" t="str">
        <x:v>Mepiform 5 x 7.5 cm</x:v>
      </x:c>
      <x:c r="E70" s="14" t="str">
        <x:v>Caja X 5</x:v>
      </x:c>
      <x:c r="F70" s="14" t="str">
        <x:v>2021DM-0007550-R1</x:v>
      </x:c>
      <x:c r="G70" s="20" t="n">
        <x:v>47978</x:v>
      </x:c>
      <x:c r="H70" s="14" t="str">
        <x:v>IIa</x:v>
      </x:c>
      <x:c r="I70" s="22" t="n">
        <x:v>38600</x:v>
      </x:c>
    </x:row>
    <x:row r="71">
      <x:c r="A71" s="16" t="n">
        <x:v>4</x:v>
      </x:c>
      <x:c r="B71" s="14" t="str">
        <x:v>Cinta Adhesiva de Fijación</x:v>
      </x:c>
      <x:c r="C71" s="18" t="str">
        <x:v>298300</x:v>
      </x:c>
      <x:c r="D71" s="14" t="str">
        <x:v>Mepitac 2 cm x 3 m</x:v>
      </x:c>
      <x:c r="E71" s="14" t="str">
        <x:v>Caja X 1</x:v>
      </x:c>
      <x:c r="F71" s="14" t="str">
        <x:v>2021DM-0007550-R1</x:v>
      </x:c>
      <x:c r="G71" s="20" t="n">
        <x:v>47978</x:v>
      </x:c>
      <x:c r="H71" s="14" t="str">
        <x:v>IIa</x:v>
      </x:c>
      <x:c r="I71" s="22" t="n">
        <x:v>70700</x:v>
      </x:c>
    </x:row>
    <x:row r="72">
      <x:c r="A72" s="16" t="n">
        <x:v>4</x:v>
      </x:c>
      <x:c r="B72" s="14" t="str">
        <x:v>Cinta Adhesiva de Fijación</x:v>
      </x:c>
      <x:c r="C72" s="18" t="str">
        <x:v>298400</x:v>
      </x:c>
      <x:c r="D72" s="14" t="str">
        <x:v>Mepitac 4 cm x 1.5 m</x:v>
      </x:c>
      <x:c r="E72" s="14" t="str">
        <x:v>Caja X 1</x:v>
      </x:c>
      <x:c r="F72" s="14" t="str">
        <x:v>2021DM-0007550-R1</x:v>
      </x:c>
      <x:c r="G72" s="20" t="n">
        <x:v>47978</x:v>
      </x:c>
      <x:c r="H72" s="14" t="str">
        <x:v>IIa</x:v>
      </x:c>
      <x:c r="I72" s="22" t="n">
        <x:v>64900</x:v>
      </x:c>
    </x:row>
    <x:row r="73">
      <x:c r="A73" s="16" t="n">
        <x:v>4</x:v>
      </x:c>
      <x:c r="B73" s="14" t="str">
        <x:v>Láminas de Contacto Porosa con Micro adherencia Selectiva por las dos Caras</x:v>
      </x:c>
      <x:c r="C73" s="18" t="str">
        <x:v>290799</x:v>
      </x:c>
      <x:c r="D73" s="14" t="str">
        <x:v>Mepitel 7.5 x 10 cm</x:v>
      </x:c>
      <x:c r="E73" s="14" t="str">
        <x:v>Caja X 10</x:v>
      </x:c>
      <x:c r="F73" s="14" t="str">
        <x:v>2021DM-0007550-R1</x:v>
      </x:c>
      <x:c r="G73" s="20" t="n">
        <x:v>47978</x:v>
      </x:c>
      <x:c r="H73" s="14" t="str">
        <x:v>IIa</x:v>
      </x:c>
      <x:c r="I73" s="22" t="n">
        <x:v>24200</x:v>
      </x:c>
    </x:row>
    <x:row r="74">
      <x:c r="A74" s="16" t="n">
        <x:v>4</x:v>
      </x:c>
      <x:c r="B74" s="14" t="str">
        <x:v>Láminas de Contacto Porosa con Micro adherencia Selectiva por las dos Caras</x:v>
      </x:c>
      <x:c r="C74" s="18" t="str">
        <x:v>291099</x:v>
      </x:c>
      <x:c r="D74" s="14" t="str">
        <x:v>Mepitel 10 x 18 cm</x:v>
      </x:c>
      <x:c r="E74" s="14" t="str">
        <x:v>Caja X 10</x:v>
      </x:c>
      <x:c r="F74" s="14" t="str">
        <x:v>2021DM-0007550-R1</x:v>
      </x:c>
      <x:c r="G74" s="20" t="n">
        <x:v>47978</x:v>
      </x:c>
      <x:c r="H74" s="14" t="str">
        <x:v>IIa</x:v>
      </x:c>
      <x:c r="I74" s="22" t="n">
        <x:v>50300</x:v>
      </x:c>
    </x:row>
    <x:row r="75">
      <x:c r="A75" s="16" t="n">
        <x:v>4</x:v>
      </x:c>
      <x:c r="B75" s="14" t="str">
        <x:v>Láminas de Contacto Porosa con Micro adherencia Selectiva por las dos Caras</x:v>
      </x:c>
      <x:c r="C75" s="18" t="str">
        <x:v>292005</x:v>
      </x:c>
      <x:c r="D75" s="14" t="str">
        <x:v>Mepitel 20 x 30 cm</x:v>
      </x:c>
      <x:c r="E75" s="14" t="str">
        <x:v>Caja X 5</x:v>
      </x:c>
      <x:c r="F75" s="14" t="str">
        <x:v>2021DM-0007550-R1</x:v>
      </x:c>
      <x:c r="G75" s="20" t="n">
        <x:v>47978</x:v>
      </x:c>
      <x:c r="H75" s="14" t="str">
        <x:v>IIa</x:v>
      </x:c>
      <x:c r="I75" s="22" t="n">
        <x:v>144800</x:v>
      </x:c>
    </x:row>
    <x:row r="76">
      <x:c r="A76" s="16" t="n">
        <x:v>4</x:v>
      </x:c>
      <x:c r="B76" s="14" t="str">
        <x:v>Láminas de Contacto Porosa con Micro adherencia Selectiva por las dos Caras</x:v>
      </x:c>
      <x:c r="C76" s="18" t="str">
        <x:v>290599</x:v>
      </x:c>
      <x:c r="D76" s="14" t="str">
        <x:v>Mepitel 5 x 7.5 cm</x:v>
      </x:c>
      <x:c r="E76" s="14" t="str">
        <x:v>Caja X 10</x:v>
      </x:c>
      <x:c r="F76" s="14" t="str">
        <x:v>2021DM-0007550-R1</x:v>
      </x:c>
      <x:c r="G76" s="20" t="n">
        <x:v>47978</x:v>
      </x:c>
      <x:c r="H76" s="14" t="str">
        <x:v>IIa</x:v>
      </x:c>
      <x:c r="I76" s="22" t="n">
        <x:v>14500</x:v>
      </x:c>
    </x:row>
    <x:row r="77">
      <x:c r="A77" s="16" t="n">
        <x:v>4</x:v>
      </x:c>
      <x:c r="B77" s="14" t="str">
        <x:v>Láminas de Contacto Porosa con Micro adherencia por una Cara</x:v>
      </x:c>
      <x:c r="C77" s="18" t="str">
        <x:v>289500</x:v>
      </x:c>
      <x:c r="D77" s="14" t="str">
        <x:v>Mepitel One 10 x 18 cm</x:v>
      </x:c>
      <x:c r="E77" s="14" t="str">
        <x:v>Caja X 10</x:v>
      </x:c>
      <x:c r="F77" s="14" t="str">
        <x:v>2021DM-0007550-R1</x:v>
      </x:c>
      <x:c r="G77" s="20" t="n">
        <x:v>47978</x:v>
      </x:c>
      <x:c r="H77" s="14" t="str">
        <x:v>IIa</x:v>
      </x:c>
      <x:c r="I77" s="22" t="n">
        <x:v>50300</x:v>
      </x:c>
    </x:row>
    <x:row r="78">
      <x:c r="A78" s="16" t="n">
        <x:v>4</x:v>
      </x:c>
      <x:c r="B78" s="14" t="str">
        <x:v>Láminas de Contacto Porosa con Micro adherencia por una Cara</x:v>
      </x:c>
      <x:c r="C78" s="18" t="str">
        <x:v>289700</x:v>
      </x:c>
      <x:c r="D78" s="14" t="str">
        <x:v>Mepitel One 17 x 25 cm</x:v>
      </x:c>
      <x:c r="E78" s="14" t="str">
        <x:v>Caja X 5</x:v>
      </x:c>
      <x:c r="F78" s="14" t="str">
        <x:v>2021DM-0007550-R1</x:v>
      </x:c>
      <x:c r="G78" s="20" t="n">
        <x:v>47978</x:v>
      </x:c>
      <x:c r="H78" s="14" t="str">
        <x:v>IIa</x:v>
      </x:c>
      <x:c r="I78" s="22" t="n">
        <x:v>115900</x:v>
      </x:c>
    </x:row>
    <x:row r="79">
      <x:c r="A79" s="16" t="n">
        <x:v>4</x:v>
      </x:c>
      <x:c r="B79" s="14" t="str">
        <x:v>Láminas de Contacto Porosa con Micro adherencia por una Cara</x:v>
      </x:c>
      <x:c r="C79" s="18" t="str">
        <x:v>289100</x:v>
      </x:c>
      <x:c r="D79" s="14" t="str">
        <x:v>Mepitel One 5 x 7.5 cm</x:v>
      </x:c>
      <x:c r="E79" s="14" t="str">
        <x:v>Caja X 10</x:v>
      </x:c>
      <x:c r="F79" s="14" t="str">
        <x:v>2021DM-0007550-R1</x:v>
      </x:c>
      <x:c r="G79" s="20" t="n">
        <x:v>47978</x:v>
      </x:c>
      <x:c r="H79" s="14" t="str">
        <x:v>IIa</x:v>
      </x:c>
      <x:c r="I79" s="22" t="n">
        <x:v>21900</x:v>
      </x:c>
    </x:row>
    <x:row r="80">
      <x:c r="A80" s="16" t="n">
        <x:v>4</x:v>
      </x:c>
      <x:c r="B80" s="14" t="str">
        <x:v>Láminas de Contacto Porosa con Micro adherencia por una Cara</x:v>
      </x:c>
      <x:c r="C80" s="18" t="str">
        <x:v>289300</x:v>
      </x:c>
      <x:c r="D80" s="14" t="str">
        <x:v>Mepitel One 7.5 x 10 cm</x:v>
      </x:c>
      <x:c r="E80" s="14" t="str">
        <x:v>Caja X 10</x:v>
      </x:c>
      <x:c r="F80" s="14" t="str">
        <x:v>2021DM-0007550-R1</x:v>
      </x:c>
      <x:c r="G80" s="20" t="n">
        <x:v>47978</x:v>
      </x:c>
      <x:c r="H80" s="14" t="str">
        <x:v>IIa</x:v>
      </x:c>
      <x:c r="I80" s="22" t="n">
        <x:v>27000</x:v>
      </x:c>
    </x:row>
    <x:row r="81">
      <x:c r="A81" s="16" t="n">
        <x:v>4</x:v>
      </x:c>
      <x:c r="B81" s="14" t="str">
        <x:v>Apósito Post Quirúrgico de 4 Capas</x:v>
      </x:c>
      <x:c r="C81" s="18" t="str">
        <x:v>496300</x:v>
      </x:c>
      <x:c r="D81" s="14" t="str">
        <x:v>Mepilex Border Post Op 10 x 15 cm</x:v>
      </x:c>
      <x:c r="E81" s="14" t="str">
        <x:v>Caja X 10</x:v>
      </x:c>
      <x:c r="F81" s="14" t="str">
        <x:v>2018DM-0018798</x:v>
      </x:c>
      <x:c r="G81" s="20" t="n">
        <x:v>47051</x:v>
      </x:c>
      <x:c r="H81" s="14" t="str">
        <x:v>IIa</x:v>
      </x:c>
      <x:c r="I81" s="22" t="n">
        <x:v>26750</x:v>
      </x:c>
    </x:row>
    <x:row r="82">
      <x:c r="A82" s="16" t="n">
        <x:v>4</x:v>
      </x:c>
      <x:c r="B82" s="14" t="str">
        <x:v>Apósito Post Quirúrgico de 4 Capas</x:v>
      </x:c>
      <x:c r="C82" s="18" t="str">
        <x:v>496405</x:v>
      </x:c>
      <x:c r="D82" s="14" t="str">
        <x:v>Mepilex Border Post Op 10 x 20 cm</x:v>
      </x:c>
      <x:c r="E82" s="14" t="str">
        <x:v>Caja X 5</x:v>
      </x:c>
      <x:c r="F82" s="14" t="str">
        <x:v>2018DM-0018798</x:v>
      </x:c>
      <x:c r="G82" s="20" t="n">
        <x:v>47051</x:v>
      </x:c>
      <x:c r="H82" s="14" t="str">
        <x:v>IIa</x:v>
      </x:c>
      <x:c r="I82" s="22" t="n">
        <x:v>31750</x:v>
      </x:c>
    </x:row>
    <x:row r="83">
      <x:c r="A83" s="16" t="n">
        <x:v>4</x:v>
      </x:c>
      <x:c r="B83" s="14" t="str">
        <x:v>Apósito Post Quirúrgico de 4 Capas</x:v>
      </x:c>
      <x:c r="C83" s="18" t="str">
        <x:v>496455</x:v>
      </x:c>
      <x:c r="D83" s="14" t="str">
        <x:v>Mepilex Border Post Op 10 x 25 cm</x:v>
      </x:c>
      <x:c r="E83" s="14" t="str">
        <x:v>Caja X 5</x:v>
      </x:c>
      <x:c r="F83" s="14" t="str">
        <x:v>2018DM-0018798</x:v>
      </x:c>
      <x:c r="G83" s="20" t="n">
        <x:v>47051</x:v>
      </x:c>
      <x:c r="H83" s="14" t="str">
        <x:v>IIa</x:v>
      </x:c>
      <x:c r="I83" s="22" t="n">
        <x:v>36750</x:v>
      </x:c>
    </x:row>
    <x:row r="84">
      <x:c r="A84" s="16" t="n">
        <x:v>4</x:v>
      </x:c>
      <x:c r="B84" s="14" t="str">
        <x:v>Apósito Post Quirúrgico de 4 Capas</x:v>
      </x:c>
      <x:c r="C84" s="18" t="str">
        <x:v>496605</x:v>
      </x:c>
      <x:c r="D84" s="14" t="str">
        <x:v>Mepilex Border Post Op 10 x 30 cm</x:v>
      </x:c>
      <x:c r="E84" s="14" t="str">
        <x:v>Caja X 5</x:v>
      </x:c>
      <x:c r="F84" s="14" t="str">
        <x:v>2018DM-0018798</x:v>
      </x:c>
      <x:c r="G84" s="20" t="n">
        <x:v>47051</x:v>
      </x:c>
      <x:c r="H84" s="14" t="str">
        <x:v>IIa</x:v>
      </x:c>
      <x:c r="I84" s="22" t="n">
        <x:v>41750</x:v>
      </x:c>
    </x:row>
    <x:row r="85">
      <x:c r="A85" s="16" t="n">
        <x:v>4</x:v>
      </x:c>
      <x:c r="B85" s="14" t="str">
        <x:v>Apósito Post Quirúrgico de 4 Capas</x:v>
      </x:c>
      <x:c r="C85" s="18" t="str">
        <x:v>496650</x:v>
      </x:c>
      <x:c r="D85" s="14" t="str">
        <x:v>Mepilex Border Post Op 10 x 35 cm</x:v>
      </x:c>
      <x:c r="E85" s="14" t="str">
        <x:v>Caja X 5</x:v>
      </x:c>
      <x:c r="F85" s="14" t="str">
        <x:v>2018DM-0018798</x:v>
      </x:c>
      <x:c r="G85" s="20" t="n">
        <x:v>47051</x:v>
      </x:c>
      <x:c r="H85" s="14" t="str">
        <x:v>IIa</x:v>
      </x:c>
      <x:c r="I85" s="22" t="n">
        <x:v>46750</x:v>
      </x:c>
    </x:row>
    <x:row r="86">
      <x:c r="A86" s="16" t="n">
        <x:v>4</x:v>
      </x:c>
      <x:c r="B86" s="14" t="str">
        <x:v>Apósito Post Quirúrgico de 5 Capas con Efecto Antimicrobiano</x:v>
      </x:c>
      <x:c r="C86" s="18" t="str">
        <x:v>498300</x:v>
      </x:c>
      <x:c r="D86" s="14" t="str">
        <x:v>Mepilex Border Post-Op Ag 10 x 15 cm</x:v>
      </x:c>
      <x:c r="E86" s="14" t="str">
        <x:v>Caja X 5</x:v>
      </x:c>
      <x:c r="F86" s="14" t="str">
        <x:v>2020DM-0021561</x:v>
      </x:c>
      <x:c r="G86" s="20" t="n">
        <x:v>47600</x:v>
      </x:c>
      <x:c r="H86" s="14" t="str">
        <x:v>III</x:v>
      </x:c>
      <x:c r="I86" s="22" t="n">
        <x:v>107000</x:v>
      </x:c>
    </x:row>
    <x:row r="87">
      <x:c r="A87" s="16" t="n">
        <x:v>4</x:v>
      </x:c>
      <x:c r="B87" s="14" t="str">
        <x:v>Apósito Post Quirúrgico de 5 Capas con Efecto Antimicrobiano</x:v>
      </x:c>
      <x:c r="C87" s="18" t="str">
        <x:v>498400</x:v>
      </x:c>
      <x:c r="D87" s="14" t="str">
        <x:v>Mepilex Border Post-Op Ag 10 x 20 cm</x:v>
      </x:c>
      <x:c r="E87" s="14" t="str">
        <x:v>Caja X 5</x:v>
      </x:c>
      <x:c r="F87" s="14" t="str">
        <x:v>2020DM-0021561</x:v>
      </x:c>
      <x:c r="G87" s="20" t="n">
        <x:v>47600</x:v>
      </x:c>
      <x:c r="H87" s="14" t="str">
        <x:v>III</x:v>
      </x:c>
      <x:c r="I87" s="22" t="n">
        <x:v>117700</x:v>
      </x:c>
    </x:row>
    <x:row r="88">
      <x:c r="A88" s="16" t="n">
        <x:v>4</x:v>
      </x:c>
      <x:c r="B88" s="14" t="str">
        <x:v>Apósito Post Quirúrgico de 5 Capas con Efecto Antimicrobiano</x:v>
      </x:c>
      <x:c r="C88" s="18" t="str">
        <x:v>498450</x:v>
      </x:c>
      <x:c r="D88" s="14" t="str">
        <x:v>Mepilex Border Post-Op Ag 10 x 25 cm</x:v>
      </x:c>
      <x:c r="E88" s="14" t="str">
        <x:v>Caja X 5</x:v>
      </x:c>
      <x:c r="F88" s="14" t="str">
        <x:v>2020DM-0021561</x:v>
      </x:c>
      <x:c r="G88" s="20" t="n">
        <x:v>47600</x:v>
      </x:c>
      <x:c r="H88" s="14" t="str">
        <x:v>III</x:v>
      </x:c>
      <x:c r="I88" s="22" t="n">
        <x:v>144450</x:v>
      </x:c>
    </x:row>
    <x:row r="89">
      <x:c r="A89" s="16" t="n">
        <x:v>4</x:v>
      </x:c>
      <x:c r="B89" s="14" t="str">
        <x:v>Apósito Post Quirúrgico de 5 Capas con Efecto Antimicrobiano</x:v>
      </x:c>
      <x:c r="C89" s="18" t="str">
        <x:v>498600</x:v>
      </x:c>
      <x:c r="D89" s="14" t="str">
        <x:v>Mepilex Border Post-Op Ag 10 x 30 cm</x:v>
      </x:c>
      <x:c r="E89" s="14" t="str">
        <x:v>Caja X 5</x:v>
      </x:c>
      <x:c r="F89" s="14" t="str">
        <x:v>2020DM-0021561</x:v>
      </x:c>
      <x:c r="G89" s="20" t="n">
        <x:v>47600</x:v>
      </x:c>
      <x:c r="H89" s="14" t="str">
        <x:v>III</x:v>
      </x:c>
      <x:c r="I89" s="22" t="n">
        <x:v>149800</x:v>
      </x:c>
    </x:row>
    <x:row r="90">
      <x:c r="A90" s="16" t="n">
        <x:v>4</x:v>
      </x:c>
      <x:c r="B90" s="14" t="str">
        <x:v>Apósito Post Quirúrgico de 5 Capas con Efecto Antimicrobiano</x:v>
      </x:c>
      <x:c r="C90" s="18" t="str">
        <x:v>498650</x:v>
      </x:c>
      <x:c r="D90" s="14" t="str">
        <x:v>Mepilex Border Post-Op Ag 10 × 35 cm</x:v>
      </x:c>
      <x:c r="E90" s="14" t="str">
        <x:v>Caja X 5</x:v>
      </x:c>
      <x:c r="F90" s="14" t="str">
        <x:v>2020DM-0021561</x:v>
      </x:c>
      <x:c r="G90" s="20" t="n">
        <x:v>47600</x:v>
      </x:c>
      <x:c r="H90" s="14" t="str">
        <x:v>III</x:v>
      </x:c>
      <x:c r="I90" s="22" t="n">
        <x:v>160500</x:v>
      </x:c>
    </x:row>
    <x:row r="91">
      <x:c r="A91" s="16" t="n">
        <x:v>4</x:v>
      </x:c>
      <x:c r="B91" s="14" t="str">
        <x:v>Vendaje de Media y Alta Compresión Graduada</x:v>
      </x:c>
      <x:c r="C91" s="18" t="str">
        <x:v>3505</x:v>
      </x:c>
      <x:c r="D91" s="14" t="str">
        <x:v>Setopress 10 cm x 3.5 m Relaxed x 12</x:v>
      </x:c>
      <x:c r="E91" s="14" t="str">
        <x:v>Unidad</x:v>
      </x:c>
      <x:c r="F91" s="14" t="str">
        <x:v>2022DM-0026232</x:v>
      </x:c>
      <x:c r="G91" s="20" t="n">
        <x:v>48561</x:v>
      </x:c>
      <x:c r="H91" s="14" t="str">
        <x:v>I</x:v>
      </x:c>
      <x:c r="I91" s="22" t="n">
        <x:v>43500</x:v>
      </x:c>
    </x:row>
    <x:row r="92">
      <x:c r="A92" s="16" t="n">
        <x:v>5</x:v>
      </x:c>
      <x:c r="B92" s="14" t="str">
        <x:v>Vendaje Tubular con Elasticidad Radial y Longitudinal - Fijación de Apósitos</x:v>
      </x:c>
      <x:c r="C92" s="18" t="str">
        <x:v>2440</x:v>
      </x:c>
      <x:c r="D92" s="14" t="str">
        <x:v>Tubifast 10m Amarillo</x:v>
      </x:c>
      <x:c r="E92" s="14" t="str">
        <x:v>Unidad</x:v>
      </x:c>
      <x:c r="F92" s="14" t="str">
        <x:v>2018DM-0018813</x:v>
      </x:c>
      <x:c r="G92" s="20" t="n">
        <x:v>47051</x:v>
      </x:c>
      <x:c r="H92" s="14" t="str">
        <x:v>I</x:v>
      </x:c>
      <x:c r="I92" s="22" t="n">
        <x:v>89500</x:v>
      </x:c>
    </x:row>
    <x:row r="93">
      <x:c r="A93" s="16" t="n">
        <x:v>5</x:v>
      </x:c>
      <x:c r="B93" s="14" t="str">
        <x:v>Vendaje Tubular con Elasticidad Radial y Longitudinal - Fijación de Apósitos</x:v>
      </x:c>
      <x:c r="C93" s="18" t="str">
        <x:v>2438</x:v>
      </x:c>
      <x:c r="D93" s="14" t="str">
        <x:v>Tubifast 10m Azul</x:v>
      </x:c>
      <x:c r="E93" s="14" t="str">
        <x:v>Unidad</x:v>
      </x:c>
      <x:c r="F93" s="14" t="str">
        <x:v>2018DM-0018813</x:v>
      </x:c>
      <x:c r="G93" s="20" t="n">
        <x:v>47051</x:v>
      </x:c>
      <x:c r="H93" s="14" t="str">
        <x:v>I</x:v>
      </x:c>
      <x:c r="I93" s="22" t="n">
        <x:v>67900</x:v>
      </x:c>
    </x:row>
    <x:row r="94">
      <x:c r="A94" s="16" t="n">
        <x:v>5</x:v>
      </x:c>
      <x:c r="B94" s="14" t="str">
        <x:v>Vendaje Tubular con Elasticidad Radial y Longitudinal - Fijación de Apósitos</x:v>
      </x:c>
      <x:c r="C94" s="18" t="str">
        <x:v>2434</x:v>
      </x:c>
      <x:c r="D94" s="14" t="str">
        <x:v>Tubifast 10m Rojo</x:v>
      </x:c>
      <x:c r="E94" s="14" t="str">
        <x:v>Unidad</x:v>
      </x:c>
      <x:c r="F94" s="14" t="str">
        <x:v>2018DM-0018813</x:v>
      </x:c>
      <x:c r="G94" s="20" t="n">
        <x:v>47051</x:v>
      </x:c>
      <x:c r="H94" s="14" t="str">
        <x:v>I</x:v>
      </x:c>
      <x:c r="I94" s="22" t="n">
        <x:v>50300</x:v>
      </x:c>
    </x:row>
    <x:row r="95">
      <x:c r="A95" s="16" t="n">
        <x:v>5</x:v>
      </x:c>
      <x:c r="B95" s="14" t="str">
        <x:v>Vendaje Tubular con Elasticidad Radial y Longitudinal - Fijación de Apósitos</x:v>
      </x:c>
      <x:c r="C95" s="18" t="str">
        <x:v>2436</x:v>
      </x:c>
      <x:c r="D95" s="14" t="str">
        <x:v>Tubifast 10m Verde</x:v>
      </x:c>
      <x:c r="E95" s="14" t="str">
        <x:v>Unidad</x:v>
      </x:c>
      <x:c r="F95" s="14" t="str">
        <x:v>2018DM-0018813</x:v>
      </x:c>
      <x:c r="G95" s="20" t="n">
        <x:v>47051</x:v>
      </x:c>
      <x:c r="H95" s="14" t="str">
        <x:v>I</x:v>
      </x:c>
      <x:c r="I95" s="22" t="n">
        <x:v>53300</x:v>
      </x:c>
    </x:row>
    <x:row r="96">
      <x:c r="A96" s="16" t="n">
        <x:v>5</x:v>
      </x:c>
      <x:c r="B96" s="14" t="str">
        <x:v>Vendaje Tubular con Elasticidad Radial y Longitudinal - Fijación de Apósitos</x:v>
      </x:c>
      <x:c r="C96" s="18" t="str">
        <x:v>2444</x:v>
      </x:c>
      <x:c r="D96" s="14" t="str">
        <x:v>Tubifast 10m Violeta</x:v>
      </x:c>
      <x:c r="E96" s="14" t="str">
        <x:v>Unidad</x:v>
      </x:c>
      <x:c r="F96" s="14" t="str">
        <x:v>2018DM-0018813</x:v>
      </x:c>
      <x:c r="G96" s="20" t="n">
        <x:v>47051</x:v>
      </x:c>
      <x:c r="H96" s="14" t="str">
        <x:v>I</x:v>
      </x:c>
      <x:c r="I96" s="22" t="n">
        <x:v>200900</x:v>
      </x:c>
    </x:row>
  </x:sheetData>
  <x:pageMargins left="0.7" right="0.7" top="0.75" bottom="0.75" header="0.3" footer="0.3"/>
  <x:tableParts count="1">
    <x:tablePart xmlns:r="http://schemas.openxmlformats.org/officeDocument/2006/relationships" r:id="Rafcf5997c27f455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20" hidden="0" customWidth="1"/>
    <x:col min="3" max="3" width="22" hidden="0" customWidth="1"/>
    <x:col min="4" max="4" width="20" hidden="0" customWidth="1"/>
    <x:col min="5" max="5" width="20" hidden="0" customWidth="1"/>
  </x:cols>
  <x:sheetData>
    <x:row r="1">
      <x:c r="A1" s="5" t="str">
        <x:v>Indicador</x:v>
      </x:c>
      <x:c r="B1" s="5" t="str">
        <x:v>Valor</x:v>
      </x:c>
      <x:c r="C1" s="5" t="str"/>
      <x:c r="D1" s="5" t="str"/>
    </x:row>
    <x:row r="2">
      <x:c r="A2" s="12" t="str">
        <x:v>Total referencias</x:v>
      </x:c>
      <x:c r="B2" s="12" t="n">
        <x:v>95</x:v>
      </x:c>
      <x:c r="C2" s="12" t="str"/>
      <x:c r="D2" s="12" t="str"/>
    </x:row>
    <x:row r="3">
      <x:c r="A3" s="12" t="str">
        <x:v>Precio mínimo</x:v>
      </x:c>
      <x:c r="B3" s="28" t="n">
        <x:f>MIN('Referencias digitalizadas'!I2:I96)</x:f>
        <x:v>4300</x:v>
      </x:c>
      <x:c r="C3" s="12" t="str"/>
      <x:c r="D3" s="12" t="str"/>
    </x:row>
    <x:row r="4">
      <x:c r="A4" s="12" t="str">
        <x:v>Precio máximo</x:v>
      </x:c>
      <x:c r="B4" s="28" t="n">
        <x:f>MAX('Referencias digitalizadas'!I2:I96)</x:f>
        <x:v>893800</x:v>
      </x:c>
      <x:c r="C4" s="12" t="str"/>
      <x:c r="D4" s="12" t="str"/>
    </x:row>
    <x:row r="5">
      <x:c r="A5" s="12" t="str">
        <x:v>Precio promedio</x:v>
      </x:c>
      <x:c r="B5" s="28" t="n">
        <x:f>AVERAGE('Referencias digitalizadas'!I2:I96)</x:f>
        <x:v>94309.47368421052</x:v>
      </x:c>
      <x:c r="C5" s="12" t="str"/>
      <x:c r="D5" s="12" t="str"/>
    </x:row>
    <x:row r="8">
      <x:c r="A8" s="32" t="str">
        <x:v>Categoría</x:v>
      </x:c>
      <x:c r="B8" s="32" t="str">
        <x:v>Cantidad referencias</x:v>
      </x:c>
      <x:c r="D8" s="32" t="str">
        <x:v>Riesgo</x:v>
      </x:c>
      <x:c r="E8" s="32" t="str">
        <x:v>Cantidad referencias</x:v>
      </x:c>
    </x:row>
    <x:row r="9">
      <x:c r="A9" t="str">
        <x:v>Aposito Superabsorbente con Revestimiento Repelente de Fluidos</x:v>
      </x:c>
      <x:c r="B9" t="n">
        <x:v>6</x:v>
      </x:c>
      <x:c r="D9" t="str">
        <x:v>I</x:v>
      </x:c>
      <x:c r="E9" t="n">
        <x:v>6</x:v>
      </x:c>
    </x:row>
    <x:row r="10">
      <x:c r="A10" t="str">
        <x:v>Apósito Espuma de Poliuretano Transferencia de Exudado</x:v>
      </x:c>
      <x:c r="B10" t="n">
        <x:v>2</x:v>
      </x:c>
      <x:c r="D10" t="str">
        <x:v>III</x:v>
      </x:c>
      <x:c r="E10" t="n">
        <x:v>34</x:v>
      </x:c>
    </x:row>
    <x:row r="11">
      <x:c r="A11" t="str">
        <x:v>Apósito Espuma de Poliuretano Transferencia de Exudado con Acción Antimicrobiana</x:v>
      </x:c>
      <x:c r="B11" t="n">
        <x:v>3</x:v>
      </x:c>
      <x:c r="D11" t="str">
        <x:v>IIa</x:v>
      </x:c>
      <x:c r="E11" t="n">
        <x:v>17</x:v>
      </x:c>
    </x:row>
    <x:row r="12">
      <x:c r="A12" t="str">
        <x:v>Apósito Espumas de Poliuretano</x:v>
      </x:c>
      <x:c r="B12" t="n">
        <x:v>5</x:v>
      </x:c>
      <x:c r="D12" t="str">
        <x:v>IIb</x:v>
      </x:c>
      <x:c r="E12" t="n">
        <x:v>38</x:v>
      </x:c>
    </x:row>
    <x:row r="13">
      <x:c r="A13" t="str">
        <x:v>Apósito Espumas de Poliuretano Extrafino</x:v>
      </x:c>
      <x:c r="B13" t="n">
        <x:v>4</x:v>
      </x:c>
    </x:row>
    <x:row r="14">
      <x:c r="A14" t="str">
        <x:v>Apósito Espumas de Poliuretano con Acción Antimicrobiana</x:v>
      </x:c>
      <x:c r="B14" t="n">
        <x:v>5</x:v>
      </x:c>
    </x:row>
    <x:row r="15">
      <x:c r="A15" t="str">
        <x:v>Apósito Espumas de Poliuretano para el talón</x:v>
      </x:c>
      <x:c r="B15" t="n">
        <x:v>1</x:v>
      </x:c>
    </x:row>
    <x:row r="16">
      <x:c r="A16" t="str">
        <x:v>Apósito Multicapa (4 capas) Extrafino con Bordes Autoadherentes - Tecnología Exclusiva Flex</x:v>
      </x:c>
      <x:c r="B16" t="n">
        <x:v>5</x:v>
      </x:c>
    </x:row>
    <x:row r="17">
      <x:c r="A17" t="str">
        <x:v>Apósito Multicapa (5 capas) Oval con Bordes Autoadherentes - Tecnología Exclusiva Flex</x:v>
      </x:c>
      <x:c r="B17" t="n">
        <x:v>3</x:v>
      </x:c>
    </x:row>
    <x:row r="18">
      <x:c r="A18" t="str">
        <x:v>Apósito Multicapa (5 capas) Oval con Bordes Autoadherentes para el Sacro</x:v>
      </x:c>
      <x:c r="B18" t="n">
        <x:v>2</x:v>
      </x:c>
    </x:row>
    <x:row r="19">
      <x:c r="A19" t="str">
        <x:v>Apósito Multicapa (5 capas) Oval con Bordes Autoadherentes para el Talón y los Maléolos</x:v>
      </x:c>
      <x:c r="B19" t="n">
        <x:v>1</x:v>
      </x:c>
    </x:row>
    <x:row r="20">
      <x:c r="A20" t="str">
        <x:v>Apósito Multicapa (5 capas) con Bordes Autoadherentes - Tecnología Exclusiva Flex</x:v>
      </x:c>
      <x:c r="B20" t="n">
        <x:v>4</x:v>
      </x:c>
    </x:row>
    <x:row r="21">
      <x:c r="A21" t="str">
        <x:v>Apósito Multicapa (5 capas) con Bordes Autoadherentes con Efecto Antimicrobiano</x:v>
      </x:c>
      <x:c r="B21" t="n">
        <x:v>7</x:v>
      </x:c>
    </x:row>
    <x:row r="22">
      <x:c r="A22" t="str">
        <x:v>Apósito Multicapa (5 capas) con Bordes Autoadherentes con Efecto Antimicrobiano para el Sacro</x:v>
      </x:c>
      <x:c r="B22" t="n">
        <x:v>2</x:v>
      </x:c>
    </x:row>
    <x:row r="23">
      <x:c r="A23" t="str">
        <x:v>Apósito Post Quirúrgico de 4 Capas</x:v>
      </x:c>
      <x:c r="B23" t="n">
        <x:v>5</x:v>
      </x:c>
    </x:row>
    <x:row r="24">
      <x:c r="A24" t="str">
        <x:v>Apósito Post Quirúrgico de 5 Capas con Efecto Antimicrobiano</x:v>
      </x:c>
      <x:c r="B24" t="n">
        <x:v>5</x:v>
      </x:c>
    </x:row>
    <x:row r="25">
      <x:c r="A25" t="str">
        <x:v>Apósito de Fibras Gelificantes de PVA</x:v>
      </x:c>
      <x:c r="B25" t="n">
        <x:v>5</x:v>
      </x:c>
    </x:row>
    <x:row r="26">
      <x:c r="A26" t="str">
        <x:v>Apósito de Fibras Gelificantes de PVA y Tecnología Hydrolock® y Acción Antimicrobiana</x:v>
      </x:c>
      <x:c r="B26" t="n">
        <x:v>5</x:v>
      </x:c>
    </x:row>
    <x:row r="27">
      <x:c r="A27" t="str">
        <x:v>Cinta Adhesiva de Fijación</x:v>
      </x:c>
      <x:c r="B27" t="n">
        <x:v>2</x:v>
      </x:c>
    </x:row>
    <x:row r="28">
      <x:c r="A28" t="str">
        <x:v>Hemoglobina Tópica</x:v>
      </x:c>
      <x:c r="B28" t="n">
        <x:v>1</x:v>
      </x:c>
    </x:row>
    <x:row r="29">
      <x:c r="A29" t="str">
        <x:v>Lámina de Silicona para el Tratamiento de Cicatrices Hipertróficas y Queloides</x:v>
      </x:c>
      <x:c r="B29" t="n">
        <x:v>2</x:v>
      </x:c>
    </x:row>
    <x:row r="30">
      <x:c r="A30" t="str">
        <x:v>Láminas de Contacto Porosa con Micro adherencia Selectiva por las dos Caras</x:v>
      </x:c>
      <x:c r="B30" t="n">
        <x:v>4</x:v>
      </x:c>
    </x:row>
    <x:row r="31">
      <x:c r="A31" t="str">
        <x:v>Láminas de Contacto Porosa con Micro adherencia por una Cara</x:v>
      </x:c>
      <x:c r="B31" t="n">
        <x:v>4</x:v>
      </x:c>
    </x:row>
    <x:row r="32">
      <x:c r="A32" t="str">
        <x:v>Solución de irrigación para limpieza y enjuague</x:v>
      </x:c>
      <x:c r="B32" t="n">
        <x:v>6</x:v>
      </x:c>
    </x:row>
    <x:row r="33">
      <x:c r="A33" t="str">
        <x:v>Vendaje Tubular con Elasticidad Radial y Longitudinal - Fijación de Apósitos</x:v>
      </x:c>
      <x:c r="B33" t="n">
        <x:v>5</x:v>
      </x:c>
    </x:row>
    <x:row r="34">
      <x:c r="A34" t="str">
        <x:v>Vendaje de Media y Alta Compresión Graduada</x:v>
      </x:c>
      <x:c r="B34" t="n">
        <x:v>1</x:v>
      </x:c>
    </x:row>
  </x:sheetData>
  <x:pageMargins left="0.7" right="0.7" top="0.75" bottom="0.75" header="0.3" footer="0.3"/>
  <x:tableParts count="2">
    <x:tablePart xmlns:r="http://schemas.openxmlformats.org/officeDocument/2006/relationships" r:id="Rba3a475296054055"/>
    <x:tablePart xmlns:r="http://schemas.openxmlformats.org/officeDocument/2006/relationships" r:id="R0655366fbad149de"/>
  </x:tableParts>
</x:worksheet>
</file>